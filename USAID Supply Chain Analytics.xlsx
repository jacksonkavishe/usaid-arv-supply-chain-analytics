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trlProps/ctrlProp2.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A672E92B-9390-4576-AD3E-242F7E12BAF9}" xr6:coauthVersionLast="47" xr6:coauthVersionMax="47" xr10:uidLastSave="{00000000-0000-0000-0000-000000000000}"/>
  <bookViews>
    <workbookView xWindow="-110" yWindow="-110" windowWidth="19420" windowHeight="10300" xr2:uid="{D3B045CD-CC17-48D5-BDFF-F7B5FFBD85E7}"/>
  </bookViews>
  <sheets>
    <sheet name="ARV_Clean_Data" sheetId="1" r:id="rId1"/>
    <sheet name="Calculation" sheetId="2" r:id="rId2"/>
    <sheet name="Dashboard" sheetId="3" r:id="rId3"/>
    <sheet name="Management Report" sheetId="4" r:id="rId4"/>
  </sheets>
  <definedNames>
    <definedName name="ExternalData_1" localSheetId="0" hidden="1">ARV_Clean_Data!$B$2:$AC$1755</definedName>
  </definedNames>
  <calcPr calcId="191029"/>
  <pivotCaches>
    <pivotCache cacheId="2"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43" i="2" l="1"/>
  <c r="H7" i="2"/>
  <c r="H6" i="2"/>
  <c r="H5" i="2"/>
  <c r="O8" i="2"/>
  <c r="O9" i="2"/>
  <c r="O26" i="2"/>
  <c r="O27" i="2"/>
  <c r="O28" i="2"/>
  <c r="O29" i="2"/>
  <c r="O30" i="2"/>
  <c r="O31" i="2"/>
  <c r="O25" i="2"/>
  <c r="O6" i="2"/>
  <c r="C10" i="3"/>
  <c r="D10" i="3"/>
  <c r="E10" i="3"/>
  <c r="F10" i="3"/>
  <c r="B10" i="3"/>
  <c r="G2" i="2"/>
  <c r="S20" i="2" l="1" a="1"/>
  <c r="H21" i="2"/>
  <c r="I21" i="2"/>
  <c r="H22" i="2"/>
  <c r="I22" i="2"/>
  <c r="H23" i="2"/>
  <c r="I23" i="2"/>
  <c r="H24" i="2"/>
  <c r="I24" i="2"/>
  <c r="H25" i="2"/>
  <c r="I25" i="2"/>
  <c r="H26" i="2"/>
  <c r="I26" i="2"/>
  <c r="H27" i="2"/>
  <c r="I27" i="2"/>
  <c r="H28" i="2"/>
  <c r="I28" i="2"/>
  <c r="H29" i="2"/>
  <c r="I29" i="2"/>
  <c r="H30" i="2"/>
  <c r="I30" i="2"/>
  <c r="H31" i="2"/>
  <c r="I31" i="2"/>
  <c r="H32" i="2"/>
  <c r="I32" i="2"/>
  <c r="H33" i="2"/>
  <c r="I33" i="2"/>
  <c r="H34" i="2"/>
  <c r="I34" i="2"/>
  <c r="H35" i="2"/>
  <c r="I35" i="2"/>
  <c r="H36" i="2"/>
  <c r="I36" i="2"/>
  <c r="H37" i="2"/>
  <c r="I37" i="2"/>
  <c r="H38" i="2"/>
  <c r="I38" i="2"/>
  <c r="H39" i="2"/>
  <c r="I39" i="2"/>
  <c r="H40" i="2"/>
  <c r="I40" i="2"/>
  <c r="H41" i="2"/>
  <c r="I41" i="2"/>
  <c r="H42" i="2"/>
  <c r="I42" i="2"/>
  <c r="H43" i="2"/>
  <c r="I43" i="2"/>
  <c r="H44" i="2"/>
  <c r="I44" i="2"/>
  <c r="H45" i="2"/>
  <c r="I45" i="2"/>
  <c r="H46" i="2"/>
  <c r="I46" i="2"/>
  <c r="H47" i="2"/>
  <c r="I47" i="2"/>
  <c r="H48" i="2"/>
  <c r="I48" i="2"/>
  <c r="H49" i="2"/>
  <c r="I49" i="2"/>
  <c r="H50" i="2"/>
  <c r="I50" i="2"/>
  <c r="H51" i="2"/>
  <c r="I51" i="2"/>
  <c r="H52" i="2"/>
  <c r="I52" i="2"/>
  <c r="H53" i="2"/>
  <c r="I53" i="2"/>
  <c r="H54" i="2"/>
  <c r="I54" i="2"/>
  <c r="H55" i="2"/>
  <c r="I55" i="2"/>
  <c r="H56" i="2"/>
  <c r="I56" i="2"/>
  <c r="H57" i="2"/>
  <c r="I57" i="2"/>
  <c r="H58" i="2"/>
  <c r="I58" i="2"/>
  <c r="H59" i="2"/>
  <c r="I59" i="2"/>
  <c r="H60" i="2"/>
  <c r="I60" i="2"/>
  <c r="H61" i="2"/>
  <c r="I61" i="2"/>
  <c r="H62" i="2"/>
  <c r="I62" i="2"/>
  <c r="H63" i="2"/>
  <c r="I63" i="2"/>
  <c r="H64" i="2"/>
  <c r="I64" i="2"/>
  <c r="H65" i="2"/>
  <c r="I65" i="2"/>
  <c r="H66" i="2"/>
  <c r="I66" i="2"/>
  <c r="H67" i="2"/>
  <c r="I67" i="2"/>
  <c r="H68" i="2"/>
  <c r="I68" i="2"/>
  <c r="H69" i="2"/>
  <c r="I69" i="2"/>
  <c r="H70" i="2"/>
  <c r="I70" i="2"/>
  <c r="H71" i="2"/>
  <c r="I71" i="2"/>
  <c r="H72" i="2"/>
  <c r="I72" i="2"/>
  <c r="H73" i="2"/>
  <c r="I73" i="2"/>
  <c r="H74" i="2"/>
  <c r="I74" i="2"/>
  <c r="H75" i="2"/>
  <c r="I75" i="2"/>
  <c r="H76" i="2"/>
  <c r="I76" i="2"/>
  <c r="H77" i="2"/>
  <c r="I77" i="2"/>
  <c r="H78" i="2"/>
  <c r="I78" i="2"/>
  <c r="H79" i="2"/>
  <c r="I79" i="2"/>
  <c r="H80" i="2"/>
  <c r="I80" i="2"/>
  <c r="H81" i="2"/>
  <c r="I81" i="2"/>
  <c r="H82" i="2"/>
  <c r="I82" i="2"/>
  <c r="H83" i="2"/>
  <c r="I83" i="2"/>
  <c r="H84" i="2"/>
  <c r="I84" i="2"/>
  <c r="H85" i="2"/>
  <c r="I85" i="2"/>
  <c r="H86" i="2"/>
  <c r="I86" i="2"/>
  <c r="H87" i="2"/>
  <c r="I87" i="2"/>
  <c r="H88" i="2"/>
  <c r="I88" i="2"/>
  <c r="H89" i="2"/>
  <c r="I89" i="2"/>
  <c r="H90" i="2"/>
  <c r="I90" i="2"/>
  <c r="H91" i="2"/>
  <c r="I91" i="2"/>
  <c r="H92" i="2"/>
  <c r="I92" i="2"/>
  <c r="H93" i="2"/>
  <c r="I93" i="2"/>
  <c r="H94" i="2"/>
  <c r="I94" i="2"/>
  <c r="H95" i="2"/>
  <c r="I95" i="2"/>
  <c r="H96" i="2"/>
  <c r="I96" i="2"/>
  <c r="H97" i="2"/>
  <c r="I97" i="2"/>
  <c r="H98" i="2"/>
  <c r="I98" i="2"/>
  <c r="H99" i="2"/>
  <c r="I99" i="2"/>
  <c r="H100" i="2"/>
  <c r="I100" i="2"/>
  <c r="H101" i="2"/>
  <c r="I101" i="2"/>
  <c r="H102" i="2"/>
  <c r="I102" i="2"/>
  <c r="H103" i="2"/>
  <c r="I103" i="2"/>
  <c r="H104" i="2"/>
  <c r="I104" i="2"/>
  <c r="H105" i="2"/>
  <c r="I105" i="2"/>
  <c r="H106" i="2"/>
  <c r="I106" i="2"/>
  <c r="H107" i="2"/>
  <c r="I107" i="2"/>
  <c r="H108" i="2"/>
  <c r="I108" i="2"/>
  <c r="H109" i="2"/>
  <c r="I109" i="2"/>
  <c r="H110" i="2"/>
  <c r="I110" i="2"/>
  <c r="H111" i="2"/>
  <c r="I111" i="2"/>
  <c r="H112" i="2"/>
  <c r="I112" i="2"/>
  <c r="H113" i="2"/>
  <c r="I113" i="2"/>
  <c r="H114" i="2"/>
  <c r="I114" i="2"/>
  <c r="H115" i="2"/>
  <c r="I115" i="2"/>
  <c r="H116" i="2"/>
  <c r="I116" i="2"/>
  <c r="H117" i="2"/>
  <c r="I117" i="2"/>
  <c r="H118" i="2"/>
  <c r="I118" i="2"/>
  <c r="H119" i="2"/>
  <c r="I119" i="2"/>
  <c r="H120" i="2"/>
  <c r="I120" i="2"/>
  <c r="H121" i="2"/>
  <c r="I121" i="2"/>
  <c r="H122" i="2"/>
  <c r="I122" i="2"/>
  <c r="H123" i="2"/>
  <c r="I123" i="2"/>
  <c r="H124" i="2"/>
  <c r="I124" i="2"/>
  <c r="H125" i="2"/>
  <c r="I125" i="2"/>
  <c r="H126" i="2"/>
  <c r="I126" i="2"/>
  <c r="H127" i="2"/>
  <c r="I127" i="2"/>
  <c r="H128" i="2"/>
  <c r="I128" i="2"/>
  <c r="H129" i="2"/>
  <c r="I129" i="2"/>
  <c r="H130" i="2"/>
  <c r="I130" i="2"/>
  <c r="H131" i="2"/>
  <c r="I131" i="2"/>
  <c r="H132" i="2"/>
  <c r="I132" i="2"/>
  <c r="H133" i="2"/>
  <c r="I133" i="2"/>
  <c r="H134" i="2"/>
  <c r="I134" i="2"/>
  <c r="H135" i="2"/>
  <c r="I135" i="2"/>
  <c r="H136" i="2"/>
  <c r="I136" i="2"/>
  <c r="H137" i="2"/>
  <c r="I137" i="2"/>
  <c r="H138" i="2"/>
  <c r="I138" i="2"/>
  <c r="H139" i="2"/>
  <c r="I139" i="2"/>
  <c r="H140" i="2"/>
  <c r="I140" i="2"/>
  <c r="H141" i="2"/>
  <c r="I141" i="2"/>
  <c r="H142" i="2"/>
  <c r="I142" i="2"/>
  <c r="H143" i="2"/>
  <c r="I143" i="2"/>
  <c r="H144" i="2"/>
  <c r="I144" i="2"/>
  <c r="H145" i="2"/>
  <c r="I145" i="2"/>
  <c r="H146" i="2"/>
  <c r="I146" i="2"/>
  <c r="H147" i="2"/>
  <c r="I147" i="2"/>
  <c r="H148" i="2"/>
  <c r="I148" i="2"/>
  <c r="H149" i="2"/>
  <c r="I149" i="2"/>
  <c r="H150" i="2"/>
  <c r="I150" i="2"/>
  <c r="H151" i="2"/>
  <c r="I151" i="2"/>
  <c r="H152" i="2"/>
  <c r="I152" i="2"/>
  <c r="H153" i="2"/>
  <c r="I153" i="2"/>
  <c r="H154" i="2"/>
  <c r="I154" i="2"/>
  <c r="H155" i="2"/>
  <c r="I155" i="2"/>
  <c r="H156" i="2"/>
  <c r="I156" i="2"/>
  <c r="H157" i="2"/>
  <c r="I157" i="2"/>
  <c r="H158" i="2"/>
  <c r="I158" i="2"/>
  <c r="H159" i="2"/>
  <c r="I159" i="2"/>
  <c r="H160" i="2"/>
  <c r="I160" i="2"/>
  <c r="H161" i="2"/>
  <c r="I161" i="2"/>
  <c r="H162" i="2"/>
  <c r="I162" i="2"/>
  <c r="H163" i="2"/>
  <c r="I163" i="2"/>
  <c r="H164" i="2"/>
  <c r="I164" i="2"/>
  <c r="H165" i="2"/>
  <c r="I165" i="2"/>
  <c r="H166" i="2"/>
  <c r="I166" i="2"/>
  <c r="H167" i="2"/>
  <c r="I167" i="2"/>
  <c r="H168" i="2"/>
  <c r="I168" i="2"/>
  <c r="H169" i="2"/>
  <c r="I169" i="2"/>
  <c r="H170" i="2"/>
  <c r="I170" i="2"/>
  <c r="H171" i="2"/>
  <c r="I171" i="2"/>
  <c r="H172" i="2"/>
  <c r="I172" i="2"/>
  <c r="H173" i="2"/>
  <c r="I173" i="2"/>
  <c r="H174" i="2"/>
  <c r="I174" i="2"/>
  <c r="H175" i="2"/>
  <c r="I175" i="2"/>
  <c r="H176" i="2"/>
  <c r="I176" i="2"/>
  <c r="H177" i="2"/>
  <c r="I177" i="2"/>
  <c r="H178" i="2"/>
  <c r="I178" i="2"/>
  <c r="H179" i="2"/>
  <c r="I179" i="2"/>
  <c r="H180" i="2"/>
  <c r="I180" i="2"/>
  <c r="H181" i="2"/>
  <c r="I181" i="2"/>
  <c r="H182" i="2"/>
  <c r="I182" i="2"/>
  <c r="H183" i="2"/>
  <c r="I183" i="2"/>
  <c r="H184" i="2"/>
  <c r="I184" i="2"/>
  <c r="H185" i="2"/>
  <c r="I185" i="2"/>
  <c r="H186" i="2"/>
  <c r="I186" i="2"/>
  <c r="H187" i="2"/>
  <c r="I187" i="2"/>
  <c r="H188" i="2"/>
  <c r="I188" i="2"/>
  <c r="H189" i="2"/>
  <c r="I189" i="2"/>
  <c r="H190" i="2"/>
  <c r="I190" i="2"/>
  <c r="H191" i="2"/>
  <c r="I191" i="2"/>
  <c r="H192" i="2"/>
  <c r="I192" i="2"/>
  <c r="H193" i="2"/>
  <c r="I193" i="2"/>
  <c r="H194" i="2"/>
  <c r="I194" i="2"/>
  <c r="H195" i="2"/>
  <c r="I195" i="2"/>
  <c r="H196" i="2"/>
  <c r="I196" i="2"/>
  <c r="H197" i="2"/>
  <c r="I197" i="2"/>
  <c r="H198" i="2"/>
  <c r="I198" i="2"/>
  <c r="H199" i="2"/>
  <c r="I199" i="2"/>
  <c r="H200" i="2"/>
  <c r="I200" i="2"/>
  <c r="H201" i="2"/>
  <c r="I201" i="2"/>
  <c r="H202" i="2"/>
  <c r="I202" i="2"/>
  <c r="H203" i="2"/>
  <c r="I203" i="2"/>
  <c r="H204" i="2"/>
  <c r="I204" i="2"/>
  <c r="H205" i="2"/>
  <c r="I205" i="2"/>
  <c r="H206" i="2"/>
  <c r="I206" i="2"/>
  <c r="H207" i="2"/>
  <c r="I207" i="2"/>
  <c r="H208" i="2"/>
  <c r="I208" i="2"/>
  <c r="H209" i="2"/>
  <c r="I209" i="2"/>
  <c r="H210" i="2"/>
  <c r="I210" i="2"/>
  <c r="H211" i="2"/>
  <c r="I211" i="2"/>
  <c r="H212" i="2"/>
  <c r="I212" i="2"/>
  <c r="H213" i="2"/>
  <c r="I213" i="2"/>
  <c r="H214" i="2"/>
  <c r="I214" i="2"/>
  <c r="H215" i="2"/>
  <c r="I215" i="2"/>
  <c r="H216" i="2"/>
  <c r="I216" i="2"/>
  <c r="H217" i="2"/>
  <c r="I217" i="2"/>
  <c r="H218" i="2"/>
  <c r="I218" i="2"/>
  <c r="H219" i="2"/>
  <c r="I219" i="2"/>
  <c r="H220" i="2"/>
  <c r="I220" i="2"/>
  <c r="H221" i="2"/>
  <c r="I221" i="2"/>
  <c r="H222" i="2"/>
  <c r="I222" i="2"/>
  <c r="H223" i="2"/>
  <c r="I223" i="2"/>
  <c r="H224" i="2"/>
  <c r="I224" i="2"/>
  <c r="H225" i="2"/>
  <c r="I225" i="2"/>
  <c r="H226" i="2"/>
  <c r="I226" i="2"/>
  <c r="H227" i="2"/>
  <c r="I227" i="2"/>
  <c r="H228" i="2"/>
  <c r="I228" i="2"/>
  <c r="H229" i="2"/>
  <c r="I229" i="2"/>
  <c r="H230" i="2"/>
  <c r="I230" i="2"/>
  <c r="H231" i="2"/>
  <c r="I231" i="2"/>
  <c r="H232" i="2"/>
  <c r="I232" i="2"/>
  <c r="H233" i="2"/>
  <c r="I233" i="2"/>
  <c r="H234" i="2"/>
  <c r="I234" i="2"/>
  <c r="H235" i="2"/>
  <c r="I235" i="2"/>
  <c r="H236" i="2"/>
  <c r="I236" i="2"/>
  <c r="H237" i="2"/>
  <c r="I237" i="2"/>
  <c r="H238" i="2"/>
  <c r="I238" i="2"/>
  <c r="H239" i="2"/>
  <c r="I239" i="2"/>
  <c r="H240" i="2"/>
  <c r="I240" i="2"/>
  <c r="H241" i="2"/>
  <c r="I241" i="2"/>
  <c r="H242" i="2"/>
  <c r="I242" i="2"/>
  <c r="H243" i="2"/>
  <c r="I243" i="2"/>
  <c r="H244" i="2"/>
  <c r="I244" i="2"/>
  <c r="H245" i="2"/>
  <c r="I245" i="2"/>
  <c r="H246" i="2"/>
  <c r="I246" i="2"/>
  <c r="H247" i="2"/>
  <c r="I247" i="2"/>
  <c r="H248" i="2"/>
  <c r="I248" i="2"/>
  <c r="H249" i="2"/>
  <c r="I249" i="2"/>
  <c r="H250" i="2"/>
  <c r="I250" i="2"/>
  <c r="H251" i="2"/>
  <c r="I251" i="2"/>
  <c r="H252" i="2"/>
  <c r="I252" i="2"/>
  <c r="H253" i="2"/>
  <c r="I253" i="2"/>
  <c r="H254" i="2"/>
  <c r="I254" i="2"/>
  <c r="H255" i="2"/>
  <c r="I255" i="2"/>
  <c r="H256" i="2"/>
  <c r="I256" i="2"/>
  <c r="H257" i="2"/>
  <c r="I257" i="2"/>
  <c r="H258" i="2"/>
  <c r="I258" i="2"/>
  <c r="H259" i="2"/>
  <c r="I259" i="2"/>
  <c r="H260" i="2"/>
  <c r="I260" i="2"/>
  <c r="H261" i="2"/>
  <c r="I261" i="2"/>
  <c r="H262" i="2"/>
  <c r="I262" i="2"/>
  <c r="H263" i="2"/>
  <c r="I263" i="2"/>
  <c r="H264" i="2"/>
  <c r="I264" i="2"/>
  <c r="H265" i="2"/>
  <c r="I265" i="2"/>
  <c r="H266" i="2"/>
  <c r="I266" i="2"/>
  <c r="H267" i="2"/>
  <c r="I267" i="2"/>
  <c r="H268" i="2"/>
  <c r="I268" i="2"/>
  <c r="H269" i="2"/>
  <c r="I269" i="2"/>
  <c r="H270" i="2"/>
  <c r="I270" i="2"/>
  <c r="H271" i="2"/>
  <c r="I271" i="2"/>
  <c r="H272" i="2"/>
  <c r="I272" i="2"/>
  <c r="H273" i="2"/>
  <c r="I273" i="2"/>
  <c r="H274" i="2"/>
  <c r="I274" i="2"/>
  <c r="H275" i="2"/>
  <c r="I275" i="2"/>
  <c r="H276" i="2"/>
  <c r="I276" i="2"/>
  <c r="H277" i="2"/>
  <c r="I277" i="2"/>
  <c r="H278" i="2"/>
  <c r="I278" i="2"/>
  <c r="H279" i="2"/>
  <c r="I279" i="2"/>
  <c r="H280" i="2"/>
  <c r="I280" i="2"/>
  <c r="H281" i="2"/>
  <c r="I281" i="2"/>
  <c r="H282" i="2"/>
  <c r="I282" i="2"/>
  <c r="H283" i="2"/>
  <c r="I283" i="2"/>
  <c r="H284" i="2"/>
  <c r="I284" i="2"/>
  <c r="H285" i="2"/>
  <c r="I285" i="2"/>
  <c r="H286" i="2"/>
  <c r="I286" i="2"/>
  <c r="H287" i="2"/>
  <c r="I287" i="2"/>
  <c r="H288" i="2"/>
  <c r="I288" i="2"/>
  <c r="H289" i="2"/>
  <c r="I289" i="2"/>
  <c r="H290" i="2"/>
  <c r="I290" i="2"/>
  <c r="H291" i="2"/>
  <c r="I291" i="2"/>
  <c r="H292" i="2"/>
  <c r="I292" i="2"/>
  <c r="H293" i="2"/>
  <c r="I293" i="2"/>
  <c r="H294" i="2"/>
  <c r="I294" i="2"/>
  <c r="H295" i="2"/>
  <c r="I295" i="2"/>
  <c r="H296" i="2"/>
  <c r="I296" i="2"/>
  <c r="H297" i="2"/>
  <c r="I297" i="2"/>
  <c r="H298" i="2"/>
  <c r="I298" i="2"/>
  <c r="H299" i="2"/>
  <c r="I299" i="2"/>
  <c r="H300" i="2"/>
  <c r="I300" i="2"/>
  <c r="H301" i="2"/>
  <c r="I301" i="2"/>
  <c r="H302" i="2"/>
  <c r="I302" i="2"/>
  <c r="H303" i="2"/>
  <c r="I303" i="2"/>
  <c r="H304" i="2"/>
  <c r="I304" i="2"/>
  <c r="H305" i="2"/>
  <c r="I305" i="2"/>
  <c r="H306" i="2"/>
  <c r="I306" i="2"/>
  <c r="H307" i="2"/>
  <c r="I307" i="2"/>
  <c r="H308" i="2"/>
  <c r="I308" i="2"/>
  <c r="H309" i="2"/>
  <c r="I309" i="2"/>
  <c r="H310" i="2"/>
  <c r="I310" i="2"/>
  <c r="H311" i="2"/>
  <c r="I311" i="2"/>
  <c r="H312" i="2"/>
  <c r="I312" i="2"/>
  <c r="H313" i="2"/>
  <c r="I313" i="2"/>
  <c r="H314" i="2"/>
  <c r="I314" i="2"/>
  <c r="H315" i="2"/>
  <c r="I315" i="2"/>
  <c r="H316" i="2"/>
  <c r="I316" i="2"/>
  <c r="H317" i="2"/>
  <c r="I317" i="2"/>
  <c r="H318" i="2"/>
  <c r="I318" i="2"/>
  <c r="H319" i="2"/>
  <c r="I319" i="2"/>
  <c r="H320" i="2"/>
  <c r="I320" i="2"/>
  <c r="H321" i="2"/>
  <c r="I321" i="2"/>
  <c r="H322" i="2"/>
  <c r="I322" i="2"/>
  <c r="H323" i="2"/>
  <c r="I323" i="2"/>
  <c r="H324" i="2"/>
  <c r="I324" i="2"/>
  <c r="H325" i="2"/>
  <c r="I325" i="2"/>
  <c r="H326" i="2"/>
  <c r="I326" i="2"/>
  <c r="H327" i="2"/>
  <c r="I327" i="2"/>
  <c r="H328" i="2"/>
  <c r="I328" i="2"/>
  <c r="H329" i="2"/>
  <c r="I329" i="2"/>
  <c r="H330" i="2"/>
  <c r="I330" i="2"/>
  <c r="H331" i="2"/>
  <c r="I331" i="2"/>
  <c r="H332" i="2"/>
  <c r="I332" i="2"/>
  <c r="H333" i="2"/>
  <c r="I333" i="2"/>
  <c r="H334" i="2"/>
  <c r="I334" i="2"/>
  <c r="H335" i="2"/>
  <c r="I335" i="2"/>
  <c r="H336" i="2"/>
  <c r="I336" i="2"/>
  <c r="H337" i="2"/>
  <c r="I337" i="2"/>
  <c r="H338" i="2"/>
  <c r="I338" i="2"/>
  <c r="H339" i="2"/>
  <c r="I339" i="2"/>
  <c r="H340" i="2"/>
  <c r="I340" i="2"/>
  <c r="H341" i="2"/>
  <c r="I341" i="2"/>
  <c r="H342" i="2"/>
  <c r="I342" i="2"/>
  <c r="H343" i="2"/>
  <c r="I343" i="2"/>
  <c r="H344" i="2"/>
  <c r="I344" i="2"/>
  <c r="H345" i="2"/>
  <c r="I345" i="2"/>
  <c r="H346" i="2"/>
  <c r="I346" i="2"/>
  <c r="H347" i="2"/>
  <c r="I347" i="2"/>
  <c r="H348" i="2"/>
  <c r="I348" i="2"/>
  <c r="H349" i="2"/>
  <c r="I349" i="2"/>
  <c r="H350" i="2"/>
  <c r="I350" i="2"/>
  <c r="H351" i="2"/>
  <c r="I351" i="2"/>
  <c r="H352" i="2"/>
  <c r="I352" i="2"/>
  <c r="H353" i="2"/>
  <c r="I353" i="2"/>
  <c r="H354" i="2"/>
  <c r="I354" i="2"/>
  <c r="H355" i="2"/>
  <c r="I355" i="2"/>
  <c r="H356" i="2"/>
  <c r="I356" i="2"/>
  <c r="H357" i="2"/>
  <c r="I357" i="2"/>
  <c r="H358" i="2"/>
  <c r="I358" i="2"/>
  <c r="H359" i="2"/>
  <c r="I359" i="2"/>
  <c r="H360" i="2"/>
  <c r="I360" i="2"/>
  <c r="H361" i="2"/>
  <c r="I361" i="2"/>
  <c r="H362" i="2"/>
  <c r="I362" i="2"/>
  <c r="H363" i="2"/>
  <c r="I363" i="2"/>
  <c r="H364" i="2"/>
  <c r="I364" i="2"/>
  <c r="H365" i="2"/>
  <c r="I365" i="2"/>
  <c r="H366" i="2"/>
  <c r="I366" i="2"/>
  <c r="H367" i="2"/>
  <c r="I367" i="2"/>
  <c r="H368" i="2"/>
  <c r="I368" i="2"/>
  <c r="H369" i="2"/>
  <c r="I369" i="2"/>
  <c r="H370" i="2"/>
  <c r="I370" i="2"/>
  <c r="H371" i="2"/>
  <c r="I371" i="2"/>
  <c r="H372" i="2"/>
  <c r="I372" i="2"/>
  <c r="H373" i="2"/>
  <c r="I373" i="2"/>
  <c r="H374" i="2"/>
  <c r="I374" i="2"/>
  <c r="H375" i="2"/>
  <c r="I375" i="2"/>
  <c r="H376" i="2"/>
  <c r="I376" i="2"/>
  <c r="H377" i="2"/>
  <c r="I377" i="2"/>
  <c r="H378" i="2"/>
  <c r="I378" i="2"/>
  <c r="H379" i="2"/>
  <c r="I379" i="2"/>
  <c r="H380" i="2"/>
  <c r="I380" i="2"/>
  <c r="H381" i="2"/>
  <c r="I381" i="2"/>
  <c r="H382" i="2"/>
  <c r="I382" i="2"/>
  <c r="H383" i="2"/>
  <c r="I383" i="2"/>
  <c r="H384" i="2"/>
  <c r="I384" i="2"/>
  <c r="H385" i="2"/>
  <c r="I385" i="2"/>
  <c r="H386" i="2"/>
  <c r="I386" i="2"/>
  <c r="H387" i="2"/>
  <c r="I387" i="2"/>
  <c r="H388" i="2"/>
  <c r="I388" i="2"/>
  <c r="H389" i="2"/>
  <c r="I389" i="2"/>
  <c r="H390" i="2"/>
  <c r="I390" i="2"/>
  <c r="H391" i="2"/>
  <c r="I391" i="2"/>
  <c r="H392" i="2"/>
  <c r="I392" i="2"/>
  <c r="H393" i="2"/>
  <c r="I393" i="2"/>
  <c r="H394" i="2"/>
  <c r="I394" i="2"/>
  <c r="H395" i="2"/>
  <c r="I395" i="2"/>
  <c r="H396" i="2"/>
  <c r="I396" i="2"/>
  <c r="H397" i="2"/>
  <c r="I397" i="2"/>
  <c r="H398" i="2"/>
  <c r="I398" i="2"/>
  <c r="H399" i="2"/>
  <c r="I399" i="2"/>
  <c r="H400" i="2"/>
  <c r="I400" i="2"/>
  <c r="H401" i="2"/>
  <c r="I401" i="2"/>
  <c r="H402" i="2"/>
  <c r="I402" i="2"/>
  <c r="H403" i="2"/>
  <c r="I403" i="2"/>
  <c r="H404" i="2"/>
  <c r="I404" i="2"/>
  <c r="H405" i="2"/>
  <c r="I405" i="2"/>
  <c r="H406" i="2"/>
  <c r="I406" i="2"/>
  <c r="H407" i="2"/>
  <c r="I407" i="2"/>
  <c r="H408" i="2"/>
  <c r="I408" i="2"/>
  <c r="H409" i="2"/>
  <c r="I409" i="2"/>
  <c r="H410" i="2"/>
  <c r="I410" i="2"/>
  <c r="H411" i="2"/>
  <c r="I411" i="2"/>
  <c r="H412" i="2"/>
  <c r="I412" i="2"/>
  <c r="H413" i="2"/>
  <c r="I413" i="2"/>
  <c r="H414" i="2"/>
  <c r="I414" i="2"/>
  <c r="H415" i="2"/>
  <c r="I415" i="2"/>
  <c r="H416" i="2"/>
  <c r="I416" i="2"/>
  <c r="H417" i="2"/>
  <c r="I417" i="2"/>
  <c r="H418" i="2"/>
  <c r="I418" i="2"/>
  <c r="H419" i="2"/>
  <c r="I419" i="2"/>
  <c r="H420" i="2"/>
  <c r="I420" i="2"/>
  <c r="H421" i="2"/>
  <c r="I421" i="2"/>
  <c r="H422" i="2"/>
  <c r="I422" i="2"/>
  <c r="H423" i="2"/>
  <c r="I423" i="2"/>
  <c r="H424" i="2"/>
  <c r="I424" i="2"/>
  <c r="H425" i="2"/>
  <c r="I425" i="2"/>
  <c r="H426" i="2"/>
  <c r="I426" i="2"/>
  <c r="H427" i="2"/>
  <c r="I427" i="2"/>
  <c r="H428" i="2"/>
  <c r="I428" i="2"/>
  <c r="H429" i="2"/>
  <c r="I429" i="2"/>
  <c r="H430" i="2"/>
  <c r="I430" i="2"/>
  <c r="H431" i="2"/>
  <c r="I431" i="2"/>
  <c r="H432" i="2"/>
  <c r="I432" i="2"/>
  <c r="H433" i="2"/>
  <c r="I433" i="2"/>
  <c r="H434" i="2"/>
  <c r="I434" i="2"/>
  <c r="H435" i="2"/>
  <c r="I435" i="2"/>
  <c r="H436" i="2"/>
  <c r="I436" i="2"/>
  <c r="H437" i="2"/>
  <c r="I437" i="2"/>
  <c r="H438" i="2"/>
  <c r="I438" i="2"/>
  <c r="H439" i="2"/>
  <c r="I439" i="2"/>
  <c r="H440" i="2"/>
  <c r="I440" i="2"/>
  <c r="H441" i="2"/>
  <c r="I441" i="2"/>
  <c r="H442" i="2"/>
  <c r="I442" i="2"/>
  <c r="H443" i="2"/>
  <c r="I443" i="2"/>
  <c r="H444" i="2"/>
  <c r="I444" i="2"/>
  <c r="H445" i="2"/>
  <c r="I445" i="2"/>
  <c r="H446" i="2"/>
  <c r="I446" i="2"/>
  <c r="H447" i="2"/>
  <c r="I447" i="2"/>
  <c r="H448" i="2"/>
  <c r="I448" i="2"/>
  <c r="H449" i="2"/>
  <c r="I449" i="2"/>
  <c r="H450" i="2"/>
  <c r="I450" i="2"/>
  <c r="H451" i="2"/>
  <c r="I451" i="2"/>
  <c r="H452" i="2"/>
  <c r="I452" i="2"/>
  <c r="H453" i="2"/>
  <c r="I453" i="2"/>
  <c r="H454" i="2"/>
  <c r="I454" i="2"/>
  <c r="H455" i="2"/>
  <c r="I455" i="2"/>
  <c r="H456" i="2"/>
  <c r="I456" i="2"/>
  <c r="H457" i="2"/>
  <c r="I457" i="2"/>
  <c r="H458" i="2"/>
  <c r="I458" i="2"/>
  <c r="H459" i="2"/>
  <c r="I459" i="2"/>
  <c r="H460" i="2"/>
  <c r="I460" i="2"/>
  <c r="H461" i="2"/>
  <c r="I461" i="2"/>
  <c r="H462" i="2"/>
  <c r="I462" i="2"/>
  <c r="H463" i="2"/>
  <c r="I463" i="2"/>
  <c r="H464" i="2"/>
  <c r="I464" i="2"/>
  <c r="H465" i="2"/>
  <c r="I465" i="2"/>
  <c r="H466" i="2"/>
  <c r="I466" i="2"/>
  <c r="H467" i="2"/>
  <c r="I467" i="2"/>
  <c r="H468" i="2"/>
  <c r="I468" i="2"/>
  <c r="H469" i="2"/>
  <c r="I469" i="2"/>
  <c r="H470" i="2"/>
  <c r="I470" i="2"/>
  <c r="H471" i="2"/>
  <c r="I471" i="2"/>
  <c r="H472" i="2"/>
  <c r="I472" i="2"/>
  <c r="H473" i="2"/>
  <c r="I473" i="2"/>
  <c r="H474" i="2"/>
  <c r="I474" i="2"/>
  <c r="H475" i="2"/>
  <c r="I475" i="2"/>
  <c r="H476" i="2"/>
  <c r="I476" i="2"/>
  <c r="H477" i="2"/>
  <c r="I477" i="2"/>
  <c r="H478" i="2"/>
  <c r="I478" i="2"/>
  <c r="H479" i="2"/>
  <c r="I479" i="2"/>
  <c r="H480" i="2"/>
  <c r="I480" i="2"/>
  <c r="H481" i="2"/>
  <c r="I481" i="2"/>
  <c r="H482" i="2"/>
  <c r="I482" i="2"/>
  <c r="H483" i="2"/>
  <c r="I483" i="2"/>
  <c r="H484" i="2"/>
  <c r="I484" i="2"/>
  <c r="H485" i="2"/>
  <c r="I485" i="2"/>
  <c r="H486" i="2"/>
  <c r="I486" i="2"/>
  <c r="H487" i="2"/>
  <c r="I487" i="2"/>
  <c r="H488" i="2"/>
  <c r="I488" i="2"/>
  <c r="H489" i="2"/>
  <c r="I489" i="2"/>
  <c r="H490" i="2"/>
  <c r="I490" i="2"/>
  <c r="H491" i="2"/>
  <c r="I491" i="2"/>
  <c r="H492" i="2"/>
  <c r="I492" i="2"/>
  <c r="H493" i="2"/>
  <c r="I493" i="2"/>
  <c r="H494" i="2"/>
  <c r="I494" i="2"/>
  <c r="H495" i="2"/>
  <c r="I495" i="2"/>
  <c r="H496" i="2"/>
  <c r="I496" i="2"/>
  <c r="H497" i="2"/>
  <c r="I497" i="2"/>
  <c r="H498" i="2"/>
  <c r="I498" i="2"/>
  <c r="H499" i="2"/>
  <c r="I499" i="2"/>
  <c r="H500" i="2"/>
  <c r="I500" i="2"/>
  <c r="H501" i="2"/>
  <c r="I501" i="2"/>
  <c r="H502" i="2"/>
  <c r="I502" i="2"/>
  <c r="H503" i="2"/>
  <c r="I503" i="2"/>
  <c r="H504" i="2"/>
  <c r="I504" i="2"/>
  <c r="H505" i="2"/>
  <c r="I505" i="2"/>
  <c r="H506" i="2"/>
  <c r="I506" i="2"/>
  <c r="H507" i="2"/>
  <c r="I507" i="2"/>
  <c r="H508" i="2"/>
  <c r="I508" i="2"/>
  <c r="H509" i="2"/>
  <c r="I509" i="2"/>
  <c r="H510" i="2"/>
  <c r="I510" i="2"/>
  <c r="H511" i="2"/>
  <c r="I511" i="2"/>
  <c r="H512" i="2"/>
  <c r="I512" i="2"/>
  <c r="H513" i="2"/>
  <c r="I513" i="2"/>
  <c r="H514" i="2"/>
  <c r="I514" i="2"/>
  <c r="H515" i="2"/>
  <c r="I515" i="2"/>
  <c r="H516" i="2"/>
  <c r="I516" i="2"/>
  <c r="H517" i="2"/>
  <c r="I517" i="2"/>
  <c r="H518" i="2"/>
  <c r="I518" i="2"/>
  <c r="H519" i="2"/>
  <c r="I519" i="2"/>
  <c r="H520" i="2"/>
  <c r="I520" i="2"/>
  <c r="H521" i="2"/>
  <c r="I521" i="2"/>
  <c r="H522" i="2"/>
  <c r="I522" i="2"/>
  <c r="H523" i="2"/>
  <c r="I523" i="2"/>
  <c r="H524" i="2"/>
  <c r="I524" i="2"/>
  <c r="H525" i="2"/>
  <c r="I525" i="2"/>
  <c r="H526" i="2"/>
  <c r="I526" i="2"/>
  <c r="H527" i="2"/>
  <c r="I527" i="2"/>
  <c r="H528" i="2"/>
  <c r="I528" i="2"/>
  <c r="H529" i="2"/>
  <c r="I529" i="2"/>
  <c r="H530" i="2"/>
  <c r="I530" i="2"/>
  <c r="H531" i="2"/>
  <c r="I531" i="2"/>
  <c r="H532" i="2"/>
  <c r="I532" i="2"/>
  <c r="H533" i="2"/>
  <c r="I533" i="2"/>
  <c r="H534" i="2"/>
  <c r="I534" i="2"/>
  <c r="H535" i="2"/>
  <c r="I535" i="2"/>
  <c r="H536" i="2"/>
  <c r="I536" i="2"/>
  <c r="H537" i="2"/>
  <c r="I537" i="2"/>
  <c r="H538" i="2"/>
  <c r="I538" i="2"/>
  <c r="H539" i="2"/>
  <c r="I539" i="2"/>
  <c r="H540" i="2"/>
  <c r="I540" i="2"/>
  <c r="H541" i="2"/>
  <c r="I541" i="2"/>
  <c r="H542" i="2"/>
  <c r="I542" i="2"/>
  <c r="H543" i="2"/>
  <c r="I543" i="2"/>
  <c r="H544" i="2"/>
  <c r="I544" i="2"/>
  <c r="H545" i="2"/>
  <c r="I545" i="2"/>
  <c r="H546" i="2"/>
  <c r="I546" i="2"/>
  <c r="H547" i="2"/>
  <c r="I547" i="2"/>
  <c r="H548" i="2"/>
  <c r="I548" i="2"/>
  <c r="H549" i="2"/>
  <c r="I549" i="2"/>
  <c r="H550" i="2"/>
  <c r="I550" i="2"/>
  <c r="H551" i="2"/>
  <c r="I551" i="2"/>
  <c r="H552" i="2"/>
  <c r="I552" i="2"/>
  <c r="H553" i="2"/>
  <c r="I553" i="2"/>
  <c r="H554" i="2"/>
  <c r="I554" i="2"/>
  <c r="H555" i="2"/>
  <c r="I555" i="2"/>
  <c r="H556" i="2"/>
  <c r="I556" i="2"/>
  <c r="H557" i="2"/>
  <c r="I557" i="2"/>
  <c r="H558" i="2"/>
  <c r="I558" i="2"/>
  <c r="H559" i="2"/>
  <c r="I559" i="2"/>
  <c r="H560" i="2"/>
  <c r="I560" i="2"/>
  <c r="H561" i="2"/>
  <c r="I561" i="2"/>
  <c r="H562" i="2"/>
  <c r="I562" i="2"/>
  <c r="H563" i="2"/>
  <c r="I563" i="2"/>
  <c r="H564" i="2"/>
  <c r="I564" i="2"/>
  <c r="H565" i="2"/>
  <c r="I565" i="2"/>
  <c r="H566" i="2"/>
  <c r="I566" i="2"/>
  <c r="H567" i="2"/>
  <c r="I567" i="2"/>
  <c r="H568" i="2"/>
  <c r="I568" i="2"/>
  <c r="H569" i="2"/>
  <c r="I569" i="2"/>
  <c r="H570" i="2"/>
  <c r="I570" i="2"/>
  <c r="H571" i="2"/>
  <c r="I571" i="2"/>
  <c r="H572" i="2"/>
  <c r="I572" i="2"/>
  <c r="H573" i="2"/>
  <c r="I573" i="2"/>
  <c r="H574" i="2"/>
  <c r="I574" i="2"/>
  <c r="H575" i="2"/>
  <c r="I575" i="2"/>
  <c r="H576" i="2"/>
  <c r="I576" i="2"/>
  <c r="H577" i="2"/>
  <c r="I577" i="2"/>
  <c r="H578" i="2"/>
  <c r="I578" i="2"/>
  <c r="H579" i="2"/>
  <c r="I579" i="2"/>
  <c r="H580" i="2"/>
  <c r="I580" i="2"/>
  <c r="H581" i="2"/>
  <c r="I581" i="2"/>
  <c r="H582" i="2"/>
  <c r="I582" i="2"/>
  <c r="H583" i="2"/>
  <c r="I583" i="2"/>
  <c r="H584" i="2"/>
  <c r="I584" i="2"/>
  <c r="H585" i="2"/>
  <c r="I585" i="2"/>
  <c r="H586" i="2"/>
  <c r="I586" i="2"/>
  <c r="H587" i="2"/>
  <c r="I587" i="2"/>
  <c r="H588" i="2"/>
  <c r="I588" i="2"/>
  <c r="H589" i="2"/>
  <c r="I589" i="2"/>
  <c r="H590" i="2"/>
  <c r="I590" i="2"/>
  <c r="H591" i="2"/>
  <c r="I591" i="2"/>
  <c r="H592" i="2"/>
  <c r="I592" i="2"/>
  <c r="H593" i="2"/>
  <c r="I593" i="2"/>
  <c r="H594" i="2"/>
  <c r="I594" i="2"/>
  <c r="H595" i="2"/>
  <c r="I595" i="2"/>
  <c r="H596" i="2"/>
  <c r="I596" i="2"/>
  <c r="H597" i="2"/>
  <c r="I597" i="2"/>
  <c r="H598" i="2"/>
  <c r="I598" i="2"/>
  <c r="H599" i="2"/>
  <c r="I599" i="2"/>
  <c r="H600" i="2"/>
  <c r="I600" i="2"/>
  <c r="H601" i="2"/>
  <c r="I601" i="2"/>
  <c r="H602" i="2"/>
  <c r="I602" i="2"/>
  <c r="H603" i="2"/>
  <c r="I603" i="2"/>
  <c r="H604" i="2"/>
  <c r="I604" i="2"/>
  <c r="H605" i="2"/>
  <c r="I605" i="2"/>
  <c r="H606" i="2"/>
  <c r="I606" i="2"/>
  <c r="H607" i="2"/>
  <c r="I607" i="2"/>
  <c r="H608" i="2"/>
  <c r="I608" i="2"/>
  <c r="H609" i="2"/>
  <c r="I609" i="2"/>
  <c r="H610" i="2"/>
  <c r="I610" i="2"/>
  <c r="H611" i="2"/>
  <c r="I611" i="2"/>
  <c r="H612" i="2"/>
  <c r="I612" i="2"/>
  <c r="H613" i="2"/>
  <c r="I613" i="2"/>
  <c r="H614" i="2"/>
  <c r="I614" i="2"/>
  <c r="H615" i="2"/>
  <c r="I615" i="2"/>
  <c r="H616" i="2"/>
  <c r="I616" i="2"/>
  <c r="H617" i="2"/>
  <c r="I617" i="2"/>
  <c r="H618" i="2"/>
  <c r="I618" i="2"/>
  <c r="H619" i="2"/>
  <c r="I619" i="2"/>
  <c r="H620" i="2"/>
  <c r="I620" i="2"/>
  <c r="H621" i="2"/>
  <c r="I621" i="2"/>
  <c r="H622" i="2"/>
  <c r="I622" i="2"/>
  <c r="H623" i="2"/>
  <c r="I623" i="2"/>
  <c r="H624" i="2"/>
  <c r="I624" i="2"/>
  <c r="H625" i="2"/>
  <c r="I625" i="2"/>
  <c r="H626" i="2"/>
  <c r="I626" i="2"/>
  <c r="H627" i="2"/>
  <c r="I627" i="2"/>
  <c r="H628" i="2"/>
  <c r="I628" i="2"/>
  <c r="H629" i="2"/>
  <c r="I629" i="2"/>
  <c r="H630" i="2"/>
  <c r="I630" i="2"/>
  <c r="H631" i="2"/>
  <c r="I631" i="2"/>
  <c r="H632" i="2"/>
  <c r="I632" i="2"/>
  <c r="H633" i="2"/>
  <c r="I633" i="2"/>
  <c r="H634" i="2"/>
  <c r="I634" i="2"/>
  <c r="H635" i="2"/>
  <c r="I635" i="2"/>
  <c r="H636" i="2"/>
  <c r="I636" i="2"/>
  <c r="H637" i="2"/>
  <c r="I637" i="2"/>
  <c r="H638" i="2"/>
  <c r="I638" i="2"/>
  <c r="H639" i="2"/>
  <c r="I639" i="2"/>
  <c r="H640" i="2"/>
  <c r="I640" i="2"/>
  <c r="H641" i="2"/>
  <c r="I641" i="2"/>
  <c r="H642" i="2"/>
  <c r="I642" i="2"/>
  <c r="H643" i="2"/>
  <c r="I643" i="2"/>
  <c r="H644" i="2"/>
  <c r="I644" i="2"/>
  <c r="H645" i="2"/>
  <c r="I645" i="2"/>
  <c r="H646" i="2"/>
  <c r="I646" i="2"/>
  <c r="H647" i="2"/>
  <c r="I647" i="2"/>
  <c r="H648" i="2"/>
  <c r="I648" i="2"/>
  <c r="H649" i="2"/>
  <c r="I649" i="2"/>
  <c r="H650" i="2"/>
  <c r="I650" i="2"/>
  <c r="H651" i="2"/>
  <c r="I651" i="2"/>
  <c r="H652" i="2"/>
  <c r="I652" i="2"/>
  <c r="H653" i="2"/>
  <c r="I653" i="2"/>
  <c r="H654" i="2"/>
  <c r="I654" i="2"/>
  <c r="H655" i="2"/>
  <c r="I655" i="2"/>
  <c r="H656" i="2"/>
  <c r="I656" i="2"/>
  <c r="H657" i="2"/>
  <c r="I657" i="2"/>
  <c r="H658" i="2"/>
  <c r="I658" i="2"/>
  <c r="H659" i="2"/>
  <c r="I659" i="2"/>
  <c r="H660" i="2"/>
  <c r="I660" i="2"/>
  <c r="H661" i="2"/>
  <c r="I661" i="2"/>
  <c r="H662" i="2"/>
  <c r="I662" i="2"/>
  <c r="H663" i="2"/>
  <c r="I663" i="2"/>
  <c r="H664" i="2"/>
  <c r="I664" i="2"/>
  <c r="H665" i="2"/>
  <c r="I665" i="2"/>
  <c r="H666" i="2"/>
  <c r="I666" i="2"/>
  <c r="H667" i="2"/>
  <c r="I667" i="2"/>
  <c r="H668" i="2"/>
  <c r="I668" i="2"/>
  <c r="H669" i="2"/>
  <c r="I669" i="2"/>
  <c r="H670" i="2"/>
  <c r="I670" i="2"/>
  <c r="H671" i="2"/>
  <c r="I671" i="2"/>
  <c r="H672" i="2"/>
  <c r="I672" i="2"/>
  <c r="H673" i="2"/>
  <c r="I673" i="2"/>
  <c r="H674" i="2"/>
  <c r="I674" i="2"/>
  <c r="H675" i="2"/>
  <c r="I675" i="2"/>
  <c r="H676" i="2"/>
  <c r="I676" i="2"/>
  <c r="H677" i="2"/>
  <c r="I677" i="2"/>
  <c r="H678" i="2"/>
  <c r="I678" i="2"/>
  <c r="H679" i="2"/>
  <c r="I679" i="2"/>
  <c r="H680" i="2"/>
  <c r="I680" i="2"/>
  <c r="H681" i="2"/>
  <c r="I681" i="2"/>
  <c r="H682" i="2"/>
  <c r="I682" i="2"/>
  <c r="H683" i="2"/>
  <c r="I683" i="2"/>
  <c r="H684" i="2"/>
  <c r="I684" i="2"/>
  <c r="H685" i="2"/>
  <c r="I685" i="2"/>
  <c r="H686" i="2"/>
  <c r="I686" i="2"/>
  <c r="H687" i="2"/>
  <c r="I687" i="2"/>
  <c r="H688" i="2"/>
  <c r="I688" i="2"/>
  <c r="H689" i="2"/>
  <c r="I689" i="2"/>
  <c r="H690" i="2"/>
  <c r="I690" i="2"/>
  <c r="H691" i="2"/>
  <c r="I691" i="2"/>
  <c r="H692" i="2"/>
  <c r="I692" i="2"/>
  <c r="H693" i="2"/>
  <c r="I693" i="2"/>
  <c r="H694" i="2"/>
  <c r="I694" i="2"/>
  <c r="H695" i="2"/>
  <c r="I695" i="2"/>
  <c r="H696" i="2"/>
  <c r="I696" i="2"/>
  <c r="H697" i="2"/>
  <c r="I697" i="2"/>
  <c r="H698" i="2"/>
  <c r="I698" i="2"/>
  <c r="H699" i="2"/>
  <c r="I699" i="2"/>
  <c r="H700" i="2"/>
  <c r="I700" i="2"/>
  <c r="H701" i="2"/>
  <c r="I701" i="2"/>
  <c r="H702" i="2"/>
  <c r="I702" i="2"/>
  <c r="H703" i="2"/>
  <c r="I703" i="2"/>
  <c r="H704" i="2"/>
  <c r="I704" i="2"/>
  <c r="H705" i="2"/>
  <c r="I705" i="2"/>
  <c r="H706" i="2"/>
  <c r="I706" i="2"/>
  <c r="H707" i="2"/>
  <c r="I707" i="2"/>
  <c r="H708" i="2"/>
  <c r="I708" i="2"/>
  <c r="H709" i="2"/>
  <c r="I709" i="2"/>
  <c r="H710" i="2"/>
  <c r="I710" i="2"/>
  <c r="H711" i="2"/>
  <c r="I711" i="2"/>
  <c r="H712" i="2"/>
  <c r="I712" i="2"/>
  <c r="H713" i="2"/>
  <c r="I713" i="2"/>
  <c r="H714" i="2"/>
  <c r="I714" i="2"/>
  <c r="H715" i="2"/>
  <c r="I715" i="2"/>
  <c r="H716" i="2"/>
  <c r="I716" i="2"/>
  <c r="H717" i="2"/>
  <c r="I717" i="2"/>
  <c r="H718" i="2"/>
  <c r="I718" i="2"/>
  <c r="H719" i="2"/>
  <c r="I719" i="2"/>
  <c r="H720" i="2"/>
  <c r="I720" i="2"/>
  <c r="H721" i="2"/>
  <c r="I721" i="2"/>
  <c r="H722" i="2"/>
  <c r="I722" i="2"/>
  <c r="H723" i="2"/>
  <c r="I723" i="2"/>
  <c r="H724" i="2"/>
  <c r="I724" i="2"/>
  <c r="H725" i="2"/>
  <c r="I725" i="2"/>
  <c r="H726" i="2"/>
  <c r="I726" i="2"/>
  <c r="H727" i="2"/>
  <c r="I727" i="2"/>
  <c r="H728" i="2"/>
  <c r="I728" i="2"/>
  <c r="H729" i="2"/>
  <c r="I729" i="2"/>
  <c r="H730" i="2"/>
  <c r="I730" i="2"/>
  <c r="H731" i="2"/>
  <c r="I731" i="2"/>
  <c r="H732" i="2"/>
  <c r="I732" i="2"/>
  <c r="H733" i="2"/>
  <c r="I733" i="2"/>
  <c r="H734" i="2"/>
  <c r="I734" i="2"/>
  <c r="H735" i="2"/>
  <c r="I735" i="2"/>
  <c r="H736" i="2"/>
  <c r="I736" i="2"/>
  <c r="H737" i="2"/>
  <c r="I737" i="2"/>
  <c r="H738" i="2"/>
  <c r="I738" i="2"/>
  <c r="H739" i="2"/>
  <c r="I739" i="2"/>
  <c r="H740" i="2"/>
  <c r="I740" i="2"/>
  <c r="H741" i="2"/>
  <c r="I741" i="2"/>
  <c r="H742" i="2"/>
  <c r="I742" i="2"/>
  <c r="H743" i="2"/>
  <c r="I743" i="2"/>
  <c r="H744" i="2"/>
  <c r="I744" i="2"/>
  <c r="H745" i="2"/>
  <c r="I745" i="2"/>
  <c r="H746" i="2"/>
  <c r="I746" i="2"/>
  <c r="H747" i="2"/>
  <c r="I747" i="2"/>
  <c r="H748" i="2"/>
  <c r="I748" i="2"/>
  <c r="H749" i="2"/>
  <c r="I749" i="2"/>
  <c r="H750" i="2"/>
  <c r="I750" i="2"/>
  <c r="H751" i="2"/>
  <c r="I751" i="2"/>
  <c r="H752" i="2"/>
  <c r="I752" i="2"/>
  <c r="H753" i="2"/>
  <c r="I753" i="2"/>
  <c r="H754" i="2"/>
  <c r="I754" i="2"/>
  <c r="H755" i="2"/>
  <c r="I755" i="2"/>
  <c r="H756" i="2"/>
  <c r="I756" i="2"/>
  <c r="H757" i="2"/>
  <c r="I757" i="2"/>
  <c r="H758" i="2"/>
  <c r="I758" i="2"/>
  <c r="H759" i="2"/>
  <c r="I759" i="2"/>
  <c r="H760" i="2"/>
  <c r="I760" i="2"/>
  <c r="H761" i="2"/>
  <c r="I761" i="2"/>
  <c r="H762" i="2"/>
  <c r="I762" i="2"/>
  <c r="H763" i="2"/>
  <c r="I763" i="2"/>
  <c r="H764" i="2"/>
  <c r="I764" i="2"/>
  <c r="H765" i="2"/>
  <c r="I765" i="2"/>
  <c r="H766" i="2"/>
  <c r="I766" i="2"/>
  <c r="H767" i="2"/>
  <c r="I767" i="2"/>
  <c r="H768" i="2"/>
  <c r="I768" i="2"/>
  <c r="H769" i="2"/>
  <c r="I769" i="2"/>
  <c r="H770" i="2"/>
  <c r="I770" i="2"/>
  <c r="H771" i="2"/>
  <c r="I771" i="2"/>
  <c r="H772" i="2"/>
  <c r="I772" i="2"/>
  <c r="H773" i="2"/>
  <c r="I773" i="2"/>
  <c r="H774" i="2"/>
  <c r="I774" i="2"/>
  <c r="H775" i="2"/>
  <c r="I775" i="2"/>
  <c r="H776" i="2"/>
  <c r="I776" i="2"/>
  <c r="H777" i="2"/>
  <c r="I777" i="2"/>
  <c r="H778" i="2"/>
  <c r="I778" i="2"/>
  <c r="H779" i="2"/>
  <c r="I779" i="2"/>
  <c r="H780" i="2"/>
  <c r="I780" i="2"/>
  <c r="H781" i="2"/>
  <c r="I781" i="2"/>
  <c r="H782" i="2"/>
  <c r="I782" i="2"/>
  <c r="H783" i="2"/>
  <c r="I783" i="2"/>
  <c r="H784" i="2"/>
  <c r="I784" i="2"/>
  <c r="H785" i="2"/>
  <c r="I785" i="2"/>
  <c r="H786" i="2"/>
  <c r="I786" i="2"/>
  <c r="H787" i="2"/>
  <c r="I787" i="2"/>
  <c r="H788" i="2"/>
  <c r="I788" i="2"/>
  <c r="H789" i="2"/>
  <c r="I789" i="2"/>
  <c r="H790" i="2"/>
  <c r="I790" i="2"/>
  <c r="H791" i="2"/>
  <c r="I791" i="2"/>
  <c r="H792" i="2"/>
  <c r="I792" i="2"/>
  <c r="H793" i="2"/>
  <c r="I793" i="2"/>
  <c r="H794" i="2"/>
  <c r="I794" i="2"/>
  <c r="H795" i="2"/>
  <c r="I795" i="2"/>
  <c r="H796" i="2"/>
  <c r="I796" i="2"/>
  <c r="H797" i="2"/>
  <c r="I797" i="2"/>
  <c r="H798" i="2"/>
  <c r="I798" i="2"/>
  <c r="H799" i="2"/>
  <c r="I799" i="2"/>
  <c r="H800" i="2"/>
  <c r="I800" i="2"/>
  <c r="H801" i="2"/>
  <c r="I801" i="2"/>
  <c r="H802" i="2"/>
  <c r="I802" i="2"/>
  <c r="H803" i="2"/>
  <c r="I803" i="2"/>
  <c r="H804" i="2"/>
  <c r="I804" i="2"/>
  <c r="H805" i="2"/>
  <c r="I805" i="2"/>
  <c r="H806" i="2"/>
  <c r="I806" i="2"/>
  <c r="H807" i="2"/>
  <c r="I807" i="2"/>
  <c r="H808" i="2"/>
  <c r="I808" i="2"/>
  <c r="H809" i="2"/>
  <c r="I809" i="2"/>
  <c r="H810" i="2"/>
  <c r="I810" i="2"/>
  <c r="H811" i="2"/>
  <c r="I811" i="2"/>
  <c r="H812" i="2"/>
  <c r="I812" i="2"/>
  <c r="H813" i="2"/>
  <c r="I813" i="2"/>
  <c r="H814" i="2"/>
  <c r="I814" i="2"/>
  <c r="H815" i="2"/>
  <c r="I815" i="2"/>
  <c r="H816" i="2"/>
  <c r="I816" i="2"/>
  <c r="H817" i="2"/>
  <c r="I817" i="2"/>
  <c r="H818" i="2"/>
  <c r="I818" i="2"/>
  <c r="H819" i="2"/>
  <c r="I819" i="2"/>
  <c r="H820" i="2"/>
  <c r="I820" i="2"/>
  <c r="H821" i="2"/>
  <c r="I821" i="2"/>
  <c r="H822" i="2"/>
  <c r="I822" i="2"/>
  <c r="H823" i="2"/>
  <c r="I823" i="2"/>
  <c r="H824" i="2"/>
  <c r="I824" i="2"/>
  <c r="H825" i="2"/>
  <c r="I825" i="2"/>
  <c r="H826" i="2"/>
  <c r="I826" i="2"/>
  <c r="H827" i="2"/>
  <c r="I827" i="2"/>
  <c r="H828" i="2"/>
  <c r="I828" i="2"/>
  <c r="H829" i="2"/>
  <c r="I829" i="2"/>
  <c r="H830" i="2"/>
  <c r="I830" i="2"/>
  <c r="H831" i="2"/>
  <c r="I831" i="2"/>
  <c r="H832" i="2"/>
  <c r="I832" i="2"/>
  <c r="H833" i="2"/>
  <c r="I833" i="2"/>
  <c r="H834" i="2"/>
  <c r="I834" i="2"/>
  <c r="H835" i="2"/>
  <c r="I835" i="2"/>
  <c r="H836" i="2"/>
  <c r="I836" i="2"/>
  <c r="H837" i="2"/>
  <c r="I837" i="2"/>
  <c r="H838" i="2"/>
  <c r="I838" i="2"/>
  <c r="H839" i="2"/>
  <c r="I839" i="2"/>
  <c r="H840" i="2"/>
  <c r="I840" i="2"/>
  <c r="H841" i="2"/>
  <c r="I841" i="2"/>
  <c r="H842" i="2"/>
  <c r="I842" i="2"/>
  <c r="H843" i="2"/>
  <c r="I843" i="2"/>
  <c r="H844" i="2"/>
  <c r="I844" i="2"/>
  <c r="H845" i="2"/>
  <c r="I845" i="2"/>
  <c r="H846" i="2"/>
  <c r="I846" i="2"/>
  <c r="H847" i="2"/>
  <c r="I847" i="2"/>
  <c r="H848" i="2"/>
  <c r="I848" i="2"/>
  <c r="H849" i="2"/>
  <c r="I849" i="2"/>
  <c r="H850" i="2"/>
  <c r="I850" i="2"/>
  <c r="H851" i="2"/>
  <c r="I851" i="2"/>
  <c r="H852" i="2"/>
  <c r="I852" i="2"/>
  <c r="H853" i="2"/>
  <c r="I853" i="2"/>
  <c r="H854" i="2"/>
  <c r="I854" i="2"/>
  <c r="H855" i="2"/>
  <c r="I855" i="2"/>
  <c r="H856" i="2"/>
  <c r="I856" i="2"/>
  <c r="H857" i="2"/>
  <c r="I857" i="2"/>
  <c r="H858" i="2"/>
  <c r="I858" i="2"/>
  <c r="H859" i="2"/>
  <c r="I859" i="2"/>
  <c r="H860" i="2"/>
  <c r="I860" i="2"/>
  <c r="H861" i="2"/>
  <c r="I861" i="2"/>
  <c r="H862" i="2"/>
  <c r="I862" i="2"/>
  <c r="H863" i="2"/>
  <c r="I863" i="2"/>
  <c r="H864" i="2"/>
  <c r="I864" i="2"/>
  <c r="H865" i="2"/>
  <c r="I865" i="2"/>
  <c r="H866" i="2"/>
  <c r="I866" i="2"/>
  <c r="H867" i="2"/>
  <c r="I867" i="2"/>
  <c r="H868" i="2"/>
  <c r="I868" i="2"/>
  <c r="H869" i="2"/>
  <c r="I869" i="2"/>
  <c r="H870" i="2"/>
  <c r="I870" i="2"/>
  <c r="H871" i="2"/>
  <c r="I871" i="2"/>
  <c r="H872" i="2"/>
  <c r="I872" i="2"/>
  <c r="H873" i="2"/>
  <c r="I873" i="2"/>
  <c r="H874" i="2"/>
  <c r="I874" i="2"/>
  <c r="H875" i="2"/>
  <c r="I875" i="2"/>
  <c r="H876" i="2"/>
  <c r="I876" i="2"/>
  <c r="H877" i="2"/>
  <c r="I877" i="2"/>
  <c r="H878" i="2"/>
  <c r="I878" i="2"/>
  <c r="H879" i="2"/>
  <c r="I879" i="2"/>
  <c r="H880" i="2"/>
  <c r="I880" i="2"/>
  <c r="H881" i="2"/>
  <c r="I881" i="2"/>
  <c r="H882" i="2"/>
  <c r="I882" i="2"/>
  <c r="H883" i="2"/>
  <c r="I883" i="2"/>
  <c r="H884" i="2"/>
  <c r="I884" i="2"/>
  <c r="H885" i="2"/>
  <c r="I885" i="2"/>
  <c r="H886" i="2"/>
  <c r="I886" i="2"/>
  <c r="H887" i="2"/>
  <c r="I887" i="2"/>
  <c r="H888" i="2"/>
  <c r="I888" i="2"/>
  <c r="H889" i="2"/>
  <c r="I889" i="2"/>
  <c r="H890" i="2"/>
  <c r="I890" i="2"/>
  <c r="H891" i="2"/>
  <c r="I891" i="2"/>
  <c r="H892" i="2"/>
  <c r="I892" i="2"/>
  <c r="H893" i="2"/>
  <c r="I893" i="2"/>
  <c r="H894" i="2"/>
  <c r="I894" i="2"/>
  <c r="H895" i="2"/>
  <c r="I895" i="2"/>
  <c r="H896" i="2"/>
  <c r="I896" i="2"/>
  <c r="H897" i="2"/>
  <c r="I897" i="2"/>
  <c r="H898" i="2"/>
  <c r="I898" i="2"/>
  <c r="H899" i="2"/>
  <c r="I899" i="2"/>
  <c r="H900" i="2"/>
  <c r="I900" i="2"/>
  <c r="H901" i="2"/>
  <c r="I901" i="2"/>
  <c r="H902" i="2"/>
  <c r="I902" i="2"/>
  <c r="H903" i="2"/>
  <c r="I903" i="2"/>
  <c r="H904" i="2"/>
  <c r="I904" i="2"/>
  <c r="H905" i="2"/>
  <c r="I905" i="2"/>
  <c r="H906" i="2"/>
  <c r="I906" i="2"/>
  <c r="H907" i="2"/>
  <c r="I907" i="2"/>
  <c r="H908" i="2"/>
  <c r="I908" i="2"/>
  <c r="H909" i="2"/>
  <c r="I909" i="2"/>
  <c r="H910" i="2"/>
  <c r="I910" i="2"/>
  <c r="H911" i="2"/>
  <c r="I911" i="2"/>
  <c r="H912" i="2"/>
  <c r="I912" i="2"/>
  <c r="H913" i="2"/>
  <c r="I913" i="2"/>
  <c r="H914" i="2"/>
  <c r="I914" i="2"/>
  <c r="H915" i="2"/>
  <c r="I915" i="2"/>
  <c r="H916" i="2"/>
  <c r="I916" i="2"/>
  <c r="H917" i="2"/>
  <c r="I917" i="2"/>
  <c r="H918" i="2"/>
  <c r="I918" i="2"/>
  <c r="H919" i="2"/>
  <c r="I919" i="2"/>
  <c r="H920" i="2"/>
  <c r="I920" i="2"/>
  <c r="H921" i="2"/>
  <c r="I921" i="2"/>
  <c r="H922" i="2"/>
  <c r="I922" i="2"/>
  <c r="H923" i="2"/>
  <c r="I923" i="2"/>
  <c r="H924" i="2"/>
  <c r="I924" i="2"/>
  <c r="H925" i="2"/>
  <c r="I925" i="2"/>
  <c r="H926" i="2"/>
  <c r="I926" i="2"/>
  <c r="H927" i="2"/>
  <c r="I927" i="2"/>
  <c r="H928" i="2"/>
  <c r="I928" i="2"/>
  <c r="H929" i="2"/>
  <c r="I929" i="2"/>
  <c r="H930" i="2"/>
  <c r="I930" i="2"/>
  <c r="H931" i="2"/>
  <c r="I931" i="2"/>
  <c r="H932" i="2"/>
  <c r="I932" i="2"/>
  <c r="H933" i="2"/>
  <c r="I933" i="2"/>
  <c r="H934" i="2"/>
  <c r="I934" i="2"/>
  <c r="H935" i="2"/>
  <c r="I935" i="2"/>
  <c r="H936" i="2"/>
  <c r="I936" i="2"/>
  <c r="H937" i="2"/>
  <c r="I937" i="2"/>
  <c r="H938" i="2"/>
  <c r="I938" i="2"/>
  <c r="H939" i="2"/>
  <c r="I939" i="2"/>
  <c r="H940" i="2"/>
  <c r="I940" i="2"/>
  <c r="H941" i="2"/>
  <c r="I941" i="2"/>
  <c r="H942" i="2"/>
  <c r="I942" i="2"/>
  <c r="H943" i="2"/>
  <c r="I943" i="2"/>
  <c r="H944" i="2"/>
  <c r="I944" i="2"/>
  <c r="H945" i="2"/>
  <c r="I945" i="2"/>
  <c r="H946" i="2"/>
  <c r="I946" i="2"/>
  <c r="H947" i="2"/>
  <c r="I947" i="2"/>
  <c r="H948" i="2"/>
  <c r="I948" i="2"/>
  <c r="H949" i="2"/>
  <c r="I949" i="2"/>
  <c r="H950" i="2"/>
  <c r="I950" i="2"/>
  <c r="H951" i="2"/>
  <c r="I951" i="2"/>
  <c r="H952" i="2"/>
  <c r="I952" i="2"/>
  <c r="H953" i="2"/>
  <c r="I953" i="2"/>
  <c r="H954" i="2"/>
  <c r="I954" i="2"/>
  <c r="H955" i="2"/>
  <c r="I955" i="2"/>
  <c r="H956" i="2"/>
  <c r="I956" i="2"/>
  <c r="H957" i="2"/>
  <c r="I957" i="2"/>
  <c r="H958" i="2"/>
  <c r="I958" i="2"/>
  <c r="H959" i="2"/>
  <c r="I959" i="2"/>
  <c r="H960" i="2"/>
  <c r="I960" i="2"/>
  <c r="H961" i="2"/>
  <c r="I961" i="2"/>
  <c r="H962" i="2"/>
  <c r="I962" i="2"/>
  <c r="H963" i="2"/>
  <c r="I963" i="2"/>
  <c r="H964" i="2"/>
  <c r="I964" i="2"/>
  <c r="H965" i="2"/>
  <c r="I965" i="2"/>
  <c r="H966" i="2"/>
  <c r="I966" i="2"/>
  <c r="H967" i="2"/>
  <c r="I967" i="2"/>
  <c r="H968" i="2"/>
  <c r="I968" i="2"/>
  <c r="H969" i="2"/>
  <c r="I969" i="2"/>
  <c r="H970" i="2"/>
  <c r="I970" i="2"/>
  <c r="H971" i="2"/>
  <c r="I971" i="2"/>
  <c r="H972" i="2"/>
  <c r="I972" i="2"/>
  <c r="H973" i="2"/>
  <c r="I973" i="2"/>
  <c r="H974" i="2"/>
  <c r="I974" i="2"/>
  <c r="H975" i="2"/>
  <c r="I975" i="2"/>
  <c r="H976" i="2"/>
  <c r="I976" i="2"/>
  <c r="H977" i="2"/>
  <c r="I977" i="2"/>
  <c r="H978" i="2"/>
  <c r="I978" i="2"/>
  <c r="H979" i="2"/>
  <c r="I979" i="2"/>
  <c r="H980" i="2"/>
  <c r="I980" i="2"/>
  <c r="H981" i="2"/>
  <c r="I981" i="2"/>
  <c r="H982" i="2"/>
  <c r="I982" i="2"/>
  <c r="H983" i="2"/>
  <c r="I983" i="2"/>
  <c r="H984" i="2"/>
  <c r="I984" i="2"/>
  <c r="H985" i="2"/>
  <c r="I985" i="2"/>
  <c r="H986" i="2"/>
  <c r="I986" i="2"/>
  <c r="H987" i="2"/>
  <c r="I987" i="2"/>
  <c r="H988" i="2"/>
  <c r="I988" i="2"/>
  <c r="H989" i="2"/>
  <c r="I989" i="2"/>
  <c r="H990" i="2"/>
  <c r="I990" i="2"/>
  <c r="H991" i="2"/>
  <c r="I991" i="2"/>
  <c r="H992" i="2"/>
  <c r="I992" i="2"/>
  <c r="H993" i="2"/>
  <c r="I993" i="2"/>
  <c r="H994" i="2"/>
  <c r="I994" i="2"/>
  <c r="H995" i="2"/>
  <c r="I995" i="2"/>
  <c r="H996" i="2"/>
  <c r="I996" i="2"/>
  <c r="H997" i="2"/>
  <c r="I997" i="2"/>
  <c r="H998" i="2"/>
  <c r="I998" i="2"/>
  <c r="H999" i="2"/>
  <c r="I999" i="2"/>
  <c r="H1000" i="2"/>
  <c r="I1000" i="2"/>
  <c r="H1001" i="2"/>
  <c r="I1001" i="2"/>
  <c r="H1002" i="2"/>
  <c r="I1002" i="2"/>
  <c r="H1003" i="2"/>
  <c r="I1003" i="2"/>
  <c r="H1004" i="2"/>
  <c r="I1004" i="2"/>
  <c r="H1005" i="2"/>
  <c r="I1005" i="2"/>
  <c r="H1006" i="2"/>
  <c r="I1006" i="2"/>
  <c r="H1007" i="2"/>
  <c r="I1007" i="2"/>
  <c r="H1008" i="2"/>
  <c r="I1008" i="2"/>
  <c r="H1009" i="2"/>
  <c r="I1009" i="2"/>
  <c r="H1010" i="2"/>
  <c r="I1010" i="2"/>
  <c r="H1011" i="2"/>
  <c r="I1011" i="2"/>
  <c r="H1012" i="2"/>
  <c r="I1012" i="2"/>
  <c r="H1013" i="2"/>
  <c r="I1013" i="2"/>
  <c r="H1014" i="2"/>
  <c r="I1014" i="2"/>
  <c r="H1015" i="2"/>
  <c r="I1015" i="2"/>
  <c r="H1016" i="2"/>
  <c r="I1016" i="2"/>
  <c r="H1017" i="2"/>
  <c r="I1017" i="2"/>
  <c r="H1018" i="2"/>
  <c r="I1018" i="2"/>
  <c r="H1019" i="2"/>
  <c r="I1019" i="2"/>
  <c r="H1020" i="2"/>
  <c r="I1020" i="2"/>
  <c r="H1021" i="2"/>
  <c r="I1021" i="2"/>
  <c r="H1022" i="2"/>
  <c r="I1022" i="2"/>
  <c r="H1023" i="2"/>
  <c r="I1023" i="2"/>
  <c r="H1024" i="2"/>
  <c r="I1024" i="2"/>
  <c r="H1025" i="2"/>
  <c r="I1025" i="2"/>
  <c r="H1026" i="2"/>
  <c r="I1026" i="2"/>
  <c r="H1027" i="2"/>
  <c r="I1027" i="2"/>
  <c r="H1028" i="2"/>
  <c r="I1028" i="2"/>
  <c r="H1029" i="2"/>
  <c r="I1029" i="2"/>
  <c r="H1030" i="2"/>
  <c r="I1030" i="2"/>
  <c r="H1031" i="2"/>
  <c r="I1031" i="2"/>
  <c r="H1032" i="2"/>
  <c r="I1032" i="2"/>
  <c r="H1033" i="2"/>
  <c r="I1033" i="2"/>
  <c r="H1034" i="2"/>
  <c r="I1034" i="2"/>
  <c r="H1035" i="2"/>
  <c r="I1035" i="2"/>
  <c r="H1036" i="2"/>
  <c r="I1036" i="2"/>
  <c r="H1037" i="2"/>
  <c r="I1037" i="2"/>
  <c r="H1038" i="2"/>
  <c r="I1038" i="2"/>
  <c r="H1039" i="2"/>
  <c r="I1039" i="2"/>
  <c r="H1040" i="2"/>
  <c r="I1040" i="2"/>
  <c r="H1041" i="2"/>
  <c r="I1041" i="2"/>
  <c r="H1042" i="2"/>
  <c r="I1042" i="2"/>
  <c r="H1043" i="2"/>
  <c r="I1043" i="2"/>
  <c r="H1044" i="2"/>
  <c r="I1044" i="2"/>
  <c r="H1045" i="2"/>
  <c r="I1045" i="2"/>
  <c r="H1046" i="2"/>
  <c r="I1046" i="2"/>
  <c r="H1047" i="2"/>
  <c r="I1047" i="2"/>
  <c r="H1048" i="2"/>
  <c r="I1048" i="2"/>
  <c r="H1049" i="2"/>
  <c r="I1049" i="2"/>
  <c r="H1050" i="2"/>
  <c r="I1050" i="2"/>
  <c r="H1051" i="2"/>
  <c r="I1051" i="2"/>
  <c r="H1052" i="2"/>
  <c r="I1052" i="2"/>
  <c r="H1053" i="2"/>
  <c r="I1053" i="2"/>
  <c r="H1054" i="2"/>
  <c r="I1054" i="2"/>
  <c r="H1055" i="2"/>
  <c r="I1055" i="2"/>
  <c r="H1056" i="2"/>
  <c r="I1056" i="2"/>
  <c r="H1057" i="2"/>
  <c r="I1057" i="2"/>
  <c r="H1058" i="2"/>
  <c r="I1058" i="2"/>
  <c r="H1059" i="2"/>
  <c r="I1059" i="2"/>
  <c r="H1060" i="2"/>
  <c r="I1060" i="2"/>
  <c r="H1061" i="2"/>
  <c r="I1061" i="2"/>
  <c r="H1062" i="2"/>
  <c r="I1062" i="2"/>
  <c r="H1063" i="2"/>
  <c r="I1063" i="2"/>
  <c r="H1064" i="2"/>
  <c r="I1064" i="2"/>
  <c r="H1065" i="2"/>
  <c r="I1065" i="2"/>
  <c r="H1066" i="2"/>
  <c r="I1066" i="2"/>
  <c r="H1067" i="2"/>
  <c r="I1067" i="2"/>
  <c r="H1068" i="2"/>
  <c r="I1068" i="2"/>
  <c r="H1069" i="2"/>
  <c r="I1069" i="2"/>
  <c r="H1070" i="2"/>
  <c r="I1070" i="2"/>
  <c r="H1071" i="2"/>
  <c r="I1071" i="2"/>
  <c r="H1072" i="2"/>
  <c r="I1072" i="2"/>
  <c r="H1073" i="2"/>
  <c r="I1073" i="2"/>
  <c r="H1074" i="2"/>
  <c r="I1074" i="2"/>
  <c r="H1075" i="2"/>
  <c r="I1075" i="2"/>
  <c r="H1076" i="2"/>
  <c r="I1076" i="2"/>
  <c r="H1077" i="2"/>
  <c r="I1077" i="2"/>
  <c r="H1078" i="2"/>
  <c r="I1078" i="2"/>
  <c r="H1079" i="2"/>
  <c r="I1079" i="2"/>
  <c r="H1080" i="2"/>
  <c r="I1080" i="2"/>
  <c r="H1081" i="2"/>
  <c r="I1081" i="2"/>
  <c r="H1082" i="2"/>
  <c r="I1082" i="2"/>
  <c r="H1083" i="2"/>
  <c r="I1083" i="2"/>
  <c r="H1084" i="2"/>
  <c r="I1084" i="2"/>
  <c r="H1085" i="2"/>
  <c r="I1085" i="2"/>
  <c r="H1086" i="2"/>
  <c r="I1086" i="2"/>
  <c r="H1087" i="2"/>
  <c r="I1087" i="2"/>
  <c r="H1088" i="2"/>
  <c r="I1088" i="2"/>
  <c r="H1089" i="2"/>
  <c r="I1089" i="2"/>
  <c r="H1090" i="2"/>
  <c r="I1090" i="2"/>
  <c r="H1091" i="2"/>
  <c r="I1091" i="2"/>
  <c r="H1092" i="2"/>
  <c r="I1092" i="2"/>
  <c r="H1093" i="2"/>
  <c r="I1093" i="2"/>
  <c r="H1094" i="2"/>
  <c r="I1094" i="2"/>
  <c r="H1095" i="2"/>
  <c r="I1095" i="2"/>
  <c r="H1096" i="2"/>
  <c r="I1096" i="2"/>
  <c r="H1097" i="2"/>
  <c r="I1097" i="2"/>
  <c r="H1098" i="2"/>
  <c r="I1098" i="2"/>
  <c r="H1099" i="2"/>
  <c r="I1099" i="2"/>
  <c r="H1100" i="2"/>
  <c r="I1100" i="2"/>
  <c r="H1101" i="2"/>
  <c r="I1101" i="2"/>
  <c r="H1102" i="2"/>
  <c r="I1102" i="2"/>
  <c r="H1103" i="2"/>
  <c r="I1103" i="2"/>
  <c r="H1104" i="2"/>
  <c r="I1104" i="2"/>
  <c r="H1105" i="2"/>
  <c r="I1105" i="2"/>
  <c r="H1106" i="2"/>
  <c r="I1106" i="2"/>
  <c r="H1107" i="2"/>
  <c r="I1107" i="2"/>
  <c r="H1108" i="2"/>
  <c r="I1108" i="2"/>
  <c r="H1109" i="2"/>
  <c r="I1109" i="2"/>
  <c r="H1110" i="2"/>
  <c r="I1110" i="2"/>
  <c r="H1111" i="2"/>
  <c r="I1111" i="2"/>
  <c r="H1112" i="2"/>
  <c r="I1112" i="2"/>
  <c r="H1113" i="2"/>
  <c r="I1113" i="2"/>
  <c r="H1114" i="2"/>
  <c r="I1114" i="2"/>
  <c r="H1115" i="2"/>
  <c r="I1115" i="2"/>
  <c r="H1116" i="2"/>
  <c r="I1116" i="2"/>
  <c r="H1117" i="2"/>
  <c r="I1117" i="2"/>
  <c r="H1118" i="2"/>
  <c r="I1118" i="2"/>
  <c r="H1119" i="2"/>
  <c r="I1119" i="2"/>
  <c r="H1120" i="2"/>
  <c r="I1120" i="2"/>
  <c r="H1121" i="2"/>
  <c r="I1121" i="2"/>
  <c r="H1122" i="2"/>
  <c r="I1122" i="2"/>
  <c r="H1123" i="2"/>
  <c r="I1123" i="2"/>
  <c r="H1124" i="2"/>
  <c r="I1124" i="2"/>
  <c r="H1125" i="2"/>
  <c r="I1125" i="2"/>
  <c r="H1126" i="2"/>
  <c r="I1126" i="2"/>
  <c r="H1127" i="2"/>
  <c r="I1127" i="2"/>
  <c r="H1128" i="2"/>
  <c r="I1128" i="2"/>
  <c r="H1129" i="2"/>
  <c r="I1129" i="2"/>
  <c r="H1130" i="2"/>
  <c r="I1130" i="2"/>
  <c r="H1131" i="2"/>
  <c r="I1131" i="2"/>
  <c r="H1132" i="2"/>
  <c r="I1132" i="2"/>
  <c r="H1133" i="2"/>
  <c r="I1133" i="2"/>
  <c r="H1134" i="2"/>
  <c r="I1134" i="2"/>
  <c r="H1135" i="2"/>
  <c r="I1135" i="2"/>
  <c r="H1136" i="2"/>
  <c r="I1136" i="2"/>
  <c r="H1137" i="2"/>
  <c r="I1137" i="2"/>
  <c r="H1138" i="2"/>
  <c r="I1138" i="2"/>
  <c r="H1139" i="2"/>
  <c r="I1139" i="2"/>
  <c r="H1140" i="2"/>
  <c r="I1140" i="2"/>
  <c r="H1141" i="2"/>
  <c r="I1141" i="2"/>
  <c r="H1142" i="2"/>
  <c r="I1142" i="2"/>
  <c r="H1143" i="2"/>
  <c r="I1143" i="2"/>
  <c r="H1144" i="2"/>
  <c r="I1144" i="2"/>
  <c r="H1145" i="2"/>
  <c r="I1145" i="2"/>
  <c r="H1146" i="2"/>
  <c r="I1146" i="2"/>
  <c r="H1147" i="2"/>
  <c r="I1147" i="2"/>
  <c r="H1148" i="2"/>
  <c r="I1148" i="2"/>
  <c r="H1149" i="2"/>
  <c r="I1149" i="2"/>
  <c r="H1150" i="2"/>
  <c r="I1150" i="2"/>
  <c r="H1151" i="2"/>
  <c r="I1151" i="2"/>
  <c r="H1152" i="2"/>
  <c r="I1152" i="2"/>
  <c r="H1153" i="2"/>
  <c r="I1153" i="2"/>
  <c r="H1154" i="2"/>
  <c r="I1154" i="2"/>
  <c r="H1155" i="2"/>
  <c r="I1155" i="2"/>
  <c r="H1156" i="2"/>
  <c r="I1156" i="2"/>
  <c r="H1157" i="2"/>
  <c r="I1157" i="2"/>
  <c r="H1158" i="2"/>
  <c r="I1158" i="2"/>
  <c r="H1159" i="2"/>
  <c r="I1159" i="2"/>
  <c r="H1160" i="2"/>
  <c r="I1160" i="2"/>
  <c r="H1161" i="2"/>
  <c r="I1161" i="2"/>
  <c r="H1162" i="2"/>
  <c r="I1162" i="2"/>
  <c r="H1163" i="2"/>
  <c r="I1163" i="2"/>
  <c r="H1164" i="2"/>
  <c r="I1164" i="2"/>
  <c r="H1165" i="2"/>
  <c r="I1165" i="2"/>
  <c r="H1166" i="2"/>
  <c r="I1166" i="2"/>
  <c r="H1167" i="2"/>
  <c r="I1167" i="2"/>
  <c r="H1168" i="2"/>
  <c r="I1168" i="2"/>
  <c r="H1169" i="2"/>
  <c r="I1169" i="2"/>
  <c r="H1170" i="2"/>
  <c r="I1170" i="2"/>
  <c r="H1171" i="2"/>
  <c r="I1171" i="2"/>
  <c r="H1172" i="2"/>
  <c r="I1172" i="2"/>
  <c r="H1173" i="2"/>
  <c r="I1173" i="2"/>
  <c r="H1174" i="2"/>
  <c r="I1174" i="2"/>
  <c r="H1175" i="2"/>
  <c r="I1175" i="2"/>
  <c r="H1176" i="2"/>
  <c r="I1176" i="2"/>
  <c r="H1177" i="2"/>
  <c r="I1177" i="2"/>
  <c r="H1178" i="2"/>
  <c r="I1178" i="2"/>
  <c r="H1179" i="2"/>
  <c r="I1179" i="2"/>
  <c r="H1180" i="2"/>
  <c r="I1180" i="2"/>
  <c r="H1181" i="2"/>
  <c r="I1181" i="2"/>
  <c r="H1182" i="2"/>
  <c r="I1182" i="2"/>
  <c r="H1183" i="2"/>
  <c r="I1183" i="2"/>
  <c r="H1184" i="2"/>
  <c r="I1184" i="2"/>
  <c r="H1185" i="2"/>
  <c r="I1185" i="2"/>
  <c r="H1186" i="2"/>
  <c r="I1186" i="2"/>
  <c r="H1187" i="2"/>
  <c r="I1187" i="2"/>
  <c r="H1188" i="2"/>
  <c r="I1188" i="2"/>
  <c r="H1189" i="2"/>
  <c r="I1189" i="2"/>
  <c r="H1190" i="2"/>
  <c r="I1190" i="2"/>
  <c r="H1191" i="2"/>
  <c r="I1191" i="2"/>
  <c r="H1192" i="2"/>
  <c r="I1192" i="2"/>
  <c r="H1193" i="2"/>
  <c r="I1193" i="2"/>
  <c r="H1194" i="2"/>
  <c r="I1194" i="2"/>
  <c r="H1195" i="2"/>
  <c r="I1195" i="2"/>
  <c r="H1196" i="2"/>
  <c r="I1196" i="2"/>
  <c r="H1197" i="2"/>
  <c r="I1197" i="2"/>
  <c r="H1198" i="2"/>
  <c r="I1198" i="2"/>
  <c r="H1199" i="2"/>
  <c r="I1199" i="2"/>
  <c r="H1200" i="2"/>
  <c r="I1200" i="2"/>
  <c r="H1201" i="2"/>
  <c r="I1201" i="2"/>
  <c r="H1202" i="2"/>
  <c r="I1202" i="2"/>
  <c r="H1203" i="2"/>
  <c r="I1203" i="2"/>
  <c r="H1204" i="2"/>
  <c r="I1204" i="2"/>
  <c r="H1205" i="2"/>
  <c r="I1205" i="2"/>
  <c r="H1206" i="2"/>
  <c r="I1206" i="2"/>
  <c r="H1207" i="2"/>
  <c r="I1207" i="2"/>
  <c r="H1208" i="2"/>
  <c r="I1208" i="2"/>
  <c r="H1209" i="2"/>
  <c r="I1209" i="2"/>
  <c r="H1210" i="2"/>
  <c r="I1210" i="2"/>
  <c r="H1211" i="2"/>
  <c r="I1211" i="2"/>
  <c r="H1212" i="2"/>
  <c r="I1212" i="2"/>
  <c r="H1213" i="2"/>
  <c r="I1213" i="2"/>
  <c r="H1214" i="2"/>
  <c r="I1214" i="2"/>
  <c r="H1215" i="2"/>
  <c r="I1215" i="2"/>
  <c r="H1216" i="2"/>
  <c r="I1216" i="2"/>
  <c r="H1217" i="2"/>
  <c r="I1217" i="2"/>
  <c r="H1218" i="2"/>
  <c r="I1218" i="2"/>
  <c r="H1219" i="2"/>
  <c r="I1219" i="2"/>
  <c r="H1220" i="2"/>
  <c r="I1220" i="2"/>
  <c r="H1221" i="2"/>
  <c r="I1221" i="2"/>
  <c r="H1222" i="2"/>
  <c r="I1222" i="2"/>
  <c r="H1223" i="2"/>
  <c r="I1223" i="2"/>
  <c r="H1224" i="2"/>
  <c r="I1224" i="2"/>
  <c r="H1225" i="2"/>
  <c r="I1225" i="2"/>
  <c r="H1226" i="2"/>
  <c r="I1226" i="2"/>
  <c r="H1227" i="2"/>
  <c r="I1227" i="2"/>
  <c r="H1228" i="2"/>
  <c r="I1228" i="2"/>
  <c r="H1229" i="2"/>
  <c r="I1229" i="2"/>
  <c r="H1230" i="2"/>
  <c r="I1230" i="2"/>
  <c r="H1231" i="2"/>
  <c r="I1231" i="2"/>
  <c r="H1232" i="2"/>
  <c r="I1232" i="2"/>
  <c r="H1233" i="2"/>
  <c r="I1233" i="2"/>
  <c r="H1234" i="2"/>
  <c r="I1234" i="2"/>
  <c r="H1235" i="2"/>
  <c r="I1235" i="2"/>
  <c r="H1236" i="2"/>
  <c r="I1236" i="2"/>
  <c r="H1237" i="2"/>
  <c r="I1237" i="2"/>
  <c r="H1238" i="2"/>
  <c r="I1238" i="2"/>
  <c r="H1239" i="2"/>
  <c r="I1239" i="2"/>
  <c r="H1240" i="2"/>
  <c r="I1240" i="2"/>
  <c r="H1241" i="2"/>
  <c r="I1241" i="2"/>
  <c r="H1242" i="2"/>
  <c r="I1242" i="2"/>
  <c r="H1243" i="2"/>
  <c r="I1243" i="2"/>
  <c r="H1244" i="2"/>
  <c r="I1244" i="2"/>
  <c r="H1245" i="2"/>
  <c r="I1245" i="2"/>
  <c r="H1246" i="2"/>
  <c r="I1246" i="2"/>
  <c r="H1247" i="2"/>
  <c r="I1247" i="2"/>
  <c r="H1248" i="2"/>
  <c r="I1248" i="2"/>
  <c r="H1249" i="2"/>
  <c r="I1249" i="2"/>
  <c r="H1250" i="2"/>
  <c r="I1250" i="2"/>
  <c r="H1251" i="2"/>
  <c r="I1251" i="2"/>
  <c r="H1252" i="2"/>
  <c r="I1252" i="2"/>
  <c r="H1253" i="2"/>
  <c r="I1253" i="2"/>
  <c r="H1254" i="2"/>
  <c r="I1254" i="2"/>
  <c r="H1255" i="2"/>
  <c r="I1255" i="2"/>
  <c r="H1256" i="2"/>
  <c r="I1256" i="2"/>
  <c r="H1257" i="2"/>
  <c r="I1257" i="2"/>
  <c r="H1258" i="2"/>
  <c r="I1258" i="2"/>
  <c r="H1259" i="2"/>
  <c r="I1259" i="2"/>
  <c r="H1260" i="2"/>
  <c r="I1260" i="2"/>
  <c r="H1261" i="2"/>
  <c r="I1261" i="2"/>
  <c r="H1262" i="2"/>
  <c r="I1262" i="2"/>
  <c r="H1263" i="2"/>
  <c r="I1263" i="2"/>
  <c r="H1264" i="2"/>
  <c r="I1264" i="2"/>
  <c r="H1265" i="2"/>
  <c r="I1265" i="2"/>
  <c r="H1266" i="2"/>
  <c r="I1266" i="2"/>
  <c r="H1267" i="2"/>
  <c r="I1267" i="2"/>
  <c r="H1268" i="2"/>
  <c r="I1268" i="2"/>
  <c r="H1269" i="2"/>
  <c r="I1269" i="2"/>
  <c r="H1270" i="2"/>
  <c r="I1270" i="2"/>
  <c r="H1271" i="2"/>
  <c r="I1271" i="2"/>
  <c r="H1272" i="2"/>
  <c r="I1272" i="2"/>
  <c r="H1273" i="2"/>
  <c r="I1273" i="2"/>
  <c r="H1274" i="2"/>
  <c r="I1274" i="2"/>
  <c r="H1275" i="2"/>
  <c r="I1275" i="2"/>
  <c r="H1276" i="2"/>
  <c r="I1276" i="2"/>
  <c r="H1277" i="2"/>
  <c r="I1277" i="2"/>
  <c r="H1278" i="2"/>
  <c r="I1278" i="2"/>
  <c r="H1279" i="2"/>
  <c r="I1279" i="2"/>
  <c r="H1280" i="2"/>
  <c r="I1280" i="2"/>
  <c r="H1281" i="2"/>
  <c r="I1281" i="2"/>
  <c r="H1282" i="2"/>
  <c r="I1282" i="2"/>
  <c r="H1283" i="2"/>
  <c r="I1283" i="2"/>
  <c r="H1284" i="2"/>
  <c r="I1284" i="2"/>
  <c r="H1285" i="2"/>
  <c r="I1285" i="2"/>
  <c r="H1286" i="2"/>
  <c r="I1286" i="2"/>
  <c r="H1287" i="2"/>
  <c r="I1287" i="2"/>
  <c r="H1288" i="2"/>
  <c r="I1288" i="2"/>
  <c r="H1289" i="2"/>
  <c r="I1289" i="2"/>
  <c r="H1290" i="2"/>
  <c r="I1290" i="2"/>
  <c r="H1291" i="2"/>
  <c r="I1291" i="2"/>
  <c r="H1292" i="2"/>
  <c r="I1292" i="2"/>
  <c r="H1293" i="2"/>
  <c r="I1293" i="2"/>
  <c r="H1294" i="2"/>
  <c r="I1294" i="2"/>
  <c r="H1295" i="2"/>
  <c r="I1295" i="2"/>
  <c r="H1296" i="2"/>
  <c r="I1296" i="2"/>
  <c r="H1297" i="2"/>
  <c r="I1297" i="2"/>
  <c r="H1298" i="2"/>
  <c r="I1298" i="2"/>
  <c r="H1299" i="2"/>
  <c r="I1299" i="2"/>
  <c r="H1300" i="2"/>
  <c r="I1300" i="2"/>
  <c r="H1301" i="2"/>
  <c r="I1301" i="2"/>
  <c r="H1302" i="2"/>
  <c r="I1302" i="2"/>
  <c r="H1303" i="2"/>
  <c r="I1303" i="2"/>
  <c r="H1304" i="2"/>
  <c r="I1304" i="2"/>
  <c r="H1305" i="2"/>
  <c r="I1305" i="2"/>
  <c r="H1306" i="2"/>
  <c r="I1306" i="2"/>
  <c r="H1307" i="2"/>
  <c r="I1307" i="2"/>
  <c r="H1308" i="2"/>
  <c r="I1308" i="2"/>
  <c r="H1309" i="2"/>
  <c r="I1309" i="2"/>
  <c r="H1310" i="2"/>
  <c r="I1310" i="2"/>
  <c r="H1311" i="2"/>
  <c r="I1311" i="2"/>
  <c r="H1312" i="2"/>
  <c r="I1312" i="2"/>
  <c r="H1313" i="2"/>
  <c r="I1313" i="2"/>
  <c r="H1314" i="2"/>
  <c r="I1314" i="2"/>
  <c r="H1315" i="2"/>
  <c r="I1315" i="2"/>
  <c r="H1316" i="2"/>
  <c r="I1316" i="2"/>
  <c r="H1317" i="2"/>
  <c r="I1317" i="2"/>
  <c r="H1318" i="2"/>
  <c r="I1318" i="2"/>
  <c r="H1319" i="2"/>
  <c r="I1319" i="2"/>
  <c r="H1320" i="2"/>
  <c r="I1320" i="2"/>
  <c r="H1321" i="2"/>
  <c r="I1321" i="2"/>
  <c r="H1322" i="2"/>
  <c r="I1322" i="2"/>
  <c r="H1323" i="2"/>
  <c r="I1323" i="2"/>
  <c r="H1324" i="2"/>
  <c r="I1324" i="2"/>
  <c r="H1325" i="2"/>
  <c r="I1325" i="2"/>
  <c r="H1326" i="2"/>
  <c r="I1326" i="2"/>
  <c r="H1327" i="2"/>
  <c r="I1327" i="2"/>
  <c r="H1328" i="2"/>
  <c r="I1328" i="2"/>
  <c r="H1329" i="2"/>
  <c r="I1329" i="2"/>
  <c r="H1330" i="2"/>
  <c r="I1330" i="2"/>
  <c r="H1331" i="2"/>
  <c r="I1331" i="2"/>
  <c r="H1332" i="2"/>
  <c r="I1332" i="2"/>
  <c r="H1333" i="2"/>
  <c r="I1333" i="2"/>
  <c r="H1334" i="2"/>
  <c r="I1334" i="2"/>
  <c r="H1335" i="2"/>
  <c r="I1335" i="2"/>
  <c r="H1336" i="2"/>
  <c r="I1336" i="2"/>
  <c r="H1337" i="2"/>
  <c r="I1337" i="2"/>
  <c r="H1338" i="2"/>
  <c r="I1338" i="2"/>
  <c r="H1339" i="2"/>
  <c r="I1339" i="2"/>
  <c r="H1340" i="2"/>
  <c r="I1340" i="2"/>
  <c r="H1341" i="2"/>
  <c r="I1341" i="2"/>
  <c r="H1342" i="2"/>
  <c r="I1342" i="2"/>
  <c r="H1343" i="2"/>
  <c r="I1343" i="2"/>
  <c r="H1344" i="2"/>
  <c r="I1344" i="2"/>
  <c r="H1345" i="2"/>
  <c r="I1345" i="2"/>
  <c r="H1346" i="2"/>
  <c r="I1346" i="2"/>
  <c r="H1347" i="2"/>
  <c r="I1347" i="2"/>
  <c r="H1348" i="2"/>
  <c r="I1348" i="2"/>
  <c r="H1349" i="2"/>
  <c r="I1349" i="2"/>
  <c r="I20" i="2"/>
  <c r="H20" i="2"/>
  <c r="G20" i="2"/>
  <c r="G1349" i="2"/>
  <c r="G1348" i="2"/>
  <c r="G1347" i="2"/>
  <c r="G1346" i="2"/>
  <c r="G1345" i="2"/>
  <c r="G1344" i="2"/>
  <c r="G1343" i="2"/>
  <c r="G1342" i="2"/>
  <c r="G1341" i="2"/>
  <c r="G1340" i="2"/>
  <c r="G1339" i="2"/>
  <c r="G1338" i="2"/>
  <c r="G1337" i="2"/>
  <c r="G1336" i="2"/>
  <c r="G1335" i="2"/>
  <c r="G1334" i="2"/>
  <c r="G1333" i="2"/>
  <c r="G1332" i="2"/>
  <c r="G1331" i="2"/>
  <c r="G1330" i="2"/>
  <c r="G1329" i="2"/>
  <c r="G1328" i="2"/>
  <c r="G1327" i="2"/>
  <c r="G1326" i="2"/>
  <c r="G1325" i="2"/>
  <c r="G1324" i="2"/>
  <c r="G1323" i="2"/>
  <c r="G1322" i="2"/>
  <c r="G1321" i="2"/>
  <c r="G1320" i="2"/>
  <c r="G1319" i="2"/>
  <c r="G1318" i="2"/>
  <c r="G1317" i="2"/>
  <c r="G1316" i="2"/>
  <c r="G1315" i="2"/>
  <c r="G1314" i="2"/>
  <c r="G1313" i="2"/>
  <c r="G1312" i="2"/>
  <c r="G1311" i="2"/>
  <c r="G1310" i="2"/>
  <c r="G1309" i="2"/>
  <c r="G1308" i="2"/>
  <c r="G1307" i="2"/>
  <c r="G1306" i="2"/>
  <c r="G1305" i="2"/>
  <c r="G1304" i="2"/>
  <c r="G1303" i="2"/>
  <c r="G1302" i="2"/>
  <c r="G1301" i="2"/>
  <c r="G1300" i="2"/>
  <c r="G1299" i="2"/>
  <c r="G1298" i="2"/>
  <c r="G1297" i="2"/>
  <c r="G1296" i="2"/>
  <c r="G1295" i="2"/>
  <c r="G1294" i="2"/>
  <c r="G1293" i="2"/>
  <c r="G1292" i="2"/>
  <c r="G1291" i="2"/>
  <c r="G1290" i="2"/>
  <c r="G1289" i="2"/>
  <c r="G1288" i="2"/>
  <c r="G1287" i="2"/>
  <c r="G1286" i="2"/>
  <c r="G1285" i="2"/>
  <c r="G1284" i="2"/>
  <c r="G1283" i="2"/>
  <c r="G1282" i="2"/>
  <c r="G1281" i="2"/>
  <c r="G1280" i="2"/>
  <c r="G1279" i="2"/>
  <c r="G1278" i="2"/>
  <c r="G1277" i="2"/>
  <c r="G1276" i="2"/>
  <c r="G1275" i="2"/>
  <c r="G1274" i="2"/>
  <c r="G1273" i="2"/>
  <c r="G1272" i="2"/>
  <c r="G1271" i="2"/>
  <c r="G1270" i="2"/>
  <c r="G1269" i="2"/>
  <c r="G1268" i="2"/>
  <c r="G1267" i="2"/>
  <c r="G1266" i="2"/>
  <c r="G1265" i="2"/>
  <c r="G1264" i="2"/>
  <c r="G1263" i="2"/>
  <c r="G1262" i="2"/>
  <c r="G1261" i="2"/>
  <c r="G1260" i="2"/>
  <c r="G1259" i="2"/>
  <c r="G1258" i="2"/>
  <c r="G1257" i="2"/>
  <c r="G1256" i="2"/>
  <c r="G1255" i="2"/>
  <c r="G1254" i="2"/>
  <c r="G1253" i="2"/>
  <c r="G1252" i="2"/>
  <c r="G1251" i="2"/>
  <c r="G1250" i="2"/>
  <c r="G1249" i="2"/>
  <c r="G1248" i="2"/>
  <c r="G1247" i="2"/>
  <c r="G1246" i="2"/>
  <c r="G1245" i="2"/>
  <c r="G1244" i="2"/>
  <c r="G1243" i="2"/>
  <c r="G1242" i="2"/>
  <c r="G1241" i="2"/>
  <c r="G1240" i="2"/>
  <c r="G1239" i="2"/>
  <c r="G1238" i="2"/>
  <c r="G1237" i="2"/>
  <c r="G1236" i="2"/>
  <c r="G1235" i="2"/>
  <c r="G1234" i="2"/>
  <c r="G1233" i="2"/>
  <c r="G1232" i="2"/>
  <c r="G1231" i="2"/>
  <c r="G1230" i="2"/>
  <c r="G1229" i="2"/>
  <c r="G1228" i="2"/>
  <c r="G1227" i="2"/>
  <c r="G1226" i="2"/>
  <c r="G1225" i="2"/>
  <c r="G1224" i="2"/>
  <c r="G1223" i="2"/>
  <c r="G1222" i="2"/>
  <c r="G1221" i="2"/>
  <c r="G1220" i="2"/>
  <c r="G1219" i="2"/>
  <c r="G1218" i="2"/>
  <c r="G1217" i="2"/>
  <c r="G1216" i="2"/>
  <c r="G1215" i="2"/>
  <c r="G1214" i="2"/>
  <c r="G1213" i="2"/>
  <c r="G1212" i="2"/>
  <c r="G1211" i="2"/>
  <c r="G1210" i="2"/>
  <c r="G1209" i="2"/>
  <c r="G1208" i="2"/>
  <c r="G1207" i="2"/>
  <c r="G1206" i="2"/>
  <c r="G1205" i="2"/>
  <c r="G1204" i="2"/>
  <c r="G1203" i="2"/>
  <c r="G1202" i="2"/>
  <c r="G1201" i="2"/>
  <c r="G1200" i="2"/>
  <c r="G1199" i="2"/>
  <c r="G1198" i="2"/>
  <c r="G1197" i="2"/>
  <c r="G1196" i="2"/>
  <c r="G1195" i="2"/>
  <c r="G1194" i="2"/>
  <c r="G1193" i="2"/>
  <c r="G1192" i="2"/>
  <c r="G1191" i="2"/>
  <c r="G1190" i="2"/>
  <c r="G1189" i="2"/>
  <c r="G1188" i="2"/>
  <c r="G1187" i="2"/>
  <c r="G1186" i="2"/>
  <c r="G1185" i="2"/>
  <c r="G1184" i="2"/>
  <c r="G1183" i="2"/>
  <c r="G1182" i="2"/>
  <c r="G1181" i="2"/>
  <c r="G1180" i="2"/>
  <c r="G1179" i="2"/>
  <c r="G1178" i="2"/>
  <c r="G1177" i="2"/>
  <c r="G1176" i="2"/>
  <c r="G1175" i="2"/>
  <c r="G1174" i="2"/>
  <c r="G1173" i="2"/>
  <c r="G1172" i="2"/>
  <c r="G1171" i="2"/>
  <c r="G1170" i="2"/>
  <c r="G1169" i="2"/>
  <c r="G1168" i="2"/>
  <c r="G1167" i="2"/>
  <c r="G1166" i="2"/>
  <c r="G1165" i="2"/>
  <c r="G1164" i="2"/>
  <c r="G1163" i="2"/>
  <c r="G1162" i="2"/>
  <c r="G1161" i="2"/>
  <c r="G1160" i="2"/>
  <c r="G1159" i="2"/>
  <c r="G1158" i="2"/>
  <c r="G1157" i="2"/>
  <c r="G1156" i="2"/>
  <c r="G1155" i="2"/>
  <c r="G1154" i="2"/>
  <c r="G1153" i="2"/>
  <c r="G1152" i="2"/>
  <c r="G1151" i="2"/>
  <c r="G1150" i="2"/>
  <c r="G1149" i="2"/>
  <c r="G1148" i="2"/>
  <c r="G1147" i="2"/>
  <c r="G1146" i="2"/>
  <c r="G1145" i="2"/>
  <c r="G1144" i="2"/>
  <c r="G1143" i="2"/>
  <c r="G1142" i="2"/>
  <c r="G1141" i="2"/>
  <c r="G1140" i="2"/>
  <c r="G1139" i="2"/>
  <c r="G1138" i="2"/>
  <c r="G1137" i="2"/>
  <c r="G1136" i="2"/>
  <c r="G1135" i="2"/>
  <c r="G1134" i="2"/>
  <c r="G1133" i="2"/>
  <c r="G1132" i="2"/>
  <c r="G1131" i="2"/>
  <c r="G1130" i="2"/>
  <c r="G1129" i="2"/>
  <c r="G1128" i="2"/>
  <c r="G1127" i="2"/>
  <c r="G1126" i="2"/>
  <c r="G1125" i="2"/>
  <c r="G1124" i="2"/>
  <c r="G1123" i="2"/>
  <c r="G1122" i="2"/>
  <c r="G1121" i="2"/>
  <c r="G1120" i="2"/>
  <c r="G1119" i="2"/>
  <c r="G1118" i="2"/>
  <c r="G1117" i="2"/>
  <c r="G1116" i="2"/>
  <c r="G1115" i="2"/>
  <c r="G1114" i="2"/>
  <c r="G1113" i="2"/>
  <c r="G1112" i="2"/>
  <c r="G1111" i="2"/>
  <c r="G1110" i="2"/>
  <c r="G1109" i="2"/>
  <c r="G1108" i="2"/>
  <c r="G1107" i="2"/>
  <c r="G1106" i="2"/>
  <c r="G1105" i="2"/>
  <c r="G1104" i="2"/>
  <c r="G1103" i="2"/>
  <c r="G1102" i="2"/>
  <c r="G1101" i="2"/>
  <c r="G1100" i="2"/>
  <c r="G1099" i="2"/>
  <c r="G1098" i="2"/>
  <c r="G1097" i="2"/>
  <c r="G1096" i="2"/>
  <c r="G1095" i="2"/>
  <c r="G1094" i="2"/>
  <c r="G1093" i="2"/>
  <c r="G1092" i="2"/>
  <c r="G1091" i="2"/>
  <c r="G1090" i="2"/>
  <c r="G1089" i="2"/>
  <c r="G1088" i="2"/>
  <c r="G1087" i="2"/>
  <c r="G1086" i="2"/>
  <c r="G1085" i="2"/>
  <c r="G1084" i="2"/>
  <c r="G1083" i="2"/>
  <c r="G1082" i="2"/>
  <c r="G1081" i="2"/>
  <c r="G1080" i="2"/>
  <c r="G1079" i="2"/>
  <c r="G1078" i="2"/>
  <c r="G1077" i="2"/>
  <c r="G1076" i="2"/>
  <c r="G1075" i="2"/>
  <c r="G1074" i="2"/>
  <c r="G1073" i="2"/>
  <c r="G1072" i="2"/>
  <c r="G1071" i="2"/>
  <c r="G1070" i="2"/>
  <c r="G1069" i="2"/>
  <c r="G1068" i="2"/>
  <c r="G1067" i="2"/>
  <c r="G1066" i="2"/>
  <c r="G1065" i="2"/>
  <c r="G1064" i="2"/>
  <c r="G1063" i="2"/>
  <c r="G1062" i="2"/>
  <c r="G1061" i="2"/>
  <c r="G1060" i="2"/>
  <c r="G1059" i="2"/>
  <c r="G1058" i="2"/>
  <c r="G1057" i="2"/>
  <c r="G1056" i="2"/>
  <c r="G1055" i="2"/>
  <c r="G1054" i="2"/>
  <c r="G1053" i="2"/>
  <c r="G1052" i="2"/>
  <c r="G1051" i="2"/>
  <c r="G1050" i="2"/>
  <c r="G1049" i="2"/>
  <c r="G1048" i="2"/>
  <c r="G1047" i="2"/>
  <c r="G1046" i="2"/>
  <c r="G1045" i="2"/>
  <c r="G1044" i="2"/>
  <c r="G1043" i="2"/>
  <c r="G1042" i="2"/>
  <c r="G1041" i="2"/>
  <c r="G1040" i="2"/>
  <c r="G1039" i="2"/>
  <c r="G1038" i="2"/>
  <c r="G1037" i="2"/>
  <c r="G1036" i="2"/>
  <c r="G1035" i="2"/>
  <c r="G1034" i="2"/>
  <c r="G1033" i="2"/>
  <c r="G1032" i="2"/>
  <c r="G1031" i="2"/>
  <c r="G1030" i="2"/>
  <c r="G1029" i="2"/>
  <c r="G1028" i="2"/>
  <c r="G1027" i="2"/>
  <c r="G1026" i="2"/>
  <c r="G1025" i="2"/>
  <c r="G1024" i="2"/>
  <c r="G1023" i="2"/>
  <c r="G1022" i="2"/>
  <c r="G1021" i="2"/>
  <c r="G1020" i="2"/>
  <c r="G1019" i="2"/>
  <c r="G1018" i="2"/>
  <c r="G1017" i="2"/>
  <c r="G1016" i="2"/>
  <c r="G1015" i="2"/>
  <c r="G1014" i="2"/>
  <c r="G1013" i="2"/>
  <c r="G1012" i="2"/>
  <c r="G1011" i="2"/>
  <c r="G1010" i="2"/>
  <c r="G1009" i="2"/>
  <c r="G1008" i="2"/>
  <c r="G1007" i="2"/>
  <c r="G1006" i="2"/>
  <c r="G1005" i="2"/>
  <c r="G1004" i="2"/>
  <c r="G1003" i="2"/>
  <c r="G1002" i="2"/>
  <c r="G1001" i="2"/>
  <c r="G1000" i="2"/>
  <c r="G999" i="2"/>
  <c r="G998" i="2"/>
  <c r="G997" i="2"/>
  <c r="G996" i="2"/>
  <c r="G995" i="2"/>
  <c r="G994" i="2"/>
  <c r="G993" i="2"/>
  <c r="G992" i="2"/>
  <c r="G991" i="2"/>
  <c r="G990" i="2"/>
  <c r="G989" i="2"/>
  <c r="G988" i="2"/>
  <c r="G987" i="2"/>
  <c r="G986" i="2"/>
  <c r="G985" i="2"/>
  <c r="G984" i="2"/>
  <c r="G983" i="2"/>
  <c r="G982" i="2"/>
  <c r="G981" i="2"/>
  <c r="G980" i="2"/>
  <c r="G979" i="2"/>
  <c r="G978" i="2"/>
  <c r="G977" i="2"/>
  <c r="G976" i="2"/>
  <c r="G975" i="2"/>
  <c r="G974" i="2"/>
  <c r="G973" i="2"/>
  <c r="G972" i="2"/>
  <c r="G971" i="2"/>
  <c r="G970" i="2"/>
  <c r="G969" i="2"/>
  <c r="G968" i="2"/>
  <c r="G967" i="2"/>
  <c r="G966" i="2"/>
  <c r="G965" i="2"/>
  <c r="G964" i="2"/>
  <c r="G963" i="2"/>
  <c r="G962" i="2"/>
  <c r="G961" i="2"/>
  <c r="G960" i="2"/>
  <c r="G959" i="2"/>
  <c r="G958" i="2"/>
  <c r="G957" i="2"/>
  <c r="G956" i="2"/>
  <c r="G955" i="2"/>
  <c r="G954" i="2"/>
  <c r="G953" i="2"/>
  <c r="G952" i="2"/>
  <c r="G951" i="2"/>
  <c r="G950" i="2"/>
  <c r="G949" i="2"/>
  <c r="G948" i="2"/>
  <c r="G947" i="2"/>
  <c r="G946" i="2"/>
  <c r="G945" i="2"/>
  <c r="G944" i="2"/>
  <c r="G943" i="2"/>
  <c r="G942" i="2"/>
  <c r="G941" i="2"/>
  <c r="G940" i="2"/>
  <c r="G939" i="2"/>
  <c r="G938" i="2"/>
  <c r="G937" i="2"/>
  <c r="G936" i="2"/>
  <c r="G935" i="2"/>
  <c r="G934" i="2"/>
  <c r="G933" i="2"/>
  <c r="G932" i="2"/>
  <c r="G931" i="2"/>
  <c r="G930" i="2"/>
  <c r="G929" i="2"/>
  <c r="G928" i="2"/>
  <c r="G927" i="2"/>
  <c r="G926" i="2"/>
  <c r="G925" i="2"/>
  <c r="G924" i="2"/>
  <c r="G923" i="2"/>
  <c r="G922" i="2"/>
  <c r="G921" i="2"/>
  <c r="G920" i="2"/>
  <c r="G919" i="2"/>
  <c r="G918" i="2"/>
  <c r="G917" i="2"/>
  <c r="G916" i="2"/>
  <c r="G915" i="2"/>
  <c r="G914" i="2"/>
  <c r="G913" i="2"/>
  <c r="G912" i="2"/>
  <c r="G911" i="2"/>
  <c r="G910" i="2"/>
  <c r="G909" i="2"/>
  <c r="G908" i="2"/>
  <c r="G907" i="2"/>
  <c r="G906" i="2"/>
  <c r="G905" i="2"/>
  <c r="G904" i="2"/>
  <c r="G903" i="2"/>
  <c r="G902" i="2"/>
  <c r="G901" i="2"/>
  <c r="G900" i="2"/>
  <c r="G899" i="2"/>
  <c r="G898" i="2"/>
  <c r="G897" i="2"/>
  <c r="G896" i="2"/>
  <c r="G895" i="2"/>
  <c r="G894" i="2"/>
  <c r="G893" i="2"/>
  <c r="G892" i="2"/>
  <c r="G891" i="2"/>
  <c r="G890" i="2"/>
  <c r="G889" i="2"/>
  <c r="G888" i="2"/>
  <c r="G887" i="2"/>
  <c r="G886" i="2"/>
  <c r="G885" i="2"/>
  <c r="G884" i="2"/>
  <c r="G883" i="2"/>
  <c r="G882" i="2"/>
  <c r="G881" i="2"/>
  <c r="G880" i="2"/>
  <c r="G879" i="2"/>
  <c r="G878" i="2"/>
  <c r="G877" i="2"/>
  <c r="G876" i="2"/>
  <c r="G875" i="2"/>
  <c r="G874" i="2"/>
  <c r="G873" i="2"/>
  <c r="G872" i="2"/>
  <c r="G871" i="2"/>
  <c r="G870" i="2"/>
  <c r="G869" i="2"/>
  <c r="G868" i="2"/>
  <c r="G867" i="2"/>
  <c r="G866" i="2"/>
  <c r="G865" i="2"/>
  <c r="G864" i="2"/>
  <c r="G863" i="2"/>
  <c r="G862" i="2"/>
  <c r="G861" i="2"/>
  <c r="G860" i="2"/>
  <c r="G859" i="2"/>
  <c r="G858" i="2"/>
  <c r="G857" i="2"/>
  <c r="G856" i="2"/>
  <c r="G855" i="2"/>
  <c r="G854" i="2"/>
  <c r="G853" i="2"/>
  <c r="G852" i="2"/>
  <c r="G851" i="2"/>
  <c r="G850" i="2"/>
  <c r="G849" i="2"/>
  <c r="G848" i="2"/>
  <c r="G847" i="2"/>
  <c r="G846" i="2"/>
  <c r="G845" i="2"/>
  <c r="G844" i="2"/>
  <c r="G843" i="2"/>
  <c r="G842" i="2"/>
  <c r="G841" i="2"/>
  <c r="G840" i="2"/>
  <c r="G839" i="2"/>
  <c r="G838" i="2"/>
  <c r="G837" i="2"/>
  <c r="G836" i="2"/>
  <c r="G835" i="2"/>
  <c r="G834" i="2"/>
  <c r="G833" i="2"/>
  <c r="G832" i="2"/>
  <c r="G831" i="2"/>
  <c r="G830" i="2"/>
  <c r="G829" i="2"/>
  <c r="G828" i="2"/>
  <c r="G827" i="2"/>
  <c r="G826" i="2"/>
  <c r="G825" i="2"/>
  <c r="G824" i="2"/>
  <c r="G823" i="2"/>
  <c r="G822" i="2"/>
  <c r="G821" i="2"/>
  <c r="G820" i="2"/>
  <c r="G819" i="2"/>
  <c r="G818" i="2"/>
  <c r="G817" i="2"/>
  <c r="G816" i="2"/>
  <c r="G815" i="2"/>
  <c r="G814" i="2"/>
  <c r="G813" i="2"/>
  <c r="G812" i="2"/>
  <c r="G811" i="2"/>
  <c r="G810" i="2"/>
  <c r="G809" i="2"/>
  <c r="G808" i="2"/>
  <c r="G807" i="2"/>
  <c r="G806" i="2"/>
  <c r="G805" i="2"/>
  <c r="G804" i="2"/>
  <c r="G803" i="2"/>
  <c r="G802" i="2"/>
  <c r="G801" i="2"/>
  <c r="G800" i="2"/>
  <c r="G799" i="2"/>
  <c r="G798" i="2"/>
  <c r="G797" i="2"/>
  <c r="G796" i="2"/>
  <c r="G795" i="2"/>
  <c r="G794" i="2"/>
  <c r="G793" i="2"/>
  <c r="G792" i="2"/>
  <c r="G791" i="2"/>
  <c r="G790" i="2"/>
  <c r="G789" i="2"/>
  <c r="G788" i="2"/>
  <c r="G787" i="2"/>
  <c r="G786" i="2"/>
  <c r="G785" i="2"/>
  <c r="G784" i="2"/>
  <c r="G783" i="2"/>
  <c r="G782" i="2"/>
  <c r="G781" i="2"/>
  <c r="G780" i="2"/>
  <c r="G779" i="2"/>
  <c r="G778" i="2"/>
  <c r="G777" i="2"/>
  <c r="G776" i="2"/>
  <c r="G775" i="2"/>
  <c r="G774" i="2"/>
  <c r="G773" i="2"/>
  <c r="G772" i="2"/>
  <c r="G771" i="2"/>
  <c r="G770" i="2"/>
  <c r="G769" i="2"/>
  <c r="G768" i="2"/>
  <c r="G767" i="2"/>
  <c r="G766" i="2"/>
  <c r="G765" i="2"/>
  <c r="G764" i="2"/>
  <c r="G763" i="2"/>
  <c r="G762" i="2"/>
  <c r="G761" i="2"/>
  <c r="G760" i="2"/>
  <c r="G759" i="2"/>
  <c r="G758" i="2"/>
  <c r="G757" i="2"/>
  <c r="G756" i="2"/>
  <c r="G755" i="2"/>
  <c r="G754" i="2"/>
  <c r="G753" i="2"/>
  <c r="G752" i="2"/>
  <c r="G751" i="2"/>
  <c r="G750" i="2"/>
  <c r="G749" i="2"/>
  <c r="G748" i="2"/>
  <c r="G747" i="2"/>
  <c r="G746" i="2"/>
  <c r="G745" i="2"/>
  <c r="G744" i="2"/>
  <c r="G743" i="2"/>
  <c r="G742" i="2"/>
  <c r="G741" i="2"/>
  <c r="G740" i="2"/>
  <c r="G739" i="2"/>
  <c r="G738" i="2"/>
  <c r="G737" i="2"/>
  <c r="G736" i="2"/>
  <c r="G735" i="2"/>
  <c r="G734" i="2"/>
  <c r="G733" i="2"/>
  <c r="G732" i="2"/>
  <c r="G731" i="2"/>
  <c r="G730" i="2"/>
  <c r="G729" i="2"/>
  <c r="G728" i="2"/>
  <c r="G727" i="2"/>
  <c r="G726" i="2"/>
  <c r="G725" i="2"/>
  <c r="G724" i="2"/>
  <c r="G723" i="2"/>
  <c r="G722" i="2"/>
  <c r="G721" i="2"/>
  <c r="G720" i="2"/>
  <c r="G719" i="2"/>
  <c r="G718" i="2"/>
  <c r="G717" i="2"/>
  <c r="G716" i="2"/>
  <c r="G715" i="2"/>
  <c r="G714" i="2"/>
  <c r="G713" i="2"/>
  <c r="G712" i="2"/>
  <c r="G711" i="2"/>
  <c r="G710" i="2"/>
  <c r="G709" i="2"/>
  <c r="G708" i="2"/>
  <c r="G707" i="2"/>
  <c r="G706" i="2"/>
  <c r="G705" i="2"/>
  <c r="G704" i="2"/>
  <c r="G703" i="2"/>
  <c r="G702" i="2"/>
  <c r="G701" i="2"/>
  <c r="G700" i="2"/>
  <c r="G699" i="2"/>
  <c r="G698" i="2"/>
  <c r="G697" i="2"/>
  <c r="G696" i="2"/>
  <c r="G695" i="2"/>
  <c r="G694" i="2"/>
  <c r="G693" i="2"/>
  <c r="G692" i="2"/>
  <c r="G691" i="2"/>
  <c r="G690" i="2"/>
  <c r="G689" i="2"/>
  <c r="G688" i="2"/>
  <c r="G687" i="2"/>
  <c r="G686" i="2"/>
  <c r="G685" i="2"/>
  <c r="G684" i="2"/>
  <c r="G683" i="2"/>
  <c r="G682" i="2"/>
  <c r="G681" i="2"/>
  <c r="G680" i="2"/>
  <c r="G679" i="2"/>
  <c r="G678" i="2"/>
  <c r="G677" i="2"/>
  <c r="G676" i="2"/>
  <c r="G675" i="2"/>
  <c r="G674" i="2"/>
  <c r="G673" i="2"/>
  <c r="G672" i="2"/>
  <c r="G671" i="2"/>
  <c r="G670" i="2"/>
  <c r="G669" i="2"/>
  <c r="G668" i="2"/>
  <c r="G667" i="2"/>
  <c r="G666" i="2"/>
  <c r="G665" i="2"/>
  <c r="G664" i="2"/>
  <c r="G663" i="2"/>
  <c r="G662" i="2"/>
  <c r="G661" i="2"/>
  <c r="G660" i="2"/>
  <c r="G659" i="2"/>
  <c r="G658" i="2"/>
  <c r="G657" i="2"/>
  <c r="G656" i="2"/>
  <c r="G655" i="2"/>
  <c r="G654" i="2"/>
  <c r="G653" i="2"/>
  <c r="G652" i="2"/>
  <c r="G651" i="2"/>
  <c r="G650" i="2"/>
  <c r="G649" i="2"/>
  <c r="G648" i="2"/>
  <c r="G647" i="2"/>
  <c r="G646" i="2"/>
  <c r="G645" i="2"/>
  <c r="G644" i="2"/>
  <c r="G643" i="2"/>
  <c r="G642" i="2"/>
  <c r="G641" i="2"/>
  <c r="G640" i="2"/>
  <c r="G639" i="2"/>
  <c r="G638" i="2"/>
  <c r="G637" i="2"/>
  <c r="G636" i="2"/>
  <c r="G635" i="2"/>
  <c r="G634" i="2"/>
  <c r="G633" i="2"/>
  <c r="G632" i="2"/>
  <c r="G631" i="2"/>
  <c r="G630" i="2"/>
  <c r="G629" i="2"/>
  <c r="G628" i="2"/>
  <c r="G627" i="2"/>
  <c r="G626" i="2"/>
  <c r="G625" i="2"/>
  <c r="G624" i="2"/>
  <c r="G623" i="2"/>
  <c r="G622" i="2"/>
  <c r="G621" i="2"/>
  <c r="G620" i="2"/>
  <c r="G619" i="2"/>
  <c r="G618" i="2"/>
  <c r="G617" i="2"/>
  <c r="G616" i="2"/>
  <c r="G615" i="2"/>
  <c r="G614" i="2"/>
  <c r="G613" i="2"/>
  <c r="G612" i="2"/>
  <c r="G611" i="2"/>
  <c r="G610" i="2"/>
  <c r="G609" i="2"/>
  <c r="G608" i="2"/>
  <c r="G607" i="2"/>
  <c r="G606" i="2"/>
  <c r="G605" i="2"/>
  <c r="G604" i="2"/>
  <c r="G603" i="2"/>
  <c r="G602" i="2"/>
  <c r="G601" i="2"/>
  <c r="G600" i="2"/>
  <c r="G599" i="2"/>
  <c r="G598" i="2"/>
  <c r="G597" i="2"/>
  <c r="G596" i="2"/>
  <c r="G595" i="2"/>
  <c r="G594" i="2"/>
  <c r="G593" i="2"/>
  <c r="G592" i="2"/>
  <c r="G591" i="2"/>
  <c r="G590" i="2"/>
  <c r="G589" i="2"/>
  <c r="G588" i="2"/>
  <c r="G587" i="2"/>
  <c r="G586" i="2"/>
  <c r="G585" i="2"/>
  <c r="G584" i="2"/>
  <c r="G583" i="2"/>
  <c r="G582" i="2"/>
  <c r="G581" i="2"/>
  <c r="G580" i="2"/>
  <c r="G579" i="2"/>
  <c r="G578" i="2"/>
  <c r="G577" i="2"/>
  <c r="G576" i="2"/>
  <c r="G575" i="2"/>
  <c r="G574" i="2"/>
  <c r="G573" i="2"/>
  <c r="G572" i="2"/>
  <c r="G571" i="2"/>
  <c r="G570" i="2"/>
  <c r="G569" i="2"/>
  <c r="G568" i="2"/>
  <c r="G567" i="2"/>
  <c r="G566" i="2"/>
  <c r="G565" i="2"/>
  <c r="G564" i="2"/>
  <c r="G563" i="2"/>
  <c r="G562" i="2"/>
  <c r="G561" i="2"/>
  <c r="G560" i="2"/>
  <c r="G559" i="2"/>
  <c r="G558" i="2"/>
  <c r="G557" i="2"/>
  <c r="G556" i="2"/>
  <c r="G555" i="2"/>
  <c r="G554" i="2"/>
  <c r="G553" i="2"/>
  <c r="G552" i="2"/>
  <c r="G551" i="2"/>
  <c r="G550" i="2"/>
  <c r="G549" i="2"/>
  <c r="G548" i="2"/>
  <c r="G547" i="2"/>
  <c r="G546" i="2"/>
  <c r="G545" i="2"/>
  <c r="G544" i="2"/>
  <c r="G543" i="2"/>
  <c r="G542" i="2"/>
  <c r="G541" i="2"/>
  <c r="G540" i="2"/>
  <c r="G539" i="2"/>
  <c r="G538" i="2"/>
  <c r="G537" i="2"/>
  <c r="G536" i="2"/>
  <c r="G535" i="2"/>
  <c r="G534" i="2"/>
  <c r="G533" i="2"/>
  <c r="G532" i="2"/>
  <c r="G531" i="2"/>
  <c r="G530" i="2"/>
  <c r="G529" i="2"/>
  <c r="G528" i="2"/>
  <c r="G527" i="2"/>
  <c r="G526" i="2"/>
  <c r="G525" i="2"/>
  <c r="G524" i="2"/>
  <c r="G523" i="2"/>
  <c r="G522" i="2"/>
  <c r="G521" i="2"/>
  <c r="G520" i="2"/>
  <c r="G519" i="2"/>
  <c r="G518" i="2"/>
  <c r="G517" i="2"/>
  <c r="G516" i="2"/>
  <c r="G515" i="2"/>
  <c r="G514" i="2"/>
  <c r="G513" i="2"/>
  <c r="G512" i="2"/>
  <c r="G511" i="2"/>
  <c r="G510" i="2"/>
  <c r="G509" i="2"/>
  <c r="G508" i="2"/>
  <c r="G507" i="2"/>
  <c r="G506" i="2"/>
  <c r="G505" i="2"/>
  <c r="G504" i="2"/>
  <c r="G503" i="2"/>
  <c r="G502" i="2"/>
  <c r="G501" i="2"/>
  <c r="G500" i="2"/>
  <c r="G499" i="2"/>
  <c r="G498" i="2"/>
  <c r="G497" i="2"/>
  <c r="G496" i="2"/>
  <c r="G495" i="2"/>
  <c r="G494" i="2"/>
  <c r="G493" i="2"/>
  <c r="G492" i="2"/>
  <c r="G491" i="2"/>
  <c r="G490" i="2"/>
  <c r="G489" i="2"/>
  <c r="G488" i="2"/>
  <c r="G487" i="2"/>
  <c r="G486" i="2"/>
  <c r="G485" i="2"/>
  <c r="G484" i="2"/>
  <c r="G483" i="2"/>
  <c r="G482" i="2"/>
  <c r="G481" i="2"/>
  <c r="G480" i="2"/>
  <c r="G479" i="2"/>
  <c r="G478" i="2"/>
  <c r="G477" i="2"/>
  <c r="G476" i="2"/>
  <c r="G475" i="2"/>
  <c r="G474" i="2"/>
  <c r="G473" i="2"/>
  <c r="G472" i="2"/>
  <c r="G471" i="2"/>
  <c r="G470" i="2"/>
  <c r="G469" i="2"/>
  <c r="G468" i="2"/>
  <c r="G467" i="2"/>
  <c r="G466" i="2"/>
  <c r="G465" i="2"/>
  <c r="G464" i="2"/>
  <c r="G463" i="2"/>
  <c r="G462" i="2"/>
  <c r="G461" i="2"/>
  <c r="G460" i="2"/>
  <c r="G459" i="2"/>
  <c r="G458" i="2"/>
  <c r="G457" i="2"/>
  <c r="G456" i="2"/>
  <c r="G455" i="2"/>
  <c r="G454" i="2"/>
  <c r="G453" i="2"/>
  <c r="G452" i="2"/>
  <c r="G451" i="2"/>
  <c r="G450" i="2"/>
  <c r="G449" i="2"/>
  <c r="G448" i="2"/>
  <c r="G447" i="2"/>
  <c r="G446" i="2"/>
  <c r="G445" i="2"/>
  <c r="G444" i="2"/>
  <c r="G443" i="2"/>
  <c r="G442" i="2"/>
  <c r="G441" i="2"/>
  <c r="G440" i="2"/>
  <c r="G439" i="2"/>
  <c r="G438" i="2"/>
  <c r="G437" i="2"/>
  <c r="G436" i="2"/>
  <c r="G435" i="2"/>
  <c r="G434" i="2"/>
  <c r="G433" i="2"/>
  <c r="G432" i="2"/>
  <c r="G431" i="2"/>
  <c r="G430" i="2"/>
  <c r="G429" i="2"/>
  <c r="G428" i="2"/>
  <c r="G427" i="2"/>
  <c r="G426" i="2"/>
  <c r="G425" i="2"/>
  <c r="G424" i="2"/>
  <c r="G423" i="2"/>
  <c r="G422" i="2"/>
  <c r="G421" i="2"/>
  <c r="G420" i="2"/>
  <c r="G419" i="2"/>
  <c r="G418" i="2"/>
  <c r="G417" i="2"/>
  <c r="G416" i="2"/>
  <c r="G415" i="2"/>
  <c r="G414" i="2"/>
  <c r="G413" i="2"/>
  <c r="G412" i="2"/>
  <c r="G411" i="2"/>
  <c r="G410" i="2"/>
  <c r="G409" i="2"/>
  <c r="G408" i="2"/>
  <c r="G407" i="2"/>
  <c r="G406" i="2"/>
  <c r="G405" i="2"/>
  <c r="G404" i="2"/>
  <c r="G403" i="2"/>
  <c r="G402" i="2"/>
  <c r="G401" i="2"/>
  <c r="G400" i="2"/>
  <c r="G399" i="2"/>
  <c r="G398" i="2"/>
  <c r="G397" i="2"/>
  <c r="G396" i="2"/>
  <c r="G395" i="2"/>
  <c r="G394" i="2"/>
  <c r="G393" i="2"/>
  <c r="G392" i="2"/>
  <c r="G391" i="2"/>
  <c r="G390" i="2"/>
  <c r="G389" i="2"/>
  <c r="G388" i="2"/>
  <c r="G387" i="2"/>
  <c r="G386" i="2"/>
  <c r="G385" i="2"/>
  <c r="G384" i="2"/>
  <c r="G383" i="2"/>
  <c r="G382" i="2"/>
  <c r="G381" i="2"/>
  <c r="G380" i="2"/>
  <c r="G379" i="2"/>
  <c r="G378" i="2"/>
  <c r="G377" i="2"/>
  <c r="G376" i="2"/>
  <c r="G375" i="2"/>
  <c r="G374" i="2"/>
  <c r="G373" i="2"/>
  <c r="G372" i="2"/>
  <c r="G371" i="2"/>
  <c r="G370" i="2"/>
  <c r="G369" i="2"/>
  <c r="G368" i="2"/>
  <c r="G367" i="2"/>
  <c r="G366" i="2"/>
  <c r="G365" i="2"/>
  <c r="G364" i="2"/>
  <c r="G363" i="2"/>
  <c r="G362" i="2"/>
  <c r="G361" i="2"/>
  <c r="G360" i="2"/>
  <c r="G359" i="2"/>
  <c r="G358" i="2"/>
  <c r="G357" i="2"/>
  <c r="G356" i="2"/>
  <c r="G355" i="2"/>
  <c r="G354" i="2"/>
  <c r="G353" i="2"/>
  <c r="G352" i="2"/>
  <c r="G351" i="2"/>
  <c r="G350" i="2"/>
  <c r="G349" i="2"/>
  <c r="G348" i="2"/>
  <c r="G347" i="2"/>
  <c r="G346" i="2"/>
  <c r="G345" i="2"/>
  <c r="G344" i="2"/>
  <c r="G343" i="2"/>
  <c r="G342" i="2"/>
  <c r="G341" i="2"/>
  <c r="G340" i="2"/>
  <c r="G339" i="2"/>
  <c r="G338" i="2"/>
  <c r="G337" i="2"/>
  <c r="G336" i="2"/>
  <c r="G335" i="2"/>
  <c r="G334" i="2"/>
  <c r="G333" i="2"/>
  <c r="G332" i="2"/>
  <c r="G331" i="2"/>
  <c r="G330" i="2"/>
  <c r="G329" i="2"/>
  <c r="G328" i="2"/>
  <c r="G327" i="2"/>
  <c r="G326" i="2"/>
  <c r="G325" i="2"/>
  <c r="G324" i="2"/>
  <c r="G323" i="2"/>
  <c r="G322" i="2"/>
  <c r="G321" i="2"/>
  <c r="G320" i="2"/>
  <c r="G319" i="2"/>
  <c r="G318" i="2"/>
  <c r="G317" i="2"/>
  <c r="G316" i="2"/>
  <c r="G315" i="2"/>
  <c r="G314" i="2"/>
  <c r="G313" i="2"/>
  <c r="G312" i="2"/>
  <c r="G311" i="2"/>
  <c r="G310" i="2"/>
  <c r="G309" i="2"/>
  <c r="G308" i="2"/>
  <c r="G307" i="2"/>
  <c r="G306" i="2"/>
  <c r="G305" i="2"/>
  <c r="G304" i="2"/>
  <c r="G303" i="2"/>
  <c r="G302" i="2"/>
  <c r="G301" i="2"/>
  <c r="G300" i="2"/>
  <c r="G299" i="2"/>
  <c r="G298" i="2"/>
  <c r="G297" i="2"/>
  <c r="G296" i="2"/>
  <c r="G295" i="2"/>
  <c r="G294" i="2"/>
  <c r="G293" i="2"/>
  <c r="G292" i="2"/>
  <c r="G291" i="2"/>
  <c r="G290" i="2"/>
  <c r="G289" i="2"/>
  <c r="G288" i="2"/>
  <c r="G287" i="2"/>
  <c r="G286" i="2"/>
  <c r="G285" i="2"/>
  <c r="G284" i="2"/>
  <c r="G283" i="2"/>
  <c r="G282" i="2"/>
  <c r="G281" i="2"/>
  <c r="G280" i="2"/>
  <c r="G279" i="2"/>
  <c r="G278" i="2"/>
  <c r="G277" i="2"/>
  <c r="G276" i="2"/>
  <c r="G275" i="2"/>
  <c r="G274" i="2"/>
  <c r="G273" i="2"/>
  <c r="G272" i="2"/>
  <c r="G271" i="2"/>
  <c r="G270" i="2"/>
  <c r="G269" i="2"/>
  <c r="G268" i="2"/>
  <c r="G267" i="2"/>
  <c r="G266" i="2"/>
  <c r="G265" i="2"/>
  <c r="G264" i="2"/>
  <c r="G263" i="2"/>
  <c r="G262" i="2"/>
  <c r="G261" i="2"/>
  <c r="G260" i="2"/>
  <c r="G259" i="2"/>
  <c r="G258" i="2"/>
  <c r="G257" i="2"/>
  <c r="G256" i="2"/>
  <c r="G255" i="2"/>
  <c r="G254" i="2"/>
  <c r="G253" i="2"/>
  <c r="G252" i="2"/>
  <c r="G251" i="2"/>
  <c r="G250" i="2"/>
  <c r="G249" i="2"/>
  <c r="G248" i="2"/>
  <c r="G247" i="2"/>
  <c r="G246" i="2"/>
  <c r="G245" i="2"/>
  <c r="G244" i="2"/>
  <c r="G243" i="2"/>
  <c r="G242" i="2"/>
  <c r="G241" i="2"/>
  <c r="G240" i="2"/>
  <c r="G239" i="2"/>
  <c r="G238" i="2"/>
  <c r="G237" i="2"/>
  <c r="G236" i="2"/>
  <c r="G235" i="2"/>
  <c r="G234" i="2"/>
  <c r="G233" i="2"/>
  <c r="G232" i="2"/>
  <c r="G231" i="2"/>
  <c r="G230" i="2"/>
  <c r="G229" i="2"/>
  <c r="G228" i="2"/>
  <c r="G227" i="2"/>
  <c r="G226" i="2"/>
  <c r="G225" i="2"/>
  <c r="G224" i="2"/>
  <c r="G223" i="2"/>
  <c r="G222" i="2"/>
  <c r="G221" i="2"/>
  <c r="G220" i="2"/>
  <c r="G219" i="2"/>
  <c r="G218" i="2"/>
  <c r="G217" i="2"/>
  <c r="G216" i="2"/>
  <c r="G215" i="2"/>
  <c r="G214" i="2"/>
  <c r="G213" i="2"/>
  <c r="G212" i="2"/>
  <c r="G211" i="2"/>
  <c r="G210" i="2"/>
  <c r="G209" i="2"/>
  <c r="G208" i="2"/>
  <c r="G207" i="2"/>
  <c r="G206" i="2"/>
  <c r="G205" i="2"/>
  <c r="G204" i="2"/>
  <c r="G203" i="2"/>
  <c r="G202" i="2"/>
  <c r="G201" i="2"/>
  <c r="G200" i="2"/>
  <c r="G199" i="2"/>
  <c r="G198" i="2"/>
  <c r="G197" i="2"/>
  <c r="G196" i="2"/>
  <c r="G195" i="2"/>
  <c r="G194" i="2"/>
  <c r="G193" i="2"/>
  <c r="G192" i="2"/>
  <c r="G191" i="2"/>
  <c r="G190" i="2"/>
  <c r="G189" i="2"/>
  <c r="G188" i="2"/>
  <c r="G187" i="2"/>
  <c r="G186" i="2"/>
  <c r="G185" i="2"/>
  <c r="G184" i="2"/>
  <c r="G183" i="2"/>
  <c r="G182" i="2"/>
  <c r="G181" i="2"/>
  <c r="G180" i="2"/>
  <c r="G179" i="2"/>
  <c r="G178" i="2"/>
  <c r="G177" i="2"/>
  <c r="G176" i="2"/>
  <c r="G175" i="2"/>
  <c r="G174" i="2"/>
  <c r="G173" i="2"/>
  <c r="G172" i="2"/>
  <c r="G171" i="2"/>
  <c r="G170" i="2"/>
  <c r="G169" i="2"/>
  <c r="G168" i="2"/>
  <c r="G167" i="2"/>
  <c r="G166" i="2"/>
  <c r="G165" i="2"/>
  <c r="G164" i="2"/>
  <c r="G163" i="2"/>
  <c r="G162" i="2"/>
  <c r="G161" i="2"/>
  <c r="G160" i="2"/>
  <c r="G159" i="2"/>
  <c r="G158" i="2"/>
  <c r="G157" i="2"/>
  <c r="G156" i="2"/>
  <c r="G155" i="2"/>
  <c r="G154" i="2"/>
  <c r="G153" i="2"/>
  <c r="G152" i="2"/>
  <c r="G151" i="2"/>
  <c r="G150" i="2"/>
  <c r="G149" i="2"/>
  <c r="G148" i="2"/>
  <c r="G147" i="2"/>
  <c r="G146" i="2"/>
  <c r="G145" i="2"/>
  <c r="G144" i="2"/>
  <c r="G143" i="2"/>
  <c r="G142" i="2"/>
  <c r="G141" i="2"/>
  <c r="G140" i="2"/>
  <c r="G139" i="2"/>
  <c r="G138" i="2"/>
  <c r="G137" i="2"/>
  <c r="G136" i="2"/>
  <c r="G135" i="2"/>
  <c r="G134" i="2"/>
  <c r="G133" i="2"/>
  <c r="G132" i="2"/>
  <c r="G131" i="2"/>
  <c r="G130" i="2"/>
  <c r="G129" i="2"/>
  <c r="G128" i="2"/>
  <c r="G127" i="2"/>
  <c r="G126" i="2"/>
  <c r="G125" i="2"/>
  <c r="G124" i="2"/>
  <c r="G123" i="2"/>
  <c r="G122" i="2"/>
  <c r="G121" i="2"/>
  <c r="G120" i="2"/>
  <c r="G119" i="2"/>
  <c r="G118" i="2"/>
  <c r="G117" i="2"/>
  <c r="G116" i="2"/>
  <c r="G115" i="2"/>
  <c r="G114" i="2"/>
  <c r="G113" i="2"/>
  <c r="G112" i="2"/>
  <c r="G111" i="2"/>
  <c r="G110" i="2"/>
  <c r="G109" i="2"/>
  <c r="G108" i="2"/>
  <c r="G107" i="2"/>
  <c r="G106" i="2"/>
  <c r="G105" i="2"/>
  <c r="G104" i="2"/>
  <c r="G103" i="2"/>
  <c r="G102" i="2"/>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O16" i="2" a="1"/>
  <c r="O16" i="2" s="1"/>
  <c r="O15" i="2" a="1"/>
  <c r="O15" i="2" s="1"/>
  <c r="O13" i="2"/>
  <c r="O14" i="2"/>
  <c r="O12"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20" i="2"/>
  <c r="AE3" i="1" a="1"/>
  <c r="AE3" i="1" s="1"/>
  <c r="S20" i="2" l="1"/>
  <c r="R19" i="2" a="1"/>
  <c r="R19" i="2" s="1"/>
  <c r="P27" i="2" s="1"/>
  <c r="B12" i="3"/>
  <c r="B16" i="3"/>
  <c r="B13" i="3"/>
  <c r="B17" i="3"/>
  <c r="B14" i="3"/>
  <c r="B15" i="3"/>
  <c r="N37" i="2" a="1"/>
  <c r="O53" i="2" s="1"/>
  <c r="C16" i="3"/>
  <c r="C17" i="3"/>
  <c r="C13" i="3"/>
  <c r="C12" i="3"/>
  <c r="C11" i="3"/>
  <c r="O4" i="2"/>
  <c r="O5" i="2"/>
  <c r="O3" i="2"/>
  <c r="P30" i="2" l="1"/>
  <c r="D13" i="3" s="1"/>
  <c r="P28" i="2"/>
  <c r="P25" i="2"/>
  <c r="D14" i="3" s="1"/>
  <c r="C14" i="3"/>
  <c r="C15" i="3"/>
  <c r="O55" i="2"/>
  <c r="O49" i="2"/>
  <c r="O44" i="2"/>
  <c r="P29" i="2"/>
  <c r="D15" i="3" s="1"/>
  <c r="B11" i="3"/>
  <c r="P26" i="2"/>
  <c r="D11" i="3" s="1"/>
  <c r="O38" i="2"/>
  <c r="O50" i="2"/>
  <c r="P31" i="2"/>
  <c r="D17" i="3" s="1"/>
  <c r="P52" i="2"/>
  <c r="O47" i="2"/>
  <c r="Q47" i="2" s="1"/>
  <c r="R47" i="2" s="1"/>
  <c r="O41" i="2"/>
  <c r="Q41" i="2" s="1"/>
  <c r="P48" i="2"/>
  <c r="P45" i="2"/>
  <c r="P49" i="2"/>
  <c r="P44" i="2"/>
  <c r="O39" i="2"/>
  <c r="P53" i="2"/>
  <c r="P42" i="2"/>
  <c r="P47" i="2"/>
  <c r="P41" i="2"/>
  <c r="O51" i="2"/>
  <c r="P50" i="2"/>
  <c r="O40" i="2"/>
  <c r="Q40" i="2" s="1"/>
  <c r="O45" i="2"/>
  <c r="Q45" i="2" s="1"/>
  <c r="P39" i="2"/>
  <c r="O46" i="2"/>
  <c r="O48" i="2"/>
  <c r="Q48" i="2" s="1"/>
  <c r="S48" i="2" s="1"/>
  <c r="N37" i="2"/>
  <c r="O37" i="2" s="1"/>
  <c r="O42" i="2"/>
  <c r="O54" i="2"/>
  <c r="P43" i="2"/>
  <c r="P40" i="2"/>
  <c r="P54" i="2"/>
  <c r="P51" i="2"/>
  <c r="P38" i="2"/>
  <c r="Q38" i="2" s="1"/>
  <c r="P55" i="2"/>
  <c r="Q55" i="2" s="1"/>
  <c r="S55" i="2" s="1"/>
  <c r="O52" i="2"/>
  <c r="Q52" i="2" s="1"/>
  <c r="S52" i="2" s="1"/>
  <c r="P46" i="2"/>
  <c r="O43" i="2"/>
  <c r="Q43" i="2" s="1"/>
  <c r="Q27" i="2"/>
  <c r="Q53" i="2"/>
  <c r="R53" i="2" s="1"/>
  <c r="Q39" i="2"/>
  <c r="R39" i="2" s="1"/>
  <c r="Q51" i="2"/>
  <c r="S39" i="2"/>
  <c r="P37" i="2"/>
  <c r="C18" i="3" l="1"/>
  <c r="D12" i="3"/>
  <c r="D16" i="3"/>
  <c r="Q25" i="2"/>
  <c r="R25" i="2" s="1"/>
  <c r="Q30" i="2"/>
  <c r="S30" i="2" s="1"/>
  <c r="Q28" i="2"/>
  <c r="R41" i="2"/>
  <c r="S41" i="2"/>
  <c r="Q26" i="2"/>
  <c r="R26" i="2" s="1"/>
  <c r="Q44" i="2"/>
  <c r="R44" i="2" s="1"/>
  <c r="Q31" i="2"/>
  <c r="R31" i="2" s="1"/>
  <c r="G17" i="3" s="1"/>
  <c r="F17" i="3" s="1"/>
  <c r="S43" i="2"/>
  <c r="Q46" i="2"/>
  <c r="Q54" i="2"/>
  <c r="Q50" i="2"/>
  <c r="Q49" i="2"/>
  <c r="Q29" i="2"/>
  <c r="Q42" i="2"/>
  <c r="S27" i="2"/>
  <c r="S31" i="2"/>
  <c r="R27" i="2"/>
  <c r="S40" i="2"/>
  <c r="R40" i="2"/>
  <c r="S49" i="2"/>
  <c r="R49" i="2"/>
  <c r="S45" i="2"/>
  <c r="R45" i="2"/>
  <c r="R42" i="2"/>
  <c r="S42" i="2"/>
  <c r="S50" i="2"/>
  <c r="R50" i="2"/>
  <c r="R52" i="2"/>
  <c r="S44" i="2"/>
  <c r="R48" i="2"/>
  <c r="S47" i="2"/>
  <c r="Q37" i="2"/>
  <c r="R37" i="2" s="1"/>
  <c r="S38" i="2"/>
  <c r="R38" i="2"/>
  <c r="S53" i="2"/>
  <c r="S37" i="2"/>
  <c r="S46" i="2"/>
  <c r="R46" i="2"/>
  <c r="S51" i="2"/>
  <c r="R51" i="2"/>
  <c r="R55" i="2"/>
  <c r="R54" i="2"/>
  <c r="S54" i="2"/>
  <c r="R30" i="2" l="1"/>
  <c r="G16" i="3" s="1"/>
  <c r="F16" i="3" s="1"/>
  <c r="D18" i="3"/>
  <c r="E17" i="3"/>
  <c r="E16" i="3"/>
  <c r="G13" i="3"/>
  <c r="F13" i="3" s="1"/>
  <c r="E12" i="3"/>
  <c r="R28" i="2"/>
  <c r="G12" i="3" s="1"/>
  <c r="F12" i="3" s="1"/>
  <c r="S25" i="2"/>
  <c r="G11" i="3"/>
  <c r="F11" i="3" s="1"/>
  <c r="E13" i="3"/>
  <c r="S28" i="2"/>
  <c r="E14" i="3"/>
  <c r="R29" i="2"/>
  <c r="G15" i="3" s="1"/>
  <c r="F15" i="3" s="1"/>
  <c r="E15" i="3"/>
  <c r="S29" i="2"/>
  <c r="E11" i="3"/>
  <c r="S26" i="2"/>
  <c r="G14" i="3" l="1"/>
  <c r="F14" i="3" s="1"/>
  <c r="E18" i="3"/>
  <c r="F18"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CEF827-9512-4667-8342-DBB50CA04D9C}" keepAlive="1" name="Query - ARV_Clean_Data" description="Connection to the 'ARV_Clean_Data' query in the workbook." type="5" refreshedVersion="8" background="1" saveData="1">
    <dbPr connection="Provider=Microsoft.Mashup.OleDb.1;Data Source=$Workbook$;Location=ARV_Clean_Data;Extended Properties=&quot;&quot;" command="SELECT * FROM [ARV_Clean_Data]"/>
  </connection>
  <connection id="2" xr16:uid="{0BBE44CD-285F-4121-ADBC-48F4F43C6F84}" keepAlive="1" name="Query - raw_data" description="Connection to the 'raw_data' query in the workbook." type="5" refreshedVersion="0" background="1">
    <dbPr connection="Provider=Microsoft.Mashup.OleDb.1;Data Source=$Workbook$;Location=raw_data;Extended Properties=&quot;&quot;" command="SELECT * FROM [raw_data]"/>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<sst xmlns="http://schemas.openxmlformats.org/spreadsheetml/2006/main" count="26163" uniqueCount="2988">
  <si>
    <t>ID</t>
  </si>
  <si>
    <t>PO / SO #</t>
  </si>
  <si>
    <t>ASN/DN #</t>
  </si>
  <si>
    <t>Country</t>
  </si>
  <si>
    <t>Product Group</t>
  </si>
  <si>
    <t>Sub Classification</t>
  </si>
  <si>
    <t>Vendor</t>
  </si>
  <si>
    <t>Fulfill Via</t>
  </si>
  <si>
    <t>Vendor INCO Term</t>
  </si>
  <si>
    <t>Shipment Mode</t>
  </si>
  <si>
    <t>PO Sent to Vendor Date</t>
  </si>
  <si>
    <t>Scheduled Delivery Date</t>
  </si>
  <si>
    <t>Delivered to Client Date</t>
  </si>
  <si>
    <t>Delivery Recorded Date</t>
  </si>
  <si>
    <t>Item Description</t>
  </si>
  <si>
    <t>Molecule/Test Type</t>
  </si>
  <si>
    <t>Brand</t>
  </si>
  <si>
    <t>Dosage</t>
  </si>
  <si>
    <t>Dosage Form</t>
  </si>
  <si>
    <t>Unit of Measure (Per Pack)</t>
  </si>
  <si>
    <t>Line Item Quantity</t>
  </si>
  <si>
    <t>Line Item Value</t>
  </si>
  <si>
    <t>Pack Price</t>
  </si>
  <si>
    <t>Unit Price</t>
  </si>
  <si>
    <t>Weight (Kilograms)</t>
  </si>
  <si>
    <t>Freight Cost (USD)</t>
  </si>
  <si>
    <t>SCMS-140</t>
  </si>
  <si>
    <t>ASN-94</t>
  </si>
  <si>
    <t>Tanzania</t>
  </si>
  <si>
    <t>ARV</t>
  </si>
  <si>
    <t>Adult</t>
  </si>
  <si>
    <t>Aurobindo Pharma Limited</t>
  </si>
  <si>
    <t>Direct Drop</t>
  </si>
  <si>
    <t>EXW</t>
  </si>
  <si>
    <t>Air</t>
  </si>
  <si>
    <t>Nevirapine 200mg, tablets, 60 Tabs</t>
  </si>
  <si>
    <t>Nevirapine</t>
  </si>
  <si>
    <t>Generic</t>
  </si>
  <si>
    <t>200mg</t>
  </si>
  <si>
    <t>Tablet</t>
  </si>
  <si>
    <t>SCMS-268</t>
  </si>
  <si>
    <t>ASN-242</t>
  </si>
  <si>
    <t>Rwanda</t>
  </si>
  <si>
    <t>CIPLA LIMITED</t>
  </si>
  <si>
    <t>Lamivudine/Zidovudine 150/300mg, tablets, 60 Tabs</t>
  </si>
  <si>
    <t>Lamivudine/Zidovudine</t>
  </si>
  <si>
    <t>150/300mg</t>
  </si>
  <si>
    <t>Tablet - FDC</t>
  </si>
  <si>
    <t>SCMS-555</t>
  </si>
  <si>
    <t>ASN-409</t>
  </si>
  <si>
    <t>Pediatric</t>
  </si>
  <si>
    <t>BRISTOL-MYERS SQUIBB</t>
  </si>
  <si>
    <t>CIP</t>
  </si>
  <si>
    <t>Didanosine 2g [Videx], powder for oral solution 10mg/ml, reconstitute to 200 ml</t>
  </si>
  <si>
    <t>Didanosine</t>
  </si>
  <si>
    <t>Videx</t>
  </si>
  <si>
    <t>2g</t>
  </si>
  <si>
    <t>Powder for oral solution</t>
  </si>
  <si>
    <t>SCMS-11070</t>
  </si>
  <si>
    <t>ASN-916</t>
  </si>
  <si>
    <t>Ethiopia</t>
  </si>
  <si>
    <t>Stavudine 30mg, capsules, 60 Caps</t>
  </si>
  <si>
    <t>Stavudine</t>
  </si>
  <si>
    <t>30mg</t>
  </si>
  <si>
    <t>Capsule</t>
  </si>
  <si>
    <t>SCMS-23610</t>
  </si>
  <si>
    <t>ASN-2167</t>
  </si>
  <si>
    <t>Didanosine EC 400mg [Videx EC], delayed-release capsules, Blister 3 x 10 Caps</t>
  </si>
  <si>
    <t>Didanosine EC</t>
  </si>
  <si>
    <t>Videx EC</t>
  </si>
  <si>
    <t>400mg</t>
  </si>
  <si>
    <t>Delayed-release capsules - blister</t>
  </si>
  <si>
    <t>SCMS-34680</t>
  </si>
  <si>
    <t>ASN-3332</t>
  </si>
  <si>
    <t>MERCK SHARP &amp; DOHME IDEA GMBH (FORMALLY MERCK SHARP &amp; DOHME B.V.)</t>
  </si>
  <si>
    <t>Efavirenz/Emtricitabine/Tenofovir Disoproxil Fumarate 600/200/300mg [Atripla], tablets, 30 Tabs</t>
  </si>
  <si>
    <t>Efavirenz/Emtricitabine/Tenofovir Disoproxil Fumarate</t>
  </si>
  <si>
    <t>Atripla</t>
  </si>
  <si>
    <t>600/200/300mg</t>
  </si>
  <si>
    <t>SCMS-38370</t>
  </si>
  <si>
    <t>ASN-3751</t>
  </si>
  <si>
    <t>ABBVIE LOGISTICS (FORMERLY ABBOTT LOGISTICS BV)</t>
  </si>
  <si>
    <t>FCA</t>
  </si>
  <si>
    <t>Lopinavir/Ritonavir 80/20mg/ml [Kaletra], oral solution, cool, Bottle 5 x 60 ml</t>
  </si>
  <si>
    <t>Lopinavir/Ritonavir</t>
  </si>
  <si>
    <t>Kaletra</t>
  </si>
  <si>
    <t>80/20mg/ml</t>
  </si>
  <si>
    <t>Oral solution</t>
  </si>
  <si>
    <t>SCMS-38380</t>
  </si>
  <si>
    <t>ASN-3627</t>
  </si>
  <si>
    <t>Lopinavir/Ritonavir 100/25mg [Aluvia], tablets, 60 Tabs</t>
  </si>
  <si>
    <t>100/25mg</t>
  </si>
  <si>
    <t>SCMS-43890</t>
  </si>
  <si>
    <t>ASN-4503</t>
  </si>
  <si>
    <t>HETERO LABS LIMITED</t>
  </si>
  <si>
    <t>Efavirenz 600mg, tablets, 30 Tabs</t>
  </si>
  <si>
    <t>Efavirenz</t>
  </si>
  <si>
    <t>600mg</t>
  </si>
  <si>
    <t>Abacavir 300mg, tablets, 60 Tabs</t>
  </si>
  <si>
    <t>Abacavir</t>
  </si>
  <si>
    <t>300mg</t>
  </si>
  <si>
    <t>SCMS-13900</t>
  </si>
  <si>
    <t>ASN-990</t>
  </si>
  <si>
    <t>ASPEN PHARMACARE</t>
  </si>
  <si>
    <t>Tenofovir Disoproxil Fumarate 300mg [Viread], tablets, 30 Tabs</t>
  </si>
  <si>
    <t>Tenofovir Disoproxil Fumarate</t>
  </si>
  <si>
    <t>Viread</t>
  </si>
  <si>
    <t>SCMS-14750</t>
  </si>
  <si>
    <t>ASN-1194</t>
  </si>
  <si>
    <t>MYLAN LABORATORIES LTD (FORMERLY MATRIX LABORATORIES)</t>
  </si>
  <si>
    <t>SCMS-25520</t>
  </si>
  <si>
    <t>ASN-2079</t>
  </si>
  <si>
    <t>Lamivudine/Nevirapine/Zidovudine 150/200/300mg, tablets, 60 Tabs</t>
  </si>
  <si>
    <t>Lamivudine/Nevirapine/Zidovudine</t>
  </si>
  <si>
    <t>150/300/200mg</t>
  </si>
  <si>
    <t>ASN-2080</t>
  </si>
  <si>
    <t>SCMS-41240</t>
  </si>
  <si>
    <t>ASN-3904</t>
  </si>
  <si>
    <t>Uganda</t>
  </si>
  <si>
    <t>Didanosine EC 250mg [Videx EC], delayed-release capsules, Blister 3 x 10 Caps</t>
  </si>
  <si>
    <t>250mg</t>
  </si>
  <si>
    <t>SCMS-30312</t>
  </si>
  <si>
    <t>ASN-3851</t>
  </si>
  <si>
    <t>SCMS-43880</t>
  </si>
  <si>
    <t>ASN-4462</t>
  </si>
  <si>
    <t>SCMS-11071</t>
  </si>
  <si>
    <t>ASN-1039</t>
  </si>
  <si>
    <t>SCMS-13510</t>
  </si>
  <si>
    <t>ASN-1483</t>
  </si>
  <si>
    <t>SCMS-27190</t>
  </si>
  <si>
    <t>ASN-2391</t>
  </si>
  <si>
    <t>SCMS-32250</t>
  </si>
  <si>
    <t>ASN-3001</t>
  </si>
  <si>
    <t>SCMS-43870</t>
  </si>
  <si>
    <t>ASN-4687</t>
  </si>
  <si>
    <t>SCMS-157</t>
  </si>
  <si>
    <t>ASN-127</t>
  </si>
  <si>
    <t>SCMS-14221</t>
  </si>
  <si>
    <t>ASN-1595</t>
  </si>
  <si>
    <t>Lamivudine/Nevirapine/Stavudine 150/200/30mg, tablets, 60 Tabs</t>
  </si>
  <si>
    <t>Lamivudine/Nevirapine/Stavudine</t>
  </si>
  <si>
    <t>150/200/30mg</t>
  </si>
  <si>
    <t>SCMS-23611</t>
  </si>
  <si>
    <t>ASN-2727</t>
  </si>
  <si>
    <t>SCMS-30310</t>
  </si>
  <si>
    <t>ASN-3505</t>
  </si>
  <si>
    <t>SCMS-34690</t>
  </si>
  <si>
    <t>ASN-3853</t>
  </si>
  <si>
    <t>SCMS-38410</t>
  </si>
  <si>
    <t>ASN-4381</t>
  </si>
  <si>
    <t>Lopinavir/Ritonavir 200/50mg [Aluvia], tablets, 120 Tabs</t>
  </si>
  <si>
    <t>Aluvia</t>
  </si>
  <si>
    <t>200/50mg</t>
  </si>
  <si>
    <t>SCMS-43900</t>
  </si>
  <si>
    <t>ASN-4553</t>
  </si>
  <si>
    <t>SCMS-46500</t>
  </si>
  <si>
    <t>ASN-4223</t>
  </si>
  <si>
    <t>Hoffmann-La Roche ltd Basel</t>
  </si>
  <si>
    <t>Saquinavir 200mg [Invirase], capsules, 270 Caps</t>
  </si>
  <si>
    <t>Saquinavir</t>
  </si>
  <si>
    <t>Invirase</t>
  </si>
  <si>
    <t>SCMS-159</t>
  </si>
  <si>
    <t>ASN-125</t>
  </si>
  <si>
    <t>SUN PHARMACEUTICAL INDUSTRIES LTD (RANBAXY LABORATORIES LIMITED)</t>
  </si>
  <si>
    <t>Lamivudine 150mg, tablets, 60 Tabs</t>
  </si>
  <si>
    <t>Lamivudine</t>
  </si>
  <si>
    <t>150mg</t>
  </si>
  <si>
    <t>SCMS-26640</t>
  </si>
  <si>
    <t>ASN-2408</t>
  </si>
  <si>
    <t>GLAXOSMITHKLINE EXPORT LIMITED</t>
  </si>
  <si>
    <t>Abacavir 20mg/ml [Ziagen], oral solution, Bottle, 240 ml</t>
  </si>
  <si>
    <t>Ziagen</t>
  </si>
  <si>
    <t>20mg/ml</t>
  </si>
  <si>
    <t>SCMS-160</t>
  </si>
  <si>
    <t>ASN-124</t>
  </si>
  <si>
    <t>STRIDES ARCOLAB LIMITED</t>
  </si>
  <si>
    <t>SCMS-800</t>
  </si>
  <si>
    <t>ASN-719</t>
  </si>
  <si>
    <t>Didanosine 50mg [Videx], chewable tablets, 60 Tabs</t>
  </si>
  <si>
    <t>50mg</t>
  </si>
  <si>
    <t>Chewable/dispersible tablet</t>
  </si>
  <si>
    <t>ASN-1594</t>
  </si>
  <si>
    <t>ASN-1596</t>
  </si>
  <si>
    <t>SCMS-16220</t>
  </si>
  <si>
    <t>ASN-1329</t>
  </si>
  <si>
    <t>SCMS-16760</t>
  </si>
  <si>
    <t>ASN-1697</t>
  </si>
  <si>
    <t>SCMS-25530</t>
  </si>
  <si>
    <t>ASN-2068</t>
  </si>
  <si>
    <t>SCMS-38400</t>
  </si>
  <si>
    <t>ASN-3694</t>
  </si>
  <si>
    <t>SCMS-45660</t>
  </si>
  <si>
    <t>ASN-4378</t>
  </si>
  <si>
    <t>SCMS-46510</t>
  </si>
  <si>
    <t>ASN-4696</t>
  </si>
  <si>
    <t>SCMS-176</t>
  </si>
  <si>
    <t>ASN-129</t>
  </si>
  <si>
    <t>Lamivudine/Zidovudine+Nevirapine 150/300+200mg, tablets, co-blister, 60+60 Tabs</t>
  </si>
  <si>
    <t>Lamivudine/Zidovudine+Nevirapine</t>
  </si>
  <si>
    <t>150/300+200mg</t>
  </si>
  <si>
    <t>Tablet - FDC + co-blister</t>
  </si>
  <si>
    <t>SCMS-14220</t>
  </si>
  <si>
    <t>ASN-1305</t>
  </si>
  <si>
    <t>SCMS-14730</t>
  </si>
  <si>
    <t>ASN-1066</t>
  </si>
  <si>
    <t>SCMS-15220</t>
  </si>
  <si>
    <t>ASN-1696</t>
  </si>
  <si>
    <t>SCMS-36490</t>
  </si>
  <si>
    <t>ASN-3170</t>
  </si>
  <si>
    <t>SCMS-30311</t>
  </si>
  <si>
    <t>ASN-3852</t>
  </si>
  <si>
    <t>ASN-1067</t>
  </si>
  <si>
    <t>SCMS-25910</t>
  </si>
  <si>
    <t>ASN-2390</t>
  </si>
  <si>
    <t>SCMS-43790</t>
  </si>
  <si>
    <t>ASN-4460</t>
  </si>
  <si>
    <t>SO-1080</t>
  </si>
  <si>
    <t>DN-362</t>
  </si>
  <si>
    <t>SCMS from RDC</t>
  </si>
  <si>
    <t>From RDC</t>
  </si>
  <si>
    <t>N/A - From RDC</t>
  </si>
  <si>
    <t>SO-914</t>
  </si>
  <si>
    <t>DN-332</t>
  </si>
  <si>
    <t>N/A</t>
  </si>
  <si>
    <t>Zidovudine 10mg/ml, oral solution, Bottle, 240 ml</t>
  </si>
  <si>
    <t>Zidovudine</t>
  </si>
  <si>
    <t>10mg/ml</t>
  </si>
  <si>
    <t>SO-1342</t>
  </si>
  <si>
    <t>DN-459</t>
  </si>
  <si>
    <t>Stavudine 1mg/ml, powder for oral solution, 200 ml</t>
  </si>
  <si>
    <t>1mg/ml</t>
  </si>
  <si>
    <t>SO-1647</t>
  </si>
  <si>
    <t>DN-556</t>
  </si>
  <si>
    <t>SO-1715</t>
  </si>
  <si>
    <t>DN-588</t>
  </si>
  <si>
    <t>Emtricitabine/Tenofovir Disoproxil Fumarate 200/300mg [Truvada], tablets, 30 Tabs</t>
  </si>
  <si>
    <t>Emtricitabine/Tenofovir Disoproxil Fumarate</t>
  </si>
  <si>
    <t>Truvada</t>
  </si>
  <si>
    <t>300/200mg</t>
  </si>
  <si>
    <t>SO-1082</t>
  </si>
  <si>
    <t>DN-589</t>
  </si>
  <si>
    <t>SO-2560</t>
  </si>
  <si>
    <t>DN-826</t>
  </si>
  <si>
    <t>SO-1949</t>
  </si>
  <si>
    <t>DN-668</t>
  </si>
  <si>
    <t>SO-1301</t>
  </si>
  <si>
    <t>DN-480</t>
  </si>
  <si>
    <t>SO-2704</t>
  </si>
  <si>
    <t>DN-799</t>
  </si>
  <si>
    <t>SO-2720</t>
  </si>
  <si>
    <t>DN-765</t>
  </si>
  <si>
    <t>SO-17760</t>
  </si>
  <si>
    <t>DN-1143</t>
  </si>
  <si>
    <t>SO-17910</t>
  </si>
  <si>
    <t>DN-1068</t>
  </si>
  <si>
    <t>SO-24630</t>
  </si>
  <si>
    <t>DN-1118</t>
  </si>
  <si>
    <t>SO-19400</t>
  </si>
  <si>
    <t>DN-1027</t>
  </si>
  <si>
    <t>SO-17420</t>
  </si>
  <si>
    <t>DN-971</t>
  </si>
  <si>
    <t>SO-11821</t>
  </si>
  <si>
    <t>DN-890</t>
  </si>
  <si>
    <t>SO-22020</t>
  </si>
  <si>
    <t>DN-1052</t>
  </si>
  <si>
    <t>SO-2562</t>
  </si>
  <si>
    <t>DN-849</t>
  </si>
  <si>
    <t>Truck</t>
  </si>
  <si>
    <t>SO-17870</t>
  </si>
  <si>
    <t>DN-986</t>
  </si>
  <si>
    <t>SO-11820</t>
  </si>
  <si>
    <t>DN-868</t>
  </si>
  <si>
    <t>SO-30100</t>
  </si>
  <si>
    <t>DN-1232</t>
  </si>
  <si>
    <t>SO-31280</t>
  </si>
  <si>
    <t>DN-1368</t>
  </si>
  <si>
    <t>SO-33570</t>
  </si>
  <si>
    <t>DN-1464</t>
  </si>
  <si>
    <t>SO-31283</t>
  </si>
  <si>
    <t>DN-1470</t>
  </si>
  <si>
    <t>SO-33400</t>
  </si>
  <si>
    <t>DN-1480</t>
  </si>
  <si>
    <t>SO-249</t>
  </si>
  <si>
    <t>DN-6</t>
  </si>
  <si>
    <t>SO-290</t>
  </si>
  <si>
    <t>DN-9</t>
  </si>
  <si>
    <t>Nelfinavir (as mesilate) 250mg [Viracept], tablets, 270 Tabs</t>
  </si>
  <si>
    <t>Nelfinavir (as mesilate)</t>
  </si>
  <si>
    <t>Viracept</t>
  </si>
  <si>
    <t>SO-481</t>
  </si>
  <si>
    <t>DN-100</t>
  </si>
  <si>
    <t>Abacavir 20mg/ml, oral solution, Bottle, 240 ml</t>
  </si>
  <si>
    <t>SO-606</t>
  </si>
  <si>
    <t>DN-168</t>
  </si>
  <si>
    <t>SO-428</t>
  </si>
  <si>
    <t>DN-161</t>
  </si>
  <si>
    <t>SO-850</t>
  </si>
  <si>
    <t>DN-281</t>
  </si>
  <si>
    <t>SO-455</t>
  </si>
  <si>
    <t>DN-290</t>
  </si>
  <si>
    <t>SO-895</t>
  </si>
  <si>
    <t>DN-298</t>
  </si>
  <si>
    <t>Lamivudine 10mg/ml, oral solution, Bottle, 240 ml</t>
  </si>
  <si>
    <t>SO-1123</t>
  </si>
  <si>
    <t>DN-381</t>
  </si>
  <si>
    <t>SO-1085</t>
  </si>
  <si>
    <t>DN-430</t>
  </si>
  <si>
    <t>SO-1300</t>
  </si>
  <si>
    <t>DN-435</t>
  </si>
  <si>
    <t>SO-1527</t>
  </si>
  <si>
    <t>DN-522</t>
  </si>
  <si>
    <t>Stavudine 20mg, capsules, 60 Caps</t>
  </si>
  <si>
    <t>20mg</t>
  </si>
  <si>
    <t>SO-1514</t>
  </si>
  <si>
    <t>DN-518</t>
  </si>
  <si>
    <t>SO-1533</t>
  </si>
  <si>
    <t>DN-528</t>
  </si>
  <si>
    <t>SO-1525</t>
  </si>
  <si>
    <t>DN-530</t>
  </si>
  <si>
    <t>Efavirenz 200mg [Stocrin/Sustiva], capsule, 90 Caps</t>
  </si>
  <si>
    <t>Stocrin/Sustiva</t>
  </si>
  <si>
    <t>SO-1513</t>
  </si>
  <si>
    <t>DN-516</t>
  </si>
  <si>
    <t>SO-1515</t>
  </si>
  <si>
    <t>DN-570</t>
  </si>
  <si>
    <t>SO-1532</t>
  </si>
  <si>
    <t>DN-574</t>
  </si>
  <si>
    <t>SO-1648</t>
  </si>
  <si>
    <t>DN-559</t>
  </si>
  <si>
    <t>Didanosine 100mg, chewable/dispersible tablets, 60 Tabs</t>
  </si>
  <si>
    <t>100mg</t>
  </si>
  <si>
    <t>SO-1719</t>
  </si>
  <si>
    <t>DN-593</t>
  </si>
  <si>
    <t>Zidovudine 300mg, tablets, 60 Tabs</t>
  </si>
  <si>
    <t>SO-2662</t>
  </si>
  <si>
    <t>DN-758</t>
  </si>
  <si>
    <t>SO-2000</t>
  </si>
  <si>
    <t>DN-722</t>
  </si>
  <si>
    <t>SO-1695</t>
  </si>
  <si>
    <t>DN-663</t>
  </si>
  <si>
    <t>SO-2791</t>
  </si>
  <si>
    <t>DN-794</t>
  </si>
  <si>
    <t>SO-2674</t>
  </si>
  <si>
    <t>DN-797</t>
  </si>
  <si>
    <t>SO-1518</t>
  </si>
  <si>
    <t>DN-634</t>
  </si>
  <si>
    <t>SO-1696</t>
  </si>
  <si>
    <t>DN-763</t>
  </si>
  <si>
    <t>SO-13190</t>
  </si>
  <si>
    <t>DN-922</t>
  </si>
  <si>
    <t>SO-17720</t>
  </si>
  <si>
    <t>DN-1043</t>
  </si>
  <si>
    <t>SO-2566</t>
  </si>
  <si>
    <t>DN-891</t>
  </si>
  <si>
    <t>SO-17890</t>
  </si>
  <si>
    <t>DN-1092</t>
  </si>
  <si>
    <t>SO-17830</t>
  </si>
  <si>
    <t>DN-990</t>
  </si>
  <si>
    <t>SO-17780</t>
  </si>
  <si>
    <t>DN-995</t>
  </si>
  <si>
    <t>SO-22010</t>
  </si>
  <si>
    <t>DN-1061</t>
  </si>
  <si>
    <t>SO-27300</t>
  </si>
  <si>
    <t>DN-1169</t>
  </si>
  <si>
    <t>SO-18740</t>
  </si>
  <si>
    <t>DN-1180</t>
  </si>
  <si>
    <t>SO-26150</t>
  </si>
  <si>
    <t>DN-1223</t>
  </si>
  <si>
    <t>SO-26151</t>
  </si>
  <si>
    <t>DN-1224</t>
  </si>
  <si>
    <t>SO-30060</t>
  </si>
  <si>
    <t>DN-1227</t>
  </si>
  <si>
    <t>SO-31140</t>
  </si>
  <si>
    <t>DN-1262</t>
  </si>
  <si>
    <t>SO-31360</t>
  </si>
  <si>
    <t>DN-1287</t>
  </si>
  <si>
    <t>SO-32960</t>
  </si>
  <si>
    <t>DN-1414</t>
  </si>
  <si>
    <t>SO-30150</t>
  </si>
  <si>
    <t>DN-1426</t>
  </si>
  <si>
    <t>SO-441</t>
  </si>
  <si>
    <t>DN-246</t>
  </si>
  <si>
    <t>SO-496</t>
  </si>
  <si>
    <t>DN-247</t>
  </si>
  <si>
    <t>Ritonavir 100mg [Norvir], capsules, cool, 4 x 84 Caps</t>
  </si>
  <si>
    <t>Ritonavir</t>
  </si>
  <si>
    <t>Norvir</t>
  </si>
  <si>
    <t>SO-456</t>
  </si>
  <si>
    <t>DN-291</t>
  </si>
  <si>
    <t>SO-896</t>
  </si>
  <si>
    <t>DN-297</t>
  </si>
  <si>
    <t>SO-1542</t>
  </si>
  <si>
    <t>DN-529</t>
  </si>
  <si>
    <t>SO-1682</t>
  </si>
  <si>
    <t>DN-580</t>
  </si>
  <si>
    <t>SO-1964</t>
  </si>
  <si>
    <t>DN-659</t>
  </si>
  <si>
    <t>SO-1974</t>
  </si>
  <si>
    <t>DN-703</t>
  </si>
  <si>
    <t>SO-2343</t>
  </si>
  <si>
    <t>DN-816</t>
  </si>
  <si>
    <t>SO-2344</t>
  </si>
  <si>
    <t>DN-818</t>
  </si>
  <si>
    <t>SO-13300</t>
  </si>
  <si>
    <t>DN-903</t>
  </si>
  <si>
    <t>SO-17430</t>
  </si>
  <si>
    <t>DN-968</t>
  </si>
  <si>
    <t>Lamivudine/Stavudine 150/30mg, tablets, 60 Tabs</t>
  </si>
  <si>
    <t>Lamivudine/Stavudine</t>
  </si>
  <si>
    <t>150/30mg</t>
  </si>
  <si>
    <t>SO-18710</t>
  </si>
  <si>
    <t>DN-1073</t>
  </si>
  <si>
    <t>SO-17753</t>
  </si>
  <si>
    <t>DN-1084</t>
  </si>
  <si>
    <t>SO-17754</t>
  </si>
  <si>
    <t>DN-1125</t>
  </si>
  <si>
    <t>SO-17710</t>
  </si>
  <si>
    <t>DN-996</t>
  </si>
  <si>
    <t>SO-22050</t>
  </si>
  <si>
    <t>DN-1105</t>
  </si>
  <si>
    <t>SO-2676</t>
  </si>
  <si>
    <t>DN-915</t>
  </si>
  <si>
    <t>SO-27280</t>
  </si>
  <si>
    <t>DN-1167</t>
  </si>
  <si>
    <t>SO-29010</t>
  </si>
  <si>
    <t>DN-1193</t>
  </si>
  <si>
    <t>Kenya</t>
  </si>
  <si>
    <t>Efavirenz 30mg/ml [Stocrin/Sustiva], oral solution, Bottle, 180 ml</t>
  </si>
  <si>
    <t>30mg/ml</t>
  </si>
  <si>
    <t>SO-26140</t>
  </si>
  <si>
    <t>DN-1222</t>
  </si>
  <si>
    <t>SO-31284</t>
  </si>
  <si>
    <t>DN-1565</t>
  </si>
  <si>
    <t>SO-308</t>
  </si>
  <si>
    <t>DN-25</t>
  </si>
  <si>
    <t>SO-422</t>
  </si>
  <si>
    <t>DN-127</t>
  </si>
  <si>
    <t>SO-396</t>
  </si>
  <si>
    <t>DN-43</t>
  </si>
  <si>
    <t>Stavudine 40mg, capsules, 60 Caps</t>
  </si>
  <si>
    <t>40mg</t>
  </si>
  <si>
    <t>SO-1302</t>
  </si>
  <si>
    <t>DN-489</t>
  </si>
  <si>
    <t>SO-1534</t>
  </si>
  <si>
    <t>DN-590</t>
  </si>
  <si>
    <t>SO-1512</t>
  </si>
  <si>
    <t>DN-517</t>
  </si>
  <si>
    <t>SO-1601</t>
  </si>
  <si>
    <t>DN-577</t>
  </si>
  <si>
    <t>SO-1523</t>
  </si>
  <si>
    <t>DN-540</t>
  </si>
  <si>
    <t>SO-1942</t>
  </si>
  <si>
    <t>DN-654</t>
  </si>
  <si>
    <t>Lamivudine/Stavudine 150/30mg, tablets, 30 Tabs</t>
  </si>
  <si>
    <t>SO-1651</t>
  </si>
  <si>
    <t>DN-636</t>
  </si>
  <si>
    <t>SO-1928</t>
  </si>
  <si>
    <t>DN-652</t>
  </si>
  <si>
    <t>SO-1537</t>
  </si>
  <si>
    <t>DN-631</t>
  </si>
  <si>
    <t>SO-2721</t>
  </si>
  <si>
    <t>DN-766</t>
  </si>
  <si>
    <t>SO-2682</t>
  </si>
  <si>
    <t>DN-902</t>
  </si>
  <si>
    <t>SO-18340</t>
  </si>
  <si>
    <t>DN-1003</t>
  </si>
  <si>
    <t>SO-17790</t>
  </si>
  <si>
    <t>DN-1082</t>
  </si>
  <si>
    <t>SO-17770</t>
  </si>
  <si>
    <t>DN-998</t>
  </si>
  <si>
    <t>SO-24620</t>
  </si>
  <si>
    <t>DN-1117</t>
  </si>
  <si>
    <t>SO-23980</t>
  </si>
  <si>
    <t>DN-1107</t>
  </si>
  <si>
    <t>SO-17440</t>
  </si>
  <si>
    <t>DN-969</t>
  </si>
  <si>
    <t>SO-1697</t>
  </si>
  <si>
    <t>DN-893</t>
  </si>
  <si>
    <t>SO-17700</t>
  </si>
  <si>
    <t>DN-992</t>
  </si>
  <si>
    <t>SO-10180</t>
  </si>
  <si>
    <t>DN-898</t>
  </si>
  <si>
    <t>SO-2563</t>
  </si>
  <si>
    <t>DN-899</t>
  </si>
  <si>
    <t>Tenofovir Disoproxil Fumarate 300mg, tablets, 30 Tabs</t>
  </si>
  <si>
    <t>SO-17820</t>
  </si>
  <si>
    <t>DN-985</t>
  </si>
  <si>
    <t>SO-22000</t>
  </si>
  <si>
    <t>DN-1060</t>
  </si>
  <si>
    <t>SO-22040</t>
  </si>
  <si>
    <t>DN-1110</t>
  </si>
  <si>
    <t>SO-17230</t>
  </si>
  <si>
    <t>DN-961</t>
  </si>
  <si>
    <t>SO-26161</t>
  </si>
  <si>
    <t>DN-1226</t>
  </si>
  <si>
    <t>SO-30111</t>
  </si>
  <si>
    <t>DN-1253</t>
  </si>
  <si>
    <t>SO-31450</t>
  </si>
  <si>
    <t>DN-1282</t>
  </si>
  <si>
    <t>SO-32120</t>
  </si>
  <si>
    <t>DN-1303</t>
  </si>
  <si>
    <t>SO-31460</t>
  </si>
  <si>
    <t>DN-1300</t>
  </si>
  <si>
    <t>SO-32920</t>
  </si>
  <si>
    <t>DN-1397</t>
  </si>
  <si>
    <t>SO-32150</t>
  </si>
  <si>
    <t>DN-1418</t>
  </si>
  <si>
    <t>SO-33000</t>
  </si>
  <si>
    <t>DN-1468</t>
  </si>
  <si>
    <t>SO-33750</t>
  </si>
  <si>
    <t>DN-1484</t>
  </si>
  <si>
    <t>SO-34570</t>
  </si>
  <si>
    <t>DN-1558</t>
  </si>
  <si>
    <t>SO-632</t>
  </si>
  <si>
    <t>DN-169</t>
  </si>
  <si>
    <t>SO-769</t>
  </si>
  <si>
    <t>DN-275</t>
  </si>
  <si>
    <t>SO-445</t>
  </si>
  <si>
    <t>DN-241</t>
  </si>
  <si>
    <t>SO-633</t>
  </si>
  <si>
    <t>DN-243</t>
  </si>
  <si>
    <t>SO-771</t>
  </si>
  <si>
    <t>DN-293</t>
  </si>
  <si>
    <t>SO-1009</t>
  </si>
  <si>
    <t>DN-495</t>
  </si>
  <si>
    <t>Nevirapine 10mg/ml, oral suspension, Bottle, 240 ml</t>
  </si>
  <si>
    <t>Oral suspension</t>
  </si>
  <si>
    <t>SO-1531</t>
  </si>
  <si>
    <t>DN-526</t>
  </si>
  <si>
    <t>SO-1516</t>
  </si>
  <si>
    <t>DN-511</t>
  </si>
  <si>
    <t>SO-1536</t>
  </si>
  <si>
    <t>DN-576</t>
  </si>
  <si>
    <t>SO-1304</t>
  </si>
  <si>
    <t>DN-550</t>
  </si>
  <si>
    <t>SO-1528</t>
  </si>
  <si>
    <t>DN-542</t>
  </si>
  <si>
    <t>SO-1943</t>
  </si>
  <si>
    <t>DN-664</t>
  </si>
  <si>
    <t>SO-1999</t>
  </si>
  <si>
    <t>DN-696</t>
  </si>
  <si>
    <t>SO-17220</t>
  </si>
  <si>
    <t>DN-962</t>
  </si>
  <si>
    <t>SO-23000</t>
  </si>
  <si>
    <t>DN-1074</t>
  </si>
  <si>
    <t>SO-2565</t>
  </si>
  <si>
    <t>DN-853</t>
  </si>
  <si>
    <t>Efavirenz 200mg, capsule, 90 Caps</t>
  </si>
  <si>
    <t>SO-30081</t>
  </si>
  <si>
    <t>DN-1320</t>
  </si>
  <si>
    <t>SO-30080</t>
  </si>
  <si>
    <t>DN-1322</t>
  </si>
  <si>
    <t>SO-32930</t>
  </si>
  <si>
    <t>DN-1402</t>
  </si>
  <si>
    <t>SO-31470</t>
  </si>
  <si>
    <t>DN-1415</t>
  </si>
  <si>
    <t>SO-33630</t>
  </si>
  <si>
    <t>DN-1471</t>
  </si>
  <si>
    <t>SO-34000</t>
  </si>
  <si>
    <t>DN-1489</t>
  </si>
  <si>
    <t>SO-33150</t>
  </si>
  <si>
    <t>DN-1490</t>
  </si>
  <si>
    <t>SO-35210</t>
  </si>
  <si>
    <t>DN-1588</t>
  </si>
  <si>
    <t>SO-34580</t>
  </si>
  <si>
    <t>DN-1610</t>
  </si>
  <si>
    <t>SO-814</t>
  </si>
  <si>
    <t>DN-263</t>
  </si>
  <si>
    <t>Indinavir 400mg [Crixivan], capsules, 180 Caps</t>
  </si>
  <si>
    <t>Indinavir</t>
  </si>
  <si>
    <t>Crixivan</t>
  </si>
  <si>
    <t>SO-457</t>
  </si>
  <si>
    <t>DN-292</t>
  </si>
  <si>
    <t>SO-1524</t>
  </si>
  <si>
    <t>DN-521</t>
  </si>
  <si>
    <t>SO-1530</t>
  </si>
  <si>
    <t>DN-525</t>
  </si>
  <si>
    <t>SO-1941</t>
  </si>
  <si>
    <t>DN-653</t>
  </si>
  <si>
    <t>SO-2342</t>
  </si>
  <si>
    <t>DN-715</t>
  </si>
  <si>
    <t>SO-2675</t>
  </si>
  <si>
    <t>DN-835</t>
  </si>
  <si>
    <t>SO-2792</t>
  </si>
  <si>
    <t>DN-793</t>
  </si>
  <si>
    <t>SO-1652</t>
  </si>
  <si>
    <t>DN-637</t>
  </si>
  <si>
    <t>SO-17750</t>
  </si>
  <si>
    <t>DN-1083</t>
  </si>
  <si>
    <t>SO-21990</t>
  </si>
  <si>
    <t>DN-1051</t>
  </si>
  <si>
    <t>SO-18722</t>
  </si>
  <si>
    <t>DN-1075</t>
  </si>
  <si>
    <t>SO-17900</t>
  </si>
  <si>
    <t>DN-987</t>
  </si>
  <si>
    <t>SO-22030</t>
  </si>
  <si>
    <t>DN-1062</t>
  </si>
  <si>
    <t>SO-22190</t>
  </si>
  <si>
    <t>DN-1091</t>
  </si>
  <si>
    <t>SO-26160</t>
  </si>
  <si>
    <t>DN-1225</t>
  </si>
  <si>
    <t>SO-26170</t>
  </si>
  <si>
    <t>DN-1293</t>
  </si>
  <si>
    <t>SO-32800</t>
  </si>
  <si>
    <t>DN-1385</t>
  </si>
  <si>
    <t>SO-32950</t>
  </si>
  <si>
    <t>DN-1399</t>
  </si>
  <si>
    <t>SO-31281</t>
  </si>
  <si>
    <t>DN-1430</t>
  </si>
  <si>
    <t>SO-33640</t>
  </si>
  <si>
    <t>DN-1472</t>
  </si>
  <si>
    <t>SO-34290</t>
  </si>
  <si>
    <t>DN-1528</t>
  </si>
  <si>
    <t>SO-34581</t>
  </si>
  <si>
    <t>DN-1584</t>
  </si>
  <si>
    <t>SO-602</t>
  </si>
  <si>
    <t>DN-156</t>
  </si>
  <si>
    <t>SO-768</t>
  </si>
  <si>
    <t>DN-239</t>
  </si>
  <si>
    <t>SO-1075</t>
  </si>
  <si>
    <t>DN-360</t>
  </si>
  <si>
    <t>SO-919</t>
  </si>
  <si>
    <t>DN-389</t>
  </si>
  <si>
    <t>DN-537</t>
  </si>
  <si>
    <t>SO-1522</t>
  </si>
  <si>
    <t>DN-519</t>
  </si>
  <si>
    <t>SO-1529</t>
  </si>
  <si>
    <t>DN-524</t>
  </si>
  <si>
    <t>SO-2556</t>
  </si>
  <si>
    <t>DN-748</t>
  </si>
  <si>
    <t>SO-2559</t>
  </si>
  <si>
    <t>DN-791</t>
  </si>
  <si>
    <t>SO-2341</t>
  </si>
  <si>
    <t>DN-714</t>
  </si>
  <si>
    <t>SO-2558</t>
  </si>
  <si>
    <t>DN-764</t>
  </si>
  <si>
    <t>SO-2358</t>
  </si>
  <si>
    <t>DN-720</t>
  </si>
  <si>
    <t>SO-2001</t>
  </si>
  <si>
    <t>DN-757</t>
  </si>
  <si>
    <t>SO-2564</t>
  </si>
  <si>
    <t>DN-751</t>
  </si>
  <si>
    <t>SO-2677</t>
  </si>
  <si>
    <t>DN-789</t>
  </si>
  <si>
    <t>SO-17450</t>
  </si>
  <si>
    <t>DN-970</t>
  </si>
  <si>
    <t>Ocean</t>
  </si>
  <si>
    <t>SO-17752</t>
  </si>
  <si>
    <t>DN-1093</t>
  </si>
  <si>
    <t>SO-17911</t>
  </si>
  <si>
    <t>DN-1094</t>
  </si>
  <si>
    <t>SO-26180</t>
  </si>
  <si>
    <t>DN-1197</t>
  </si>
  <si>
    <t>SO-30110</t>
  </si>
  <si>
    <t>DN-1256</t>
  </si>
  <si>
    <t>SO-31430</t>
  </si>
  <si>
    <t>DN-1281</t>
  </si>
  <si>
    <t>SO-30120</t>
  </si>
  <si>
    <t>DN-1369</t>
  </si>
  <si>
    <t>SO-18750</t>
  </si>
  <si>
    <t>DN-1431</t>
  </si>
  <si>
    <t>SO-31282</t>
  </si>
  <si>
    <t>DN-1459</t>
  </si>
  <si>
    <t>SO-490</t>
  </si>
  <si>
    <t>DN-110</t>
  </si>
  <si>
    <t>SO-489</t>
  </si>
  <si>
    <t>DN-248</t>
  </si>
  <si>
    <t>SO-1081</t>
  </si>
  <si>
    <t>DN-363</t>
  </si>
  <si>
    <t>DN-520</t>
  </si>
  <si>
    <t>SO-1820</t>
  </si>
  <si>
    <t>DN-622</t>
  </si>
  <si>
    <t>DN-541</t>
  </si>
  <si>
    <t>SO-1299</t>
  </si>
  <si>
    <t>DN-534</t>
  </si>
  <si>
    <t>SO-10970</t>
  </si>
  <si>
    <t>DN-831</t>
  </si>
  <si>
    <t>SO-1950</t>
  </si>
  <si>
    <t>DN-669</t>
  </si>
  <si>
    <t>SO-1995</t>
  </si>
  <si>
    <t>DN-683</t>
  </si>
  <si>
    <t>DN-630</t>
  </si>
  <si>
    <t>SO-2621</t>
  </si>
  <si>
    <t>DN-812</t>
  </si>
  <si>
    <t>SO-2561</t>
  </si>
  <si>
    <t>DN-845</t>
  </si>
  <si>
    <t>SO-21980</t>
  </si>
  <si>
    <t>DN-1049</t>
  </si>
  <si>
    <t>SO-14230</t>
  </si>
  <si>
    <t>DN-907</t>
  </si>
  <si>
    <t>SO-21350</t>
  </si>
  <si>
    <t>DN-1037</t>
  </si>
  <si>
    <t>SO-17751</t>
  </si>
  <si>
    <t>DN-1077</t>
  </si>
  <si>
    <t>SO-11860</t>
  </si>
  <si>
    <t>DN-852</t>
  </si>
  <si>
    <t>SO-30070</t>
  </si>
  <si>
    <t>DN-1254</t>
  </si>
  <si>
    <t>SO-31440</t>
  </si>
  <si>
    <t>DN-1408</t>
  </si>
  <si>
    <t>SO-32940</t>
  </si>
  <si>
    <t>DN-1425</t>
  </si>
  <si>
    <t>SO-34350</t>
  </si>
  <si>
    <t>DN-1502</t>
  </si>
  <si>
    <t>SCMS-84420</t>
  </si>
  <si>
    <t>ASN-8578</t>
  </si>
  <si>
    <t>Lamivudine/Tenofovir Disoproxil Fumarate 300/300mg, tablets, 30 Tabs</t>
  </si>
  <si>
    <t>Lamivudine/Tenofovir Disoproxil Fumarate</t>
  </si>
  <si>
    <t>300/300mg</t>
  </si>
  <si>
    <t>SCMS-143480</t>
  </si>
  <si>
    <t>ASN-14973</t>
  </si>
  <si>
    <t>DDP</t>
  </si>
  <si>
    <t>Etravirine 100mg [Intelence], tablets, 120 Tabs</t>
  </si>
  <si>
    <t>Etravirine</t>
  </si>
  <si>
    <t>Intelence</t>
  </si>
  <si>
    <t>SCMS-50290</t>
  </si>
  <si>
    <t>ASN-6267</t>
  </si>
  <si>
    <t>Nevirapine 50mg, dispersible tablets (tablets for oral suspension), 30 Tabs</t>
  </si>
  <si>
    <t>SCMS-192080</t>
  </si>
  <si>
    <t>ASN-22594</t>
  </si>
  <si>
    <t>SCMS-200851</t>
  </si>
  <si>
    <t>ASN-24301</t>
  </si>
  <si>
    <t>Efavirenz 50mg, capsule, 30 Caps</t>
  </si>
  <si>
    <t>SCMS-176980</t>
  </si>
  <si>
    <t>ASN-18319</t>
  </si>
  <si>
    <t>SCMS-212350</t>
  </si>
  <si>
    <t>ASN-24417</t>
  </si>
  <si>
    <t>Lamivudine/Zidovudine 30/60mg, dispersible tablets, 60 Tabs</t>
  </si>
  <si>
    <t>30/60mg</t>
  </si>
  <si>
    <t>Chewable/dispersible tablet - FDC</t>
  </si>
  <si>
    <t>SCMS-62830</t>
  </si>
  <si>
    <t>ASN-6210</t>
  </si>
  <si>
    <t>SCMS-156530</t>
  </si>
  <si>
    <t>ASN-16470</t>
  </si>
  <si>
    <t>SCMS-210920</t>
  </si>
  <si>
    <t>ASN-24302</t>
  </si>
  <si>
    <t>SCMS-126230</t>
  </si>
  <si>
    <t>ASN-15270</t>
  </si>
  <si>
    <t>SCMS-227720</t>
  </si>
  <si>
    <t>ASN-25269</t>
  </si>
  <si>
    <t>Nevirapine 10mg/ml, oral suspension w/syringe, Bottle, 240 ml</t>
  </si>
  <si>
    <t>SCMS-268601</t>
  </si>
  <si>
    <t>ASN-31659</t>
  </si>
  <si>
    <t>SWORDS LABORATORIES</t>
  </si>
  <si>
    <t>Atazanavir 200mg [Reyataz], capsules, 60 Caps</t>
  </si>
  <si>
    <t>Atazanavir</t>
  </si>
  <si>
    <t>Reyataz</t>
  </si>
  <si>
    <t>SCMS-82750</t>
  </si>
  <si>
    <t>ASN-8080</t>
  </si>
  <si>
    <t>Efavirenz/Emtricitabine/Tenofovir Disoproxil Fumarate 600/200/300mg, tablets, 30 Tabs</t>
  </si>
  <si>
    <t>SCMS-58220</t>
  </si>
  <si>
    <t>ASN-6150</t>
  </si>
  <si>
    <t>SCMS-83350</t>
  </si>
  <si>
    <t>ASN-9219</t>
  </si>
  <si>
    <t>Efavirenz/Lamivudine/Tenofovir Disoproxil Fumarate 600/300/300mg, tablets, 30 Tabs</t>
  </si>
  <si>
    <t>Efavirenz/Lamivudine/Tenofovir Disoproxil Fumarate</t>
  </si>
  <si>
    <t>600/300/300mg</t>
  </si>
  <si>
    <t>SCMS-83330</t>
  </si>
  <si>
    <t>ASN-9332</t>
  </si>
  <si>
    <t>Lopinavir/Ritonavir 200/50mg, tablets, 120 Tabs</t>
  </si>
  <si>
    <t>SCMS-84411</t>
  </si>
  <si>
    <t>ASN-9660</t>
  </si>
  <si>
    <t>SCMS-61200</t>
  </si>
  <si>
    <t>ASN-6004</t>
  </si>
  <si>
    <t>SCMS-137552</t>
  </si>
  <si>
    <t>ASN-15729</t>
  </si>
  <si>
    <t>SCMS-129870</t>
  </si>
  <si>
    <t>ASN-13373</t>
  </si>
  <si>
    <t>SCMS-84940</t>
  </si>
  <si>
    <t>ASN-10070</t>
  </si>
  <si>
    <t>SCMS-72390</t>
  </si>
  <si>
    <t>ASN-9567</t>
  </si>
  <si>
    <t>Didanosine 250mg, delayed-release capsules, 30 Caps</t>
  </si>
  <si>
    <t>Delayed-release capsules</t>
  </si>
  <si>
    <t>SCMS-198780</t>
  </si>
  <si>
    <t>ASN-20860</t>
  </si>
  <si>
    <t>SCMS-47770</t>
  </si>
  <si>
    <t>ASN-5364</t>
  </si>
  <si>
    <t>SCMS-98320</t>
  </si>
  <si>
    <t>ASN-12361</t>
  </si>
  <si>
    <t>Didanosine 400mg, delayed-release capsules, 30 Caps</t>
  </si>
  <si>
    <t>SCMS-117230</t>
  </si>
  <si>
    <t>ASN-13952</t>
  </si>
  <si>
    <t>LAWRENCE LABORATORIES (SUBSIDIARY OF BRISTOL MYERS SQUIBB)</t>
  </si>
  <si>
    <t>Didanosine 100mg [Videx],chewable tablets, 60 Tabs</t>
  </si>
  <si>
    <t>SCMS-84930</t>
  </si>
  <si>
    <t>ASN-12601</t>
  </si>
  <si>
    <t>SCMS-219200</t>
  </si>
  <si>
    <t>ASN-24662</t>
  </si>
  <si>
    <t>SCMS-129500</t>
  </si>
  <si>
    <t>ASN-15286</t>
  </si>
  <si>
    <t>SCMS-48840</t>
  </si>
  <si>
    <t>ASN-5452</t>
  </si>
  <si>
    <t>ASN-25267</t>
  </si>
  <si>
    <t>SCMS-76980</t>
  </si>
  <si>
    <t>ASN-7444</t>
  </si>
  <si>
    <t>SCMS-49090</t>
  </si>
  <si>
    <t>ASN-7249</t>
  </si>
  <si>
    <t>SCMS-103290</t>
  </si>
  <si>
    <t>ASN-10811</t>
  </si>
  <si>
    <t>SCMS-236750</t>
  </si>
  <si>
    <t>ASN-25904</t>
  </si>
  <si>
    <t>Efavirenz 200mg, scored tablets, 90 Tabs</t>
  </si>
  <si>
    <t>SCMS-47760</t>
  </si>
  <si>
    <t>ASN-4974</t>
  </si>
  <si>
    <t>SCMS-71450</t>
  </si>
  <si>
    <t>ASN-8079</t>
  </si>
  <si>
    <t>EMCURE PHARMACEUTICALS LTD</t>
  </si>
  <si>
    <t>Atazanavir 150mg, capsules, 60 Caps</t>
  </si>
  <si>
    <t>SCMS-129760</t>
  </si>
  <si>
    <t>ASN-15231</t>
  </si>
  <si>
    <t>SCMS-186920</t>
  </si>
  <si>
    <t>ASN-20340</t>
  </si>
  <si>
    <t>Atazanavir/Ritonavir 300/100mg, tablets, 30 Tabs</t>
  </si>
  <si>
    <t>Atazanavir/Ritonavir</t>
  </si>
  <si>
    <t>300/100mg</t>
  </si>
  <si>
    <t>SCMS-202560</t>
  </si>
  <si>
    <t>ASN-22984</t>
  </si>
  <si>
    <t>Nevirapine 10mg/ml, oral suspension w/syringe, Bottle, 100 ml</t>
  </si>
  <si>
    <t>SCMS-54140</t>
  </si>
  <si>
    <t>ASN-5318</t>
  </si>
  <si>
    <t>SCMS-137421</t>
  </si>
  <si>
    <t>ASN-15443</t>
  </si>
  <si>
    <t>SCMS-142320</t>
  </si>
  <si>
    <t>ASN-15425</t>
  </si>
  <si>
    <t>SCMS-235960</t>
  </si>
  <si>
    <t>ASN-27544</t>
  </si>
  <si>
    <t>Atazanavir 200mg, capsules, 60 Caps</t>
  </si>
  <si>
    <t>ASN-22986</t>
  </si>
  <si>
    <t>SCMS-129780</t>
  </si>
  <si>
    <t>ASN-13341</t>
  </si>
  <si>
    <t>SCMS-244400</t>
  </si>
  <si>
    <t>ASN-28662</t>
  </si>
  <si>
    <t>Raltegravir 400mg [Isentress], tablets, 60 Tabs</t>
  </si>
  <si>
    <t>Raltegravir</t>
  </si>
  <si>
    <t>Isentress</t>
  </si>
  <si>
    <t>SCMS-96930</t>
  </si>
  <si>
    <t>ASN-10455</t>
  </si>
  <si>
    <t>SCMS-94240</t>
  </si>
  <si>
    <t>ASN-9436</t>
  </si>
  <si>
    <t>SCMS-232850</t>
  </si>
  <si>
    <t>ASN-25559</t>
  </si>
  <si>
    <t>Lamivudine/Nevirapine/Zidovudine 30/50/60mg, dispersible tablets, 60 Tabs</t>
  </si>
  <si>
    <t>30/50/60mg</t>
  </si>
  <si>
    <t>SCMS-193860</t>
  </si>
  <si>
    <t>ASN-21926</t>
  </si>
  <si>
    <t>SCMS-71420</t>
  </si>
  <si>
    <t>ASN-7131</t>
  </si>
  <si>
    <t>ASN-22985</t>
  </si>
  <si>
    <t>SCMS-198541</t>
  </si>
  <si>
    <t>ASN-22494</t>
  </si>
  <si>
    <t>SCMS-233190</t>
  </si>
  <si>
    <t>ASN-25567</t>
  </si>
  <si>
    <t>SCMS-192060</t>
  </si>
  <si>
    <t>ASN-22498</t>
  </si>
  <si>
    <t>Ritonavir 100mg [Norvir], film coated tablets, 60 Tabs</t>
  </si>
  <si>
    <t>SCMS-236760</t>
  </si>
  <si>
    <t>ASN-25903</t>
  </si>
  <si>
    <t>ASN-22496</t>
  </si>
  <si>
    <t>Lamivudine/Zidovudine 30/60mg, tablets, 60 Tabs</t>
  </si>
  <si>
    <t>SCMS-126490</t>
  </si>
  <si>
    <t>ASN-14125</t>
  </si>
  <si>
    <t>SCMS-104120</t>
  </si>
  <si>
    <t>ASN-11009</t>
  </si>
  <si>
    <t>Darunavir 300mg [Prezista], tablets, 120 Tabs</t>
  </si>
  <si>
    <t>Darunavir</t>
  </si>
  <si>
    <t>Prezista</t>
  </si>
  <si>
    <t>SCMS-63650</t>
  </si>
  <si>
    <t>ASN-6167</t>
  </si>
  <si>
    <t>SCMS-162530</t>
  </si>
  <si>
    <t>ASN-18216</t>
  </si>
  <si>
    <t>SCMS-198771</t>
  </si>
  <si>
    <t>ASN-22835</t>
  </si>
  <si>
    <t>SCMS-272600</t>
  </si>
  <si>
    <t>ASN-30399</t>
  </si>
  <si>
    <t>SCMS-48872</t>
  </si>
  <si>
    <t>ASN-6489</t>
  </si>
  <si>
    <t>SCMS-48890</t>
  </si>
  <si>
    <t>ASN-6725</t>
  </si>
  <si>
    <t>SCMS-52560</t>
  </si>
  <si>
    <t>ASN-5281</t>
  </si>
  <si>
    <t>SCMS-50800</t>
  </si>
  <si>
    <t>ASN-5455</t>
  </si>
  <si>
    <t>SCMS-148080</t>
  </si>
  <si>
    <t>ASN-15260</t>
  </si>
  <si>
    <t>SCMS-239380</t>
  </si>
  <si>
    <t>ASN-27718</t>
  </si>
  <si>
    <t>SCMS-48920</t>
  </si>
  <si>
    <t>ASN-5840</t>
  </si>
  <si>
    <t>SCMS-162740</t>
  </si>
  <si>
    <t>ASN-17430</t>
  </si>
  <si>
    <t>DAP</t>
  </si>
  <si>
    <t>SCMS-143500</t>
  </si>
  <si>
    <t>ASN-15426</t>
  </si>
  <si>
    <t>ASN-22982</t>
  </si>
  <si>
    <t>SCMS-84920</t>
  </si>
  <si>
    <t>ASN-9798</t>
  </si>
  <si>
    <t>SCMS-48871</t>
  </si>
  <si>
    <t>ASN-5799</t>
  </si>
  <si>
    <t>SCMS-43810</t>
  </si>
  <si>
    <t>ASN-5827</t>
  </si>
  <si>
    <t>SCMS-143490</t>
  </si>
  <si>
    <t>ASN-14880</t>
  </si>
  <si>
    <t>SCMS-104110</t>
  </si>
  <si>
    <t>ASN-12478</t>
  </si>
  <si>
    <t>ASN-24416</t>
  </si>
  <si>
    <t>SCMS-64520</t>
  </si>
  <si>
    <t>ASN-7396</t>
  </si>
  <si>
    <t>SCMS-148040</t>
  </si>
  <si>
    <t>ASN-15289</t>
  </si>
  <si>
    <t>SCMS-84440</t>
  </si>
  <si>
    <t>ASN-9043</t>
  </si>
  <si>
    <t>SCMS-152910</t>
  </si>
  <si>
    <t>ASN-15896</t>
  </si>
  <si>
    <t>SCMS-48831</t>
  </si>
  <si>
    <t>ASN-5800</t>
  </si>
  <si>
    <t>SCMS-142240</t>
  </si>
  <si>
    <t>ASN-14834</t>
  </si>
  <si>
    <t>SCMS-244370</t>
  </si>
  <si>
    <t>ASN-29012</t>
  </si>
  <si>
    <t>SCMS-173430</t>
  </si>
  <si>
    <t>ASN-20630</t>
  </si>
  <si>
    <t>SCMS-261770</t>
  </si>
  <si>
    <t>ASN-29892</t>
  </si>
  <si>
    <t>Lopinavir/Ritonavir 100/25mg, tablets, 60 Tabs</t>
  </si>
  <si>
    <t>SCMS-236481</t>
  </si>
  <si>
    <t>ASN-27963</t>
  </si>
  <si>
    <t>SCMS-84991</t>
  </si>
  <si>
    <t>ASN-10790</t>
  </si>
  <si>
    <t>SCMS-239020</t>
  </si>
  <si>
    <t>ASN-27336</t>
  </si>
  <si>
    <t>SCMS-244520</t>
  </si>
  <si>
    <t>ASN-26987</t>
  </si>
  <si>
    <t>SCMS-59590</t>
  </si>
  <si>
    <t>ASN-6042</t>
  </si>
  <si>
    <t>SCMS-109060</t>
  </si>
  <si>
    <t>ASN-11530</t>
  </si>
  <si>
    <t>SCMS-103291</t>
  </si>
  <si>
    <t>ASN-11005</t>
  </si>
  <si>
    <t>SCMS-156500</t>
  </si>
  <si>
    <t>ASN-16217</t>
  </si>
  <si>
    <t>SCMS-198770</t>
  </si>
  <si>
    <t>ASN-21559</t>
  </si>
  <si>
    <t>ASN-16219</t>
  </si>
  <si>
    <t>SCMS-82760</t>
  </si>
  <si>
    <t>ASN-8626</t>
  </si>
  <si>
    <t>SCMS-59510</t>
  </si>
  <si>
    <t>ASN-5721</t>
  </si>
  <si>
    <t>SCMS-48851</t>
  </si>
  <si>
    <t>ASN-4860</t>
  </si>
  <si>
    <t>SCMS-212360</t>
  </si>
  <si>
    <t>ASN-23076</t>
  </si>
  <si>
    <t>SCMS-173470</t>
  </si>
  <si>
    <t>ASN-19519</t>
  </si>
  <si>
    <t>Atazanavir 300mg, capsules, 30 Caps</t>
  </si>
  <si>
    <t>SCMS-162520</t>
  </si>
  <si>
    <t>ASN-17004</t>
  </si>
  <si>
    <t>SCMS-79750</t>
  </si>
  <si>
    <t>ASN-7957</t>
  </si>
  <si>
    <t>SCMS-84410</t>
  </si>
  <si>
    <t>ASN-9123</t>
  </si>
  <si>
    <t>SCMS-198730</t>
  </si>
  <si>
    <t>ASN-21532</t>
  </si>
  <si>
    <t>SCMS-152930</t>
  </si>
  <si>
    <t>ASN-16792</t>
  </si>
  <si>
    <t>MICRO LABS LIMITED</t>
  </si>
  <si>
    <t>SCMS-173460</t>
  </si>
  <si>
    <t>ASN-18714</t>
  </si>
  <si>
    <t>SCMS-171910</t>
  </si>
  <si>
    <t>ASN-18485</t>
  </si>
  <si>
    <t>SCMS-152020</t>
  </si>
  <si>
    <t>ASN-15941</t>
  </si>
  <si>
    <t>SCMS-84910</t>
  </si>
  <si>
    <t>ASN-10140</t>
  </si>
  <si>
    <t>ASN-15895</t>
  </si>
  <si>
    <t>SCMS-261782</t>
  </si>
  <si>
    <t>ASN-33340</t>
  </si>
  <si>
    <t>SCMS-236480</t>
  </si>
  <si>
    <t>ASN-27662</t>
  </si>
  <si>
    <t>SCMS-84390</t>
  </si>
  <si>
    <t>ASN-9365</t>
  </si>
  <si>
    <t>SCMS-49100</t>
  </si>
  <si>
    <t>ASN-6890</t>
  </si>
  <si>
    <t>SCMS-66060</t>
  </si>
  <si>
    <t>ASN-8011</t>
  </si>
  <si>
    <t>SCMS-244380</t>
  </si>
  <si>
    <t>ASN-28019</t>
  </si>
  <si>
    <t>SCMS-61150</t>
  </si>
  <si>
    <t>ASN-5843</t>
  </si>
  <si>
    <t>SCMS-84400</t>
  </si>
  <si>
    <t>ASN-10663</t>
  </si>
  <si>
    <t>SCMS-171900</t>
  </si>
  <si>
    <t>ASN-18877</t>
  </si>
  <si>
    <t>SCMS-173410</t>
  </si>
  <si>
    <t>ASN-19088</t>
  </si>
  <si>
    <t>SCMS-137530</t>
  </si>
  <si>
    <t>ASN-15140</t>
  </si>
  <si>
    <t>SCMS-205930</t>
  </si>
  <si>
    <t>ASN-23656</t>
  </si>
  <si>
    <t>Abacavir/Lamivudine 600/300mg, tablets, 30 Tabs</t>
  </si>
  <si>
    <t>Abacavir/Lamivudine</t>
  </si>
  <si>
    <t>600/300mg</t>
  </si>
  <si>
    <t>SCMS-149431</t>
  </si>
  <si>
    <t>ASN-15554</t>
  </si>
  <si>
    <t>SCMS-175480</t>
  </si>
  <si>
    <t>ASN-19502</t>
  </si>
  <si>
    <t>SCMS-231380</t>
  </si>
  <si>
    <t>ASN-26594</t>
  </si>
  <si>
    <t>SCMS-96910</t>
  </si>
  <si>
    <t>ASN-10338</t>
  </si>
  <si>
    <t>SCMS-250220</t>
  </si>
  <si>
    <t>ASN-29067</t>
  </si>
  <si>
    <t>JANSSEN SCIENCES IRELAND UC (FORMERLY JANSSEN R&amp;D IRELAND)</t>
  </si>
  <si>
    <t>SCMS-210890</t>
  </si>
  <si>
    <t>ASN-23967</t>
  </si>
  <si>
    <t>SCMS-71300</t>
  </si>
  <si>
    <t>ASN-7529</t>
  </si>
  <si>
    <t>SCMS-264961</t>
  </si>
  <si>
    <t>ASN-32047</t>
  </si>
  <si>
    <t>SCMS-50840</t>
  </si>
  <si>
    <t>ASN-7094</t>
  </si>
  <si>
    <t>SCMS-126390</t>
  </si>
  <si>
    <t>ASN-13437</t>
  </si>
  <si>
    <t>SCMS-192190</t>
  </si>
  <si>
    <t>ASN-22601</t>
  </si>
  <si>
    <t>SCMS-200840</t>
  </si>
  <si>
    <t>ASN-22941</t>
  </si>
  <si>
    <t>SCMS-261781</t>
  </si>
  <si>
    <t>ASN-31603</t>
  </si>
  <si>
    <t>SCMS-276390</t>
  </si>
  <si>
    <t>ASN-31739</t>
  </si>
  <si>
    <t>SCMS-198540</t>
  </si>
  <si>
    <t>ASN-21766</t>
  </si>
  <si>
    <t>SCMS-171950</t>
  </si>
  <si>
    <t>ASN-18631</t>
  </si>
  <si>
    <t>SCMS-261783</t>
  </si>
  <si>
    <t>ASN-33614</t>
  </si>
  <si>
    <t>SCMS-163460</t>
  </si>
  <si>
    <t>ASN-17750</t>
  </si>
  <si>
    <t>ASN-11026</t>
  </si>
  <si>
    <t>SCMS-162540</t>
  </si>
  <si>
    <t>ASN-17494</t>
  </si>
  <si>
    <t>SCMS-58160</t>
  </si>
  <si>
    <t>ASN-5935</t>
  </si>
  <si>
    <t>SCMS-153580</t>
  </si>
  <si>
    <t>ASN-16006</t>
  </si>
  <si>
    <t>SCMS-277510</t>
  </si>
  <si>
    <t>ASN-32498</t>
  </si>
  <si>
    <t>SCMS-149420</t>
  </si>
  <si>
    <t>ASN-15288</t>
  </si>
  <si>
    <t>SCMS-58230</t>
  </si>
  <si>
    <t>ASN-6154</t>
  </si>
  <si>
    <t>SCMS-162720</t>
  </si>
  <si>
    <t>ASN-18773</t>
  </si>
  <si>
    <t>SCMS-64480</t>
  </si>
  <si>
    <t>ASN-7476</t>
  </si>
  <si>
    <t>ASN-6888</t>
  </si>
  <si>
    <t>SCMS-244440</t>
  </si>
  <si>
    <t>ASN-27804</t>
  </si>
  <si>
    <t>SCMS-253160</t>
  </si>
  <si>
    <t>ASN-27917</t>
  </si>
  <si>
    <t>SCMS-198710</t>
  </si>
  <si>
    <t>ASN-21405</t>
  </si>
  <si>
    <t>SCMS-264940</t>
  </si>
  <si>
    <t>ASN-31156</t>
  </si>
  <si>
    <t>SCMS-239030</t>
  </si>
  <si>
    <t>ASN-28850</t>
  </si>
  <si>
    <t>SCMS-215450</t>
  </si>
  <si>
    <t>ASN-23606</t>
  </si>
  <si>
    <t>SCMS-239390</t>
  </si>
  <si>
    <t>ASN-26381</t>
  </si>
  <si>
    <t>SCMS-66910</t>
  </si>
  <si>
    <t>ASN-6721</t>
  </si>
  <si>
    <t>SCMS-58170</t>
  </si>
  <si>
    <t>ASN-5732</t>
  </si>
  <si>
    <t>SCMS-149400</t>
  </si>
  <si>
    <t>ASN-15430</t>
  </si>
  <si>
    <t>SCMS-49110</t>
  </si>
  <si>
    <t>ASN-6538</t>
  </si>
  <si>
    <t>SCMS-49080</t>
  </si>
  <si>
    <t>ASN-5589</t>
  </si>
  <si>
    <t>SCMS-198800</t>
  </si>
  <si>
    <t>ASN-21501</t>
  </si>
  <si>
    <t>SCMS-231520</t>
  </si>
  <si>
    <t>ASN-25625</t>
  </si>
  <si>
    <t>SCMS-149410</t>
  </si>
  <si>
    <t>ASN-15468</t>
  </si>
  <si>
    <t>SCMS-264930</t>
  </si>
  <si>
    <t>ASN-31155</t>
  </si>
  <si>
    <t>SCMS-225710</t>
  </si>
  <si>
    <t>ASN-27170</t>
  </si>
  <si>
    <t>SCMS-50830</t>
  </si>
  <si>
    <t>ASN-7095</t>
  </si>
  <si>
    <t>SCMS-149412</t>
  </si>
  <si>
    <t>ASN-15775</t>
  </si>
  <si>
    <t>SCMS-121380</t>
  </si>
  <si>
    <t>ASN-13025</t>
  </si>
  <si>
    <t>SCMS-219190</t>
  </si>
  <si>
    <t>ASN-25073</t>
  </si>
  <si>
    <t>SCMS-68330</t>
  </si>
  <si>
    <t>ASN-6670</t>
  </si>
  <si>
    <t>SCMS-48930</t>
  </si>
  <si>
    <t>ASN-6667</t>
  </si>
  <si>
    <t>SCMS-124980</t>
  </si>
  <si>
    <t>ASN-13223</t>
  </si>
  <si>
    <t>Saquinavir 500mg [Invirase], tablets, 120 Tabs</t>
  </si>
  <si>
    <t>500mg</t>
  </si>
  <si>
    <t>SCMS-82770</t>
  </si>
  <si>
    <t>ASN-8625</t>
  </si>
  <si>
    <t>SCMS-47730</t>
  </si>
  <si>
    <t>ASN-4489</t>
  </si>
  <si>
    <t>SCMS-52580</t>
  </si>
  <si>
    <t>ASN-5101</t>
  </si>
  <si>
    <t>SCMS-210901</t>
  </si>
  <si>
    <t>ASN-24564</t>
  </si>
  <si>
    <t>SCMS-48873</t>
  </si>
  <si>
    <t>ASN-9691</t>
  </si>
  <si>
    <t>ASN-15894</t>
  </si>
  <si>
    <t>SCMS-142260</t>
  </si>
  <si>
    <t>ASN-14702</t>
  </si>
  <si>
    <t>SCMS-264980</t>
  </si>
  <si>
    <t>ASN-33165</t>
  </si>
  <si>
    <t>ASN-25268</t>
  </si>
  <si>
    <t>SCMS-210900</t>
  </si>
  <si>
    <t>ASN-23916</t>
  </si>
  <si>
    <t>SCMS-129510</t>
  </si>
  <si>
    <t>ASN-15328</t>
  </si>
  <si>
    <t>ASN-9044</t>
  </si>
  <si>
    <t>SCMS-84990</t>
  </si>
  <si>
    <t>ASN-11548</t>
  </si>
  <si>
    <t>SCMS-192170</t>
  </si>
  <si>
    <t>ASN-22706</t>
  </si>
  <si>
    <t>SCMS-264950</t>
  </si>
  <si>
    <t>ASN-31157</t>
  </si>
  <si>
    <t>SCMS-129530</t>
  </si>
  <si>
    <t>ASN-15232</t>
  </si>
  <si>
    <t>Lamivudine/Stavudine 60/12mg, dispersible tablets, 60 Tabs</t>
  </si>
  <si>
    <t>60/12mg</t>
  </si>
  <si>
    <t>ASN-13435</t>
  </si>
  <si>
    <t>SCMS-264962</t>
  </si>
  <si>
    <t>ASN-32534</t>
  </si>
  <si>
    <t>SCMS-244420</t>
  </si>
  <si>
    <t>ASN-29216</t>
  </si>
  <si>
    <t>SCMS-202561</t>
  </si>
  <si>
    <t>ASN-22987</t>
  </si>
  <si>
    <t>SCMS-53080</t>
  </si>
  <si>
    <t>ASN-5062</t>
  </si>
  <si>
    <t>SCMS-48850</t>
  </si>
  <si>
    <t>ASN-4656</t>
  </si>
  <si>
    <t>ASN-13371</t>
  </si>
  <si>
    <t>SCMS-261760</t>
  </si>
  <si>
    <t>ASN-29891</t>
  </si>
  <si>
    <t>SCMS-294120</t>
  </si>
  <si>
    <t>ASN-33515</t>
  </si>
  <si>
    <t>SCMS-91710</t>
  </si>
  <si>
    <t>ASN-9454</t>
  </si>
  <si>
    <t>SCMS-84980</t>
  </si>
  <si>
    <t>ASN-9370</t>
  </si>
  <si>
    <t>SCMS-149970</t>
  </si>
  <si>
    <t>ASN-16318</t>
  </si>
  <si>
    <t>SCMS-84950</t>
  </si>
  <si>
    <t>ASN-9368</t>
  </si>
  <si>
    <t>SCMS-198720</t>
  </si>
  <si>
    <t>ASN-21627</t>
  </si>
  <si>
    <t>SCMS-111640</t>
  </si>
  <si>
    <t>ASN-12088</t>
  </si>
  <si>
    <t>SCMS-225810</t>
  </si>
  <si>
    <t>ASN-26767</t>
  </si>
  <si>
    <t>SCMS-137520</t>
  </si>
  <si>
    <t>ASN-14659</t>
  </si>
  <si>
    <t>SCMS-48940</t>
  </si>
  <si>
    <t>ASN-6569</t>
  </si>
  <si>
    <t>SCMS-142250</t>
  </si>
  <si>
    <t>ASN-14696</t>
  </si>
  <si>
    <t>SCMS-159290</t>
  </si>
  <si>
    <t>ASN-16575</t>
  </si>
  <si>
    <t>SCMS-126450</t>
  </si>
  <si>
    <t>ASN-13722</t>
  </si>
  <si>
    <t>SCMS-177120</t>
  </si>
  <si>
    <t>ASN-18910</t>
  </si>
  <si>
    <t>Didanosine 25mg [Videx], chewable tablets, 60 Tabs</t>
  </si>
  <si>
    <t>25mg</t>
  </si>
  <si>
    <t>SCMS-48830</t>
  </si>
  <si>
    <t>ASN-5409</t>
  </si>
  <si>
    <t>SCMS-212160</t>
  </si>
  <si>
    <t>ASN-22844</t>
  </si>
  <si>
    <t>SCMS-152980</t>
  </si>
  <si>
    <t>ASN-16610</t>
  </si>
  <si>
    <t>SCMS-84960</t>
  </si>
  <si>
    <t>ASN-9369</t>
  </si>
  <si>
    <t>SCMS-83351</t>
  </si>
  <si>
    <t>ASN-9598</t>
  </si>
  <si>
    <t>SCMS-58060</t>
  </si>
  <si>
    <t>ASN-5747</t>
  </si>
  <si>
    <t>SCMS-84970</t>
  </si>
  <si>
    <t>ASN-10317</t>
  </si>
  <si>
    <t>SCMS-43860</t>
  </si>
  <si>
    <t>ASN-8371</t>
  </si>
  <si>
    <t>SCMS-193930</t>
  </si>
  <si>
    <t>ASN-22289</t>
  </si>
  <si>
    <t>SCMS-129750</t>
  </si>
  <si>
    <t>ASN-14450</t>
  </si>
  <si>
    <t>SCMS-244450</t>
  </si>
  <si>
    <t>ASN-28699</t>
  </si>
  <si>
    <t>SCMS-198700</t>
  </si>
  <si>
    <t>ASN-21821</t>
  </si>
  <si>
    <t>SCMS-126470</t>
  </si>
  <si>
    <t>ASN-13518</t>
  </si>
  <si>
    <t>SCMS-192030</t>
  </si>
  <si>
    <t>ASN-20922</t>
  </si>
  <si>
    <t>SCMS-98310</t>
  </si>
  <si>
    <t>ASN-10666</t>
  </si>
  <si>
    <t>ASN-13476</t>
  </si>
  <si>
    <t>SCMS-212630</t>
  </si>
  <si>
    <t>ASN-23223</t>
  </si>
  <si>
    <t>SCMS-58250</t>
  </si>
  <si>
    <t>ASN-6151</t>
  </si>
  <si>
    <t>SCMS-147040</t>
  </si>
  <si>
    <t>ASN-15275</t>
  </si>
  <si>
    <t>SCMS-227730</t>
  </si>
  <si>
    <t>ASN-24931</t>
  </si>
  <si>
    <t>SCMS-205680</t>
  </si>
  <si>
    <t>ASN-22152</t>
  </si>
  <si>
    <t>SCMS-126380</t>
  </si>
  <si>
    <t>ASN-13697</t>
  </si>
  <si>
    <t>SCMS-98700</t>
  </si>
  <si>
    <t>ASN-11275</t>
  </si>
  <si>
    <t>SCMS-203960</t>
  </si>
  <si>
    <t>ASN-24026</t>
  </si>
  <si>
    <t>SCMS-137551</t>
  </si>
  <si>
    <t>ASN-15765</t>
  </si>
  <si>
    <t>SCMS-72370</t>
  </si>
  <si>
    <t>ASN-6930</t>
  </si>
  <si>
    <t>SCMS-202300</t>
  </si>
  <si>
    <t>ASN-22082</t>
  </si>
  <si>
    <t>SCMS-198801</t>
  </si>
  <si>
    <t>ASN-21502</t>
  </si>
  <si>
    <t>ASN-15428</t>
  </si>
  <si>
    <t>SCMS-83360</t>
  </si>
  <si>
    <t>ASN-9434</t>
  </si>
  <si>
    <t>SCMS-129520</t>
  </si>
  <si>
    <t>ASN-15268</t>
  </si>
  <si>
    <t>SCMS-68290</t>
  </si>
  <si>
    <t>ASN-6736</t>
  </si>
  <si>
    <t>SCMS-202310</t>
  </si>
  <si>
    <t>ASN-22266</t>
  </si>
  <si>
    <t>ASN-7443</t>
  </si>
  <si>
    <t>SCMS-48910</t>
  </si>
  <si>
    <t>ASN-5880</t>
  </si>
  <si>
    <t>ASN-15427</t>
  </si>
  <si>
    <t>SCMS-47741</t>
  </si>
  <si>
    <t>ASN-5095</t>
  </si>
  <si>
    <t>SCMS-192360</t>
  </si>
  <si>
    <t>ASN-22588</t>
  </si>
  <si>
    <t>SCMS-198530</t>
  </si>
  <si>
    <t>ASN-22141</t>
  </si>
  <si>
    <t>SCMS-244540</t>
  </si>
  <si>
    <t>ASN-28239</t>
  </si>
  <si>
    <t>SCMS-149411</t>
  </si>
  <si>
    <t>ASN-15514</t>
  </si>
  <si>
    <t>ASN-22495</t>
  </si>
  <si>
    <t>SCMS-192210</t>
  </si>
  <si>
    <t>ASN-22576</t>
  </si>
  <si>
    <t>SCMS-142470</t>
  </si>
  <si>
    <t>ASN-15272</t>
  </si>
  <si>
    <t>SCMS-159620</t>
  </si>
  <si>
    <t>ASN-17229</t>
  </si>
  <si>
    <t>SCMS-152840</t>
  </si>
  <si>
    <t>ASN-15742</t>
  </si>
  <si>
    <t>ASN-21767</t>
  </si>
  <si>
    <t>ASN-20859</t>
  </si>
  <si>
    <t>SCMS-216720</t>
  </si>
  <si>
    <t>ASN-23721</t>
  </si>
  <si>
    <t>SCMS-205690</t>
  </si>
  <si>
    <t>ASN-23213</t>
  </si>
  <si>
    <t>SCMS-75280</t>
  </si>
  <si>
    <t>ASN-7478</t>
  </si>
  <si>
    <t>SCMS-111650</t>
  </si>
  <si>
    <t>ASN-13770</t>
  </si>
  <si>
    <t>SCMS-225770</t>
  </si>
  <si>
    <t>ASN-26847</t>
  </si>
  <si>
    <t>B&amp;C GROUP S.A.</t>
  </si>
  <si>
    <t>ASN-22983</t>
  </si>
  <si>
    <t>ASN-14701</t>
  </si>
  <si>
    <t>SCMS-295010</t>
  </si>
  <si>
    <t>ASN-33776</t>
  </si>
  <si>
    <t>SCMS-84380</t>
  </si>
  <si>
    <t>ASN-12230</t>
  </si>
  <si>
    <t>Lamivudine 10mg/ml, oral solution w/syringe, Bottle, 240 ml</t>
  </si>
  <si>
    <t>ASN-15287</t>
  </si>
  <si>
    <t>ASN-21504</t>
  </si>
  <si>
    <t>SCMS-198690</t>
  </si>
  <si>
    <t>ASN-21520</t>
  </si>
  <si>
    <t>SCMS-65110</t>
  </si>
  <si>
    <t>ASN-6369</t>
  </si>
  <si>
    <t>SCMS-48860</t>
  </si>
  <si>
    <t>ASN-7668</t>
  </si>
  <si>
    <t>SCMS-159280</t>
  </si>
  <si>
    <t>ASN-16778</t>
  </si>
  <si>
    <t>SCMS-264920</t>
  </si>
  <si>
    <t>ASN-30994</t>
  </si>
  <si>
    <t>SCMS-272570</t>
  </si>
  <si>
    <t>ASN-31045</t>
  </si>
  <si>
    <t>SCMS-48810</t>
  </si>
  <si>
    <t>ASN-5182</t>
  </si>
  <si>
    <t>SCMS-192180</t>
  </si>
  <si>
    <t>ASN-24273</t>
  </si>
  <si>
    <t>ASN-22834</t>
  </si>
  <si>
    <t>SCMS-205920</t>
  </si>
  <si>
    <t>ASN-22849</t>
  </si>
  <si>
    <t>ASN-22493</t>
  </si>
  <si>
    <t>SCMS-176730</t>
  </si>
  <si>
    <t>ASN-19001</t>
  </si>
  <si>
    <t>SCMS-225720</t>
  </si>
  <si>
    <t>ASN-27379</t>
  </si>
  <si>
    <t>SCMS-126460</t>
  </si>
  <si>
    <t>ASN-13559</t>
  </si>
  <si>
    <t>ASN-22833</t>
  </si>
  <si>
    <t>SCMS-66920</t>
  </si>
  <si>
    <t>ASN-7251</t>
  </si>
  <si>
    <t>ASN-7442</t>
  </si>
  <si>
    <t>SCMS-231090</t>
  </si>
  <si>
    <t>ASN-25332</t>
  </si>
  <si>
    <t>SCMS-47740</t>
  </si>
  <si>
    <t>ASN-4636</t>
  </si>
  <si>
    <t>SCMS-149430</t>
  </si>
  <si>
    <t>ASN-15379</t>
  </si>
  <si>
    <t>SCMS-238800</t>
  </si>
  <si>
    <t>ASN-26864</t>
  </si>
  <si>
    <t>SCMS-58240</t>
  </si>
  <si>
    <t>ASN-6621</t>
  </si>
  <si>
    <t>SCMS-142300</t>
  </si>
  <si>
    <t>ASN-14824</t>
  </si>
  <si>
    <t>ASN-20858</t>
  </si>
  <si>
    <t>SCMS-173450</t>
  </si>
  <si>
    <t>ASN-18894</t>
  </si>
  <si>
    <t>SCMS-52570</t>
  </si>
  <si>
    <t>ASN-5536</t>
  </si>
  <si>
    <t>SCMS-162750</t>
  </si>
  <si>
    <t>ASN-18152</t>
  </si>
  <si>
    <t>SCMS-58130</t>
  </si>
  <si>
    <t>ASN-6153</t>
  </si>
  <si>
    <t>SCMS-276400</t>
  </si>
  <si>
    <t>ASN-31756</t>
  </si>
  <si>
    <t>SCMS-98701</t>
  </si>
  <si>
    <t>ASN-11156</t>
  </si>
  <si>
    <t>SCMS-193850</t>
  </si>
  <si>
    <t>ASN-20160</t>
  </si>
  <si>
    <t>SCMS-156520</t>
  </si>
  <si>
    <t>ASN-16036</t>
  </si>
  <si>
    <t>SCMS-111660</t>
  </si>
  <si>
    <t>ASN-11623</t>
  </si>
  <si>
    <t>SCMS-137410</t>
  </si>
  <si>
    <t>ASN-15442</t>
  </si>
  <si>
    <t>SCMS-200850</t>
  </si>
  <si>
    <t>ASN-22193</t>
  </si>
  <si>
    <t>ASN-13372</t>
  </si>
  <si>
    <t>SCMS-135780</t>
  </si>
  <si>
    <t>ASN-13723</t>
  </si>
  <si>
    <t>SCMS-137550</t>
  </si>
  <si>
    <t>ASN-15880</t>
  </si>
  <si>
    <t>SCMS-205040</t>
  </si>
  <si>
    <t>ASN-23308</t>
  </si>
  <si>
    <t>SCMS-58120</t>
  </si>
  <si>
    <t>ASN-5947</t>
  </si>
  <si>
    <t>SCMS-63640</t>
  </si>
  <si>
    <t>ASN-6130</t>
  </si>
  <si>
    <t>SCMS-225820</t>
  </si>
  <si>
    <t>ASN-25604</t>
  </si>
  <si>
    <t>SCMS-83340</t>
  </si>
  <si>
    <t>ASN-9217</t>
  </si>
  <si>
    <t>SCMS-52630</t>
  </si>
  <si>
    <t>ASN-5160</t>
  </si>
  <si>
    <t>SCMS-149960</t>
  </si>
  <si>
    <t>ASN-16320</t>
  </si>
  <si>
    <t>SCMS-163440</t>
  </si>
  <si>
    <t>ASN-17956</t>
  </si>
  <si>
    <t>ASN-7441</t>
  </si>
  <si>
    <t>SCMS-72350</t>
  </si>
  <si>
    <t>ASN-6929</t>
  </si>
  <si>
    <t>SCMS-162670</t>
  </si>
  <si>
    <t>ASN-17287</t>
  </si>
  <si>
    <t>SCMS-261780</t>
  </si>
  <si>
    <t>ASN-32156</t>
  </si>
  <si>
    <t>SCMS-83320</t>
  </si>
  <si>
    <t>ASN-9331</t>
  </si>
  <si>
    <t>ASN-21822</t>
  </si>
  <si>
    <t>ASN-16037</t>
  </si>
  <si>
    <t>SCMS-159630</t>
  </si>
  <si>
    <t>ASN-17948</t>
  </si>
  <si>
    <t>SCMS-171970</t>
  </si>
  <si>
    <t>ASN-20132</t>
  </si>
  <si>
    <t>SCMS-192020</t>
  </si>
  <si>
    <t>ASN-20948</t>
  </si>
  <si>
    <t>ASN-15893</t>
  </si>
  <si>
    <t>SCMS-149432</t>
  </si>
  <si>
    <t>ASN-15626</t>
  </si>
  <si>
    <t>SCMS-210880</t>
  </si>
  <si>
    <t>ASN-25839</t>
  </si>
  <si>
    <t>SCMS-244220</t>
  </si>
  <si>
    <t>ASN-27693</t>
  </si>
  <si>
    <t>Atazanavir 150mg [Reyataz], capsules, 60 Caps</t>
  </si>
  <si>
    <t>ASN-15329</t>
  </si>
  <si>
    <t>ASN-15429</t>
  </si>
  <si>
    <t>SCMS-137420</t>
  </si>
  <si>
    <t>ASN-15492</t>
  </si>
  <si>
    <t>SCMS-126480</t>
  </si>
  <si>
    <t>ASN-15215</t>
  </si>
  <si>
    <t>ASN-6720</t>
  </si>
  <si>
    <t>SCMS-50820</t>
  </si>
  <si>
    <t>ASN-7096</t>
  </si>
  <si>
    <t>ASN-16038</t>
  </si>
  <si>
    <t>SCMS-192070</t>
  </si>
  <si>
    <t>ASN-21522</t>
  </si>
  <si>
    <t>SCMS-91740</t>
  </si>
  <si>
    <t>ASN-9071</t>
  </si>
  <si>
    <t>SCMS-264960</t>
  </si>
  <si>
    <t>ASN-31187</t>
  </si>
  <si>
    <t>ASN-20159</t>
  </si>
  <si>
    <t>SCMS-53050</t>
  </si>
  <si>
    <t>ASN-5064</t>
  </si>
  <si>
    <t>SCMS-192040</t>
  </si>
  <si>
    <t>ASN-22130</t>
  </si>
  <si>
    <t>Efavirenz 200mg, tablets, 30 Tabs</t>
  </si>
  <si>
    <t>SCMS-111210</t>
  </si>
  <si>
    <t>ASN-13118</t>
  </si>
  <si>
    <t>SCMS-137540</t>
  </si>
  <si>
    <t>ASN-14799</t>
  </si>
  <si>
    <t>SCMS-83370</t>
  </si>
  <si>
    <t>ASN-9435</t>
  </si>
  <si>
    <t>SCMS-66940</t>
  </si>
  <si>
    <t>ASN-9922</t>
  </si>
  <si>
    <t>SCMS-268600</t>
  </si>
  <si>
    <t>ASN-31454</t>
  </si>
  <si>
    <t>SCMS-210910</t>
  </si>
  <si>
    <t>ASN-23397</t>
  </si>
  <si>
    <t>SCMS-239010</t>
  </si>
  <si>
    <t>ASN-26755</t>
  </si>
  <si>
    <t>ASN-16218</t>
  </si>
  <si>
    <t>SCMS-50280</t>
  </si>
  <si>
    <t>ASN-6840</t>
  </si>
  <si>
    <t>SCMS-175500</t>
  </si>
  <si>
    <t>ASN-19443</t>
  </si>
  <si>
    <t>SCMS-55240</t>
  </si>
  <si>
    <t>ASN-5607</t>
  </si>
  <si>
    <t>SCMS-186900</t>
  </si>
  <si>
    <t>ASN-19907</t>
  </si>
  <si>
    <t>SCMS-171920</t>
  </si>
  <si>
    <t>ASN-18279</t>
  </si>
  <si>
    <t>SCMS-48931</t>
  </si>
  <si>
    <t>ASN-6763</t>
  </si>
  <si>
    <t>SCMS-50810</t>
  </si>
  <si>
    <t>ASN-5740</t>
  </si>
  <si>
    <t>SCMS-198721</t>
  </si>
  <si>
    <t>ASN-22001</t>
  </si>
  <si>
    <t>SCMS-231060</t>
  </si>
  <si>
    <t>ASN-25337</t>
  </si>
  <si>
    <t>Emtricitabine/Tenofovir Disoproxil Fumarate 200/300mg, tablets, 30 Tabs</t>
  </si>
  <si>
    <t>200/300mg</t>
  </si>
  <si>
    <t>SCMS-68320</t>
  </si>
  <si>
    <t>ASN-6788</t>
  </si>
  <si>
    <t>SCMS-142230</t>
  </si>
  <si>
    <t>ASN-14835</t>
  </si>
  <si>
    <t>ASN-15431</t>
  </si>
  <si>
    <t>SCMS-152950</t>
  </si>
  <si>
    <t>ASN-16590</t>
  </si>
  <si>
    <t>SCMS-80710</t>
  </si>
  <si>
    <t>ASN-7974</t>
  </si>
  <si>
    <t>DDU</t>
  </si>
  <si>
    <t>SCMS-63651</t>
  </si>
  <si>
    <t>ASN-6747</t>
  </si>
  <si>
    <t>Nelfinavir 50mg/g [Viracept], oral powder, 144g</t>
  </si>
  <si>
    <t>Nelfinavir</t>
  </si>
  <si>
    <t>50mg/g</t>
  </si>
  <si>
    <t>Oral powder</t>
  </si>
  <si>
    <t>SCMS-110050</t>
  </si>
  <si>
    <t>ASN-11253</t>
  </si>
  <si>
    <t>SCMS-50270</t>
  </si>
  <si>
    <t>ASN-7216</t>
  </si>
  <si>
    <t>SCMS-175460</t>
  </si>
  <si>
    <t>ASN-18603</t>
  </si>
  <si>
    <t>ASN-20861</t>
  </si>
  <si>
    <t>SCMS-212410</t>
  </si>
  <si>
    <t>ASN-23225</t>
  </si>
  <si>
    <t>SCMS-220810</t>
  </si>
  <si>
    <t>ASN-24339</t>
  </si>
  <si>
    <t>SCMS-91720</t>
  </si>
  <si>
    <t>ASN-9221</t>
  </si>
  <si>
    <t>SCMS-235970</t>
  </si>
  <si>
    <t>ASN-26932</t>
  </si>
  <si>
    <t>SCMS-160440</t>
  </si>
  <si>
    <t>ASN-16895</t>
  </si>
  <si>
    <t>SCMS-186890</t>
  </si>
  <si>
    <t>ASN-19772</t>
  </si>
  <si>
    <t>SCMS-260920</t>
  </si>
  <si>
    <t>ASN-31240</t>
  </si>
  <si>
    <t>SCMS-198701</t>
  </si>
  <si>
    <t>ASN-21881</t>
  </si>
  <si>
    <t>SCMS-98311</t>
  </si>
  <si>
    <t>ASN-11688</t>
  </si>
  <si>
    <t>SO-33010</t>
  </si>
  <si>
    <t>DN-1417</t>
  </si>
  <si>
    <t>SO-33990</t>
  </si>
  <si>
    <t>DN-1579</t>
  </si>
  <si>
    <t>SO-35160</t>
  </si>
  <si>
    <t>DN-1601</t>
  </si>
  <si>
    <t>SO-35870</t>
  </si>
  <si>
    <t>DN-1654</t>
  </si>
  <si>
    <t>SO-35970</t>
  </si>
  <si>
    <t>DN-1677</t>
  </si>
  <si>
    <t>SO-35660</t>
  </si>
  <si>
    <t>DN-1752</t>
  </si>
  <si>
    <t>SO-36160</t>
  </si>
  <si>
    <t>DN-1761</t>
  </si>
  <si>
    <t>SO-36150</t>
  </si>
  <si>
    <t>DN-1796</t>
  </si>
  <si>
    <t>SO-34941</t>
  </si>
  <si>
    <t>DN-1817</t>
  </si>
  <si>
    <t>SO-34980</t>
  </si>
  <si>
    <t>DN-1797</t>
  </si>
  <si>
    <t>SO-36810</t>
  </si>
  <si>
    <t>DN-1844</t>
  </si>
  <si>
    <t>SO-37070</t>
  </si>
  <si>
    <t>DN-1907</t>
  </si>
  <si>
    <t>SO-36581</t>
  </si>
  <si>
    <t>DN-1950</t>
  </si>
  <si>
    <t>SO-36630</t>
  </si>
  <si>
    <t>DN-1953</t>
  </si>
  <si>
    <t>SO-36620</t>
  </si>
  <si>
    <t>DN-1954</t>
  </si>
  <si>
    <t>SO-36812</t>
  </si>
  <si>
    <t>DN-2007</t>
  </si>
  <si>
    <t>SO-38140</t>
  </si>
  <si>
    <t>DN-2083</t>
  </si>
  <si>
    <t>SO-38290</t>
  </si>
  <si>
    <t>DN-2088</t>
  </si>
  <si>
    <t>SO-38450</t>
  </si>
  <si>
    <t>DN-2104</t>
  </si>
  <si>
    <t>SO-37990</t>
  </si>
  <si>
    <t>DN-2077</t>
  </si>
  <si>
    <t>SO-37560</t>
  </si>
  <si>
    <t>DN-2121</t>
  </si>
  <si>
    <t>SO-38860</t>
  </si>
  <si>
    <t>DN-2134</t>
  </si>
  <si>
    <t>SO-38580</t>
  </si>
  <si>
    <t>DN-2148</t>
  </si>
  <si>
    <t>SO-38810</t>
  </si>
  <si>
    <t>DN-2191</t>
  </si>
  <si>
    <t>SO-39770</t>
  </si>
  <si>
    <t>DN-2234</t>
  </si>
  <si>
    <t>SO-38801</t>
  </si>
  <si>
    <t>DN-2297</t>
  </si>
  <si>
    <t>SO-38820</t>
  </si>
  <si>
    <t>DN-2298</t>
  </si>
  <si>
    <t>SO-40210</t>
  </si>
  <si>
    <t>DN-2327</t>
  </si>
  <si>
    <t>SO-38871</t>
  </si>
  <si>
    <t>DN-2334</t>
  </si>
  <si>
    <t>SO-38872</t>
  </si>
  <si>
    <t>DN-2382</t>
  </si>
  <si>
    <t>SO-39753</t>
  </si>
  <si>
    <t>DN-2386</t>
  </si>
  <si>
    <t>SO-39750</t>
  </si>
  <si>
    <t>DN-2445</t>
  </si>
  <si>
    <t>Abacavir 20mg/ml, oral solution w/syringe, Bottle, 240 ml</t>
  </si>
  <si>
    <t>SO-39754</t>
  </si>
  <si>
    <t>DN-2447</t>
  </si>
  <si>
    <t>SO-40601</t>
  </si>
  <si>
    <t>DN-2483</t>
  </si>
  <si>
    <t>SO-40500</t>
  </si>
  <si>
    <t>DN-2540</t>
  </si>
  <si>
    <t>SO-41390</t>
  </si>
  <si>
    <t>DN-2550</t>
  </si>
  <si>
    <t>SO-40613</t>
  </si>
  <si>
    <t>DN-2558</t>
  </si>
  <si>
    <t>SO-41520</t>
  </si>
  <si>
    <t>DN-2597</t>
  </si>
  <si>
    <t>SO-40610</t>
  </si>
  <si>
    <t>DN-2598</t>
  </si>
  <si>
    <t>SO-41532</t>
  </si>
  <si>
    <t>DN-2637</t>
  </si>
  <si>
    <t>Burundi</t>
  </si>
  <si>
    <t>SO-41510</t>
  </si>
  <si>
    <t>DN-2643</t>
  </si>
  <si>
    <t>SO-41610</t>
  </si>
  <si>
    <t>DN-2654</t>
  </si>
  <si>
    <t>SO-42470</t>
  </si>
  <si>
    <t>DN-2723</t>
  </si>
  <si>
    <t>SO-42580</t>
  </si>
  <si>
    <t>DN-2724</t>
  </si>
  <si>
    <t>SO-42083</t>
  </si>
  <si>
    <t>DN-2743</t>
  </si>
  <si>
    <t>SO-41593</t>
  </si>
  <si>
    <t>DN-2744</t>
  </si>
  <si>
    <t>SO-42060</t>
  </si>
  <si>
    <t>DN-2768</t>
  </si>
  <si>
    <t>SO-43010</t>
  </si>
  <si>
    <t>DN-2820</t>
  </si>
  <si>
    <t>SO-42610</t>
  </si>
  <si>
    <t>DN-2829</t>
  </si>
  <si>
    <t>SO-42590</t>
  </si>
  <si>
    <t>DN-2849</t>
  </si>
  <si>
    <t>SO-42130</t>
  </si>
  <si>
    <t>DN-2856</t>
  </si>
  <si>
    <t>SO-42100</t>
  </si>
  <si>
    <t>DN-2859</t>
  </si>
  <si>
    <t>SO-43090</t>
  </si>
  <si>
    <t>DN-2873</t>
  </si>
  <si>
    <t>SO-42430</t>
  </si>
  <si>
    <t>DN-2885</t>
  </si>
  <si>
    <t>SO-42811</t>
  </si>
  <si>
    <t>DN-2917</t>
  </si>
  <si>
    <t>SO-42900</t>
  </si>
  <si>
    <t>DN-2921</t>
  </si>
  <si>
    <t>SO-43190</t>
  </si>
  <si>
    <t>DN-2951</t>
  </si>
  <si>
    <t>SO-43160</t>
  </si>
  <si>
    <t>DN-2952</t>
  </si>
  <si>
    <t>SO-43491</t>
  </si>
  <si>
    <t>DN-3000</t>
  </si>
  <si>
    <t>SO-43640</t>
  </si>
  <si>
    <t>DN-3025</t>
  </si>
  <si>
    <t>SO-43970</t>
  </si>
  <si>
    <t>DN-3041</t>
  </si>
  <si>
    <t>SO-44670</t>
  </si>
  <si>
    <t>DN-3118</t>
  </si>
  <si>
    <t>SO-43890</t>
  </si>
  <si>
    <t>DN-3122</t>
  </si>
  <si>
    <t>SO-43620</t>
  </si>
  <si>
    <t>DN-3128</t>
  </si>
  <si>
    <t>SO-43873</t>
  </si>
  <si>
    <t>DN-3153</t>
  </si>
  <si>
    <t>Lamivudine/Nevirapine/Stavudine 30/50/6mg, dispersible tablets, 60 Tabs</t>
  </si>
  <si>
    <t>30/50/6mg</t>
  </si>
  <si>
    <t>SO-44384</t>
  </si>
  <si>
    <t>DN-3196</t>
  </si>
  <si>
    <t>SO-45160</t>
  </si>
  <si>
    <t>DN-3235</t>
  </si>
  <si>
    <t>SO-45720</t>
  </si>
  <si>
    <t>DN-3236</t>
  </si>
  <si>
    <t>SO-45151</t>
  </si>
  <si>
    <t>DN-3260</t>
  </si>
  <si>
    <t>SO-45510</t>
  </si>
  <si>
    <t>DN-3264</t>
  </si>
  <si>
    <t>Lamivudine/Stavudine 30/6mg, dispersible tablets, 60 Tabs</t>
  </si>
  <si>
    <t>30/6mg</t>
  </si>
  <si>
    <t>SO-44385</t>
  </si>
  <si>
    <t>DN-3278</t>
  </si>
  <si>
    <t>SO-44993</t>
  </si>
  <si>
    <t>DN-3300</t>
  </si>
  <si>
    <t>SO-46010</t>
  </si>
  <si>
    <t>DN-3335</t>
  </si>
  <si>
    <t>SO-44980</t>
  </si>
  <si>
    <t>DN-3347</t>
  </si>
  <si>
    <t>SO-45390</t>
  </si>
  <si>
    <t>DN-3421</t>
  </si>
  <si>
    <t>SO-45998</t>
  </si>
  <si>
    <t>DN-3505</t>
  </si>
  <si>
    <t>SO-46491</t>
  </si>
  <si>
    <t>DN-3481</t>
  </si>
  <si>
    <t>SO-46483</t>
  </si>
  <si>
    <t>DN-3497</t>
  </si>
  <si>
    <t>SO-46000</t>
  </si>
  <si>
    <t>DN-3501</t>
  </si>
  <si>
    <t>Abacavir/Lamivudine 60/30mg, tablets, 60 Tabs</t>
  </si>
  <si>
    <t>60/30mg</t>
  </si>
  <si>
    <t>SO-45742</t>
  </si>
  <si>
    <t>DN-3532</t>
  </si>
  <si>
    <t>SO-46002</t>
  </si>
  <si>
    <t>DN-3582</t>
  </si>
  <si>
    <t>SO-46870</t>
  </si>
  <si>
    <t>DN-3589</t>
  </si>
  <si>
    <t>SO-46860</t>
  </si>
  <si>
    <t>DN-3605</t>
  </si>
  <si>
    <t>SO-46485</t>
  </si>
  <si>
    <t>DN-3642</t>
  </si>
  <si>
    <t>SO-45740</t>
  </si>
  <si>
    <t>DN-3659</t>
  </si>
  <si>
    <t>SO-45990</t>
  </si>
  <si>
    <t>DN-3704</t>
  </si>
  <si>
    <t>SO-46875</t>
  </si>
  <si>
    <t>DN-3732</t>
  </si>
  <si>
    <t>SO-46701</t>
  </si>
  <si>
    <t>DN-3762</t>
  </si>
  <si>
    <t>SO-46001</t>
  </si>
  <si>
    <t>DN-3811</t>
  </si>
  <si>
    <t>SO-49230</t>
  </si>
  <si>
    <t>DN-3870</t>
  </si>
  <si>
    <t>SO-46690</t>
  </si>
  <si>
    <t>DN-3929</t>
  </si>
  <si>
    <t>SO-48630</t>
  </si>
  <si>
    <t>DN-3952</t>
  </si>
  <si>
    <t>SO-48970</t>
  </si>
  <si>
    <t>DN-4008</t>
  </si>
  <si>
    <t>SO-48801</t>
  </si>
  <si>
    <t>DN-4009</t>
  </si>
  <si>
    <t>SO-48790</t>
  </si>
  <si>
    <t>DN-4012</t>
  </si>
  <si>
    <t>SO-49951</t>
  </si>
  <si>
    <t>DN-4040</t>
  </si>
  <si>
    <t>SO-49990</t>
  </si>
  <si>
    <t>DN-4055</t>
  </si>
  <si>
    <t>SO-49950</t>
  </si>
  <si>
    <t>DN-4085</t>
  </si>
  <si>
    <t>SO-48994</t>
  </si>
  <si>
    <t>DN-4101</t>
  </si>
  <si>
    <t>SO-50270</t>
  </si>
  <si>
    <t>DN-4144</t>
  </si>
  <si>
    <t>SO-48810</t>
  </si>
  <si>
    <t>DN-4149</t>
  </si>
  <si>
    <t>SO-49940</t>
  </si>
  <si>
    <t>DN-4162</t>
  </si>
  <si>
    <t>SO-50710</t>
  </si>
  <si>
    <t>DN-4213</t>
  </si>
  <si>
    <t>SO-50080</t>
  </si>
  <si>
    <t>DN-4216</t>
  </si>
  <si>
    <t>SO-50052</t>
  </si>
  <si>
    <t>DN-4309</t>
  </si>
  <si>
    <t>SO-50660</t>
  </si>
  <si>
    <t>DN-4310</t>
  </si>
  <si>
    <t>SO-50055</t>
  </si>
  <si>
    <t>DN-4325</t>
  </si>
  <si>
    <t>SO-51740</t>
  </si>
  <si>
    <t>DN-4345</t>
  </si>
  <si>
    <t>SO-33860</t>
  </si>
  <si>
    <t>DN-1522</t>
  </si>
  <si>
    <t>SO-34270</t>
  </si>
  <si>
    <t>DN-1541</t>
  </si>
  <si>
    <t>SO-35460</t>
  </si>
  <si>
    <t>DN-1674</t>
  </si>
  <si>
    <t>SO-35880</t>
  </si>
  <si>
    <t>DN-1678</t>
  </si>
  <si>
    <t>SO-34870</t>
  </si>
  <si>
    <t>DN-1733</t>
  </si>
  <si>
    <t>SO-35620</t>
  </si>
  <si>
    <t>DN-1753</t>
  </si>
  <si>
    <t>SO-36100</t>
  </si>
  <si>
    <t>DN-1760</t>
  </si>
  <si>
    <t>SO-36080</t>
  </si>
  <si>
    <t>DN-1765</t>
  </si>
  <si>
    <t>SO-36170</t>
  </si>
  <si>
    <t>DN-1766</t>
  </si>
  <si>
    <t>SO-36060</t>
  </si>
  <si>
    <t>DN-1818</t>
  </si>
  <si>
    <t>SO-36710</t>
  </si>
  <si>
    <t>DN-1843</t>
  </si>
  <si>
    <t>SO-36130</t>
  </si>
  <si>
    <t>DN-1856</t>
  </si>
  <si>
    <t>SO-36690</t>
  </si>
  <si>
    <t>DN-1857</t>
  </si>
  <si>
    <t>SO-37102</t>
  </si>
  <si>
    <t>DN-1952</t>
  </si>
  <si>
    <t>SO-36831</t>
  </si>
  <si>
    <t>DN-1988</t>
  </si>
  <si>
    <t>SO-37250</t>
  </si>
  <si>
    <t>DN-1997</t>
  </si>
  <si>
    <t>SO-37310</t>
  </si>
  <si>
    <t>DN-2024</t>
  </si>
  <si>
    <t>SO-37620</t>
  </si>
  <si>
    <t>DN-2050</t>
  </si>
  <si>
    <t>SO-37570</t>
  </si>
  <si>
    <t>DN-2067</t>
  </si>
  <si>
    <t>SO-37160</t>
  </si>
  <si>
    <t>DN-2074</t>
  </si>
  <si>
    <t>SO-37540</t>
  </si>
  <si>
    <t>DN-2109</t>
  </si>
  <si>
    <t>SO-38930</t>
  </si>
  <si>
    <t>DN-2141</t>
  </si>
  <si>
    <t>SO-38410</t>
  </si>
  <si>
    <t>DN-2200</t>
  </si>
  <si>
    <t>SO-40140</t>
  </si>
  <si>
    <t>DN-2276</t>
  </si>
  <si>
    <t>SO-38800</t>
  </si>
  <si>
    <t>DN-2329</t>
  </si>
  <si>
    <t>SO-40960</t>
  </si>
  <si>
    <t>DN-2429</t>
  </si>
  <si>
    <t>SO-41040</t>
  </si>
  <si>
    <t>DN-2439</t>
  </si>
  <si>
    <t>SO-40941</t>
  </si>
  <si>
    <t>DN-2461</t>
  </si>
  <si>
    <t>SO-40551</t>
  </si>
  <si>
    <t>DN-2473</t>
  </si>
  <si>
    <t>SO-40510</t>
  </si>
  <si>
    <t>DN-2537</t>
  </si>
  <si>
    <t>SO-40642</t>
  </si>
  <si>
    <t>DN-2541</t>
  </si>
  <si>
    <t>SO-40640</t>
  </si>
  <si>
    <t>DN-2542</t>
  </si>
  <si>
    <t>SO-40614</t>
  </si>
  <si>
    <t>DN-2588</t>
  </si>
  <si>
    <t>SO-40631</t>
  </si>
  <si>
    <t>DN-2591</t>
  </si>
  <si>
    <t>SO-41530</t>
  </si>
  <si>
    <t>DN-2594</t>
  </si>
  <si>
    <t>SO-41630</t>
  </si>
  <si>
    <t>DN-2603</t>
  </si>
  <si>
    <t>SO-42050</t>
  </si>
  <si>
    <t>DN-2675</t>
  </si>
  <si>
    <t>SO-42080</t>
  </si>
  <si>
    <t>DN-2677</t>
  </si>
  <si>
    <t>SO-42160</t>
  </si>
  <si>
    <t>DN-2691</t>
  </si>
  <si>
    <t>SO-41620</t>
  </si>
  <si>
    <t>DN-2712</t>
  </si>
  <si>
    <t>SO-42731</t>
  </si>
  <si>
    <t>DN-2737</t>
  </si>
  <si>
    <t>SO-42051</t>
  </si>
  <si>
    <t>DN-2745</t>
  </si>
  <si>
    <t>SO-42600</t>
  </si>
  <si>
    <t>DN-2746</t>
  </si>
  <si>
    <t>SO-42570</t>
  </si>
  <si>
    <t>DN-2781</t>
  </si>
  <si>
    <t>SO-42581</t>
  </si>
  <si>
    <t>DN-2782</t>
  </si>
  <si>
    <t>SO-42490</t>
  </si>
  <si>
    <t>DN-2798</t>
  </si>
  <si>
    <t>SO-42631</t>
  </si>
  <si>
    <t>DN-2800</t>
  </si>
  <si>
    <t>SO-41600</t>
  </si>
  <si>
    <t>DN-2840</t>
  </si>
  <si>
    <t>SO-42320</t>
  </si>
  <si>
    <t>DN-2841</t>
  </si>
  <si>
    <t>SO-42760</t>
  </si>
  <si>
    <t>DN-2845</t>
  </si>
  <si>
    <t>SO-42480</t>
  </si>
  <si>
    <t>DN-2848</t>
  </si>
  <si>
    <t>SO-42120</t>
  </si>
  <si>
    <t>DN-2852</t>
  </si>
  <si>
    <t>SO-42140</t>
  </si>
  <si>
    <t>DN-2853</t>
  </si>
  <si>
    <t>SO-42940</t>
  </si>
  <si>
    <t>DN-2860</t>
  </si>
  <si>
    <t>SO-42710</t>
  </si>
  <si>
    <t>DN-2961</t>
  </si>
  <si>
    <t>SO-43111</t>
  </si>
  <si>
    <t>DN-2972</t>
  </si>
  <si>
    <t>SO-43490</t>
  </si>
  <si>
    <t>DN-3024</t>
  </si>
  <si>
    <t>SO-43121</t>
  </si>
  <si>
    <t>DN-3038</t>
  </si>
  <si>
    <t>SO-43131</t>
  </si>
  <si>
    <t>DN-3062</t>
  </si>
  <si>
    <t>SO-43871</t>
  </si>
  <si>
    <t>DN-3065</t>
  </si>
  <si>
    <t>Abacavir/Lamivudine 600/300mg, scored tablets, 30 Tabs</t>
  </si>
  <si>
    <t>SO-43941</t>
  </si>
  <si>
    <t>DN-3069</t>
  </si>
  <si>
    <t>SO-43943</t>
  </si>
  <si>
    <t>DN-3120</t>
  </si>
  <si>
    <t>SO-44660</t>
  </si>
  <si>
    <t>DN-3129</t>
  </si>
  <si>
    <t>SO-43630</t>
  </si>
  <si>
    <t>DN-3147</t>
  </si>
  <si>
    <t>SO-43900</t>
  </si>
  <si>
    <t>DN-3214</t>
  </si>
  <si>
    <t>SO-45730</t>
  </si>
  <si>
    <t>DN-3229</t>
  </si>
  <si>
    <t>SO-45170</t>
  </si>
  <si>
    <t>DN-3257</t>
  </si>
  <si>
    <t>SO-45470</t>
  </si>
  <si>
    <t>DN-3256</t>
  </si>
  <si>
    <t>SO-45880</t>
  </si>
  <si>
    <t>DN-3263</t>
  </si>
  <si>
    <t>SO-43874</t>
  </si>
  <si>
    <t>DN-3285</t>
  </si>
  <si>
    <t>SO-44983</t>
  </si>
  <si>
    <t>DN-3295</t>
  </si>
  <si>
    <t>SO-45541</t>
  </si>
  <si>
    <t>DN-3296</t>
  </si>
  <si>
    <t>SO-45980</t>
  </si>
  <si>
    <t>DN-3301</t>
  </si>
  <si>
    <t>SO-44984</t>
  </si>
  <si>
    <t>DN-3316</t>
  </si>
  <si>
    <t>SO-45370</t>
  </si>
  <si>
    <t>DN-3341</t>
  </si>
  <si>
    <t>SO-46030</t>
  </si>
  <si>
    <t>DN-3382</t>
  </si>
  <si>
    <t>SO-46022</t>
  </si>
  <si>
    <t>DN-3384</t>
  </si>
  <si>
    <t>SO-45590</t>
  </si>
  <si>
    <t>DN-3386</t>
  </si>
  <si>
    <t>SO-46680</t>
  </si>
  <si>
    <t>DN-3401</t>
  </si>
  <si>
    <t>SO-45741</t>
  </si>
  <si>
    <t>DN-3454</t>
  </si>
  <si>
    <t>SO-45995</t>
  </si>
  <si>
    <t>DN-3458</t>
  </si>
  <si>
    <t>SO-45392</t>
  </si>
  <si>
    <t>DN-3480</t>
  </si>
  <si>
    <t>SO-46840</t>
  </si>
  <si>
    <t>DN-3503</t>
  </si>
  <si>
    <t>SO-45500</t>
  </si>
  <si>
    <t>DN-3515</t>
  </si>
  <si>
    <t>SO-45530</t>
  </si>
  <si>
    <t>DN-3538</t>
  </si>
  <si>
    <t>SO-46480</t>
  </si>
  <si>
    <t>DN-3579</t>
  </si>
  <si>
    <t>SO-46670</t>
  </si>
  <si>
    <t>DN-3592</t>
  </si>
  <si>
    <t>SO-46861</t>
  </si>
  <si>
    <t>DN-3608</t>
  </si>
  <si>
    <t>SO-48170</t>
  </si>
  <si>
    <t>DN-3611</t>
  </si>
  <si>
    <t>SO-45393</t>
  </si>
  <si>
    <t>DN-3617</t>
  </si>
  <si>
    <t>SO-46005</t>
  </si>
  <si>
    <t>DN-3759</t>
  </si>
  <si>
    <t>SO-46730</t>
  </si>
  <si>
    <t>DN-3813</t>
  </si>
  <si>
    <t>SO-48780</t>
  </si>
  <si>
    <t>DN-3931</t>
  </si>
  <si>
    <t>SO-47654</t>
  </si>
  <si>
    <t>DN-3932</t>
  </si>
  <si>
    <t>SO-48993</t>
  </si>
  <si>
    <t>DN-4041</t>
  </si>
  <si>
    <t>SO-49952</t>
  </si>
  <si>
    <t>DN-4043</t>
  </si>
  <si>
    <t>Abacavir/Lamivudine 60/30mg, dispersible tablets, 60 Tabs</t>
  </si>
  <si>
    <t>SO-48812</t>
  </si>
  <si>
    <t>DN-4088</t>
  </si>
  <si>
    <t>SO-50640</t>
  </si>
  <si>
    <t>DN-4105</t>
  </si>
  <si>
    <t>SO-49970</t>
  </si>
  <si>
    <t>DN-4125</t>
  </si>
  <si>
    <t>SO-48813</t>
  </si>
  <si>
    <t>DN-4181</t>
  </si>
  <si>
    <t>Zidovudine 10mg/ml, oral solution w/syringe, Bottle, 240 ml</t>
  </si>
  <si>
    <t>SO-50050</t>
  </si>
  <si>
    <t>DN-4218</t>
  </si>
  <si>
    <t>SO-50054</t>
  </si>
  <si>
    <t>DN-4265</t>
  </si>
  <si>
    <t>SO-51540</t>
  </si>
  <si>
    <t>DN-4327</t>
  </si>
  <si>
    <t>SO-34160</t>
  </si>
  <si>
    <t>DN-1506</t>
  </si>
  <si>
    <t>SO-34020</t>
  </si>
  <si>
    <t>DN-1520</t>
  </si>
  <si>
    <t>SO-34610</t>
  </si>
  <si>
    <t>DN-1550</t>
  </si>
  <si>
    <t>SO-33970</t>
  </si>
  <si>
    <t>DN-1576</t>
  </si>
  <si>
    <t>SO-34840</t>
  </si>
  <si>
    <t>DN-1598</t>
  </si>
  <si>
    <t>SO-35230</t>
  </si>
  <si>
    <t>DN-1600</t>
  </si>
  <si>
    <t>SO-35100</t>
  </si>
  <si>
    <t>DN-1607</t>
  </si>
  <si>
    <t>SO-35760</t>
  </si>
  <si>
    <t>DN-1663</t>
  </si>
  <si>
    <t>SO-35960</t>
  </si>
  <si>
    <t>DN-1756</t>
  </si>
  <si>
    <t>SO-34940</t>
  </si>
  <si>
    <t>DN-1801</t>
  </si>
  <si>
    <t>SO-36650</t>
  </si>
  <si>
    <t>DN-1827</t>
  </si>
  <si>
    <t>SO-36042</t>
  </si>
  <si>
    <t>DN-1835</t>
  </si>
  <si>
    <t>SO-36830</t>
  </si>
  <si>
    <t>DN-1859</t>
  </si>
  <si>
    <t>SO-36131</t>
  </si>
  <si>
    <t>DN-1943</t>
  </si>
  <si>
    <t>SO-36070</t>
  </si>
  <si>
    <t>DN-1949</t>
  </si>
  <si>
    <t>SO-36230</t>
  </si>
  <si>
    <t>DN-1987</t>
  </si>
  <si>
    <t>SO-37480</t>
  </si>
  <si>
    <t>DN-2031</t>
  </si>
  <si>
    <t>SO-37550</t>
  </si>
  <si>
    <t>DN-2055</t>
  </si>
  <si>
    <t>SO-37680</t>
  </si>
  <si>
    <t>DN-2057</t>
  </si>
  <si>
    <t>SO-38100</t>
  </si>
  <si>
    <t>DN-2075</t>
  </si>
  <si>
    <t>SO-37530</t>
  </si>
  <si>
    <t>DN-2079</t>
  </si>
  <si>
    <t>SO-38760</t>
  </si>
  <si>
    <t>DN-2144</t>
  </si>
  <si>
    <t>SO-39000</t>
  </si>
  <si>
    <t>DN-2152</t>
  </si>
  <si>
    <t>SO-38790</t>
  </si>
  <si>
    <t>DN-2189</t>
  </si>
  <si>
    <t>SO-39760</t>
  </si>
  <si>
    <t>DN-2265</t>
  </si>
  <si>
    <t>SO-39970</t>
  </si>
  <si>
    <t>DN-2287</t>
  </si>
  <si>
    <t>SO-39060</t>
  </si>
  <si>
    <t>DN-2312</t>
  </si>
  <si>
    <t>SO-39500</t>
  </si>
  <si>
    <t>DN-2326</t>
  </si>
  <si>
    <t>SO-40230</t>
  </si>
  <si>
    <t>DN-2328</t>
  </si>
  <si>
    <t>SO-38171</t>
  </si>
  <si>
    <t>DN-2345</t>
  </si>
  <si>
    <t>SO-38170</t>
  </si>
  <si>
    <t>DN-2363</t>
  </si>
  <si>
    <t>SO-38870</t>
  </si>
  <si>
    <t>DN-2389</t>
  </si>
  <si>
    <t>SO-40521</t>
  </si>
  <si>
    <t>DN-2412</t>
  </si>
  <si>
    <t>SO-40912</t>
  </si>
  <si>
    <t>DN-2460</t>
  </si>
  <si>
    <t>SO-41060</t>
  </si>
  <si>
    <t>DN-2467</t>
  </si>
  <si>
    <t>SO-41540</t>
  </si>
  <si>
    <t>DN-2595</t>
  </si>
  <si>
    <t>SO-40931</t>
  </si>
  <si>
    <t>DN-2607</t>
  </si>
  <si>
    <t>SO-40970</t>
  </si>
  <si>
    <t>DN-2627</t>
  </si>
  <si>
    <t>SO-40501</t>
  </si>
  <si>
    <t>DN-2632</t>
  </si>
  <si>
    <t>SO-41531</t>
  </si>
  <si>
    <t>DN-2636</t>
  </si>
  <si>
    <t>SO-42070</t>
  </si>
  <si>
    <t>DN-2676</t>
  </si>
  <si>
    <t>SO-42310</t>
  </si>
  <si>
    <t>DN-2719</t>
  </si>
  <si>
    <t>SO-42101</t>
  </si>
  <si>
    <t>DN-2736</t>
  </si>
  <si>
    <t>SO-42690</t>
  </si>
  <si>
    <t>DN-2759</t>
  </si>
  <si>
    <t>SO-41580</t>
  </si>
  <si>
    <t>DN-2761</t>
  </si>
  <si>
    <t>SO-42730</t>
  </si>
  <si>
    <t>DN-2783</t>
  </si>
  <si>
    <t>SO-42701</t>
  </si>
  <si>
    <t>DN-2801</t>
  </si>
  <si>
    <t>SO-42170</t>
  </si>
  <si>
    <t>DN-2807</t>
  </si>
  <si>
    <t>SO-42660</t>
  </si>
  <si>
    <t>DN-2874</t>
  </si>
  <si>
    <t>SO-42061</t>
  </si>
  <si>
    <t>DN-2875</t>
  </si>
  <si>
    <t>SO-42650</t>
  </si>
  <si>
    <t>DN-2883</t>
  </si>
  <si>
    <t>SO-41551</t>
  </si>
  <si>
    <t>DN-2889</t>
  </si>
  <si>
    <t>Lamivudine/Nevirapine/Stavudine 60/100/12mg, dispersible tablets, 60 Tabs</t>
  </si>
  <si>
    <t>60/100/12mg</t>
  </si>
  <si>
    <t>SO-43480</t>
  </si>
  <si>
    <t>DN-2927</t>
  </si>
  <si>
    <t>SO-43921</t>
  </si>
  <si>
    <t>DN-2999</t>
  </si>
  <si>
    <t>SO-43961</t>
  </si>
  <si>
    <t>DN-3001</t>
  </si>
  <si>
    <t>SO-43920</t>
  </si>
  <si>
    <t>DN-3035</t>
  </si>
  <si>
    <t>SO-43960</t>
  </si>
  <si>
    <t>DN-3042</t>
  </si>
  <si>
    <t>SO-44640</t>
  </si>
  <si>
    <t>DN-3096</t>
  </si>
  <si>
    <t>SO-44381</t>
  </si>
  <si>
    <t>DN-3101</t>
  </si>
  <si>
    <t>SO-43130</t>
  </si>
  <si>
    <t>DN-3103</t>
  </si>
  <si>
    <t>SO-43951</t>
  </si>
  <si>
    <t>DN-3119</t>
  </si>
  <si>
    <t>SO-43962</t>
  </si>
  <si>
    <t>DN-3123</t>
  </si>
  <si>
    <t>SO-43942</t>
  </si>
  <si>
    <t>DN-3124</t>
  </si>
  <si>
    <t>SO-43650</t>
  </si>
  <si>
    <t>DN-3121</t>
  </si>
  <si>
    <t>SO-44761</t>
  </si>
  <si>
    <t>DN-3160</t>
  </si>
  <si>
    <t>SO-44383</t>
  </si>
  <si>
    <t>DN-3194</t>
  </si>
  <si>
    <t>SO-44982</t>
  </si>
  <si>
    <t>DN-3207</t>
  </si>
  <si>
    <t>SO-43870</t>
  </si>
  <si>
    <t>DN-3221</t>
  </si>
  <si>
    <t>SO-43910</t>
  </si>
  <si>
    <t>DN-3237</t>
  </si>
  <si>
    <t>SO-45870</t>
  </si>
  <si>
    <t>DN-3267</t>
  </si>
  <si>
    <t>SO-45991</t>
  </si>
  <si>
    <t>DN-3304</t>
  </si>
  <si>
    <t>SO-45490</t>
  </si>
  <si>
    <t>DN-3305</t>
  </si>
  <si>
    <t>SO-43141</t>
  </si>
  <si>
    <t>DN-3308</t>
  </si>
  <si>
    <t>SO-46830</t>
  </si>
  <si>
    <t>DN-3402</t>
  </si>
  <si>
    <t>SO-46482</t>
  </si>
  <si>
    <t>DN-3479</t>
  </si>
  <si>
    <t>SO-46490</t>
  </si>
  <si>
    <t>DN-3520</t>
  </si>
  <si>
    <t>SO-45999</t>
  </si>
  <si>
    <t>DN-3531</t>
  </si>
  <si>
    <t>SO-46882</t>
  </si>
  <si>
    <t>DN-3602</t>
  </si>
  <si>
    <t>SO-46660</t>
  </si>
  <si>
    <t>DN-3613</t>
  </si>
  <si>
    <t>SO-47670</t>
  </si>
  <si>
    <t>DN-3712</t>
  </si>
  <si>
    <t>SO-46023</t>
  </si>
  <si>
    <t>DN-3739</t>
  </si>
  <si>
    <t>SO-45402</t>
  </si>
  <si>
    <t>DN-3748</t>
  </si>
  <si>
    <t>SO-45591</t>
  </si>
  <si>
    <t>DN-3766</t>
  </si>
  <si>
    <t>SO-46874</t>
  </si>
  <si>
    <t>DN-3760</t>
  </si>
  <si>
    <t>SO-49240</t>
  </si>
  <si>
    <t>DN-3892</t>
  </si>
  <si>
    <t>SO-48161</t>
  </si>
  <si>
    <t>DN-3787</t>
  </si>
  <si>
    <t>SO-48150</t>
  </si>
  <si>
    <t>DN-3845</t>
  </si>
  <si>
    <t>SO-48580</t>
  </si>
  <si>
    <t>DN-3852</t>
  </si>
  <si>
    <t>SO-48980</t>
  </si>
  <si>
    <t>DN-3863</t>
  </si>
  <si>
    <t>SO-49000</t>
  </si>
  <si>
    <t>DN-3908</t>
  </si>
  <si>
    <t>SO-46700</t>
  </si>
  <si>
    <t>DN-3967</t>
  </si>
  <si>
    <t>SO-47661</t>
  </si>
  <si>
    <t>DN-3968</t>
  </si>
  <si>
    <t>SO-50051</t>
  </si>
  <si>
    <t>DN-4061</t>
  </si>
  <si>
    <t>SO-48971</t>
  </si>
  <si>
    <t>DN-4070</t>
  </si>
  <si>
    <t>SO-48972</t>
  </si>
  <si>
    <t>DN-4071</t>
  </si>
  <si>
    <t>SO-48921</t>
  </si>
  <si>
    <t>DN-4089</t>
  </si>
  <si>
    <t>SO-50090</t>
  </si>
  <si>
    <t>DN-4102</t>
  </si>
  <si>
    <t>SO-50650</t>
  </si>
  <si>
    <t>DN-4106</t>
  </si>
  <si>
    <t>SO-49010</t>
  </si>
  <si>
    <t>DN-4151</t>
  </si>
  <si>
    <t>SO-50741</t>
  </si>
  <si>
    <t>DN-4180</t>
  </si>
  <si>
    <t>SO-49012</t>
  </si>
  <si>
    <t>DN-4217</t>
  </si>
  <si>
    <t>SO-50290</t>
  </si>
  <si>
    <t>DN-4210</t>
  </si>
  <si>
    <t>SO-50671</t>
  </si>
  <si>
    <t>DN-4249</t>
  </si>
  <si>
    <t>SO-50291</t>
  </si>
  <si>
    <t>DN-4306</t>
  </si>
  <si>
    <t>SO-49942</t>
  </si>
  <si>
    <t>DN-4297</t>
  </si>
  <si>
    <t>SO-51741</t>
  </si>
  <si>
    <t>DN-4347</t>
  </si>
  <si>
    <t>SO-34150</t>
  </si>
  <si>
    <t>DN-1507</t>
  </si>
  <si>
    <t>SO-34810</t>
  </si>
  <si>
    <t>DN-1595</t>
  </si>
  <si>
    <t>SO-35470</t>
  </si>
  <si>
    <t>DN-1616</t>
  </si>
  <si>
    <t>SO-34850</t>
  </si>
  <si>
    <t>DN-1636</t>
  </si>
  <si>
    <t>SO-35630</t>
  </si>
  <si>
    <t>DN-1675</t>
  </si>
  <si>
    <t>SO-35000</t>
  </si>
  <si>
    <t>DN-1751</t>
  </si>
  <si>
    <t>SO-36250</t>
  </si>
  <si>
    <t>DN-1769</t>
  </si>
  <si>
    <t>SO-36390</t>
  </si>
  <si>
    <t>DN-1773</t>
  </si>
  <si>
    <t>SO-36270</t>
  </si>
  <si>
    <t>DN-1834</t>
  </si>
  <si>
    <t>SO-36151</t>
  </si>
  <si>
    <t>DN-1841</t>
  </si>
  <si>
    <t>SO-36140</t>
  </si>
  <si>
    <t>DN-1853</t>
  </si>
  <si>
    <t>SO-36811</t>
  </si>
  <si>
    <t>DN-1869</t>
  </si>
  <si>
    <t>SO-36580</t>
  </si>
  <si>
    <t>DN-1870</t>
  </si>
  <si>
    <t>SO-36180</t>
  </si>
  <si>
    <t>DN-1874</t>
  </si>
  <si>
    <t>SO-36030</t>
  </si>
  <si>
    <t>DN-1927</t>
  </si>
  <si>
    <t>SO-36043</t>
  </si>
  <si>
    <t>DN-1947</t>
  </si>
  <si>
    <t>SO-37100</t>
  </si>
  <si>
    <t>DN-1951</t>
  </si>
  <si>
    <t>SO-37190</t>
  </si>
  <si>
    <t>DN-1981</t>
  </si>
  <si>
    <t>SO-37300</t>
  </si>
  <si>
    <t>DN-2008</t>
  </si>
  <si>
    <t>SO-37460</t>
  </si>
  <si>
    <t>DN-2026</t>
  </si>
  <si>
    <t>SO-37940</t>
  </si>
  <si>
    <t>DN-2049</t>
  </si>
  <si>
    <t>SO-38180</t>
  </si>
  <si>
    <t>DN-2084</t>
  </si>
  <si>
    <t>SO-38460</t>
  </si>
  <si>
    <t>DN-2111</t>
  </si>
  <si>
    <t>SO-39010</t>
  </si>
  <si>
    <t>DN-2151</t>
  </si>
  <si>
    <t>SO-38420</t>
  </si>
  <si>
    <t>DN-2199</t>
  </si>
  <si>
    <t>SO-39560</t>
  </si>
  <si>
    <t>DN-2227</t>
  </si>
  <si>
    <t>Air Charter</t>
  </si>
  <si>
    <t>SO-40911</t>
  </si>
  <si>
    <t>DN-2435</t>
  </si>
  <si>
    <t>SO-40620</t>
  </si>
  <si>
    <t>DN-2443</t>
  </si>
  <si>
    <t>SO-40611</t>
  </si>
  <si>
    <t>DN-2444</t>
  </si>
  <si>
    <t>SO-40550</t>
  </si>
  <si>
    <t>DN-2446</t>
  </si>
  <si>
    <t>SO-40630</t>
  </si>
  <si>
    <t>DN-2544</t>
  </si>
  <si>
    <t>SO-40910</t>
  </si>
  <si>
    <t>DN-2546</t>
  </si>
  <si>
    <t>SO-40531</t>
  </si>
  <si>
    <t>DN-2572</t>
  </si>
  <si>
    <t>SO-40691</t>
  </si>
  <si>
    <t>DN-2573</t>
  </si>
  <si>
    <t>SO-41740</t>
  </si>
  <si>
    <t>DN-2619</t>
  </si>
  <si>
    <t>SO-41431</t>
  </si>
  <si>
    <t>DN-2626</t>
  </si>
  <si>
    <t>SO-40490</t>
  </si>
  <si>
    <t>DN-2633</t>
  </si>
  <si>
    <t>SO-40530</t>
  </si>
  <si>
    <t>DN-2634</t>
  </si>
  <si>
    <t>SO-41581</t>
  </si>
  <si>
    <t>DN-2718</t>
  </si>
  <si>
    <t>SO-41592</t>
  </si>
  <si>
    <t>DN-2722</t>
  </si>
  <si>
    <t>SO-42630</t>
  </si>
  <si>
    <t>DN-2838</t>
  </si>
  <si>
    <t>SO-41596</t>
  </si>
  <si>
    <t>DN-2839</t>
  </si>
  <si>
    <t>SO-41590</t>
  </si>
  <si>
    <t>DN-2876</t>
  </si>
  <si>
    <t>SO-43170</t>
  </si>
  <si>
    <t>DN-2897</t>
  </si>
  <si>
    <t>SO-43470</t>
  </si>
  <si>
    <t>DN-2971</t>
  </si>
  <si>
    <t>SO-42431</t>
  </si>
  <si>
    <t>DN-2976</t>
  </si>
  <si>
    <t>SO-42810</t>
  </si>
  <si>
    <t>DN-2977</t>
  </si>
  <si>
    <t>SO-43950</t>
  </si>
  <si>
    <t>DN-3040</t>
  </si>
  <si>
    <t>SO-44981</t>
  </si>
  <si>
    <t>DN-3155</t>
  </si>
  <si>
    <t>SO-43631</t>
  </si>
  <si>
    <t>DN-3218</t>
  </si>
  <si>
    <t>SO-45540</t>
  </si>
  <si>
    <t>DN-3273</t>
  </si>
  <si>
    <t>SO-45992</t>
  </si>
  <si>
    <t>DN-3326</t>
  </si>
  <si>
    <t>SO-45580</t>
  </si>
  <si>
    <t>DN-3333</t>
  </si>
  <si>
    <t>SO-45360</t>
  </si>
  <si>
    <t>DN-3345</t>
  </si>
  <si>
    <t>SO-46190</t>
  </si>
  <si>
    <t>DN-3348</t>
  </si>
  <si>
    <t>SO-45400</t>
  </si>
  <si>
    <t>DN-3399</t>
  </si>
  <si>
    <t>SO-45401</t>
  </si>
  <si>
    <t>DN-3424</t>
  </si>
  <si>
    <t>SO-46020</t>
  </si>
  <si>
    <t>DN-3381</t>
  </si>
  <si>
    <t>SO-47480</t>
  </si>
  <si>
    <t>DN-3492</t>
  </si>
  <si>
    <t>SO-45520</t>
  </si>
  <si>
    <t>DN-3516</t>
  </si>
  <si>
    <t>SO-46486</t>
  </si>
  <si>
    <t>DN-3641</t>
  </si>
  <si>
    <t>SO-46501</t>
  </si>
  <si>
    <t>DN-3699</t>
  </si>
  <si>
    <t>SO-46006</t>
  </si>
  <si>
    <t>DN-3709</t>
  </si>
  <si>
    <t>SO-47652</t>
  </si>
  <si>
    <t>DN-3643</t>
  </si>
  <si>
    <t>SO-48610</t>
  </si>
  <si>
    <t>DN-3804</t>
  </si>
  <si>
    <t>SO-48811</t>
  </si>
  <si>
    <t>DN-3814</t>
  </si>
  <si>
    <t>SO-47850</t>
  </si>
  <si>
    <t>DN-3841</t>
  </si>
  <si>
    <t>SO-48770</t>
  </si>
  <si>
    <t>DN-3948</t>
  </si>
  <si>
    <t>SO-48160</t>
  </si>
  <si>
    <t>DN-3969</t>
  </si>
  <si>
    <t>SO-48620</t>
  </si>
  <si>
    <t>DN-4003</t>
  </si>
  <si>
    <t>SO-49941</t>
  </si>
  <si>
    <t>DN-4011</t>
  </si>
  <si>
    <t>SO-48973</t>
  </si>
  <si>
    <t>DN-4019</t>
  </si>
  <si>
    <t>SO-49980</t>
  </si>
  <si>
    <t>DN-4042</t>
  </si>
  <si>
    <t>SO-49960</t>
  </si>
  <si>
    <t>DN-4044</t>
  </si>
  <si>
    <t>SO-50630</t>
  </si>
  <si>
    <t>DN-4109</t>
  </si>
  <si>
    <t>SO-50730</t>
  </si>
  <si>
    <t>DN-4141</t>
  </si>
  <si>
    <t>SO-50280</t>
  </si>
  <si>
    <t>DN-4178</t>
  </si>
  <si>
    <t>SO-50700</t>
  </si>
  <si>
    <t>DN-4299</t>
  </si>
  <si>
    <t>SO-33980</t>
  </si>
  <si>
    <t>DN-1517</t>
  </si>
  <si>
    <t>SO-34280</t>
  </si>
  <si>
    <t>DN-1540</t>
  </si>
  <si>
    <t>SO-35610</t>
  </si>
  <si>
    <t>DN-1638</t>
  </si>
  <si>
    <t>SO-34950</t>
  </si>
  <si>
    <t>DN-1750</t>
  </si>
  <si>
    <t>SO-34970</t>
  </si>
  <si>
    <t>DN-1755</t>
  </si>
  <si>
    <t>SO-35890</t>
  </si>
  <si>
    <t>DN-1757</t>
  </si>
  <si>
    <t>SO-34860</t>
  </si>
  <si>
    <t>DN-1758</t>
  </si>
  <si>
    <t>SO-36210</t>
  </si>
  <si>
    <t>DN-1767</t>
  </si>
  <si>
    <t>SO-35940</t>
  </si>
  <si>
    <t>DN-1798</t>
  </si>
  <si>
    <t>SO-36260</t>
  </si>
  <si>
    <t>DN-1819</t>
  </si>
  <si>
    <t>SO-36090</t>
  </si>
  <si>
    <t>DN-1840</t>
  </si>
  <si>
    <t>SO-36832</t>
  </si>
  <si>
    <t>DN-1860</t>
  </si>
  <si>
    <t>SO-37260</t>
  </si>
  <si>
    <t>DN-1998</t>
  </si>
  <si>
    <t>SO-36600</t>
  </si>
  <si>
    <t>DN-2039</t>
  </si>
  <si>
    <t>SO-37470</t>
  </si>
  <si>
    <t>DN-2056</t>
  </si>
  <si>
    <t>SO-37580</t>
  </si>
  <si>
    <t>DN-2058</t>
  </si>
  <si>
    <t>SO-37630</t>
  </si>
  <si>
    <t>DN-2130</t>
  </si>
  <si>
    <t>SO-38890</t>
  </si>
  <si>
    <t>DN-2135</t>
  </si>
  <si>
    <t>SO-39320</t>
  </si>
  <si>
    <t>DN-2190</t>
  </si>
  <si>
    <t>SO-39140</t>
  </si>
  <si>
    <t>DN-2201</t>
  </si>
  <si>
    <t>SO-39490</t>
  </si>
  <si>
    <t>DN-2256</t>
  </si>
  <si>
    <t>SO-38160</t>
  </si>
  <si>
    <t>DN-2261</t>
  </si>
  <si>
    <t>SO-40190</t>
  </si>
  <si>
    <t>DN-2306</t>
  </si>
  <si>
    <t>SO-40710</t>
  </si>
  <si>
    <t>DN-2375</t>
  </si>
  <si>
    <t>SO-40641</t>
  </si>
  <si>
    <t>DN-2484</t>
  </si>
  <si>
    <t>SO-40920</t>
  </si>
  <si>
    <t>DN-2549</t>
  </si>
  <si>
    <t>SO-40600</t>
  </si>
  <si>
    <t>DN-2571</t>
  </si>
  <si>
    <t>SO-40932</t>
  </si>
  <si>
    <t>DN-2602</t>
  </si>
  <si>
    <t>SO-41640</t>
  </si>
  <si>
    <t>DN-2609</t>
  </si>
  <si>
    <t>SO-41430</t>
  </si>
  <si>
    <t>DN-2625</t>
  </si>
  <si>
    <t>SO-41820</t>
  </si>
  <si>
    <t>DN-2653</t>
  </si>
  <si>
    <t>SO-42090</t>
  </si>
  <si>
    <t>DN-2670</t>
  </si>
  <si>
    <t>SO-42150</t>
  </si>
  <si>
    <t>DN-2674</t>
  </si>
  <si>
    <t>SO-42110</t>
  </si>
  <si>
    <t>DN-2673</t>
  </si>
  <si>
    <t>SO-42134</t>
  </si>
  <si>
    <t>DN-2797</t>
  </si>
  <si>
    <t>SO-41594</t>
  </si>
  <si>
    <t>DN-2815</t>
  </si>
  <si>
    <t>SO-43011</t>
  </si>
  <si>
    <t>DN-2822</t>
  </si>
  <si>
    <t>SO-42620</t>
  </si>
  <si>
    <t>DN-2824</t>
  </si>
  <si>
    <t>SO-42052</t>
  </si>
  <si>
    <t>DN-2830</t>
  </si>
  <si>
    <t>SO-43510</t>
  </si>
  <si>
    <t>DN-2926</t>
  </si>
  <si>
    <t>SO-43110</t>
  </si>
  <si>
    <t>DN-2963</t>
  </si>
  <si>
    <t>SO-43940</t>
  </si>
  <si>
    <t>DN-3034</t>
  </si>
  <si>
    <t>SO-43632</t>
  </si>
  <si>
    <t>DN-3219</t>
  </si>
  <si>
    <t>SO-45152</t>
  </si>
  <si>
    <t>DN-3261</t>
  </si>
  <si>
    <t>SO-44990</t>
  </si>
  <si>
    <t>DN-3346</t>
  </si>
  <si>
    <t>SO-45381</t>
  </si>
  <si>
    <t>DN-3453</t>
  </si>
  <si>
    <t>SO-45994</t>
  </si>
  <si>
    <t>DN-3543</t>
  </si>
  <si>
    <t>SO-46671</t>
  </si>
  <si>
    <t>DN-3533</t>
  </si>
  <si>
    <t>SO-45531</t>
  </si>
  <si>
    <t>DN-3534</t>
  </si>
  <si>
    <t>SO-46720</t>
  </si>
  <si>
    <t>DN-3593</t>
  </si>
  <si>
    <t>SO-46560</t>
  </si>
  <si>
    <t>DN-3689</t>
  </si>
  <si>
    <t>SO-45391</t>
  </si>
  <si>
    <t>DN-3714</t>
  </si>
  <si>
    <t>SO-46721</t>
  </si>
  <si>
    <t>DN-3758</t>
  </si>
  <si>
    <t>SO-48760</t>
  </si>
  <si>
    <t>DN-3857</t>
  </si>
  <si>
    <t>SO-46674</t>
  </si>
  <si>
    <t>DN-3867</t>
  </si>
  <si>
    <t>SO-45350</t>
  </si>
  <si>
    <t>DN-3902</t>
  </si>
  <si>
    <t>SO-47840</t>
  </si>
  <si>
    <t>DN-3930</t>
  </si>
  <si>
    <t>SO-47656</t>
  </si>
  <si>
    <t>DN-4006</t>
  </si>
  <si>
    <t>SO-48992</t>
  </si>
  <si>
    <t>DN-4034</t>
  </si>
  <si>
    <t>SO-50060</t>
  </si>
  <si>
    <t>DN-4103</t>
  </si>
  <si>
    <t>SO-48920</t>
  </si>
  <si>
    <t>DN-4104</t>
  </si>
  <si>
    <t>SO-50620</t>
  </si>
  <si>
    <t>DN-4095</t>
  </si>
  <si>
    <t>SO-50740</t>
  </si>
  <si>
    <t>DN-4150</t>
  </si>
  <si>
    <t>SO-48995</t>
  </si>
  <si>
    <t>DN-4214</t>
  </si>
  <si>
    <t>SO-50053</t>
  </si>
  <si>
    <t>DN-4298</t>
  </si>
  <si>
    <t>SO-34010</t>
  </si>
  <si>
    <t>DN-1548</t>
  </si>
  <si>
    <t>SO-34960</t>
  </si>
  <si>
    <t>DN-1596</t>
  </si>
  <si>
    <t>SO-34990</t>
  </si>
  <si>
    <t>DN-1749</t>
  </si>
  <si>
    <t>SO-36110</t>
  </si>
  <si>
    <t>DN-1772</t>
  </si>
  <si>
    <t>SO-34981</t>
  </si>
  <si>
    <t>DN-1816</t>
  </si>
  <si>
    <t>SO-36280</t>
  </si>
  <si>
    <t>DN-1820</t>
  </si>
  <si>
    <t>SO-36590</t>
  </si>
  <si>
    <t>DN-1824</t>
  </si>
  <si>
    <t>SO-36141</t>
  </si>
  <si>
    <t>DN-1852</t>
  </si>
  <si>
    <t>SO-36132</t>
  </si>
  <si>
    <t>DN-1858</t>
  </si>
  <si>
    <t>SO-36071</t>
  </si>
  <si>
    <t>DN-1986</t>
  </si>
  <si>
    <t>SO-37280</t>
  </si>
  <si>
    <t>DN-2002</t>
  </si>
  <si>
    <t>SO-37930</t>
  </si>
  <si>
    <t>DN-2082</t>
  </si>
  <si>
    <t>SO-36610</t>
  </si>
  <si>
    <t>DN-2102</t>
  </si>
  <si>
    <t>SO-39330</t>
  </si>
  <si>
    <t>DN-2192</t>
  </si>
  <si>
    <t>SO-39440</t>
  </si>
  <si>
    <t>DN-2207</t>
  </si>
  <si>
    <t>SO-39900</t>
  </si>
  <si>
    <t>DN-2253</t>
  </si>
  <si>
    <t>SO-38172</t>
  </si>
  <si>
    <t>DN-2373</t>
  </si>
  <si>
    <t>SO-40480</t>
  </si>
  <si>
    <t>DN-2416</t>
  </si>
  <si>
    <t>SO-40980</t>
  </si>
  <si>
    <t>DN-2432</t>
  </si>
  <si>
    <t>SO-41070</t>
  </si>
  <si>
    <t>DN-2436</t>
  </si>
  <si>
    <t>SO-40540</t>
  </si>
  <si>
    <t>DN-2538</t>
  </si>
  <si>
    <t>SO-40481</t>
  </si>
  <si>
    <t>DN-2570</t>
  </si>
  <si>
    <t>SO-42081</t>
  </si>
  <si>
    <t>DN-2747</t>
  </si>
  <si>
    <t>SO-41560</t>
  </si>
  <si>
    <t>DN-2762</t>
  </si>
  <si>
    <t>SO-42761</t>
  </si>
  <si>
    <t>DN-2784</t>
  </si>
  <si>
    <t>SO-42880</t>
  </si>
  <si>
    <t>DN-2842</t>
  </si>
  <si>
    <t>SO-42890</t>
  </si>
  <si>
    <t>DN-2843</t>
  </si>
  <si>
    <t>SO-42720</t>
  </si>
  <si>
    <t>DN-2850</t>
  </si>
  <si>
    <t>SO-43500</t>
  </si>
  <si>
    <t>DN-2953</t>
  </si>
  <si>
    <t>SO-43120</t>
  </si>
  <si>
    <t>DN-2962</t>
  </si>
  <si>
    <t>SO-44370</t>
  </si>
  <si>
    <t>DN-3104</t>
  </si>
  <si>
    <t>SO-44790</t>
  </si>
  <si>
    <t>DN-3105</t>
  </si>
  <si>
    <t>SO-43122</t>
  </si>
  <si>
    <t>DN-3111</t>
  </si>
  <si>
    <t>SO-43880</t>
  </si>
  <si>
    <t>DN-3127</t>
  </si>
  <si>
    <t>SO-43872</t>
  </si>
  <si>
    <t>DN-3137</t>
  </si>
  <si>
    <t>SO-44760</t>
  </si>
  <si>
    <t>DN-3159</t>
  </si>
  <si>
    <t>SO-44992</t>
  </si>
  <si>
    <t>DN-3255</t>
  </si>
  <si>
    <t>SO-45970</t>
  </si>
  <si>
    <t>DN-3266</t>
  </si>
  <si>
    <t>SO-45180</t>
  </si>
  <si>
    <t>DN-3234</t>
  </si>
  <si>
    <t>SO-45480</t>
  </si>
  <si>
    <t>DN-3270</t>
  </si>
  <si>
    <t>SO-45460</t>
  </si>
  <si>
    <t>DN-3271</t>
  </si>
  <si>
    <t>SO-45150</t>
  </si>
  <si>
    <t>DN-3284</t>
  </si>
  <si>
    <t>SO-44380</t>
  </si>
  <si>
    <t>DN-3309</t>
  </si>
  <si>
    <t>SO-46050</t>
  </si>
  <si>
    <t>DN-3383</t>
  </si>
  <si>
    <t>SO-45570</t>
  </si>
  <si>
    <t>DN-3385</t>
  </si>
  <si>
    <t>SO-45993</t>
  </si>
  <si>
    <t>DN-3407</t>
  </si>
  <si>
    <t>SO-46881</t>
  </si>
  <si>
    <t>DN-3527</t>
  </si>
  <si>
    <t>SO-47653</t>
  </si>
  <si>
    <t>DN-3629</t>
  </si>
  <si>
    <t>SO-48290</t>
  </si>
  <si>
    <t>DN-3646</t>
  </si>
  <si>
    <t>SO-46873</t>
  </si>
  <si>
    <t>DN-3661</t>
  </si>
  <si>
    <t>SO-47651</t>
  </si>
  <si>
    <t>DN-3674</t>
  </si>
  <si>
    <t>SO-45743</t>
  </si>
  <si>
    <t>DN-3688</t>
  </si>
  <si>
    <t>SO-46871</t>
  </si>
  <si>
    <t>DN-3736</t>
  </si>
  <si>
    <t>SO-48600</t>
  </si>
  <si>
    <t>DN-3797</t>
  </si>
  <si>
    <t>SO-48771</t>
  </si>
  <si>
    <t>DN-3802</t>
  </si>
  <si>
    <t>SO-46675</t>
  </si>
  <si>
    <t>DN-3812</t>
  </si>
  <si>
    <t>SO-46702</t>
  </si>
  <si>
    <t>DN-3868</t>
  </si>
  <si>
    <t>SO-47960</t>
  </si>
  <si>
    <t>DN-3926</t>
  </si>
  <si>
    <t>SO-47650</t>
  </si>
  <si>
    <t>DN-3933</t>
  </si>
  <si>
    <t>SO-48960</t>
  </si>
  <si>
    <t>DN-3936</t>
  </si>
  <si>
    <t>SO-47655</t>
  </si>
  <si>
    <t>DN-3964</t>
  </si>
  <si>
    <t>SO-49020</t>
  </si>
  <si>
    <t>DN-4007</t>
  </si>
  <si>
    <t>SO-50711</t>
  </si>
  <si>
    <t>DN-4200</t>
  </si>
  <si>
    <t>SO-50720</t>
  </si>
  <si>
    <t>DN-4286</t>
  </si>
  <si>
    <t>SO-51550</t>
  </si>
  <si>
    <t>DN-4330</t>
  </si>
  <si>
    <t>SO-33180</t>
  </si>
  <si>
    <t>DN-1429</t>
  </si>
  <si>
    <t>SO-34630</t>
  </si>
  <si>
    <t>DN-1574</t>
  </si>
  <si>
    <t>SO-33880</t>
  </si>
  <si>
    <t>DN-1599</t>
  </si>
  <si>
    <t>SO-34780</t>
  </si>
  <si>
    <t>DN-1622</t>
  </si>
  <si>
    <t>SO-34080</t>
  </si>
  <si>
    <t>DN-1631</t>
  </si>
  <si>
    <t>SO-36240</t>
  </si>
  <si>
    <t>DN-1770</t>
  </si>
  <si>
    <t>SO-36050</t>
  </si>
  <si>
    <t>DN-1846</t>
  </si>
  <si>
    <t>SO-36041</t>
  </si>
  <si>
    <t>DN-1890</t>
  </si>
  <si>
    <t>SO-36680</t>
  </si>
  <si>
    <t>DN-2006</t>
  </si>
  <si>
    <t>SO-37270</t>
  </si>
  <si>
    <t>DN-2028</t>
  </si>
  <si>
    <t>SO-37180</t>
  </si>
  <si>
    <t>DN-2040</t>
  </si>
  <si>
    <t>SO-37510</t>
  </si>
  <si>
    <t>DN-2048</t>
  </si>
  <si>
    <t>SO-37910</t>
  </si>
  <si>
    <t>DN-2103</t>
  </si>
  <si>
    <t>SO-38430</t>
  </si>
  <si>
    <t>DN-2131</t>
  </si>
  <si>
    <t>SO-38880</t>
  </si>
  <si>
    <t>DN-2133</t>
  </si>
  <si>
    <t>SO-39660</t>
  </si>
  <si>
    <t>DN-2222</t>
  </si>
  <si>
    <t>SO-40220</t>
  </si>
  <si>
    <t>DN-2313</t>
  </si>
  <si>
    <t>SO-39751</t>
  </si>
  <si>
    <t>DN-2314</t>
  </si>
  <si>
    <t>SO-38802</t>
  </si>
  <si>
    <t>DN-2315</t>
  </si>
  <si>
    <t>SO-38803</t>
  </si>
  <si>
    <t>DN-2344</t>
  </si>
  <si>
    <t>SO-39752</t>
  </si>
  <si>
    <t>DN-2374</t>
  </si>
  <si>
    <t>SO-40520</t>
  </si>
  <si>
    <t>DN-2536</t>
  </si>
  <si>
    <t>SO-40943</t>
  </si>
  <si>
    <t>DN-2569</t>
  </si>
  <si>
    <t>SO-40942</t>
  </si>
  <si>
    <t>DN-2580</t>
  </si>
  <si>
    <t>SO-40502</t>
  </si>
  <si>
    <t>DN-2593</t>
  </si>
  <si>
    <t>SO-41420</t>
  </si>
  <si>
    <t>DN-2585</t>
  </si>
  <si>
    <t>SO-40491</t>
  </si>
  <si>
    <t>DN-2592</t>
  </si>
  <si>
    <t>SO-40471</t>
  </si>
  <si>
    <t>DN-2721</t>
  </si>
  <si>
    <t>SO-41591</t>
  </si>
  <si>
    <t>DN-2740</t>
  </si>
  <si>
    <t>SO-42750</t>
  </si>
  <si>
    <t>DN-2770</t>
  </si>
  <si>
    <t>SO-42133</t>
  </si>
  <si>
    <t>DN-2789</t>
  </si>
  <si>
    <t>SO-42740</t>
  </si>
  <si>
    <t>DN-2796</t>
  </si>
  <si>
    <t>SO-41595</t>
  </si>
  <si>
    <t>DN-2828</t>
  </si>
  <si>
    <t>SO-41550</t>
  </si>
  <si>
    <t>DN-2888</t>
  </si>
  <si>
    <t>SO-42700</t>
  </si>
  <si>
    <t>DN-2915</t>
  </si>
  <si>
    <t>SO-42420</t>
  </si>
  <si>
    <t>DN-2916</t>
  </si>
  <si>
    <t>SO-42901</t>
  </si>
  <si>
    <t>DN-2964</t>
  </si>
  <si>
    <t>SO-43100</t>
  </si>
  <si>
    <t>DN-2983</t>
  </si>
  <si>
    <t>SO-43930</t>
  </si>
  <si>
    <t>DN-2986</t>
  </si>
  <si>
    <t>SO-43520</t>
  </si>
  <si>
    <t>DN-3011</t>
  </si>
  <si>
    <t>SO-43621</t>
  </si>
  <si>
    <t>DN-3152</t>
  </si>
  <si>
    <t>SO-43881</t>
  </si>
  <si>
    <t>DN-3156</t>
  </si>
  <si>
    <t>SO-43140</t>
  </si>
  <si>
    <t>DN-3185</t>
  </si>
  <si>
    <t>SO-45450</t>
  </si>
  <si>
    <t>DN-3290</t>
  </si>
  <si>
    <t>SO-45000</t>
  </si>
  <si>
    <t>DN-3314</t>
  </si>
  <si>
    <t>SO-46470</t>
  </si>
  <si>
    <t>DN-3351</t>
  </si>
  <si>
    <t>SO-45542</t>
  </si>
  <si>
    <t>DN-3353</t>
  </si>
  <si>
    <t>SO-45560</t>
  </si>
  <si>
    <t>DN-3416</t>
  </si>
  <si>
    <t>SO-45181</t>
  </si>
  <si>
    <t>DN-3423</t>
  </si>
  <si>
    <t>SO-46481</t>
  </si>
  <si>
    <t>DN-3445</t>
  </si>
  <si>
    <t>SO-45997</t>
  </si>
  <si>
    <t>DN-3477</t>
  </si>
  <si>
    <t>SO-46180</t>
  </si>
  <si>
    <t>DN-3502</t>
  </si>
  <si>
    <t>SO-46484</t>
  </si>
  <si>
    <t>DN-3536</t>
  </si>
  <si>
    <t>SO-47830</t>
  </si>
  <si>
    <t>DN-3578</t>
  </si>
  <si>
    <t>SO-46880</t>
  </si>
  <si>
    <t>DN-3583</t>
  </si>
  <si>
    <t>SO-46872</t>
  </si>
  <si>
    <t>DN-3607</t>
  </si>
  <si>
    <t>SO-47970</t>
  </si>
  <si>
    <t>DN-3637</t>
  </si>
  <si>
    <t>SO-46500</t>
  </si>
  <si>
    <t>DN-3658</t>
  </si>
  <si>
    <t>SO-47662</t>
  </si>
  <si>
    <t>DN-3700</t>
  </si>
  <si>
    <t>SO-47980</t>
  </si>
  <si>
    <t>DN-3810</t>
  </si>
  <si>
    <t>SO-48591</t>
  </si>
  <si>
    <t>DN-3853</t>
  </si>
  <si>
    <t>SO-49640</t>
  </si>
  <si>
    <t>DN-3910</t>
  </si>
  <si>
    <t>SO-46710</t>
  </si>
  <si>
    <t>DN-3925</t>
  </si>
  <si>
    <t>SO-50091</t>
  </si>
  <si>
    <t>DN-4060</t>
  </si>
  <si>
    <t>SO-50670</t>
  </si>
  <si>
    <t>DN-4215</t>
  </si>
  <si>
    <t>SO-50721</t>
  </si>
  <si>
    <t>DN-4238</t>
  </si>
  <si>
    <t>SO-51530</t>
  </si>
  <si>
    <t>DN-4323</t>
  </si>
  <si>
    <t>SO-34300</t>
  </si>
  <si>
    <t>DN-1551</t>
  </si>
  <si>
    <t>SO-33870</t>
  </si>
  <si>
    <t>DN-1552</t>
  </si>
  <si>
    <t>SO-34830</t>
  </si>
  <si>
    <t>DN-1597</t>
  </si>
  <si>
    <t>SO-35240</t>
  </si>
  <si>
    <t>DN-1604</t>
  </si>
  <si>
    <t>SO-35010</t>
  </si>
  <si>
    <t>DN-1632</t>
  </si>
  <si>
    <t>SO-34820</t>
  </si>
  <si>
    <t>DN-1633</t>
  </si>
  <si>
    <t>SO-33960</t>
  </si>
  <si>
    <t>DN-1634</t>
  </si>
  <si>
    <t>SO-35650</t>
  </si>
  <si>
    <t>DN-1645</t>
  </si>
  <si>
    <t>SO-35850</t>
  </si>
  <si>
    <t>DN-1649</t>
  </si>
  <si>
    <t>SO-35860</t>
  </si>
  <si>
    <t>DN-1697</t>
  </si>
  <si>
    <t>SO-35690</t>
  </si>
  <si>
    <t>DN-1754</t>
  </si>
  <si>
    <t>SO-36220</t>
  </si>
  <si>
    <t>DN-1768</t>
  </si>
  <si>
    <t>SO-37101</t>
  </si>
  <si>
    <t>DN-1999</t>
  </si>
  <si>
    <t>SO-37670</t>
  </si>
  <si>
    <t>DN-2068</t>
  </si>
  <si>
    <t>SO-37970</t>
  </si>
  <si>
    <t>DN-2145</t>
  </si>
  <si>
    <t>SO-39070</t>
  </si>
  <si>
    <t>DN-2333</t>
  </si>
  <si>
    <t>SO-40522</t>
  </si>
  <si>
    <t>DN-2413</t>
  </si>
  <si>
    <t>SO-41050</t>
  </si>
  <si>
    <t>DN-2438</t>
  </si>
  <si>
    <t>SO-40930</t>
  </si>
  <si>
    <t>DN-2489</t>
  </si>
  <si>
    <t>SO-40612</t>
  </si>
  <si>
    <t>DN-2543</t>
  </si>
  <si>
    <t>SO-40940</t>
  </si>
  <si>
    <t>DN-2547</t>
  </si>
  <si>
    <t>SO-41521</t>
  </si>
  <si>
    <t>DN-2596</t>
  </si>
  <si>
    <t>SO-41810</t>
  </si>
  <si>
    <t>DN-2628</t>
  </si>
  <si>
    <t>SO-42131</t>
  </si>
  <si>
    <t>DN-2672</t>
  </si>
  <si>
    <t>SO-40470</t>
  </si>
  <si>
    <t>DN-2714</t>
  </si>
  <si>
    <t>SO-42132</t>
  </si>
  <si>
    <t>DN-2779</t>
  </si>
  <si>
    <t>SO-42311</t>
  </si>
  <si>
    <t>DN-2780</t>
  </si>
  <si>
    <t>SO-42111</t>
  </si>
  <si>
    <t>DN-2788</t>
  </si>
  <si>
    <t>SO-42910</t>
  </si>
  <si>
    <t>DN-2790</t>
  </si>
  <si>
    <t>SO-42082</t>
  </si>
  <si>
    <t>DN-2831</t>
  </si>
  <si>
    <t>SO-41582</t>
  </si>
  <si>
    <t>DN-2844</t>
  </si>
  <si>
    <t>SO-43180</t>
  </si>
  <si>
    <t>DN-2890</t>
  </si>
  <si>
    <t>SO-43200</t>
  </si>
  <si>
    <t>DN-2922</t>
  </si>
  <si>
    <t>SO-43530</t>
  </si>
  <si>
    <t>DN-2925</t>
  </si>
  <si>
    <t>SO-44650</t>
  </si>
  <si>
    <t>DN-3088</t>
  </si>
  <si>
    <t>SO-44382</t>
  </si>
  <si>
    <t>DN-3177</t>
  </si>
  <si>
    <t>SO-44991</t>
  </si>
  <si>
    <t>DN-3208</t>
  </si>
  <si>
    <t>SO-43633</t>
  </si>
  <si>
    <t>DN-3220</t>
  </si>
  <si>
    <t>SO-46021</t>
  </si>
  <si>
    <t>DN-3283</t>
  </si>
  <si>
    <t>SO-45171</t>
  </si>
  <si>
    <t>DN-3310</t>
  </si>
  <si>
    <t>SO-46040</t>
  </si>
  <si>
    <t>DN-3336</t>
  </si>
  <si>
    <t>SO-45550</t>
  </si>
  <si>
    <t>DN-3378</t>
  </si>
  <si>
    <t>SO-46820</t>
  </si>
  <si>
    <t>DN-3414</t>
  </si>
  <si>
    <t>SO-45996</t>
  </si>
  <si>
    <t>DN-3499</t>
  </si>
  <si>
    <t>SO-47520</t>
  </si>
  <si>
    <t>DN-3500</t>
  </si>
  <si>
    <t>SO-45380</t>
  </si>
  <si>
    <t>DN-3518</t>
  </si>
  <si>
    <t>SO-44994</t>
  </si>
  <si>
    <t>DN-3594</t>
  </si>
  <si>
    <t>SO-46673</t>
  </si>
  <si>
    <t>DN-3614</t>
  </si>
  <si>
    <t>SO-47961</t>
  </si>
  <si>
    <t>DN-3690</t>
  </si>
  <si>
    <t>SO-46850</t>
  </si>
  <si>
    <t>DN-3713</t>
  </si>
  <si>
    <t>SO-48991</t>
  </si>
  <si>
    <t>DN-3880</t>
  </si>
  <si>
    <t>SO-48800</t>
  </si>
  <si>
    <t>DN-3788</t>
  </si>
  <si>
    <t>SO-49011</t>
  </si>
  <si>
    <t>DN-4100</t>
  </si>
  <si>
    <t>SO-48990</t>
  </si>
  <si>
    <t>DN-4163</t>
  </si>
  <si>
    <t>SO-50690</t>
  </si>
  <si>
    <t>DN-4176</t>
  </si>
  <si>
    <t>SO-50070</t>
  </si>
  <si>
    <t>DN-4259</t>
  </si>
  <si>
    <t xml:space="preserve">1. ARV value by Region and Supply method </t>
  </si>
  <si>
    <t>Total</t>
  </si>
  <si>
    <t>'Country</t>
  </si>
  <si>
    <t/>
  </si>
  <si>
    <t>Sum of Line Items</t>
  </si>
  <si>
    <t>SCMS-176740</t>
  </si>
  <si>
    <t>ASN-18612</t>
  </si>
  <si>
    <t>South Sudan</t>
  </si>
  <si>
    <t>SCMS-249920</t>
  </si>
  <si>
    <t>ASN-29167</t>
  </si>
  <si>
    <t>SCMS-244550</t>
  </si>
  <si>
    <t>ASN-26903</t>
  </si>
  <si>
    <t>SO-41080</t>
  </si>
  <si>
    <t>DN-2581</t>
  </si>
  <si>
    <t>SO-43070</t>
  </si>
  <si>
    <t>DN-2858</t>
  </si>
  <si>
    <t>SO-44110</t>
  </si>
  <si>
    <t>DN-3026</t>
  </si>
  <si>
    <t>SO-44620</t>
  </si>
  <si>
    <t>DN-3080</t>
  </si>
  <si>
    <t>SO-44101</t>
  </si>
  <si>
    <t>DN-3100</t>
  </si>
  <si>
    <t>SO-44630</t>
  </si>
  <si>
    <t>DN-3125</t>
  </si>
  <si>
    <t>SO-49120</t>
  </si>
  <si>
    <t>DN-3842</t>
  </si>
  <si>
    <t>SO-49260</t>
  </si>
  <si>
    <t>DN-3871</t>
  </si>
  <si>
    <t>Lamivudine/Nevirapine/Zidovudine 30/50/60mg, [DON] dispersible tablets, 60 Tabs</t>
  </si>
  <si>
    <t>SO-47101</t>
  </si>
  <si>
    <t>DN-3928</t>
  </si>
  <si>
    <t>SO-47100</t>
  </si>
  <si>
    <t>DN-3581</t>
  </si>
  <si>
    <t>SO-51460</t>
  </si>
  <si>
    <t>DN-4296</t>
  </si>
  <si>
    <t>SO-43050</t>
  </si>
  <si>
    <t>DN-2857</t>
  </si>
  <si>
    <t>SO-43060</t>
  </si>
  <si>
    <t>DN-2871</t>
  </si>
  <si>
    <t>SO-49130</t>
  </si>
  <si>
    <t>DN-3837</t>
  </si>
  <si>
    <t>SO-51450</t>
  </si>
  <si>
    <t>DN-4287</t>
  </si>
  <si>
    <t>SO-44100</t>
  </si>
  <si>
    <t>DN-3126</t>
  </si>
  <si>
    <t>SO-47110</t>
  </si>
  <si>
    <t>DN-3493</t>
  </si>
  <si>
    <t>SO-44690</t>
  </si>
  <si>
    <t>DN-3134</t>
  </si>
  <si>
    <t>SO-44701</t>
  </si>
  <si>
    <t>DN-3259</t>
  </si>
  <si>
    <t>SO-49370</t>
  </si>
  <si>
    <t>DN-3891</t>
  </si>
  <si>
    <t>SO-43080</t>
  </si>
  <si>
    <t>DN-2872</t>
  </si>
  <si>
    <t>2. ARV Delivery Reliability and Consistency</t>
  </si>
  <si>
    <t>Row Labels</t>
  </si>
  <si>
    <t>Grand Total</t>
  </si>
  <si>
    <t>Count of ASN/DN #</t>
  </si>
  <si>
    <t>Scheduled  date</t>
  </si>
  <si>
    <t>Actual Date</t>
  </si>
  <si>
    <t>Delivery</t>
  </si>
  <si>
    <t xml:space="preserve"> Variance</t>
  </si>
  <si>
    <t>Delivery Status</t>
  </si>
  <si>
    <t>Total Delivery</t>
  </si>
  <si>
    <t>Count of On-time</t>
  </si>
  <si>
    <t>Count of Late</t>
  </si>
  <si>
    <t>OTD Rate</t>
  </si>
  <si>
    <t>2.1 Delivery Variance</t>
  </si>
  <si>
    <t>2.2 On-time Delivery Rate (OTD%)</t>
  </si>
  <si>
    <t>2.3 Average Delay Severity and Consistency</t>
  </si>
  <si>
    <t>Average Delay</t>
  </si>
  <si>
    <t>Max Delay</t>
  </si>
  <si>
    <t>Min Delay</t>
  </si>
  <si>
    <t>STD.V Delpay</t>
  </si>
  <si>
    <t>Median Delay</t>
  </si>
  <si>
    <t>On_time_flag</t>
  </si>
  <si>
    <t>2.4 Comparative Delivery Reliability</t>
  </si>
  <si>
    <t>2.4.1 by Country</t>
  </si>
  <si>
    <t>Sum of On_time_flag</t>
  </si>
  <si>
    <t>Count of On_time_flag2</t>
  </si>
  <si>
    <t>On-time</t>
  </si>
  <si>
    <t>Late</t>
  </si>
  <si>
    <t>OTD%</t>
  </si>
  <si>
    <t>LTD%</t>
  </si>
  <si>
    <t>2.4.3 by  Vendor</t>
  </si>
  <si>
    <t>2. Reasonable Procurement Cost</t>
  </si>
  <si>
    <t>Delivery Recorded Date - Copy</t>
  </si>
  <si>
    <t>Year</t>
  </si>
  <si>
    <t>All</t>
  </si>
  <si>
    <t>Commodity Value</t>
  </si>
  <si>
    <t>1. Timely Delivery - Delivery Reliability by Country</t>
  </si>
  <si>
    <t>Fulfillment Channel:</t>
  </si>
  <si>
    <t>OTD Rate Chanel</t>
  </si>
  <si>
    <t>Commodity Value by Fulfillment Chanel</t>
  </si>
  <si>
    <t>USD Per Pack</t>
  </si>
  <si>
    <t>2. Procurement Cost - Weighted Pack Price Trend by  Product</t>
  </si>
  <si>
    <t>Reliable - Commodity Value by Fulfillment Channel</t>
  </si>
  <si>
    <t>1. Timely Delivery - Delivery Reliability By Fulfillment Channel</t>
  </si>
  <si>
    <t>ARV SUPPLY CHAIN | MANAGEMENT PERFORMANCE REPORT</t>
  </si>
  <si>
    <t>East Africa   •   2006–2015   •   Seven countries   •   Historical USAID ARV commodity shipment data</t>
  </si>
  <si>
    <t>TOTAL DELIVERIES</t>
  </si>
  <si>
    <t>ON-TIME DELIVERY</t>
  </si>
  <si>
    <t>AVERAGE LATE DELAY</t>
  </si>
  <si>
    <t>COMMODITY VALUE</t>
  </si>
  <si>
    <t>21.49 days</t>
  </si>
  <si>
    <t>$282.65M</t>
  </si>
  <si>
    <t>EXECUTIVE ASSESSMENT</t>
  </si>
  <si>
    <t>The historical ARV distribution records show that 86.92% of evaluated deliveries arrived on or before schedule, but late shipments averaged 21.49 days beyond the scheduled date. Recorded weighted pack prices declined across major ARV presentations, while distribution activity was concentrated in the Regional Distribution Centre (RDC) channel. The immediate management priority is to investigate RDC delivery delays and weak destination-country performance, alongside continued product-specific price monitoring.</t>
  </si>
  <si>
    <t>1   TIMELY DELIVERY</t>
  </si>
  <si>
    <t>Delivery timeliness was assessed using 1,330 unique ASN/DN references, avoiding double counting when a delivery contained multiple product lines. An on-time delivery arrived on or before its scheduled delivery date.</t>
  </si>
  <si>
    <t>MEASURE</t>
  </si>
  <si>
    <t>EVIDENCE</t>
  </si>
  <si>
    <t>MANAGEMENT RELEVANCE</t>
  </si>
  <si>
    <t>Overall delivery performance</t>
  </si>
  <si>
    <t>1,156 on time / 174 late; OTD 86.92%</t>
  </si>
  <si>
    <t>Most evaluated deliveries met schedule, but 13.08% arrived late.</t>
  </si>
  <si>
    <t>Severity of late delivery</t>
  </si>
  <si>
    <t>Average 21.49 days; median 12 days; maximum 280 days</t>
  </si>
  <si>
    <t>The difference between average and median suggests that some lengthy delays increase the mean. The 280-day case merits validation.</t>
  </si>
  <si>
    <t>Destination-country performance</t>
  </si>
  <si>
    <t>Burundi: 48.57% OTD (17/35); Rwanda: 91.09% (276/303)</t>
  </si>
  <si>
    <t>Burundi is the clearest proportional concern; Kenya’s 100% OTD is based on just 3 deliveries.</t>
  </si>
  <si>
    <t>Fulfillment-channel performance</t>
  </si>
  <si>
    <t>Direct Drop: 97.03% (425/438); RDC: 81.95% (731/892)</t>
  </si>
  <si>
    <t>RDC accounts for 161 of the 174 late deliveries, indicating a priority for operational review.</t>
  </si>
  <si>
    <t>Direct Drop vendor observation</t>
  </si>
  <si>
    <t>Aurobindo: 87.62% OTD (92/105); 13 late deliveries</t>
  </si>
  <si>
    <t>All recorded Direct Drop delays were associated with this vendor; investigate events without assuming causation.</t>
  </si>
  <si>
    <t>2   REASONABLE PROCUREMENT COST</t>
  </si>
  <si>
    <t>Recorded commodity value totaled $282.65 million across 35.12 million packs. A quantity-weighted pack price (sum of line-item value ÷ sum of pack quantity) was used to assess historical price movement for identical ARV presentations, rather than combining unlike medicines into one price comparison.</t>
  </si>
  <si>
    <t>SELECTED HIGH-VALUE ARV PRESENTATION</t>
  </si>
  <si>
    <t>OBSERVED YEARS</t>
  </si>
  <si>
    <t>WEIGHTED PACK PRICE (FIRST → LAST)</t>
  </si>
  <si>
    <t>Lamivudine/Nevirapine/Zidovudine 150/200/300mg, 60 tabs</t>
  </si>
  <si>
    <t>2007–2015</t>
  </si>
  <si>
    <t>$18.43 → $7.99  (−56.6%)</t>
  </si>
  <si>
    <t>Efavirenz/Lamivudine/Tenofovir 600/300/300mg, 30 tabs</t>
  </si>
  <si>
    <t>2010–2015</t>
  </si>
  <si>
    <t>$17.48 → $9.75  (−44.2%)</t>
  </si>
  <si>
    <t>Efavirenz/Emtricitabine/Tenofovir 600/200/300mg, 30 tabs</t>
  </si>
  <si>
    <t>$19.90 → $11.89  (−40.3%)</t>
  </si>
  <si>
    <t>Efavirenz 600mg, 30 tabs</t>
  </si>
  <si>
    <t>2006–2015</t>
  </si>
  <si>
    <t>$16.75 → $3.16  (−81.1%)</t>
  </si>
  <si>
    <t>Lamivudine/Zidovudine 150/300mg, 60 tabs</t>
  </si>
  <si>
    <t>$11.00 → $6.52  (−40.7%)</t>
  </si>
  <si>
    <t>COST INTERPRETATION  |  Major ARV presentations show marked declines in recorded weighted pack prices. This is favorable price-trend evidence, not proof that historical purchases were market-competitive or that the decreases represent realized savings.</t>
  </si>
  <si>
    <t>3   RELIABLE SUPPLY</t>
  </si>
  <si>
    <t>The shipment records support an assessment of distribution dependence and delivery-related supply risks. They cannot directly establish whether patients or facilities experienced stockouts, because demand, inventory balances and facility-level availability are not provided.</t>
  </si>
  <si>
    <t>RDC commodity-value concentration</t>
  </si>
  <si>
    <t>$198.48M / $282.65M (70.22%)</t>
  </si>
  <si>
    <t>A substantial share of recorded commodity value moved through RDC fulfillment.</t>
  </si>
  <si>
    <t>RDC delivery concentration</t>
  </si>
  <si>
    <t>892 / 1,330 deliveries (67.07%)</t>
  </si>
  <si>
    <t>A majority of evaluated deliveries relied on the RDC channel.</t>
  </si>
  <si>
    <t>RDC delivery-risk concentration</t>
  </si>
  <si>
    <t>161 / 174 late deliveries (92.53%)</t>
  </si>
  <si>
    <t>Combined distribution concentration and weaker OTD justify a review of routing, scheduling and contingency measures.</t>
  </si>
  <si>
    <t>PRIORITIZED MANAGEMENT ACTIONS</t>
  </si>
  <si>
    <t>PRIORITY</t>
  </si>
  <si>
    <t>EVIDENCE / EXPOSURE</t>
  </si>
  <si>
    <t>RECOMMENDED MANAGEMENT ACTION</t>
  </si>
  <si>
    <t>HIGH</t>
  </si>
  <si>
    <t>RDC: 161 of 174 late deliveries; 81.95% OTD</t>
  </si>
  <si>
    <t>Review RDC dispatch-to-delivery processes, delay root causes, schedule setting and escalation arrangements.</t>
  </si>
  <si>
    <t>Burundi: 18 late of 35 deliveries (51.43% LTD)</t>
  </si>
  <si>
    <t>Investigate destination-specific bottlenecks and agree targeted improvement actions; account for limited sample size.</t>
  </si>
  <si>
    <t>MEDIUM</t>
  </si>
  <si>
    <t>Aurobindo Direct Drop: 13 late of 105 deliveries</t>
  </si>
  <si>
    <t>Review the 13 delayed transactions with the relevant logistics and procurement parties; confirm responsibility before corrective action.</t>
  </si>
  <si>
    <t>Declining pack prices; no cost or stockout benchmarks</t>
  </si>
  <si>
    <t>Maintain like-for-like product price monitoring and obtain contracts, inventory and stockout records for fuller assessment.</t>
  </si>
  <si>
    <t>METHOD, SCOPE &amp; LIMITATIONS</t>
  </si>
  <si>
    <t>SCOPE  |  Seven destinations: Burundi, Ethiopia, Kenya, Rwanda, South Sudan, Tanzania and Uganda. The current cleaned workbook contains 1,753 ARV product line items. Delivery metrics are based on 1,330 unique shipment/delivery references.</t>
  </si>
  <si>
    <t>MEASUREMENT  |  On time = delivered date ≤ scheduled date. Late delay = delivered date − scheduled date for late deliveries. Weighted pack price = total line-item commodity value / total pack quantity, assessed within matching medicine, strength, formulation and pack size.</t>
  </si>
  <si>
    <t>LIMITATIONS  |  RDC commodity value may reflect redistribution rather than new procurement expenditure. Observed supplier/channel differences are associations, not causal evidence. No external price benchmark, procurement contract terms, facility-level demand or stockout series were used.</t>
  </si>
  <si>
    <t>DATA SOURCE  |  USAID historical ARV shipment dataset; calculations and dashboard contained in this workbook. Management findings describe the 2006–2015 period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</si>
</sst>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0.00\ &quot;days&quot;"/>
    <numFmt numFmtId="165" formatCode="0.00,,&quot;M&quot;"/>
    <numFmt numFmtId="166" formatCode="0.0%"/>
    <numFmt numFmtId="167" formatCode="\$0.00"/>
    <numFmt numFmtId="171" formatCode="_-* #,##0.00_-;\-* #,##0.00_-;_-* &quot;-&quot;??_-;_-@_-"/>
  </numFmts>
  <fonts count="27">
    <font>
      <sz val="11"/>
      <color theme="1"/>
      <name val="Calibri"/>
      <family val="2"/>
      <scheme val="minor"/>
    </font>
    <font>
      <sz val="11"/>
      <color theme="1"/>
      <name val="Open san"/>
    </font>
    <font>
      <sz val="10"/>
      <color theme="1"/>
      <name val="Open san"/>
    </font>
    <font>
      <sz val="10"/>
      <color theme="1"/>
      <name val="Open sans"/>
    </font>
    <font>
      <b/>
      <sz val="10"/>
      <color theme="1"/>
      <name val="Open sans"/>
    </font>
    <font>
      <sz val="11"/>
      <color theme="1"/>
      <name val="Calibri"/>
      <family val="2"/>
      <scheme val="minor"/>
    </font>
    <font>
      <b/>
      <sz val="11"/>
      <color theme="1"/>
      <name val="Calibri"/>
      <family val="2"/>
      <scheme val="minor"/>
    </font>
    <font>
      <b/>
      <sz val="10"/>
      <color theme="1"/>
      <name val="Open sans"/>
      <family val="2"/>
    </font>
    <font>
      <sz val="10"/>
      <color theme="1"/>
      <name val="Open Sans"/>
      <family val="2"/>
    </font>
    <font>
      <b/>
      <sz val="11"/>
      <color theme="0"/>
      <name val="Calibri"/>
      <family val="2"/>
      <scheme val="minor"/>
    </font>
    <font>
      <b/>
      <sz val="10"/>
      <color theme="0"/>
      <name val="Open sans"/>
    </font>
    <font>
      <b/>
      <sz val="11"/>
      <color rgb="FF002A6C"/>
      <name val="Calibri"/>
      <family val="2"/>
      <scheme val="minor"/>
    </font>
    <font>
      <sz val="11"/>
      <color theme="1"/>
      <name val="Open sans"/>
    </font>
    <font>
      <b/>
      <sz val="18"/>
      <color rgb="FFFFFFFF"/>
      <name val="Open sans"/>
    </font>
    <font>
      <sz val="10"/>
      <color rgb="FFD7E5F5"/>
      <name val="Open sans"/>
    </font>
    <font>
      <sz val="10"/>
      <color rgb="FF1C2E48"/>
      <name val="Open sans"/>
    </font>
    <font>
      <b/>
      <sz val="9"/>
      <color rgb="FF082F67"/>
      <name val="Open sans"/>
    </font>
    <font>
      <b/>
      <sz val="17"/>
      <color rgb="FF082F67"/>
      <name val="Open sans"/>
    </font>
    <font>
      <b/>
      <sz val="15"/>
      <color rgb="FF082F67"/>
      <name val="Open sans"/>
    </font>
    <font>
      <b/>
      <sz val="11"/>
      <color rgb="FFFFFFFF"/>
      <name val="Open sans"/>
    </font>
    <font>
      <b/>
      <sz val="10"/>
      <color rgb="FF1C2E48"/>
      <name val="Open sans"/>
    </font>
    <font>
      <b/>
      <sz val="10"/>
      <color rgb="FF082F67"/>
      <name val="Open sans"/>
    </font>
    <font>
      <sz val="9"/>
      <color rgb="FF1C2E48"/>
      <name val="Open sans"/>
    </font>
    <font>
      <b/>
      <sz val="9"/>
      <color rgb="FF116C58"/>
      <name val="Open sans"/>
    </font>
    <font>
      <sz val="9"/>
      <color rgb="FF116C58"/>
      <name val="Open sans"/>
    </font>
    <font>
      <b/>
      <sz val="10"/>
      <color rgb="FFB85B29"/>
      <name val="Open sans"/>
    </font>
    <font>
      <sz val="9"/>
      <color rgb="FFDEEAF8"/>
      <name val="Open sans"/>
    </font>
  </fonts>
  <fills count="12">
    <fill>
      <patternFill patternType="none"/>
    </fill>
    <fill>
      <patternFill patternType="gray125"/>
    </fill>
    <fill>
      <patternFill patternType="solid">
        <fgColor theme="5" tint="0.79998168889431442"/>
        <bgColor theme="5" tint="0.79998168889431442"/>
      </patternFill>
    </fill>
    <fill>
      <patternFill patternType="solid">
        <fgColor theme="0" tint="-0.14999847407452621"/>
        <bgColor indexed="64"/>
      </patternFill>
    </fill>
    <fill>
      <patternFill patternType="solid">
        <fgColor rgb="FF002A6C"/>
        <bgColor indexed="64"/>
      </patternFill>
    </fill>
    <fill>
      <patternFill patternType="solid">
        <fgColor rgb="FFE7F0FF"/>
        <bgColor indexed="64"/>
      </patternFill>
    </fill>
    <fill>
      <patternFill patternType="solid">
        <fgColor rgb="FF082F67"/>
      </patternFill>
    </fill>
    <fill>
      <patternFill patternType="solid">
        <fgColor rgb="FFDFEBFB"/>
      </patternFill>
    </fill>
    <fill>
      <patternFill patternType="solid">
        <fgColor rgb="FFF4F8FE"/>
      </patternFill>
    </fill>
    <fill>
      <patternFill patternType="solid">
        <fgColor rgb="FFFFFFFF"/>
      </patternFill>
    </fill>
    <fill>
      <patternFill patternType="solid">
        <fgColor rgb="FFE9F5EF"/>
      </patternFill>
    </fill>
    <fill>
      <patternFill patternType="solid">
        <fgColor rgb="FFFFF2E4"/>
      </patternFill>
    </fill>
  </fills>
  <borders count="3">
    <border>
      <left/>
      <right/>
      <top/>
      <bottom/>
      <diagonal/>
    </border>
    <border>
      <left/>
      <right/>
      <top/>
      <bottom style="thin">
        <color theme="5" tint="0.39997558519241921"/>
      </bottom>
      <diagonal/>
    </border>
    <border>
      <left/>
      <right/>
      <top/>
      <bottom style="medium">
        <color indexed="64"/>
      </bottom>
      <diagonal/>
    </border>
  </borders>
  <cellStyleXfs count="4">
    <xf numFmtId="0" fontId="0" fillId="0" borderId="0"/>
    <xf numFmtId="9" fontId="5" fillId="0" borderId="0" applyFont="0" applyFill="0" applyBorder="0" applyAlignment="0" applyProtection="0"/>
    <xf numFmtId="43" fontId="5" fillId="0" borderId="0" applyFont="0" applyFill="0" applyBorder="0" applyAlignment="0" applyProtection="0"/>
    <xf numFmtId="171" fontId="5" fillId="0" borderId="0" applyFont="0" applyFill="0" applyBorder="0" applyAlignment="0" applyProtection="0"/>
  </cellStyleXfs>
  <cellXfs count="67">
    <xf numFmtId="0" fontId="0" fillId="0" borderId="0" xfId="0"/>
    <xf numFmtId="0" fontId="1" fillId="0" borderId="0" xfId="0" applyFont="1"/>
    <xf numFmtId="0" fontId="2" fillId="0" borderId="0" xfId="0" applyFont="1"/>
    <xf numFmtId="14" fontId="2" fillId="0" borderId="0" xfId="0" applyNumberFormat="1" applyFont="1"/>
    <xf numFmtId="0" fontId="3" fillId="0" borderId="0" xfId="0" applyFont="1"/>
    <xf numFmtId="0" fontId="4" fillId="0" borderId="0" xfId="0" applyFont="1"/>
    <xf numFmtId="0" fontId="0" fillId="0" borderId="0" xfId="0" pivotButton="1"/>
    <xf numFmtId="0" fontId="0" fillId="0" borderId="0" xfId="0" applyAlignment="1">
      <alignment horizontal="left"/>
    </xf>
    <xf numFmtId="3" fontId="0" fillId="0" borderId="0" xfId="0" applyNumberFormat="1"/>
    <xf numFmtId="0" fontId="6" fillId="0" borderId="0" xfId="0" applyFont="1"/>
    <xf numFmtId="14" fontId="0" fillId="0" borderId="0" xfId="0" applyNumberFormat="1"/>
    <xf numFmtId="2" fontId="0" fillId="0" borderId="0" xfId="0" applyNumberFormat="1"/>
    <xf numFmtId="0" fontId="6" fillId="2" borderId="1" xfId="0" applyFont="1" applyFill="1" applyBorder="1" applyAlignment="1">
      <alignment horizontal="right"/>
    </xf>
    <xf numFmtId="2" fontId="0" fillId="0" borderId="0" xfId="0" applyNumberFormat="1" applyAlignment="1">
      <alignment horizontal="right"/>
    </xf>
    <xf numFmtId="0" fontId="7" fillId="0" borderId="0" xfId="0" applyFont="1"/>
    <xf numFmtId="10" fontId="3" fillId="3" borderId="0" xfId="1" applyNumberFormat="1" applyFont="1" applyFill="1"/>
    <xf numFmtId="0" fontId="8" fillId="0" borderId="0" xfId="0" applyFont="1"/>
    <xf numFmtId="1" fontId="3" fillId="0" borderId="0" xfId="0" applyNumberFormat="1" applyFont="1"/>
    <xf numFmtId="1" fontId="0" fillId="0" borderId="0" xfId="0" applyNumberFormat="1"/>
    <xf numFmtId="0" fontId="0" fillId="0" borderId="0" xfId="0" applyAlignment="1">
      <alignment horizontal="right"/>
    </xf>
    <xf numFmtId="0" fontId="6" fillId="2" borderId="1" xfId="0" applyFont="1" applyFill="1" applyBorder="1" applyAlignment="1">
      <alignment horizontal="left"/>
    </xf>
    <xf numFmtId="10" fontId="3" fillId="0" borderId="0" xfId="1" applyNumberFormat="1" applyFont="1"/>
    <xf numFmtId="0" fontId="6" fillId="2" borderId="0" xfId="0" applyFont="1" applyFill="1" applyAlignment="1">
      <alignment horizontal="right"/>
    </xf>
    <xf numFmtId="0" fontId="0" fillId="0" borderId="0" xfId="0" pivotButton="1" applyAlignment="1">
      <alignment horizontal="right"/>
    </xf>
    <xf numFmtId="0" fontId="0" fillId="4" borderId="0" xfId="0" applyFill="1"/>
    <xf numFmtId="0" fontId="0" fillId="0" borderId="2" xfId="0" applyBorder="1"/>
    <xf numFmtId="0" fontId="0" fillId="4" borderId="2" xfId="0" applyFill="1" applyBorder="1"/>
    <xf numFmtId="164" fontId="3" fillId="0" borderId="0" xfId="0" applyNumberFormat="1" applyFont="1"/>
    <xf numFmtId="165" fontId="3" fillId="0" borderId="0" xfId="2" applyNumberFormat="1" applyFont="1"/>
    <xf numFmtId="0" fontId="9" fillId="4" borderId="0" xfId="0" applyFont="1" applyFill="1"/>
    <xf numFmtId="0" fontId="10" fillId="4" borderId="0" xfId="0" applyFont="1" applyFill="1"/>
    <xf numFmtId="9" fontId="0" fillId="0" borderId="0" xfId="1" applyFont="1" applyFill="1"/>
    <xf numFmtId="0" fontId="11" fillId="5" borderId="0" xfId="0" applyFont="1" applyFill="1" applyAlignment="1">
      <alignment horizontal="right"/>
    </xf>
    <xf numFmtId="0" fontId="11" fillId="5" borderId="0" xfId="0" applyFont="1" applyFill="1"/>
    <xf numFmtId="166" fontId="0" fillId="0" borderId="0" xfId="1" applyNumberFormat="1" applyFont="1" applyFill="1"/>
    <xf numFmtId="0" fontId="11" fillId="5" borderId="0" xfId="0" applyFont="1" applyFill="1" applyAlignment="1">
      <alignment horizontal="centerContinuous"/>
    </xf>
    <xf numFmtId="166" fontId="11" fillId="5" borderId="0" xfId="1" applyNumberFormat="1" applyFont="1" applyFill="1" applyAlignment="1">
      <alignment horizontal="centerContinuous"/>
    </xf>
    <xf numFmtId="0" fontId="0" fillId="5" borderId="0" xfId="0" applyFill="1" applyAlignment="1">
      <alignment horizontal="centerContinuous"/>
    </xf>
    <xf numFmtId="166" fontId="0" fillId="0" borderId="0" xfId="0" applyNumberFormat="1" applyAlignment="1">
      <alignment horizontal="center"/>
    </xf>
    <xf numFmtId="167" fontId="0" fillId="0" borderId="0" xfId="0" applyNumberFormat="1"/>
    <xf numFmtId="0" fontId="12" fillId="0" borderId="0" xfId="0" applyFont="1" applyAlignment="1">
      <alignment wrapText="1"/>
    </xf>
    <xf numFmtId="0" fontId="12" fillId="0" borderId="0" xfId="0" applyFont="1"/>
    <xf numFmtId="0" fontId="13" fillId="6" borderId="0" xfId="0" applyFont="1" applyFill="1" applyBorder="1" applyAlignment="1">
      <alignment horizontal="left" vertical="center" wrapText="1"/>
    </xf>
    <xf numFmtId="0" fontId="14" fillId="6" borderId="0" xfId="0" applyFont="1" applyFill="1" applyBorder="1" applyAlignment="1">
      <alignment horizontal="left" vertical="center" wrapText="1"/>
    </xf>
    <xf numFmtId="0" fontId="15" fillId="0" borderId="0" xfId="0" applyFont="1" applyFill="1" applyBorder="1" applyAlignment="1">
      <alignment vertical="center"/>
    </xf>
    <xf numFmtId="0" fontId="16" fillId="7" borderId="0" xfId="0" applyFont="1" applyFill="1" applyBorder="1" applyAlignment="1">
      <alignment horizontal="left" vertical="center" wrapText="1"/>
    </xf>
    <xf numFmtId="3" fontId="17" fillId="8" borderId="0" xfId="0" applyNumberFormat="1" applyFont="1" applyFill="1" applyBorder="1" applyAlignment="1">
      <alignment horizontal="left" vertical="center" wrapText="1"/>
    </xf>
    <xf numFmtId="0" fontId="17" fillId="8" borderId="0" xfId="0" applyFont="1" applyFill="1" applyBorder="1" applyAlignment="1">
      <alignment horizontal="left" vertical="center" wrapText="1"/>
    </xf>
    <xf numFmtId="10" fontId="17" fillId="8" borderId="0" xfId="0" applyNumberFormat="1" applyFont="1" applyFill="1" applyBorder="1" applyAlignment="1">
      <alignment horizontal="left" vertical="center" wrapText="1"/>
    </xf>
    <xf numFmtId="0" fontId="18" fillId="8" borderId="0" xfId="0" applyFont="1" applyFill="1" applyBorder="1" applyAlignment="1">
      <alignment horizontal="left" vertical="center" wrapText="1"/>
    </xf>
    <xf numFmtId="0" fontId="19" fillId="6" borderId="0" xfId="0" applyFont="1" applyFill="1" applyBorder="1" applyAlignment="1">
      <alignment horizontal="left" vertical="center" wrapText="1"/>
    </xf>
    <xf numFmtId="0" fontId="15" fillId="8" borderId="0" xfId="0" applyFont="1" applyFill="1" applyBorder="1" applyAlignment="1">
      <alignment vertical="center" wrapText="1"/>
    </xf>
    <xf numFmtId="0" fontId="15" fillId="9" borderId="0" xfId="0" applyFont="1" applyFill="1" applyBorder="1" applyAlignment="1">
      <alignment vertical="center" wrapText="1"/>
    </xf>
    <xf numFmtId="0" fontId="20" fillId="8" borderId="0" xfId="0" applyFont="1" applyFill="1" applyBorder="1" applyAlignment="1">
      <alignment horizontal="left" vertical="center" wrapText="1"/>
    </xf>
    <xf numFmtId="0" fontId="21" fillId="8" borderId="0" xfId="0" applyFont="1" applyFill="1" applyBorder="1" applyAlignment="1">
      <alignment horizontal="left" vertical="center" wrapText="1"/>
    </xf>
    <xf numFmtId="0" fontId="15" fillId="8" borderId="0" xfId="0" applyFont="1" applyFill="1" applyBorder="1" applyAlignment="1">
      <alignment horizontal="left" vertical="center" wrapText="1"/>
    </xf>
    <xf numFmtId="0" fontId="20" fillId="9" borderId="0" xfId="0" applyFont="1" applyFill="1" applyBorder="1" applyAlignment="1">
      <alignment horizontal="left" vertical="center" wrapText="1"/>
    </xf>
    <xf numFmtId="0" fontId="21" fillId="9" borderId="0" xfId="0" applyFont="1" applyFill="1" applyBorder="1" applyAlignment="1">
      <alignment horizontal="left" vertical="center" wrapText="1"/>
    </xf>
    <xf numFmtId="0" fontId="15" fillId="9" borderId="0" xfId="0" applyFont="1" applyFill="1" applyBorder="1" applyAlignment="1">
      <alignment horizontal="left" vertical="center" wrapText="1"/>
    </xf>
    <xf numFmtId="0" fontId="22" fillId="8" borderId="0" xfId="0" applyFont="1" applyFill="1" applyBorder="1" applyAlignment="1">
      <alignment horizontal="left" vertical="center" wrapText="1"/>
    </xf>
    <xf numFmtId="0" fontId="23" fillId="8" borderId="0" xfId="0" applyFont="1" applyFill="1" applyBorder="1" applyAlignment="1">
      <alignment horizontal="left" vertical="center" wrapText="1"/>
    </xf>
    <xf numFmtId="0" fontId="22" fillId="9" borderId="0" xfId="0" applyFont="1" applyFill="1" applyBorder="1" applyAlignment="1">
      <alignment horizontal="left" vertical="center" wrapText="1"/>
    </xf>
    <xf numFmtId="0" fontId="23" fillId="9" borderId="0" xfId="0" applyFont="1" applyFill="1" applyBorder="1" applyAlignment="1">
      <alignment horizontal="left" vertical="center" wrapText="1"/>
    </xf>
    <xf numFmtId="0" fontId="24" fillId="10" borderId="0" xfId="0" applyFont="1" applyFill="1" applyBorder="1" applyAlignment="1">
      <alignment horizontal="left" vertical="center" wrapText="1"/>
    </xf>
    <xf numFmtId="0" fontId="25" fillId="11" borderId="0" xfId="0" applyFont="1" applyFill="1" applyBorder="1" applyAlignment="1">
      <alignment horizontal="left" vertical="center" wrapText="1"/>
    </xf>
    <xf numFmtId="0" fontId="22" fillId="11" borderId="0" xfId="0" applyFont="1" applyFill="1" applyBorder="1" applyAlignment="1">
      <alignment horizontal="left" vertical="center" wrapText="1"/>
    </xf>
    <xf numFmtId="0" fontId="26" fillId="6" borderId="0" xfId="0" applyFont="1" applyFill="1" applyBorder="1" applyAlignment="1">
      <alignment horizontal="left" vertical="center" wrapText="1"/>
    </xf>
  </cellXfs>
  <cellStyles count="4">
    <cellStyle name="Comma" xfId="2" builtinId="3"/>
    <cellStyle name="Comma 2" xfId="3" xr:uid="{0C4590F3-2F8B-402C-91EE-46C368210D8A}"/>
    <cellStyle name="Normal" xfId="0" builtinId="0"/>
    <cellStyle name="Percent" xfId="1" builtinId="5"/>
  </cellStyles>
  <dxfs count="33">
    <dxf>
      <numFmt numFmtId="167" formatCode="\$0.00"/>
    </dxf>
    <dxf>
      <alignment horizontal="right"/>
    </dxf>
    <dxf>
      <font>
        <strike val="0"/>
        <outline val="0"/>
        <shadow val="0"/>
        <u val="none"/>
        <vertAlign val="baseline"/>
        <sz val="10"/>
        <color theme="1"/>
        <name val="Open san"/>
        <scheme val="none"/>
      </font>
    </dxf>
    <dxf>
      <font>
        <strike val="0"/>
        <outline val="0"/>
        <shadow val="0"/>
        <u val="none"/>
        <vertAlign val="baseline"/>
        <sz val="10"/>
        <color theme="1"/>
        <name val="Open san"/>
        <scheme val="none"/>
      </font>
    </dxf>
    <dxf>
      <font>
        <strike val="0"/>
        <outline val="0"/>
        <shadow val="0"/>
        <u val="none"/>
        <vertAlign val="baseline"/>
        <sz val="10"/>
        <color theme="1"/>
        <name val="Open san"/>
        <scheme val="none"/>
      </font>
      <numFmt numFmtId="0" formatCode="General"/>
    </dxf>
    <dxf>
      <font>
        <strike val="0"/>
        <outline val="0"/>
        <shadow val="0"/>
        <u val="none"/>
        <vertAlign val="baseline"/>
        <sz val="10"/>
        <color theme="1"/>
        <name val="Open san"/>
        <scheme val="none"/>
      </font>
      <numFmt numFmtId="0" formatCode="General"/>
    </dxf>
    <dxf>
      <font>
        <strike val="0"/>
        <outline val="0"/>
        <shadow val="0"/>
        <u val="none"/>
        <vertAlign val="baseline"/>
        <sz val="10"/>
        <color theme="1"/>
        <name val="Open san"/>
        <scheme val="none"/>
      </font>
      <numFmt numFmtId="0" formatCode="General"/>
    </dxf>
    <dxf>
      <font>
        <strike val="0"/>
        <outline val="0"/>
        <shadow val="0"/>
        <u val="none"/>
        <vertAlign val="baseline"/>
        <sz val="10"/>
        <color theme="1"/>
        <name val="Open san"/>
        <scheme val="none"/>
      </font>
      <numFmt numFmtId="0" formatCode="General"/>
    </dxf>
    <dxf>
      <font>
        <strike val="0"/>
        <outline val="0"/>
        <shadow val="0"/>
        <u val="none"/>
        <vertAlign val="baseline"/>
        <sz val="10"/>
        <color theme="1"/>
        <name val="Open san"/>
        <scheme val="none"/>
      </font>
      <numFmt numFmtId="0" formatCode="General"/>
    </dxf>
    <dxf>
      <font>
        <strike val="0"/>
        <outline val="0"/>
        <shadow val="0"/>
        <u val="none"/>
        <vertAlign val="baseline"/>
        <sz val="10"/>
        <color theme="1"/>
        <name val="Open san"/>
        <scheme val="none"/>
      </font>
      <numFmt numFmtId="0" formatCode="General"/>
    </dxf>
    <dxf>
      <font>
        <strike val="0"/>
        <outline val="0"/>
        <shadow val="0"/>
        <u val="none"/>
        <vertAlign val="baseline"/>
        <sz val="10"/>
        <color theme="1"/>
        <name val="Open san"/>
        <scheme val="none"/>
      </font>
      <numFmt numFmtId="0" formatCode="General"/>
    </dxf>
    <dxf>
      <font>
        <strike val="0"/>
        <outline val="0"/>
        <shadow val="0"/>
        <u val="none"/>
        <vertAlign val="baseline"/>
        <sz val="10"/>
        <color theme="1"/>
        <name val="Open san"/>
        <scheme val="none"/>
      </font>
      <numFmt numFmtId="0" formatCode="General"/>
    </dxf>
    <dxf>
      <font>
        <strike val="0"/>
        <outline val="0"/>
        <shadow val="0"/>
        <u val="none"/>
        <vertAlign val="baseline"/>
        <sz val="10"/>
        <color theme="1"/>
        <name val="Open san"/>
        <scheme val="none"/>
      </font>
      <numFmt numFmtId="0" formatCode="General"/>
    </dxf>
    <dxf>
      <font>
        <strike val="0"/>
        <outline val="0"/>
        <shadow val="0"/>
        <u val="none"/>
        <vertAlign val="baseline"/>
        <sz val="10"/>
        <color theme="1"/>
        <name val="Open san"/>
        <scheme val="none"/>
      </font>
      <numFmt numFmtId="0" formatCode="General"/>
    </dxf>
    <dxf>
      <font>
        <strike val="0"/>
        <outline val="0"/>
        <shadow val="0"/>
        <u val="none"/>
        <vertAlign val="baseline"/>
        <sz val="10"/>
        <color theme="1"/>
        <name val="Open san"/>
        <scheme val="none"/>
      </font>
      <numFmt numFmtId="19" formatCode="dd/mm/yyyy"/>
    </dxf>
    <dxf>
      <font>
        <strike val="0"/>
        <outline val="0"/>
        <shadow val="0"/>
        <u val="none"/>
        <vertAlign val="baseline"/>
        <sz val="10"/>
        <color theme="1"/>
        <name val="Open san"/>
        <scheme val="none"/>
      </font>
      <numFmt numFmtId="19" formatCode="dd/mm/yyyy"/>
    </dxf>
    <dxf>
      <font>
        <strike val="0"/>
        <outline val="0"/>
        <shadow val="0"/>
        <u val="none"/>
        <vertAlign val="baseline"/>
        <sz val="10"/>
        <color theme="1"/>
        <name val="Open san"/>
        <scheme val="none"/>
      </font>
      <numFmt numFmtId="19" formatCode="dd/mm/yyyy"/>
    </dxf>
    <dxf>
      <font>
        <strike val="0"/>
        <outline val="0"/>
        <shadow val="0"/>
        <u val="none"/>
        <vertAlign val="baseline"/>
        <sz val="10"/>
        <color theme="1"/>
        <name val="Open san"/>
        <scheme val="none"/>
      </font>
      <numFmt numFmtId="19" formatCode="dd/mm/yyyy"/>
    </dxf>
    <dxf>
      <font>
        <strike val="0"/>
        <outline val="0"/>
        <shadow val="0"/>
        <u val="none"/>
        <vertAlign val="baseline"/>
        <sz val="10"/>
        <color theme="1"/>
        <name val="Open san"/>
        <scheme val="none"/>
      </font>
      <numFmt numFmtId="0" formatCode="General"/>
    </dxf>
    <dxf>
      <font>
        <strike val="0"/>
        <outline val="0"/>
        <shadow val="0"/>
        <u val="none"/>
        <vertAlign val="baseline"/>
        <sz val="10"/>
        <color theme="1"/>
        <name val="Open san"/>
        <scheme val="none"/>
      </font>
      <numFmt numFmtId="0" formatCode="General"/>
    </dxf>
    <dxf>
      <font>
        <strike val="0"/>
        <outline val="0"/>
        <shadow val="0"/>
        <u val="none"/>
        <vertAlign val="baseline"/>
        <sz val="10"/>
        <color theme="1"/>
        <name val="Open san"/>
        <scheme val="none"/>
      </font>
      <numFmt numFmtId="0" formatCode="General"/>
    </dxf>
    <dxf>
      <font>
        <strike val="0"/>
        <outline val="0"/>
        <shadow val="0"/>
        <u val="none"/>
        <vertAlign val="baseline"/>
        <sz val="10"/>
        <color theme="1"/>
        <name val="Open san"/>
        <scheme val="none"/>
      </font>
      <numFmt numFmtId="0" formatCode="General"/>
    </dxf>
    <dxf>
      <font>
        <strike val="0"/>
        <outline val="0"/>
        <shadow val="0"/>
        <u val="none"/>
        <vertAlign val="baseline"/>
        <sz val="10"/>
        <color theme="1"/>
        <name val="Open san"/>
        <scheme val="none"/>
      </font>
      <numFmt numFmtId="0" formatCode="General"/>
    </dxf>
    <dxf>
      <font>
        <strike val="0"/>
        <outline val="0"/>
        <shadow val="0"/>
        <u val="none"/>
        <vertAlign val="baseline"/>
        <sz val="10"/>
        <color theme="1"/>
        <name val="Open san"/>
        <scheme val="none"/>
      </font>
      <numFmt numFmtId="0" formatCode="General"/>
    </dxf>
    <dxf>
      <font>
        <strike val="0"/>
        <outline val="0"/>
        <shadow val="0"/>
        <u val="none"/>
        <vertAlign val="baseline"/>
        <sz val="10"/>
        <color theme="1"/>
        <name val="Open san"/>
        <scheme val="none"/>
      </font>
      <numFmt numFmtId="0" formatCode="General"/>
    </dxf>
    <dxf>
      <font>
        <strike val="0"/>
        <outline val="0"/>
        <shadow val="0"/>
        <u val="none"/>
        <vertAlign val="baseline"/>
        <sz val="10"/>
        <color theme="1"/>
        <name val="Open san"/>
        <scheme val="none"/>
      </font>
      <numFmt numFmtId="0" formatCode="General"/>
    </dxf>
    <dxf>
      <font>
        <strike val="0"/>
        <outline val="0"/>
        <shadow val="0"/>
        <u val="none"/>
        <vertAlign val="baseline"/>
        <sz val="10"/>
        <color theme="1"/>
        <name val="Open san"/>
        <scheme val="none"/>
      </font>
      <numFmt numFmtId="0" formatCode="General"/>
    </dxf>
    <dxf>
      <font>
        <strike val="0"/>
        <outline val="0"/>
        <shadow val="0"/>
        <u val="none"/>
        <vertAlign val="baseline"/>
        <sz val="10"/>
        <color theme="1"/>
        <name val="Open san"/>
        <scheme val="none"/>
      </font>
    </dxf>
    <dxf>
      <font>
        <strike val="0"/>
        <outline val="0"/>
        <shadow val="0"/>
        <u val="none"/>
        <vertAlign val="baseline"/>
        <sz val="10"/>
        <color theme="1"/>
        <name val="Open san"/>
        <scheme val="none"/>
      </font>
    </dxf>
    <dxf>
      <font>
        <strike val="0"/>
        <outline val="0"/>
        <shadow val="0"/>
        <u val="none"/>
        <vertAlign val="baseline"/>
        <sz val="11"/>
        <color theme="1"/>
        <name val="Open san"/>
        <scheme val="none"/>
      </font>
    </dxf>
    <dxf>
      <fill>
        <patternFill>
          <bgColor theme="9" tint="0.89996032593768116"/>
        </patternFill>
      </fill>
    </dxf>
    <dxf>
      <font>
        <b/>
        <i val="0"/>
        <color theme="0"/>
      </font>
      <fill>
        <patternFill>
          <bgColor theme="6" tint="-0.24994659260841701"/>
        </patternFill>
      </fill>
    </dxf>
    <dxf>
      <border diagonalUp="0" diagonalDown="0">
        <left/>
        <right/>
        <top/>
        <bottom/>
        <vertical style="medium">
          <color theme="0"/>
        </vertical>
        <horizontal/>
      </border>
    </dxf>
  </dxfs>
  <tableStyles count="1" defaultTableStyle="TableStyleMedium2" defaultPivotStyle="PivotStyleLight16">
    <tableStyle name="Table Style 1" pivot="0" count="3" xr9:uid="{A87E28F9-D9A4-437F-AFCA-64BC67966C18}">
      <tableStyleElement type="wholeTable" dxfId="32"/>
      <tableStyleElement type="headerRow" dxfId="31"/>
      <tableStyleElement type="secondRowStripe" dxfId="30"/>
    </tableStyle>
  </tableStyles>
  <colors>
    <mruColors>
      <color rgb="FF002A6C"/>
      <color rgb="FFE7F0FF"/>
      <color rgb="FF0000FF"/>
      <color rgb="FFFFE7E7"/>
      <color rgb="FFECFA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1"/>
            <c:invertIfNegative val="0"/>
            <c:bubble3D val="0"/>
            <c:spPr>
              <a:solidFill>
                <a:schemeClr val="bg2"/>
              </a:solidFill>
              <a:ln>
                <a:noFill/>
              </a:ln>
              <a:effectLst/>
            </c:spPr>
            <c:extLst>
              <c:ext xmlns:c16="http://schemas.microsoft.com/office/drawing/2014/chart" uri="{C3380CC4-5D6E-409C-BE32-E72D297353CC}">
                <c16:uniqueId val="{00000001-A541-42C9-8917-3E0D8F8A85CA}"/>
              </c:ext>
            </c:extLst>
          </c:dPt>
          <c:dLbls>
            <c:dLbl>
              <c:idx val="0"/>
              <c:layout>
                <c:manualLayout>
                  <c:x val="-0.12160000000000011"/>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541-42C9-8917-3E0D8F8A85CA}"/>
                </c:ext>
              </c:extLst>
            </c:dLbl>
            <c:dLbl>
              <c:idx val="1"/>
              <c:layout>
                <c:manualLayout>
                  <c:x val="-6.4000000000000112E-2"/>
                  <c:y val="-5.988023952095863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541-42C9-8917-3E0D8F8A85C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A6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Calculation!$N$8:$N$9</c:f>
              <c:strCache>
                <c:ptCount val="2"/>
                <c:pt idx="0">
                  <c:v>From RDC</c:v>
                </c:pt>
                <c:pt idx="1">
                  <c:v>Direct Drop</c:v>
                </c:pt>
              </c:strCache>
            </c:strRef>
          </c:cat>
          <c:val>
            <c:numRef>
              <c:f>Calculation!$O$8:$O$9</c:f>
              <c:numCache>
                <c:formatCode>0.00%</c:formatCode>
                <c:ptCount val="2"/>
                <c:pt idx="0">
                  <c:v>0.81950672645739908</c:v>
                </c:pt>
                <c:pt idx="1">
                  <c:v>0.97031963470319638</c:v>
                </c:pt>
              </c:numCache>
            </c:numRef>
          </c:val>
          <c:extLst>
            <c:ext xmlns:c16="http://schemas.microsoft.com/office/drawing/2014/chart" uri="{C3380CC4-5D6E-409C-BE32-E72D297353CC}">
              <c16:uniqueId val="{00000000-A541-42C9-8917-3E0D8F8A85CA}"/>
            </c:ext>
          </c:extLst>
        </c:ser>
        <c:dLbls>
          <c:showLegendKey val="0"/>
          <c:showVal val="0"/>
          <c:showCatName val="0"/>
          <c:showSerName val="0"/>
          <c:showPercent val="0"/>
          <c:showBubbleSize val="0"/>
        </c:dLbls>
        <c:gapWidth val="182"/>
        <c:axId val="308073616"/>
        <c:axId val="2108564880"/>
      </c:barChart>
      <c:catAx>
        <c:axId val="308073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564880"/>
        <c:crosses val="autoZero"/>
        <c:auto val="1"/>
        <c:lblAlgn val="ctr"/>
        <c:lblOffset val="100"/>
        <c:noMultiLvlLbl val="0"/>
      </c:catAx>
      <c:valAx>
        <c:axId val="2108564880"/>
        <c:scaling>
          <c:orientation val="minMax"/>
          <c:max val="1"/>
          <c:min val="0"/>
        </c:scaling>
        <c:delete val="1"/>
        <c:axPos val="b"/>
        <c:numFmt formatCode="0.00%" sourceLinked="1"/>
        <c:majorTickMark val="none"/>
        <c:minorTickMark val="none"/>
        <c:tickLblPos val="nextTo"/>
        <c:crossAx val="308073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94-4578-8502-CD80FE554E91}"/>
              </c:ext>
            </c:extLst>
          </c:dPt>
          <c:dPt>
            <c:idx val="1"/>
            <c:bubble3D val="0"/>
            <c:spPr>
              <a:solidFill>
                <a:srgbClr val="002A6C"/>
              </a:solidFill>
              <a:ln w="19050">
                <a:solidFill>
                  <a:schemeClr val="lt1"/>
                </a:solidFill>
              </a:ln>
              <a:effectLst/>
            </c:spPr>
            <c:extLst>
              <c:ext xmlns:c16="http://schemas.microsoft.com/office/drawing/2014/chart" uri="{C3380CC4-5D6E-409C-BE32-E72D297353CC}">
                <c16:uniqueId val="{00000003-BE94-4578-8502-CD80FE554E91}"/>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A6C"/>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1-BE94-4578-8502-CD80FE554E91}"/>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3-BE94-4578-8502-CD80FE554E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Calculation!$G$5:$G$6</c:f>
              <c:strCache>
                <c:ptCount val="2"/>
                <c:pt idx="0">
                  <c:v>Direct Drop</c:v>
                </c:pt>
                <c:pt idx="1">
                  <c:v>From RDC</c:v>
                </c:pt>
              </c:strCache>
            </c:strRef>
          </c:cat>
          <c:val>
            <c:numRef>
              <c:f>Calculation!$H$5:$H$6</c:f>
              <c:numCache>
                <c:formatCode>#,##0</c:formatCode>
                <c:ptCount val="2"/>
                <c:pt idx="0">
                  <c:v>84170272.520000011</c:v>
                </c:pt>
                <c:pt idx="1">
                  <c:v>198476410.64999995</c:v>
                </c:pt>
              </c:numCache>
            </c:numRef>
          </c:val>
          <c:extLst>
            <c:ext xmlns:c16="http://schemas.microsoft.com/office/drawing/2014/chart" uri="{C3380CC4-5D6E-409C-BE32-E72D297353CC}">
              <c16:uniqueId val="{00000004-BE94-4578-8502-CD80FE554E9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[USAID Supply Chain Analytics.xlsx]Calculation!PivotTable4</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flat">
            <a:solidFill>
              <a:schemeClr val="bg2"/>
            </a:solidFill>
            <a:round/>
          </a:ln>
          <a:effectLst/>
        </c:spPr>
        <c:marker>
          <c:symbol val="circle"/>
          <c:size val="5"/>
          <c:spPr>
            <a:solidFill>
              <a:schemeClr val="bg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flat">
            <a:solidFill>
              <a:schemeClr val="bg2"/>
            </a:solidFill>
            <a:round/>
          </a:ln>
          <a:effectLst/>
        </c:spPr>
        <c:marker>
          <c:symbol val="circle"/>
          <c:size val="5"/>
          <c:spPr>
            <a:solidFill>
              <a:schemeClr val="bg2"/>
            </a:solidFill>
            <a:ln w="9525">
              <a:solidFill>
                <a:schemeClr val="accent1"/>
              </a:solidFill>
            </a:ln>
            <a:effectLst/>
          </c:spPr>
        </c:marker>
      </c:pivotFmt>
      <c:pivotFmt>
        <c:idx val="4"/>
        <c:spPr>
          <a:ln w="28575" cap="flat">
            <a:solidFill>
              <a:schemeClr val="bg2"/>
            </a:solidFill>
            <a:round/>
          </a:ln>
          <a:effectLst/>
        </c:spPr>
        <c:marker>
          <c:symbol val="circle"/>
          <c:size val="5"/>
          <c:spPr>
            <a:solidFill>
              <a:schemeClr val="bg2"/>
            </a:solidFill>
            <a:ln w="9525">
              <a:solidFill>
                <a:schemeClr val="accent1"/>
              </a:solidFill>
            </a:ln>
            <a:effectLst/>
          </c:spPr>
        </c:marker>
      </c:pivotFmt>
      <c:pivotFmt>
        <c:idx val="5"/>
        <c:spPr>
          <a:ln w="28575" cap="flat">
            <a:solidFill>
              <a:schemeClr val="bg2"/>
            </a:solidFill>
            <a:round/>
          </a:ln>
          <a:effectLst/>
        </c:spPr>
        <c:marker>
          <c:symbol val="circle"/>
          <c:size val="5"/>
          <c:spPr>
            <a:solidFill>
              <a:schemeClr val="bg2"/>
            </a:solidFill>
            <a:ln w="9525">
              <a:solidFill>
                <a:schemeClr val="accent1"/>
              </a:solidFill>
            </a:ln>
            <a:effectLst/>
          </c:spPr>
        </c:marker>
      </c:pivotFmt>
      <c:pivotFmt>
        <c:idx val="6"/>
        <c:spPr>
          <a:ln w="28575" cap="flat">
            <a:solidFill>
              <a:schemeClr val="bg2"/>
            </a:solidFill>
            <a:round/>
          </a:ln>
          <a:effectLst/>
        </c:spPr>
        <c:marker>
          <c:symbol val="circle"/>
          <c:size val="5"/>
          <c:spPr>
            <a:solidFill>
              <a:schemeClr val="bg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ln w="28575" cap="flat">
            <a:solidFill>
              <a:schemeClr val="bg2"/>
            </a:solidFill>
            <a:round/>
          </a:ln>
          <a:effectLst/>
        </c:spPr>
        <c:marker>
          <c:symbol val="circle"/>
          <c:size val="5"/>
          <c:spPr>
            <a:solidFill>
              <a:schemeClr val="bg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ln w="28575" cap="flat">
            <a:solidFill>
              <a:schemeClr val="bg2"/>
            </a:solidFill>
            <a:round/>
          </a:ln>
          <a:effectLst/>
        </c:spPr>
        <c:marker>
          <c:symbol val="circle"/>
          <c:size val="5"/>
          <c:spPr>
            <a:solidFill>
              <a:schemeClr val="bg2"/>
            </a:solidFill>
            <a:ln w="9525">
              <a:solidFill>
                <a:schemeClr val="accent1"/>
              </a:solidFill>
            </a:ln>
            <a:effectLst/>
          </c:spPr>
        </c:marker>
        <c:dLbl>
          <c:idx val="0"/>
          <c:layout>
            <c:manualLayout>
              <c:x val="-5.7855574913129641E-2"/>
              <c:y val="4.75203185701989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Calculation!$Z$6</c:f>
              <c:strCache>
                <c:ptCount val="1"/>
                <c:pt idx="0">
                  <c:v>Total</c:v>
                </c:pt>
              </c:strCache>
            </c:strRef>
          </c:tx>
          <c:spPr>
            <a:ln w="28575" cap="flat">
              <a:solidFill>
                <a:schemeClr val="bg2"/>
              </a:solidFill>
              <a:round/>
            </a:ln>
            <a:effectLst/>
          </c:spPr>
          <c:marker>
            <c:symbol val="circle"/>
            <c:size val="5"/>
            <c:spPr>
              <a:solidFill>
                <a:schemeClr val="bg2"/>
              </a:solidFill>
              <a:ln w="9525">
                <a:solidFill>
                  <a:schemeClr val="accent1"/>
                </a:solidFill>
              </a:ln>
              <a:effectLst/>
            </c:spPr>
          </c:marker>
          <c:dPt>
            <c:idx val="1"/>
            <c:marker>
              <c:symbol val="circle"/>
              <c:size val="5"/>
              <c:spPr>
                <a:solidFill>
                  <a:schemeClr val="bg2"/>
                </a:solidFill>
                <a:ln w="9525">
                  <a:solidFill>
                    <a:schemeClr val="accent1"/>
                  </a:solidFill>
                </a:ln>
                <a:effectLst/>
              </c:spPr>
            </c:marker>
            <c:bubble3D val="0"/>
            <c:spPr>
              <a:ln w="28575" cap="flat">
                <a:solidFill>
                  <a:schemeClr val="bg2"/>
                </a:solidFill>
                <a:round/>
              </a:ln>
              <a:effectLst/>
            </c:spPr>
            <c:extLst>
              <c:ext xmlns:c16="http://schemas.microsoft.com/office/drawing/2014/chart" uri="{C3380CC4-5D6E-409C-BE32-E72D297353CC}">
                <c16:uniqueId val="{00000006-64D0-4740-B467-C36AD2A5048A}"/>
              </c:ext>
            </c:extLst>
          </c:dPt>
          <c:dPt>
            <c:idx val="2"/>
            <c:marker>
              <c:symbol val="circle"/>
              <c:size val="5"/>
              <c:spPr>
                <a:solidFill>
                  <a:schemeClr val="bg2"/>
                </a:solidFill>
                <a:ln w="9525">
                  <a:solidFill>
                    <a:schemeClr val="accent1"/>
                  </a:solidFill>
                </a:ln>
                <a:effectLst/>
              </c:spPr>
            </c:marker>
            <c:bubble3D val="0"/>
            <c:spPr>
              <a:ln w="28575" cap="flat">
                <a:solidFill>
                  <a:schemeClr val="bg2"/>
                </a:solidFill>
                <a:round/>
              </a:ln>
              <a:effectLst/>
            </c:spPr>
            <c:extLst>
              <c:ext xmlns:c16="http://schemas.microsoft.com/office/drawing/2014/chart" uri="{C3380CC4-5D6E-409C-BE32-E72D297353CC}">
                <c16:uniqueId val="{00000001-64D0-4740-B467-C36AD2A5048A}"/>
              </c:ext>
            </c:extLst>
          </c:dPt>
          <c:dPt>
            <c:idx val="3"/>
            <c:marker>
              <c:symbol val="circle"/>
              <c:size val="5"/>
              <c:spPr>
                <a:solidFill>
                  <a:schemeClr val="bg2"/>
                </a:solidFill>
                <a:ln w="9525">
                  <a:solidFill>
                    <a:schemeClr val="accent1"/>
                  </a:solidFill>
                </a:ln>
                <a:effectLst/>
              </c:spPr>
            </c:marker>
            <c:bubble3D val="0"/>
            <c:spPr>
              <a:ln w="28575" cap="flat">
                <a:solidFill>
                  <a:schemeClr val="bg2"/>
                </a:solidFill>
                <a:round/>
              </a:ln>
              <a:effectLst/>
            </c:spPr>
            <c:extLst>
              <c:ext xmlns:c16="http://schemas.microsoft.com/office/drawing/2014/chart" uri="{C3380CC4-5D6E-409C-BE32-E72D297353CC}">
                <c16:uniqueId val="{00000002-64D0-4740-B467-C36AD2A5048A}"/>
              </c:ext>
            </c:extLst>
          </c:dPt>
          <c:dPt>
            <c:idx val="4"/>
            <c:marker>
              <c:symbol val="circle"/>
              <c:size val="5"/>
              <c:spPr>
                <a:solidFill>
                  <a:schemeClr val="bg2"/>
                </a:solidFill>
                <a:ln w="9525">
                  <a:solidFill>
                    <a:schemeClr val="accent1"/>
                  </a:solidFill>
                </a:ln>
                <a:effectLst/>
              </c:spPr>
            </c:marker>
            <c:bubble3D val="0"/>
            <c:spPr>
              <a:ln w="28575" cap="flat">
                <a:solidFill>
                  <a:schemeClr val="bg2"/>
                </a:solidFill>
                <a:round/>
              </a:ln>
              <a:effectLst/>
            </c:spPr>
            <c:extLst>
              <c:ext xmlns:c16="http://schemas.microsoft.com/office/drawing/2014/chart" uri="{C3380CC4-5D6E-409C-BE32-E72D297353CC}">
                <c16:uniqueId val="{00000003-64D0-4740-B467-C36AD2A5048A}"/>
              </c:ext>
            </c:extLst>
          </c:dPt>
          <c:dPt>
            <c:idx val="5"/>
            <c:marker>
              <c:symbol val="circle"/>
              <c:size val="5"/>
              <c:spPr>
                <a:solidFill>
                  <a:schemeClr val="bg2"/>
                </a:solidFill>
                <a:ln w="9525">
                  <a:solidFill>
                    <a:schemeClr val="accent1"/>
                  </a:solidFill>
                </a:ln>
                <a:effectLst/>
              </c:spPr>
            </c:marker>
            <c:bubble3D val="0"/>
            <c:spPr>
              <a:ln w="28575" cap="flat">
                <a:solidFill>
                  <a:schemeClr val="bg2"/>
                </a:solidFill>
                <a:round/>
              </a:ln>
              <a:effectLst/>
            </c:spPr>
            <c:extLst>
              <c:ext xmlns:c16="http://schemas.microsoft.com/office/drawing/2014/chart" uri="{C3380CC4-5D6E-409C-BE32-E72D297353CC}">
                <c16:uniqueId val="{00000004-64D0-4740-B467-C36AD2A5048A}"/>
              </c:ext>
            </c:extLst>
          </c:dPt>
          <c:dPt>
            <c:idx val="7"/>
            <c:marker>
              <c:symbol val="circle"/>
              <c:size val="5"/>
              <c:spPr>
                <a:solidFill>
                  <a:schemeClr val="bg2"/>
                </a:solidFill>
                <a:ln w="9525">
                  <a:solidFill>
                    <a:schemeClr val="accent1"/>
                  </a:solidFill>
                </a:ln>
                <a:effectLst/>
              </c:spPr>
            </c:marker>
            <c:bubble3D val="0"/>
            <c:spPr>
              <a:ln w="28575" cap="flat">
                <a:solidFill>
                  <a:schemeClr val="bg2"/>
                </a:solidFill>
                <a:round/>
              </a:ln>
              <a:effectLst/>
            </c:spPr>
            <c:extLst>
              <c:ext xmlns:c16="http://schemas.microsoft.com/office/drawing/2014/chart" uri="{C3380CC4-5D6E-409C-BE32-E72D297353CC}">
                <c16:uniqueId val="{00000005-64D0-4740-B467-C36AD2A5048A}"/>
              </c:ext>
            </c:extLst>
          </c:dPt>
          <c:dLbls>
            <c:dLbl>
              <c:idx val="1"/>
              <c:layout>
                <c:manualLayout>
                  <c:x val="-5.7855574913129641E-2"/>
                  <c:y val="4.75203185701989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4D0-4740-B467-C36AD2A5048A}"/>
                </c:ext>
              </c:extLst>
            </c:dLbl>
            <c:dLbl>
              <c:idx val="5"/>
              <c:delete val="1"/>
              <c:extLst>
                <c:ext xmlns:c15="http://schemas.microsoft.com/office/drawing/2012/chart" uri="{CE6537A1-D6FC-4f65-9D91-7224C49458BB}"/>
                <c:ext xmlns:c16="http://schemas.microsoft.com/office/drawing/2014/chart" uri="{C3380CC4-5D6E-409C-BE32-E72D297353CC}">
                  <c16:uniqueId val="{00000004-64D0-4740-B467-C36AD2A5048A}"/>
                </c:ext>
              </c:extLst>
            </c:dLbl>
            <c:dLbl>
              <c:idx val="7"/>
              <c:delete val="1"/>
              <c:extLst>
                <c:ext xmlns:c15="http://schemas.microsoft.com/office/drawing/2012/chart" uri="{CE6537A1-D6FC-4f65-9D91-7224C49458BB}"/>
                <c:ext xmlns:c16="http://schemas.microsoft.com/office/drawing/2014/chart" uri="{C3380CC4-5D6E-409C-BE32-E72D297353CC}">
                  <c16:uniqueId val="{00000005-64D0-4740-B467-C36AD2A504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Calculation!$Y$7:$Y$16</c:f>
              <c:strCache>
                <c:ptCount val="9"/>
                <c:pt idx="0">
                  <c:v>2007</c:v>
                </c:pt>
                <c:pt idx="1">
                  <c:v>2008</c:v>
                </c:pt>
                <c:pt idx="2">
                  <c:v>2009</c:v>
                </c:pt>
                <c:pt idx="3">
                  <c:v>2010</c:v>
                </c:pt>
                <c:pt idx="4">
                  <c:v>2011</c:v>
                </c:pt>
                <c:pt idx="5">
                  <c:v>2012</c:v>
                </c:pt>
                <c:pt idx="6">
                  <c:v>2013</c:v>
                </c:pt>
                <c:pt idx="7">
                  <c:v>2014</c:v>
                </c:pt>
                <c:pt idx="8">
                  <c:v>2015</c:v>
                </c:pt>
              </c:strCache>
            </c:strRef>
          </c:cat>
          <c:val>
            <c:numRef>
              <c:f>Calculation!$Z$7:$Z$16</c:f>
              <c:numCache>
                <c:formatCode>\$0.00</c:formatCode>
                <c:ptCount val="9"/>
                <c:pt idx="0">
                  <c:v>18.43010752688172</c:v>
                </c:pt>
                <c:pt idx="1">
                  <c:v>11.996223307035605</c:v>
                </c:pt>
                <c:pt idx="2">
                  <c:v>11.578116944150098</c:v>
                </c:pt>
                <c:pt idx="3">
                  <c:v>11.238156136806278</c:v>
                </c:pt>
                <c:pt idx="4">
                  <c:v>11.203822169930246</c:v>
                </c:pt>
                <c:pt idx="5">
                  <c:v>10.477872892779285</c:v>
                </c:pt>
                <c:pt idx="6">
                  <c:v>8.3026637417412861</c:v>
                </c:pt>
                <c:pt idx="7">
                  <c:v>8.1930146894909139</c:v>
                </c:pt>
                <c:pt idx="8">
                  <c:v>7.9930262329576323</c:v>
                </c:pt>
              </c:numCache>
            </c:numRef>
          </c:val>
          <c:smooth val="0"/>
          <c:extLst>
            <c:ext xmlns:c16="http://schemas.microsoft.com/office/drawing/2014/chart" uri="{C3380CC4-5D6E-409C-BE32-E72D297353CC}">
              <c16:uniqueId val="{00000000-64D0-4740-B467-C36AD2A5048A}"/>
            </c:ext>
          </c:extLst>
        </c:ser>
        <c:dLbls>
          <c:showLegendKey val="0"/>
          <c:showVal val="0"/>
          <c:showCatName val="0"/>
          <c:showSerName val="0"/>
          <c:showPercent val="0"/>
          <c:showBubbleSize val="0"/>
        </c:dLbls>
        <c:marker val="1"/>
        <c:smooth val="0"/>
        <c:axId val="1059407760"/>
        <c:axId val="1045466160"/>
      </c:lineChart>
      <c:catAx>
        <c:axId val="105940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466160"/>
        <c:crosses val="autoZero"/>
        <c:auto val="1"/>
        <c:lblAlgn val="ctr"/>
        <c:lblOffset val="100"/>
        <c:noMultiLvlLbl val="0"/>
      </c:catAx>
      <c:valAx>
        <c:axId val="1045466160"/>
        <c:scaling>
          <c:orientation val="minMax"/>
          <c:min val="5"/>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40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Lines="3" dropStyle="combo" dx="31" fmlaLink="$Q$19" fmlaRange="$S$19:$S$21" noThreeD="1" sel="1" val="0"/>
</file>

<file path=xl/ctrlProps/ctrlProp2.xml><?xml version="1.0" encoding="utf-8"?>
<formControlPr xmlns="http://schemas.microsoft.com/office/spreadsheetml/2009/9/main" objectType="Drop" dropLines="3" dropStyle="combo" dx="31" fmlaLink="Calculation!$Q$19" fmlaRange="Calculation!$S$19:$S$21" noThreeD="1" sel="1" val="0"/>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10.png"/><Relationship Id="rId3" Type="http://schemas.openxmlformats.org/officeDocument/2006/relationships/chart" Target="../charts/chart2.xml"/><Relationship Id="rId7" Type="http://schemas.openxmlformats.org/officeDocument/2006/relationships/image" Target="../media/image4.png"/><Relationship Id="rId12" Type="http://schemas.openxmlformats.org/officeDocument/2006/relationships/image" Target="../media/image9.sv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3.svg"/><Relationship Id="rId11" Type="http://schemas.openxmlformats.org/officeDocument/2006/relationships/image" Target="../media/image8.png"/><Relationship Id="rId5" Type="http://schemas.openxmlformats.org/officeDocument/2006/relationships/image" Target="../media/image2.png"/><Relationship Id="rId10" Type="http://schemas.openxmlformats.org/officeDocument/2006/relationships/image" Target="../media/image7.svg"/><Relationship Id="rId4" Type="http://schemas.openxmlformats.org/officeDocument/2006/relationships/chart" Target="../charts/chart3.xml"/><Relationship Id="rId9" Type="http://schemas.openxmlformats.org/officeDocument/2006/relationships/image" Target="../media/image6.png"/><Relationship Id="rId14" Type="http://schemas.openxmlformats.org/officeDocument/2006/relationships/image" Target="../media/image11.sv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13</xdr:col>
          <xdr:colOff>12700</xdr:colOff>
          <xdr:row>19</xdr:row>
          <xdr:rowOff>38100</xdr:rowOff>
        </xdr:from>
        <xdr:to>
          <xdr:col>13</xdr:col>
          <xdr:colOff>2584450</xdr:colOff>
          <xdr:row>20</xdr:row>
          <xdr:rowOff>63500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63501</xdr:colOff>
      <xdr:row>0</xdr:row>
      <xdr:rowOff>0</xdr:rowOff>
    </xdr:from>
    <xdr:to>
      <xdr:col>3</xdr:col>
      <xdr:colOff>172197</xdr:colOff>
      <xdr:row>0</xdr:row>
      <xdr:rowOff>438150</xdr:rowOff>
    </xdr:to>
    <xdr:pic>
      <xdr:nvPicPr>
        <xdr:cNvPr id="3" name="Picture 2">
          <a:extLst>
            <a:ext uri="{FF2B5EF4-FFF2-40B4-BE49-F238E27FC236}">
              <a16:creationId xmlns:a16="http://schemas.microsoft.com/office/drawing/2014/main" id="{3C65E551-9EFE-3BDC-1F91-CF0D6A76DB6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30201" y="0"/>
          <a:ext cx="1492249" cy="438150"/>
        </a:xfrm>
        <a:prstGeom prst="rect">
          <a:avLst/>
        </a:prstGeom>
      </xdr:spPr>
    </xdr:pic>
    <xdr:clientData/>
  </xdr:twoCellAnchor>
  <xdr:twoCellAnchor>
    <xdr:from>
      <xdr:col>1</xdr:col>
      <xdr:colOff>37353</xdr:colOff>
      <xdr:row>1</xdr:row>
      <xdr:rowOff>102837</xdr:rowOff>
    </xdr:from>
    <xdr:to>
      <xdr:col>4</xdr:col>
      <xdr:colOff>134266</xdr:colOff>
      <xdr:row>4</xdr:row>
      <xdr:rowOff>81973</xdr:rowOff>
    </xdr:to>
    <xdr:grpSp>
      <xdr:nvGrpSpPr>
        <xdr:cNvPr id="33" name="Group 32">
          <a:extLst>
            <a:ext uri="{FF2B5EF4-FFF2-40B4-BE49-F238E27FC236}">
              <a16:creationId xmlns:a16="http://schemas.microsoft.com/office/drawing/2014/main" id="{5FF0231C-C0E8-D606-DC44-3AD4FF699F8A}"/>
            </a:ext>
          </a:extLst>
        </xdr:cNvPr>
        <xdr:cNvGrpSpPr/>
      </xdr:nvGrpSpPr>
      <xdr:grpSpPr>
        <a:xfrm>
          <a:off x="300424" y="683408"/>
          <a:ext cx="2083556" cy="523422"/>
          <a:chOff x="254000" y="571786"/>
          <a:chExt cx="1934678" cy="539431"/>
        </a:xfrm>
      </xdr:grpSpPr>
      <xdr:sp macro="" textlink="Calculation!O3">
        <xdr:nvSpPr>
          <xdr:cNvPr id="4" name="Rectangle: Rounded Corners 3">
            <a:extLst>
              <a:ext uri="{FF2B5EF4-FFF2-40B4-BE49-F238E27FC236}">
                <a16:creationId xmlns:a16="http://schemas.microsoft.com/office/drawing/2014/main" id="{AB143C58-BD2B-0DBF-042B-4035CBCB7030}"/>
              </a:ext>
            </a:extLst>
          </xdr:cNvPr>
          <xdr:cNvSpPr/>
        </xdr:nvSpPr>
        <xdr:spPr>
          <a:xfrm>
            <a:off x="254000" y="571786"/>
            <a:ext cx="1934678" cy="539431"/>
          </a:xfrm>
          <a:prstGeom prst="roundRect">
            <a:avLst>
              <a:gd name="adj" fmla="val 17584"/>
            </a:avLst>
          </a:prstGeom>
          <a:solidFill>
            <a:srgbClr val="E7F0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7600824-B755-4ED5-AF29-237383AF42AA}" type="TxLink">
              <a:rPr lang="en-US" sz="1600" b="1" i="0" u="none" strike="noStrike">
                <a:solidFill>
                  <a:srgbClr val="002A6C"/>
                </a:solidFill>
                <a:latin typeface="Open sans"/>
                <a:ea typeface="Open sans"/>
                <a:cs typeface="Open sans"/>
              </a:rPr>
              <a:pPr algn="ctr"/>
              <a:t>1330</a:t>
            </a:fld>
            <a:endParaRPr lang="en-US" sz="1600" b="1">
              <a:solidFill>
                <a:srgbClr val="002A6C"/>
              </a:solidFill>
            </a:endParaRPr>
          </a:p>
        </xdr:txBody>
      </xdr:sp>
      <xdr:sp macro="" textlink="">
        <xdr:nvSpPr>
          <xdr:cNvPr id="13" name="TextBox 12">
            <a:extLst>
              <a:ext uri="{FF2B5EF4-FFF2-40B4-BE49-F238E27FC236}">
                <a16:creationId xmlns:a16="http://schemas.microsoft.com/office/drawing/2014/main" id="{041B3993-632D-BA60-25FA-44ACA46CAB6F}"/>
              </a:ext>
            </a:extLst>
          </xdr:cNvPr>
          <xdr:cNvSpPr txBox="1"/>
        </xdr:nvSpPr>
        <xdr:spPr>
          <a:xfrm>
            <a:off x="523584" y="571786"/>
            <a:ext cx="1395511" cy="374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002A6C"/>
                </a:solidFill>
                <a:latin typeface="Open Sans" panose="020B0606030504020204" pitchFamily="34" charset="0"/>
                <a:ea typeface="Open Sans" panose="020B0606030504020204" pitchFamily="34" charset="0"/>
                <a:cs typeface="Open Sans" panose="020B0606030504020204" pitchFamily="34" charset="0"/>
              </a:rPr>
              <a:t>Tota</a:t>
            </a:r>
            <a:r>
              <a:rPr lang="en-US" sz="1100" b="1" baseline="0">
                <a:solidFill>
                  <a:srgbClr val="002A6C"/>
                </a:solidFill>
                <a:latin typeface="Open Sans" panose="020B0606030504020204" pitchFamily="34" charset="0"/>
                <a:ea typeface="Open Sans" panose="020B0606030504020204" pitchFamily="34" charset="0"/>
                <a:cs typeface="Open Sans" panose="020B0606030504020204" pitchFamily="34" charset="0"/>
              </a:rPr>
              <a:t>l </a:t>
            </a:r>
            <a:r>
              <a:rPr lang="en-US" sz="1000" b="1" baseline="0">
                <a:solidFill>
                  <a:srgbClr val="002A6C"/>
                </a:solidFill>
                <a:latin typeface="Open Sans" panose="020B0606030504020204" pitchFamily="34" charset="0"/>
                <a:ea typeface="Open Sans" panose="020B0606030504020204" pitchFamily="34" charset="0"/>
                <a:cs typeface="Open Sans" panose="020B0606030504020204" pitchFamily="34" charset="0"/>
              </a:rPr>
              <a:t>Deliveries</a:t>
            </a:r>
          </a:p>
        </xdr:txBody>
      </xdr:sp>
    </xdr:grpSp>
    <xdr:clientData/>
  </xdr:twoCellAnchor>
  <xdr:twoCellAnchor>
    <xdr:from>
      <xdr:col>4</xdr:col>
      <xdr:colOff>507744</xdr:colOff>
      <xdr:row>1</xdr:row>
      <xdr:rowOff>102837</xdr:rowOff>
    </xdr:from>
    <xdr:to>
      <xdr:col>7</xdr:col>
      <xdr:colOff>602417</xdr:colOff>
      <xdr:row>4</xdr:row>
      <xdr:rowOff>81973</xdr:rowOff>
    </xdr:to>
    <xdr:grpSp>
      <xdr:nvGrpSpPr>
        <xdr:cNvPr id="32" name="Group 31">
          <a:extLst>
            <a:ext uri="{FF2B5EF4-FFF2-40B4-BE49-F238E27FC236}">
              <a16:creationId xmlns:a16="http://schemas.microsoft.com/office/drawing/2014/main" id="{AEED1E6E-A006-9233-4434-D58B47351618}"/>
            </a:ext>
          </a:extLst>
        </xdr:cNvPr>
        <xdr:cNvGrpSpPr/>
      </xdr:nvGrpSpPr>
      <xdr:grpSpPr>
        <a:xfrm>
          <a:off x="2757458" y="683408"/>
          <a:ext cx="1918030" cy="523422"/>
          <a:chOff x="2534090" y="534433"/>
          <a:chExt cx="1932438" cy="539431"/>
        </a:xfrm>
      </xdr:grpSpPr>
      <xdr:sp macro="" textlink="Calculation!O6">
        <xdr:nvSpPr>
          <xdr:cNvPr id="8" name="Rectangle: Rounded Corners 7">
            <a:extLst>
              <a:ext uri="{FF2B5EF4-FFF2-40B4-BE49-F238E27FC236}">
                <a16:creationId xmlns:a16="http://schemas.microsoft.com/office/drawing/2014/main" id="{F215761D-A98E-EC0A-89BF-503C956D7F93}"/>
              </a:ext>
            </a:extLst>
          </xdr:cNvPr>
          <xdr:cNvSpPr/>
        </xdr:nvSpPr>
        <xdr:spPr>
          <a:xfrm>
            <a:off x="2534090" y="534433"/>
            <a:ext cx="1932438" cy="539431"/>
          </a:xfrm>
          <a:prstGeom prst="roundRect">
            <a:avLst>
              <a:gd name="adj" fmla="val 17584"/>
            </a:avLst>
          </a:prstGeom>
          <a:solidFill>
            <a:srgbClr val="E7F0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D8523DAD-D028-428B-B9A5-4EF148821E5B}" type="TxLink">
              <a:rPr lang="en-US" sz="1600" b="1" i="0" u="none" strike="noStrike">
                <a:solidFill>
                  <a:srgbClr val="002A6C"/>
                </a:solidFill>
                <a:latin typeface="Open sans"/>
                <a:ea typeface="Open sans"/>
                <a:cs typeface="Open sans"/>
              </a:rPr>
              <a:pPr marL="0" indent="0" algn="ctr"/>
              <a:t>86.92%</a:t>
            </a:fld>
            <a:endParaRPr lang="en-US" sz="1600" b="1" i="0" u="none" strike="noStrike">
              <a:solidFill>
                <a:srgbClr val="002A6C"/>
              </a:solidFill>
              <a:latin typeface="Open sans"/>
              <a:ea typeface="Open sans"/>
              <a:cs typeface="Open sans"/>
            </a:endParaRPr>
          </a:p>
        </xdr:txBody>
      </xdr:sp>
      <xdr:sp macro="" textlink="">
        <xdr:nvSpPr>
          <xdr:cNvPr id="14" name="TextBox 13">
            <a:extLst>
              <a:ext uri="{FF2B5EF4-FFF2-40B4-BE49-F238E27FC236}">
                <a16:creationId xmlns:a16="http://schemas.microsoft.com/office/drawing/2014/main" id="{6925E67C-A535-A49D-3535-6AF7C40993C5}"/>
              </a:ext>
            </a:extLst>
          </xdr:cNvPr>
          <xdr:cNvSpPr txBox="1"/>
        </xdr:nvSpPr>
        <xdr:spPr>
          <a:xfrm>
            <a:off x="2671426" y="534433"/>
            <a:ext cx="1642822" cy="374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baseline="0">
                <a:solidFill>
                  <a:srgbClr val="002A6C"/>
                </a:solidFill>
                <a:latin typeface="Open Sans" panose="020B0606030504020204" pitchFamily="34" charset="0"/>
                <a:ea typeface="Open Sans" panose="020B0606030504020204" pitchFamily="34" charset="0"/>
                <a:cs typeface="Open Sans" panose="020B0606030504020204" pitchFamily="34" charset="0"/>
              </a:rPr>
              <a:t>On-Time Delivery Rate</a:t>
            </a:r>
          </a:p>
        </xdr:txBody>
      </xdr:sp>
    </xdr:grpSp>
    <xdr:clientData/>
  </xdr:twoCellAnchor>
  <xdr:twoCellAnchor>
    <xdr:from>
      <xdr:col>8</xdr:col>
      <xdr:colOff>363307</xdr:colOff>
      <xdr:row>1</xdr:row>
      <xdr:rowOff>102837</xdr:rowOff>
    </xdr:from>
    <xdr:to>
      <xdr:col>11</xdr:col>
      <xdr:colOff>457978</xdr:colOff>
      <xdr:row>4</xdr:row>
      <xdr:rowOff>81973</xdr:rowOff>
    </xdr:to>
    <xdr:grpSp>
      <xdr:nvGrpSpPr>
        <xdr:cNvPr id="31" name="Group 30">
          <a:extLst>
            <a:ext uri="{FF2B5EF4-FFF2-40B4-BE49-F238E27FC236}">
              <a16:creationId xmlns:a16="http://schemas.microsoft.com/office/drawing/2014/main" id="{A9F19580-407F-9A53-4182-284AD3D7C0E0}"/>
            </a:ext>
          </a:extLst>
        </xdr:cNvPr>
        <xdr:cNvGrpSpPr/>
      </xdr:nvGrpSpPr>
      <xdr:grpSpPr>
        <a:xfrm>
          <a:off x="4961614" y="683408"/>
          <a:ext cx="1674007" cy="523422"/>
          <a:chOff x="4886649" y="497081"/>
          <a:chExt cx="1932436" cy="539431"/>
        </a:xfrm>
      </xdr:grpSpPr>
      <xdr:sp macro="" textlink="Calculation!O12">
        <xdr:nvSpPr>
          <xdr:cNvPr id="17" name="Rectangle: Rounded Corners 16">
            <a:extLst>
              <a:ext uri="{FF2B5EF4-FFF2-40B4-BE49-F238E27FC236}">
                <a16:creationId xmlns:a16="http://schemas.microsoft.com/office/drawing/2014/main" id="{62822256-48BD-4A9F-D348-9D186A3ACAB8}"/>
              </a:ext>
            </a:extLst>
          </xdr:cNvPr>
          <xdr:cNvSpPr/>
        </xdr:nvSpPr>
        <xdr:spPr>
          <a:xfrm>
            <a:off x="4886649" y="497081"/>
            <a:ext cx="1932436" cy="539431"/>
          </a:xfrm>
          <a:prstGeom prst="roundRect">
            <a:avLst>
              <a:gd name="adj" fmla="val 17584"/>
            </a:avLst>
          </a:prstGeom>
          <a:solidFill>
            <a:srgbClr val="E7F0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r"/>
            <a:fld id="{DEF1BD0D-B590-463F-9D87-396D3262CB7F}" type="TxLink">
              <a:rPr lang="en-US" sz="1600" b="1" i="0" u="none" strike="noStrike">
                <a:solidFill>
                  <a:srgbClr val="002A6C"/>
                </a:solidFill>
                <a:latin typeface="Open sans"/>
                <a:ea typeface="Open sans"/>
                <a:cs typeface="Open sans"/>
              </a:rPr>
              <a:pPr marL="0" indent="0" algn="r"/>
              <a:t>21.49 days</a:t>
            </a:fld>
            <a:endParaRPr lang="en-US" sz="1600" b="1" i="0" u="none" strike="noStrike">
              <a:solidFill>
                <a:srgbClr val="002A6C"/>
              </a:solidFill>
              <a:latin typeface="Open sans"/>
              <a:ea typeface="Open sans"/>
              <a:cs typeface="Open sans"/>
            </a:endParaRPr>
          </a:p>
        </xdr:txBody>
      </xdr:sp>
      <xdr:sp macro="" textlink="">
        <xdr:nvSpPr>
          <xdr:cNvPr id="18" name="TextBox 17">
            <a:extLst>
              <a:ext uri="{FF2B5EF4-FFF2-40B4-BE49-F238E27FC236}">
                <a16:creationId xmlns:a16="http://schemas.microsoft.com/office/drawing/2014/main" id="{D4F0060B-AEE0-A087-968D-79CAB826F0B9}"/>
              </a:ext>
            </a:extLst>
          </xdr:cNvPr>
          <xdr:cNvSpPr txBox="1"/>
        </xdr:nvSpPr>
        <xdr:spPr>
          <a:xfrm>
            <a:off x="5030726" y="497081"/>
            <a:ext cx="1644282" cy="374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baseline="0">
                <a:solidFill>
                  <a:srgbClr val="002A6C"/>
                </a:solidFill>
                <a:latin typeface="Open Sans" panose="020B0606030504020204" pitchFamily="34" charset="0"/>
                <a:ea typeface="Open Sans" panose="020B0606030504020204" pitchFamily="34" charset="0"/>
                <a:cs typeface="Open Sans" panose="020B0606030504020204" pitchFamily="34" charset="0"/>
              </a:rPr>
              <a:t>Average Late Delay</a:t>
            </a:r>
          </a:p>
        </xdr:txBody>
      </xdr:sp>
    </xdr:grpSp>
    <xdr:clientData/>
  </xdr:twoCellAnchor>
  <xdr:twoCellAnchor>
    <xdr:from>
      <xdr:col>12</xdr:col>
      <xdr:colOff>218867</xdr:colOff>
      <xdr:row>1</xdr:row>
      <xdr:rowOff>102837</xdr:rowOff>
    </xdr:from>
    <xdr:to>
      <xdr:col>15</xdr:col>
      <xdr:colOff>314303</xdr:colOff>
      <xdr:row>4</xdr:row>
      <xdr:rowOff>81973</xdr:rowOff>
    </xdr:to>
    <xdr:grpSp>
      <xdr:nvGrpSpPr>
        <xdr:cNvPr id="30" name="Group 29">
          <a:extLst>
            <a:ext uri="{FF2B5EF4-FFF2-40B4-BE49-F238E27FC236}">
              <a16:creationId xmlns:a16="http://schemas.microsoft.com/office/drawing/2014/main" id="{6D63BD69-16C6-710F-E2C1-5A391786A535}"/>
            </a:ext>
          </a:extLst>
        </xdr:cNvPr>
        <xdr:cNvGrpSpPr/>
      </xdr:nvGrpSpPr>
      <xdr:grpSpPr>
        <a:xfrm>
          <a:off x="7004296" y="683408"/>
          <a:ext cx="1918793" cy="523422"/>
          <a:chOff x="7173985" y="485534"/>
          <a:chExt cx="1933200" cy="539431"/>
        </a:xfrm>
      </xdr:grpSpPr>
      <xdr:sp macro="" textlink="Calculation!G2">
        <xdr:nvSpPr>
          <xdr:cNvPr id="19" name="Rectangle: Rounded Corners 18">
            <a:extLst>
              <a:ext uri="{FF2B5EF4-FFF2-40B4-BE49-F238E27FC236}">
                <a16:creationId xmlns:a16="http://schemas.microsoft.com/office/drawing/2014/main" id="{EE2125CC-6D60-8870-CEE7-6577F6B2E341}"/>
              </a:ext>
            </a:extLst>
          </xdr:cNvPr>
          <xdr:cNvSpPr/>
        </xdr:nvSpPr>
        <xdr:spPr>
          <a:xfrm>
            <a:off x="7173985" y="485534"/>
            <a:ext cx="1933200" cy="539431"/>
          </a:xfrm>
          <a:prstGeom prst="roundRect">
            <a:avLst>
              <a:gd name="adj" fmla="val 17584"/>
            </a:avLst>
          </a:prstGeom>
          <a:solidFill>
            <a:srgbClr val="E7F0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r"/>
            <a:fld id="{AF0638A7-9CBD-492B-9B5D-B86FAA0A8D19}" type="TxLink">
              <a:rPr lang="en-US" sz="1600" b="1" i="0" u="none" strike="noStrike">
                <a:solidFill>
                  <a:srgbClr val="002A6C"/>
                </a:solidFill>
                <a:latin typeface="Open sans"/>
                <a:ea typeface="Open sans"/>
                <a:cs typeface="Open sans"/>
              </a:rPr>
              <a:pPr marL="0" indent="0" algn="r"/>
              <a:t>282.65M</a:t>
            </a:fld>
            <a:endParaRPr lang="en-US" sz="1600" b="1" i="0" u="none" strike="noStrike">
              <a:solidFill>
                <a:srgbClr val="002A6C"/>
              </a:solidFill>
              <a:latin typeface="Open sans"/>
              <a:ea typeface="Open sans"/>
              <a:cs typeface="Open sans"/>
            </a:endParaRPr>
          </a:p>
        </xdr:txBody>
      </xdr:sp>
      <xdr:sp macro="" textlink="">
        <xdr:nvSpPr>
          <xdr:cNvPr id="20" name="TextBox 19">
            <a:extLst>
              <a:ext uri="{FF2B5EF4-FFF2-40B4-BE49-F238E27FC236}">
                <a16:creationId xmlns:a16="http://schemas.microsoft.com/office/drawing/2014/main" id="{B7968F7B-1B51-4936-1CA3-F0B68B7A213E}"/>
              </a:ext>
            </a:extLst>
          </xdr:cNvPr>
          <xdr:cNvSpPr txBox="1"/>
        </xdr:nvSpPr>
        <xdr:spPr>
          <a:xfrm>
            <a:off x="7270464" y="485534"/>
            <a:ext cx="1740242" cy="374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baseline="0">
                <a:solidFill>
                  <a:srgbClr val="002A6C"/>
                </a:solidFill>
                <a:latin typeface="Open Sans" panose="020B0606030504020204" pitchFamily="34" charset="0"/>
                <a:ea typeface="Open Sans" panose="020B0606030504020204" pitchFamily="34" charset="0"/>
                <a:cs typeface="Open Sans" panose="020B0606030504020204" pitchFamily="34" charset="0"/>
              </a:rPr>
              <a:t>Total Commodity Value</a:t>
            </a:r>
          </a:p>
        </xdr:txBody>
      </xdr:sp>
    </xdr:grpSp>
    <xdr:clientData/>
  </xdr:twoCellAnchor>
  <mc:AlternateContent xmlns:mc="http://schemas.openxmlformats.org/markup-compatibility/2006">
    <mc:Choice xmlns:a14="http://schemas.microsoft.com/office/drawing/2010/main" Requires="a14">
      <xdr:twoCellAnchor editAs="oneCell">
        <xdr:from>
          <xdr:col>3</xdr:col>
          <xdr:colOff>31750</xdr:colOff>
          <xdr:row>6</xdr:row>
          <xdr:rowOff>177800</xdr:rowOff>
        </xdr:from>
        <xdr:to>
          <xdr:col>5</xdr:col>
          <xdr:colOff>196850</xdr:colOff>
          <xdr:row>8</xdr:row>
          <xdr:rowOff>6350</xdr:rowOff>
        </xdr:to>
        <xdr:sp macro="" textlink="">
          <xdr:nvSpPr>
            <xdr:cNvPr id="3073" name="Drop Down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8</xdr:col>
      <xdr:colOff>253253</xdr:colOff>
      <xdr:row>6</xdr:row>
      <xdr:rowOff>153521</xdr:rowOff>
    </xdr:from>
    <xdr:to>
      <xdr:col>16</xdr:col>
      <xdr:colOff>11579</xdr:colOff>
      <xdr:row>18</xdr:row>
      <xdr:rowOff>62006</xdr:rowOff>
    </xdr:to>
    <xdr:graphicFrame macro="">
      <xdr:nvGraphicFramePr>
        <xdr:cNvPr id="27" name="Chart 26">
          <a:extLst>
            <a:ext uri="{FF2B5EF4-FFF2-40B4-BE49-F238E27FC236}">
              <a16:creationId xmlns:a16="http://schemas.microsoft.com/office/drawing/2014/main" id="{C3FFF169-C13A-4566-B864-7E72859B4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8</xdr:col>
      <xdr:colOff>265686</xdr:colOff>
      <xdr:row>20</xdr:row>
      <xdr:rowOff>35219</xdr:rowOff>
    </xdr:from>
    <xdr:to>
      <xdr:col>16</xdr:col>
      <xdr:colOff>34151</xdr:colOff>
      <xdr:row>32</xdr:row>
      <xdr:rowOff>104055</xdr:rowOff>
    </xdr:to>
    <xdr:graphicFrame macro="">
      <xdr:nvGraphicFramePr>
        <xdr:cNvPr id="29" name="Chart 28">
          <a:extLst>
            <a:ext uri="{FF2B5EF4-FFF2-40B4-BE49-F238E27FC236}">
              <a16:creationId xmlns:a16="http://schemas.microsoft.com/office/drawing/2014/main" id="{EEE525B2-B125-4B56-BED5-88E404A96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xdr:col>
      <xdr:colOff>9074</xdr:colOff>
      <xdr:row>20</xdr:row>
      <xdr:rowOff>35219</xdr:rowOff>
    </xdr:from>
    <xdr:to>
      <xdr:col>7</xdr:col>
      <xdr:colOff>584308</xdr:colOff>
      <xdr:row>32</xdr:row>
      <xdr:rowOff>99078</xdr:rowOff>
    </xdr:to>
    <xdr:graphicFrame macro="">
      <xdr:nvGraphicFramePr>
        <xdr:cNvPr id="34" name="Chart 33">
          <a:extLst>
            <a:ext uri="{FF2B5EF4-FFF2-40B4-BE49-F238E27FC236}">
              <a16:creationId xmlns:a16="http://schemas.microsoft.com/office/drawing/2014/main" id="{D4E14CB0-4D5E-478C-8B45-162E09676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127000</xdr:colOff>
      <xdr:row>2</xdr:row>
      <xdr:rowOff>104588</xdr:rowOff>
    </xdr:from>
    <xdr:to>
      <xdr:col>9</xdr:col>
      <xdr:colOff>440764</xdr:colOff>
      <xdr:row>4</xdr:row>
      <xdr:rowOff>44823</xdr:rowOff>
    </xdr:to>
    <xdr:pic>
      <xdr:nvPicPr>
        <xdr:cNvPr id="36" name="Graphic 35">
          <a:extLst>
            <a:ext uri="{FF2B5EF4-FFF2-40B4-BE49-F238E27FC236}">
              <a16:creationId xmlns:a16="http://schemas.microsoft.com/office/drawing/2014/main" id="{43EFF819-C7B2-A874-5DDF-B869057521B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96647" y="754529"/>
          <a:ext cx="313764" cy="313764"/>
        </a:xfrm>
        <a:prstGeom prst="rect">
          <a:avLst/>
        </a:prstGeom>
      </xdr:spPr>
    </xdr:pic>
    <xdr:clientData/>
  </xdr:twoCellAnchor>
  <xdr:twoCellAnchor editAs="oneCell">
    <xdr:from>
      <xdr:col>5</xdr:col>
      <xdr:colOff>142529</xdr:colOff>
      <xdr:row>2</xdr:row>
      <xdr:rowOff>104588</xdr:rowOff>
    </xdr:from>
    <xdr:to>
      <xdr:col>5</xdr:col>
      <xdr:colOff>455706</xdr:colOff>
      <xdr:row>4</xdr:row>
      <xdr:rowOff>44236</xdr:rowOff>
    </xdr:to>
    <xdr:pic>
      <xdr:nvPicPr>
        <xdr:cNvPr id="38" name="Graphic 37">
          <a:extLst>
            <a:ext uri="{FF2B5EF4-FFF2-40B4-BE49-F238E27FC236}">
              <a16:creationId xmlns:a16="http://schemas.microsoft.com/office/drawing/2014/main" id="{3A0A8E10-7EA9-3956-AD00-FCAF6F7B7FA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861823" y="754529"/>
          <a:ext cx="313177" cy="313177"/>
        </a:xfrm>
        <a:prstGeom prst="rect">
          <a:avLst/>
        </a:prstGeom>
      </xdr:spPr>
    </xdr:pic>
    <xdr:clientData/>
  </xdr:twoCellAnchor>
  <xdr:twoCellAnchor editAs="oneCell">
    <xdr:from>
      <xdr:col>1</xdr:col>
      <xdr:colOff>268942</xdr:colOff>
      <xdr:row>2</xdr:row>
      <xdr:rowOff>97118</xdr:rowOff>
    </xdr:from>
    <xdr:to>
      <xdr:col>1</xdr:col>
      <xdr:colOff>582142</xdr:colOff>
      <xdr:row>4</xdr:row>
      <xdr:rowOff>36789</xdr:rowOff>
    </xdr:to>
    <xdr:pic>
      <xdr:nvPicPr>
        <xdr:cNvPr id="42" name="Graphic 41" descr="Truck with solid fill">
          <a:extLst>
            <a:ext uri="{FF2B5EF4-FFF2-40B4-BE49-F238E27FC236}">
              <a16:creationId xmlns:a16="http://schemas.microsoft.com/office/drawing/2014/main" id="{A8003BDE-0A5E-ACC8-522A-1E893C54D29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37883" y="747059"/>
          <a:ext cx="313200" cy="313200"/>
        </a:xfrm>
        <a:prstGeom prst="rect">
          <a:avLst/>
        </a:prstGeom>
      </xdr:spPr>
    </xdr:pic>
    <xdr:clientData/>
  </xdr:twoCellAnchor>
  <xdr:twoCellAnchor editAs="oneCell">
    <xdr:from>
      <xdr:col>12</xdr:col>
      <xdr:colOff>448235</xdr:colOff>
      <xdr:row>2</xdr:row>
      <xdr:rowOff>127001</xdr:rowOff>
    </xdr:from>
    <xdr:to>
      <xdr:col>13</xdr:col>
      <xdr:colOff>148847</xdr:colOff>
      <xdr:row>4</xdr:row>
      <xdr:rowOff>66672</xdr:rowOff>
    </xdr:to>
    <xdr:pic>
      <xdr:nvPicPr>
        <xdr:cNvPr id="44" name="Graphic 43" descr="Coins with solid fill">
          <a:extLst>
            <a:ext uri="{FF2B5EF4-FFF2-40B4-BE49-F238E27FC236}">
              <a16:creationId xmlns:a16="http://schemas.microsoft.com/office/drawing/2014/main" id="{E8EABD7B-EE2B-7627-8C5C-65986EECDB2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455647" y="776942"/>
          <a:ext cx="313200" cy="313200"/>
        </a:xfrm>
        <a:prstGeom prst="rect">
          <a:avLst/>
        </a:prstGeom>
      </xdr:spPr>
    </xdr:pic>
    <xdr:clientData/>
  </xdr:twoCellAnchor>
  <xdr:twoCellAnchor editAs="absolute">
    <xdr:from>
      <xdr:col>4</xdr:col>
      <xdr:colOff>13446</xdr:colOff>
      <xdr:row>0</xdr:row>
      <xdr:rowOff>59764</xdr:rowOff>
    </xdr:from>
    <xdr:to>
      <xdr:col>13</xdr:col>
      <xdr:colOff>313765</xdr:colOff>
      <xdr:row>1</xdr:row>
      <xdr:rowOff>134470</xdr:rowOff>
    </xdr:to>
    <xdr:sp macro="" textlink="">
      <xdr:nvSpPr>
        <xdr:cNvPr id="45" name="TextBox 44">
          <a:extLst>
            <a:ext uri="{FF2B5EF4-FFF2-40B4-BE49-F238E27FC236}">
              <a16:creationId xmlns:a16="http://schemas.microsoft.com/office/drawing/2014/main" id="{C646E41C-C9A6-46B7-D72F-C8D9B5D815DD}"/>
            </a:ext>
          </a:extLst>
        </xdr:cNvPr>
        <xdr:cNvSpPr txBox="1"/>
      </xdr:nvSpPr>
      <xdr:spPr>
        <a:xfrm>
          <a:off x="2284505" y="59764"/>
          <a:ext cx="5477436" cy="649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Open Sans" panose="020B0606030504020204" pitchFamily="34" charset="0"/>
              <a:ea typeface="Open Sans" panose="020B0606030504020204" pitchFamily="34" charset="0"/>
              <a:cs typeface="Open Sans" panose="020B0606030504020204" pitchFamily="34" charset="0"/>
            </a:rPr>
            <a:t>ARV</a:t>
          </a:r>
          <a:r>
            <a:rPr lang="en-US" sz="1400" b="1" baseline="0">
              <a:solidFill>
                <a:schemeClr val="bg1"/>
              </a:solidFill>
              <a:latin typeface="Open Sans" panose="020B0606030504020204" pitchFamily="34" charset="0"/>
              <a:ea typeface="Open Sans" panose="020B0606030504020204" pitchFamily="34" charset="0"/>
              <a:cs typeface="Open Sans" panose="020B0606030504020204" pitchFamily="34" charset="0"/>
            </a:rPr>
            <a:t> Supply Chain Performance 2006 - 2015</a:t>
          </a:r>
        </a:p>
        <a:p>
          <a:r>
            <a:rPr lang="en-US" sz="1100" baseline="0">
              <a:solidFill>
                <a:schemeClr val="bg1"/>
              </a:solidFill>
            </a:rPr>
            <a:t>East Africa (Rwanda, Burundi,South Sudan, Kenya, Tanzania, Ethiopia, Uganda)</a:t>
          </a:r>
        </a:p>
      </xdr:txBody>
    </xdr:sp>
    <xdr:clientData/>
  </xdr:twoCellAnchor>
  <xdr:twoCellAnchor editAs="absolute">
    <xdr:from>
      <xdr:col>12</xdr:col>
      <xdr:colOff>416857</xdr:colOff>
      <xdr:row>0</xdr:row>
      <xdr:rowOff>119528</xdr:rowOff>
    </xdr:from>
    <xdr:to>
      <xdr:col>16</xdr:col>
      <xdr:colOff>52294</xdr:colOff>
      <xdr:row>0</xdr:row>
      <xdr:rowOff>552823</xdr:rowOff>
    </xdr:to>
    <xdr:sp macro="" textlink="">
      <xdr:nvSpPr>
        <xdr:cNvPr id="46" name="TextBox 45">
          <a:extLst>
            <a:ext uri="{FF2B5EF4-FFF2-40B4-BE49-F238E27FC236}">
              <a16:creationId xmlns:a16="http://schemas.microsoft.com/office/drawing/2014/main" id="{1DB79647-1543-1ABE-CA66-0A759E294F26}"/>
            </a:ext>
          </a:extLst>
        </xdr:cNvPr>
        <xdr:cNvSpPr txBox="1"/>
      </xdr:nvSpPr>
      <xdr:spPr>
        <a:xfrm>
          <a:off x="7252445" y="119528"/>
          <a:ext cx="1794437" cy="433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1" baseline="0">
              <a:solidFill>
                <a:schemeClr val="bg1"/>
              </a:solidFill>
              <a:latin typeface="Open Sans" panose="020B0606030504020204" pitchFamily="34" charset="0"/>
              <a:ea typeface="Open Sans" panose="020B0606030504020204" pitchFamily="34" charset="0"/>
              <a:cs typeface="Open Sans" panose="020B0606030504020204" pitchFamily="34" charset="0"/>
            </a:rPr>
            <a:t>ARV Medicine</a:t>
          </a:r>
        </a:p>
      </xdr:txBody>
    </xdr:sp>
    <xdr:clientData/>
  </xdr:twoCellAnchor>
  <xdr:twoCellAnchor editAs="oneCell">
    <xdr:from>
      <xdr:col>13</xdr:col>
      <xdr:colOff>209177</xdr:colOff>
      <xdr:row>0</xdr:row>
      <xdr:rowOff>112060</xdr:rowOff>
    </xdr:from>
    <xdr:to>
      <xdr:col>13</xdr:col>
      <xdr:colOff>522377</xdr:colOff>
      <xdr:row>0</xdr:row>
      <xdr:rowOff>425260</xdr:rowOff>
    </xdr:to>
    <xdr:pic>
      <xdr:nvPicPr>
        <xdr:cNvPr id="48" name="Graphic 47">
          <a:extLst>
            <a:ext uri="{FF2B5EF4-FFF2-40B4-BE49-F238E27FC236}">
              <a16:creationId xmlns:a16="http://schemas.microsoft.com/office/drawing/2014/main" id="{42648506-A074-D256-554D-8D31B3B4F63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rot="5183399">
          <a:off x="7657353" y="112060"/>
          <a:ext cx="313200" cy="313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6.735405092593" createdVersion="8" refreshedVersion="8" minRefreshableVersion="3" recordCount="1753" xr:uid="{1B61E152-1FCB-4D18-BF30-7127B4C51D8B}">
  <cacheSource type="worksheet">
    <worksheetSource name="tblARV"/>
  </cacheSource>
  <cacheFields count="31">
    <cacheField name="ID" numFmtId="0">
      <sharedItems containsSemiMixedTypes="0" containsString="0" containsNumber="1" containsInteger="1" minValue="45" maxValue="86810"/>
    </cacheField>
    <cacheField name="PO / SO #" numFmtId="0">
      <sharedItems/>
    </cacheField>
    <cacheField name="ASN/DN #" numFmtId="0">
      <sharedItems count="1330">
        <s v="ASN-94"/>
        <s v="ASN-242"/>
        <s v="ASN-409"/>
        <s v="ASN-916"/>
        <s v="ASN-2167"/>
        <s v="ASN-3332"/>
        <s v="ASN-3751"/>
        <s v="ASN-3627"/>
        <s v="ASN-4503"/>
        <s v="ASN-990"/>
        <s v="ASN-1194"/>
        <s v="ASN-2079"/>
        <s v="ASN-2080"/>
        <s v="ASN-3904"/>
        <s v="ASN-3851"/>
        <s v="ASN-4462"/>
        <s v="ASN-1039"/>
        <s v="ASN-1483"/>
        <s v="ASN-2391"/>
        <s v="ASN-3001"/>
        <s v="ASN-4687"/>
        <s v="ASN-127"/>
        <s v="ASN-1595"/>
        <s v="ASN-2727"/>
        <s v="ASN-3505"/>
        <s v="ASN-3853"/>
        <s v="ASN-4381"/>
        <s v="ASN-4553"/>
        <s v="ASN-4223"/>
        <s v="ASN-125"/>
        <s v="ASN-2408"/>
        <s v="ASN-124"/>
        <s v="ASN-719"/>
        <s v="ASN-1594"/>
        <s v="ASN-1596"/>
        <s v="ASN-1329"/>
        <s v="ASN-1697"/>
        <s v="ASN-2068"/>
        <s v="ASN-3694"/>
        <s v="ASN-4378"/>
        <s v="ASN-4696"/>
        <s v="ASN-129"/>
        <s v="ASN-1305"/>
        <s v="ASN-1066"/>
        <s v="ASN-1696"/>
        <s v="ASN-3170"/>
        <s v="ASN-3852"/>
        <s v="ASN-1067"/>
        <s v="ASN-2390"/>
        <s v="ASN-4460"/>
        <s v="DN-362"/>
        <s v="DN-332"/>
        <s v="DN-459"/>
        <s v="DN-556"/>
        <s v="DN-588"/>
        <s v="DN-589"/>
        <s v="DN-826"/>
        <s v="DN-668"/>
        <s v="DN-480"/>
        <s v="DN-799"/>
        <s v="DN-765"/>
        <s v="DN-1143"/>
        <s v="DN-1068"/>
        <s v="DN-1118"/>
        <s v="DN-1027"/>
        <s v="DN-971"/>
        <s v="DN-890"/>
        <s v="DN-1052"/>
        <s v="DN-849"/>
        <s v="DN-986"/>
        <s v="DN-868"/>
        <s v="DN-1232"/>
        <s v="DN-1368"/>
        <s v="DN-1464"/>
        <s v="DN-1470"/>
        <s v="DN-1480"/>
        <s v="DN-6"/>
        <s v="DN-9"/>
        <s v="DN-100"/>
        <s v="DN-168"/>
        <s v="DN-161"/>
        <s v="DN-281"/>
        <s v="DN-290"/>
        <s v="DN-298"/>
        <s v="DN-381"/>
        <s v="DN-430"/>
        <s v="DN-435"/>
        <s v="DN-522"/>
        <s v="DN-518"/>
        <s v="DN-528"/>
        <s v="DN-530"/>
        <s v="DN-516"/>
        <s v="DN-570"/>
        <s v="DN-574"/>
        <s v="DN-559"/>
        <s v="DN-593"/>
        <s v="DN-758"/>
        <s v="DN-722"/>
        <s v="DN-663"/>
        <s v="DN-794"/>
        <s v="DN-797"/>
        <s v="DN-634"/>
        <s v="DN-763"/>
        <s v="DN-922"/>
        <s v="DN-1043"/>
        <s v="DN-891"/>
        <s v="DN-1092"/>
        <s v="DN-990"/>
        <s v="DN-995"/>
        <s v="DN-1061"/>
        <s v="DN-1169"/>
        <s v="DN-1180"/>
        <s v="DN-1223"/>
        <s v="DN-1224"/>
        <s v="DN-1227"/>
        <s v="DN-1262"/>
        <s v="DN-1287"/>
        <s v="DN-1414"/>
        <s v="DN-1426"/>
        <s v="DN-246"/>
        <s v="DN-247"/>
        <s v="DN-291"/>
        <s v="DN-297"/>
        <s v="DN-529"/>
        <s v="DN-580"/>
        <s v="DN-659"/>
        <s v="DN-703"/>
        <s v="DN-816"/>
        <s v="DN-818"/>
        <s v="DN-903"/>
        <s v="DN-968"/>
        <s v="DN-1073"/>
        <s v="DN-1084"/>
        <s v="DN-1125"/>
        <s v="DN-996"/>
        <s v="DN-1105"/>
        <s v="DN-915"/>
        <s v="DN-1167"/>
        <s v="DN-1193"/>
        <s v="DN-1222"/>
        <s v="DN-1565"/>
        <s v="DN-25"/>
        <s v="DN-127"/>
        <s v="DN-43"/>
        <s v="DN-489"/>
        <s v="DN-590"/>
        <s v="DN-517"/>
        <s v="DN-577"/>
        <s v="DN-540"/>
        <s v="DN-654"/>
        <s v="DN-636"/>
        <s v="DN-652"/>
        <s v="DN-631"/>
        <s v="DN-766"/>
        <s v="DN-902"/>
        <s v="DN-1003"/>
        <s v="DN-1082"/>
        <s v="DN-998"/>
        <s v="DN-1117"/>
        <s v="DN-1107"/>
        <s v="DN-969"/>
        <s v="DN-893"/>
        <s v="DN-992"/>
        <s v="DN-898"/>
        <s v="DN-899"/>
        <s v="DN-985"/>
        <s v="DN-1060"/>
        <s v="DN-1110"/>
        <s v="DN-961"/>
        <s v="DN-1226"/>
        <s v="DN-1253"/>
        <s v="DN-1282"/>
        <s v="DN-1303"/>
        <s v="DN-1300"/>
        <s v="DN-1397"/>
        <s v="DN-1418"/>
        <s v="DN-1468"/>
        <s v="DN-1484"/>
        <s v="DN-1558"/>
        <s v="DN-169"/>
        <s v="DN-275"/>
        <s v="DN-241"/>
        <s v="DN-243"/>
        <s v="DN-293"/>
        <s v="DN-495"/>
        <s v="DN-526"/>
        <s v="DN-511"/>
        <s v="DN-576"/>
        <s v="DN-550"/>
        <s v="DN-542"/>
        <s v="DN-664"/>
        <s v="DN-696"/>
        <s v="DN-962"/>
        <s v="DN-1074"/>
        <s v="DN-853"/>
        <s v="DN-1320"/>
        <s v="DN-1322"/>
        <s v="DN-1402"/>
        <s v="DN-1415"/>
        <s v="DN-1471"/>
        <s v="DN-1489"/>
        <s v="DN-1490"/>
        <s v="DN-1588"/>
        <s v="DN-1610"/>
        <s v="DN-263"/>
        <s v="DN-292"/>
        <s v="DN-521"/>
        <s v="DN-525"/>
        <s v="DN-653"/>
        <s v="DN-715"/>
        <s v="DN-835"/>
        <s v="DN-793"/>
        <s v="DN-637"/>
        <s v="DN-1083"/>
        <s v="DN-1051"/>
        <s v="DN-1075"/>
        <s v="DN-987"/>
        <s v="DN-1062"/>
        <s v="DN-1091"/>
        <s v="DN-1225"/>
        <s v="DN-1293"/>
        <s v="DN-1385"/>
        <s v="DN-1399"/>
        <s v="DN-1430"/>
        <s v="DN-1472"/>
        <s v="DN-1528"/>
        <s v="DN-1584"/>
        <s v="DN-156"/>
        <s v="DN-239"/>
        <s v="DN-360"/>
        <s v="DN-389"/>
        <s v="DN-537"/>
        <s v="DN-519"/>
        <s v="DN-524"/>
        <s v="DN-748"/>
        <s v="DN-791"/>
        <s v="DN-714"/>
        <s v="DN-764"/>
        <s v="DN-720"/>
        <s v="DN-757"/>
        <s v="DN-751"/>
        <s v="DN-789"/>
        <s v="DN-970"/>
        <s v="DN-1093"/>
        <s v="DN-1094"/>
        <s v="DN-1197"/>
        <s v="DN-1256"/>
        <s v="DN-1281"/>
        <s v="DN-1369"/>
        <s v="DN-1431"/>
        <s v="DN-1459"/>
        <s v="DN-110"/>
        <s v="DN-248"/>
        <s v="DN-363"/>
        <s v="DN-520"/>
        <s v="DN-622"/>
        <s v="DN-541"/>
        <s v="DN-534"/>
        <s v="DN-831"/>
        <s v="DN-669"/>
        <s v="DN-683"/>
        <s v="DN-630"/>
        <s v="DN-812"/>
        <s v="DN-845"/>
        <s v="DN-1049"/>
        <s v="DN-907"/>
        <s v="DN-1037"/>
        <s v="DN-1077"/>
        <s v="DN-852"/>
        <s v="DN-1254"/>
        <s v="DN-1408"/>
        <s v="DN-1425"/>
        <s v="DN-1502"/>
        <s v="ASN-8578"/>
        <s v="ASN-14973"/>
        <s v="ASN-6267"/>
        <s v="ASN-22594"/>
        <s v="ASN-24301"/>
        <s v="ASN-18319"/>
        <s v="ASN-24417"/>
        <s v="ASN-6210"/>
        <s v="ASN-16470"/>
        <s v="ASN-24302"/>
        <s v="ASN-15270"/>
        <s v="ASN-25269"/>
        <s v="ASN-31659"/>
        <s v="ASN-8080"/>
        <s v="ASN-6150"/>
        <s v="ASN-9219"/>
        <s v="ASN-9332"/>
        <s v="ASN-9660"/>
        <s v="ASN-6004"/>
        <s v="ASN-15729"/>
        <s v="ASN-13373"/>
        <s v="ASN-10070"/>
        <s v="ASN-9567"/>
        <s v="ASN-20860"/>
        <s v="ASN-5364"/>
        <s v="ASN-12361"/>
        <s v="ASN-13952"/>
        <s v="ASN-12601"/>
        <s v="ASN-24662"/>
        <s v="ASN-15286"/>
        <s v="ASN-5452"/>
        <s v="ASN-25267"/>
        <s v="ASN-7444"/>
        <s v="ASN-7249"/>
        <s v="ASN-10811"/>
        <s v="ASN-25904"/>
        <s v="ASN-4974"/>
        <s v="ASN-8079"/>
        <s v="ASN-15231"/>
        <s v="ASN-20340"/>
        <s v="ASN-22984"/>
        <s v="ASN-5318"/>
        <s v="ASN-15443"/>
        <s v="ASN-15425"/>
        <s v="ASN-27544"/>
        <s v="ASN-22986"/>
        <s v="ASN-13341"/>
        <s v="ASN-28662"/>
        <s v="ASN-10455"/>
        <s v="ASN-9436"/>
        <s v="ASN-25559"/>
        <s v="ASN-21926"/>
        <s v="ASN-7131"/>
        <s v="ASN-22985"/>
        <s v="ASN-22494"/>
        <s v="ASN-25567"/>
        <s v="ASN-22498"/>
        <s v="ASN-25903"/>
        <s v="ASN-22496"/>
        <s v="ASN-14125"/>
        <s v="ASN-11009"/>
        <s v="ASN-6167"/>
        <s v="ASN-18216"/>
        <s v="ASN-22835"/>
        <s v="ASN-30399"/>
        <s v="ASN-6489"/>
        <s v="ASN-6725"/>
        <s v="ASN-5281"/>
        <s v="ASN-5455"/>
        <s v="ASN-15260"/>
        <s v="ASN-27718"/>
        <s v="ASN-5840"/>
        <s v="ASN-17430"/>
        <s v="ASN-15426"/>
        <s v="ASN-22982"/>
        <s v="ASN-9798"/>
        <s v="ASN-5799"/>
        <s v="ASN-5827"/>
        <s v="ASN-14880"/>
        <s v="ASN-12478"/>
        <s v="ASN-24416"/>
        <s v="ASN-7396"/>
        <s v="ASN-15289"/>
        <s v="ASN-9043"/>
        <s v="ASN-15896"/>
        <s v="ASN-5800"/>
        <s v="ASN-14834"/>
        <s v="ASN-29012"/>
        <s v="ASN-20630"/>
        <s v="ASN-29892"/>
        <s v="ASN-27963"/>
        <s v="ASN-10790"/>
        <s v="ASN-27336"/>
        <s v="ASN-26987"/>
        <s v="ASN-6042"/>
        <s v="ASN-11530"/>
        <s v="ASN-11005"/>
        <s v="ASN-16217"/>
        <s v="ASN-21559"/>
        <s v="ASN-16219"/>
        <s v="ASN-8626"/>
        <s v="ASN-5721"/>
        <s v="ASN-4860"/>
        <s v="ASN-23076"/>
        <s v="ASN-19519"/>
        <s v="ASN-17004"/>
        <s v="ASN-7957"/>
        <s v="ASN-9123"/>
        <s v="ASN-21532"/>
        <s v="ASN-16792"/>
        <s v="ASN-18714"/>
        <s v="ASN-18485"/>
        <s v="ASN-15941"/>
        <s v="ASN-10140"/>
        <s v="ASN-15895"/>
        <s v="ASN-33340"/>
        <s v="ASN-27662"/>
        <s v="ASN-9365"/>
        <s v="ASN-6890"/>
        <s v="ASN-8011"/>
        <s v="ASN-28019"/>
        <s v="ASN-5843"/>
        <s v="ASN-10663"/>
        <s v="ASN-18877"/>
        <s v="ASN-19088"/>
        <s v="ASN-15140"/>
        <s v="ASN-23656"/>
        <s v="ASN-15554"/>
        <s v="ASN-19502"/>
        <s v="ASN-26594"/>
        <s v="ASN-10338"/>
        <s v="ASN-29067"/>
        <s v="ASN-23967"/>
        <s v="ASN-7529"/>
        <s v="ASN-32047"/>
        <s v="ASN-7094"/>
        <s v="ASN-13437"/>
        <s v="ASN-22601"/>
        <s v="ASN-22941"/>
        <s v="ASN-31603"/>
        <s v="ASN-31739"/>
        <s v="ASN-21766"/>
        <s v="ASN-18631"/>
        <s v="ASN-33614"/>
        <s v="ASN-17750"/>
        <s v="ASN-11026"/>
        <s v="ASN-17494"/>
        <s v="ASN-5935"/>
        <s v="ASN-16006"/>
        <s v="ASN-32498"/>
        <s v="ASN-15288"/>
        <s v="ASN-6154"/>
        <s v="ASN-18773"/>
        <s v="ASN-7476"/>
        <s v="ASN-6888"/>
        <s v="ASN-27804"/>
        <s v="ASN-27917"/>
        <s v="ASN-21405"/>
        <s v="ASN-31156"/>
        <s v="ASN-28850"/>
        <s v="ASN-23606"/>
        <s v="ASN-26381"/>
        <s v="ASN-6721"/>
        <s v="ASN-5732"/>
        <s v="ASN-15430"/>
        <s v="ASN-6538"/>
        <s v="ASN-5589"/>
        <s v="ASN-21501"/>
        <s v="ASN-25625"/>
        <s v="ASN-15468"/>
        <s v="ASN-31155"/>
        <s v="ASN-27170"/>
        <s v="ASN-7095"/>
        <s v="ASN-15775"/>
        <s v="ASN-13025"/>
        <s v="ASN-25073"/>
        <s v="ASN-6670"/>
        <s v="ASN-6667"/>
        <s v="ASN-13223"/>
        <s v="ASN-8625"/>
        <s v="ASN-4489"/>
        <s v="ASN-5101"/>
        <s v="ASN-24564"/>
        <s v="ASN-9691"/>
        <s v="ASN-15894"/>
        <s v="ASN-14702"/>
        <s v="ASN-33165"/>
        <s v="ASN-25268"/>
        <s v="ASN-23916"/>
        <s v="ASN-15328"/>
        <s v="ASN-9044"/>
        <s v="ASN-11548"/>
        <s v="ASN-22706"/>
        <s v="ASN-31157"/>
        <s v="ASN-15232"/>
        <s v="ASN-13435"/>
        <s v="ASN-32534"/>
        <s v="ASN-29216"/>
        <s v="ASN-22987"/>
        <s v="ASN-5062"/>
        <s v="ASN-4656"/>
        <s v="ASN-13371"/>
        <s v="ASN-29891"/>
        <s v="ASN-33515"/>
        <s v="ASN-9454"/>
        <s v="ASN-9370"/>
        <s v="ASN-16318"/>
        <s v="ASN-9368"/>
        <s v="ASN-21627"/>
        <s v="ASN-12088"/>
        <s v="ASN-26767"/>
        <s v="ASN-14659"/>
        <s v="ASN-6569"/>
        <s v="ASN-14696"/>
        <s v="ASN-16575"/>
        <s v="ASN-18612"/>
        <s v="ASN-13722"/>
        <s v="ASN-18910"/>
        <s v="ASN-5409"/>
        <s v="ASN-22844"/>
        <s v="ASN-16610"/>
        <s v="ASN-9369"/>
        <s v="ASN-9598"/>
        <s v="ASN-5747"/>
        <s v="ASN-10317"/>
        <s v="ASN-8371"/>
        <s v="ASN-22289"/>
        <s v="ASN-14450"/>
        <s v="ASN-28699"/>
        <s v="ASN-21821"/>
        <s v="ASN-13518"/>
        <s v="ASN-20922"/>
        <s v="ASN-10666"/>
        <s v="ASN-13476"/>
        <s v="ASN-23223"/>
        <s v="ASN-6151"/>
        <s v="ASN-15275"/>
        <s v="ASN-24931"/>
        <s v="ASN-22152"/>
        <s v="ASN-13697"/>
        <s v="ASN-11275"/>
        <s v="ASN-24026"/>
        <s v="ASN-15765"/>
        <s v="ASN-6930"/>
        <s v="ASN-22082"/>
        <s v="ASN-21502"/>
        <s v="ASN-15428"/>
        <s v="ASN-9434"/>
        <s v="ASN-15268"/>
        <s v="ASN-6736"/>
        <s v="ASN-22266"/>
        <s v="ASN-7443"/>
        <s v="ASN-5880"/>
        <s v="ASN-15427"/>
        <s v="ASN-5095"/>
        <s v="ASN-22588"/>
        <s v="ASN-22141"/>
        <s v="ASN-28239"/>
        <s v="ASN-15514"/>
        <s v="ASN-22495"/>
        <s v="ASN-22576"/>
        <s v="ASN-15272"/>
        <s v="ASN-17229"/>
        <s v="ASN-15742"/>
        <s v="ASN-21767"/>
        <s v="ASN-20859"/>
        <s v="ASN-23721"/>
        <s v="ASN-23213"/>
        <s v="ASN-7478"/>
        <s v="ASN-13770"/>
        <s v="ASN-26847"/>
        <s v="ASN-22983"/>
        <s v="ASN-14701"/>
        <s v="ASN-33776"/>
        <s v="ASN-12230"/>
        <s v="ASN-15287"/>
        <s v="ASN-21504"/>
        <s v="ASN-21520"/>
        <s v="ASN-6369"/>
        <s v="ASN-7668"/>
        <s v="ASN-16778"/>
        <s v="ASN-30994"/>
        <s v="ASN-31045"/>
        <s v="ASN-5182"/>
        <s v="ASN-24273"/>
        <s v="ASN-22834"/>
        <s v="ASN-22849"/>
        <s v="ASN-22493"/>
        <s v="ASN-19001"/>
        <s v="ASN-27379"/>
        <s v="ASN-13559"/>
        <s v="ASN-22833"/>
        <s v="ASN-7251"/>
        <s v="ASN-7442"/>
        <s v="ASN-25332"/>
        <s v="ASN-4636"/>
        <s v="ASN-15379"/>
        <s v="ASN-26864"/>
        <s v="ASN-6621"/>
        <s v="ASN-14824"/>
        <s v="ASN-20858"/>
        <s v="ASN-18894"/>
        <s v="ASN-5536"/>
        <s v="ASN-18152"/>
        <s v="ASN-6153"/>
        <s v="ASN-31756"/>
        <s v="ASN-11156"/>
        <s v="ASN-20160"/>
        <s v="ASN-16036"/>
        <s v="ASN-11623"/>
        <s v="ASN-15442"/>
        <s v="ASN-22193"/>
        <s v="ASN-13372"/>
        <s v="ASN-13723"/>
        <s v="ASN-15880"/>
        <s v="ASN-23308"/>
        <s v="ASN-5947"/>
        <s v="ASN-6130"/>
        <s v="ASN-25604"/>
        <s v="ASN-9217"/>
        <s v="ASN-5160"/>
        <s v="ASN-16320"/>
        <s v="ASN-17956"/>
        <s v="ASN-7441"/>
        <s v="ASN-6929"/>
        <s v="ASN-17287"/>
        <s v="ASN-32156"/>
        <s v="ASN-9331"/>
        <s v="ASN-21822"/>
        <s v="ASN-16037"/>
        <s v="ASN-17948"/>
        <s v="ASN-20132"/>
        <s v="ASN-20948"/>
        <s v="ASN-15893"/>
        <s v="ASN-15626"/>
        <s v="ASN-25839"/>
        <s v="ASN-27693"/>
        <s v="ASN-15329"/>
        <s v="ASN-15429"/>
        <s v="ASN-15492"/>
        <s v="ASN-15215"/>
        <s v="ASN-6720"/>
        <s v="ASN-7096"/>
        <s v="ASN-16038"/>
        <s v="ASN-21522"/>
        <s v="ASN-9071"/>
        <s v="ASN-31187"/>
        <s v="ASN-20159"/>
        <s v="ASN-5064"/>
        <s v="ASN-22130"/>
        <s v="ASN-13118"/>
        <s v="ASN-14799"/>
        <s v="ASN-9435"/>
        <s v="ASN-9922"/>
        <s v="ASN-31454"/>
        <s v="ASN-23397"/>
        <s v="ASN-26755"/>
        <s v="ASN-16218"/>
        <s v="ASN-29167"/>
        <s v="ASN-6840"/>
        <s v="ASN-19443"/>
        <s v="ASN-5607"/>
        <s v="ASN-19907"/>
        <s v="ASN-18279"/>
        <s v="ASN-6763"/>
        <s v="ASN-5740"/>
        <s v="ASN-22001"/>
        <s v="ASN-25337"/>
        <s v="ASN-26903"/>
        <s v="ASN-6788"/>
        <s v="ASN-14835"/>
        <s v="ASN-15431"/>
        <s v="ASN-16590"/>
        <s v="ASN-7974"/>
        <s v="ASN-6747"/>
        <s v="ASN-11253"/>
        <s v="ASN-7216"/>
        <s v="ASN-18603"/>
        <s v="ASN-20861"/>
        <s v="ASN-23225"/>
        <s v="ASN-24339"/>
        <s v="ASN-9221"/>
        <s v="ASN-26932"/>
        <s v="ASN-16895"/>
        <s v="ASN-19772"/>
        <s v="ASN-31240"/>
        <s v="ASN-21881"/>
        <s v="ASN-11688"/>
        <s v="DN-1417"/>
        <s v="DN-1579"/>
        <s v="DN-1601"/>
        <s v="DN-1654"/>
        <s v="DN-1677"/>
        <s v="DN-1752"/>
        <s v="DN-1761"/>
        <s v="DN-1796"/>
        <s v="DN-1817"/>
        <s v="DN-1797"/>
        <s v="DN-1844"/>
        <s v="DN-1907"/>
        <s v="DN-1950"/>
        <s v="DN-1953"/>
        <s v="DN-1954"/>
        <s v="DN-2007"/>
        <s v="DN-2083"/>
        <s v="DN-2088"/>
        <s v="DN-2104"/>
        <s v="DN-2077"/>
        <s v="DN-2121"/>
        <s v="DN-2134"/>
        <s v="DN-2148"/>
        <s v="DN-2191"/>
        <s v="DN-2234"/>
        <s v="DN-2297"/>
        <s v="DN-2298"/>
        <s v="DN-2327"/>
        <s v="DN-2334"/>
        <s v="DN-2382"/>
        <s v="DN-2386"/>
        <s v="DN-2445"/>
        <s v="DN-2447"/>
        <s v="DN-2483"/>
        <s v="DN-2540"/>
        <s v="DN-2550"/>
        <s v="DN-2558"/>
        <s v="DN-2581"/>
        <s v="DN-2597"/>
        <s v="DN-2598"/>
        <s v="DN-2637"/>
        <s v="DN-2643"/>
        <s v="DN-2654"/>
        <s v="DN-2723"/>
        <s v="DN-2724"/>
        <s v="DN-2743"/>
        <s v="DN-2744"/>
        <s v="DN-2768"/>
        <s v="DN-2820"/>
        <s v="DN-2829"/>
        <s v="DN-2849"/>
        <s v="DN-2856"/>
        <s v="DN-2858"/>
        <s v="DN-2859"/>
        <s v="DN-2873"/>
        <s v="DN-2885"/>
        <s v="DN-2917"/>
        <s v="DN-2921"/>
        <s v="DN-2951"/>
        <s v="DN-2952"/>
        <s v="DN-3000"/>
        <s v="DN-3025"/>
        <s v="DN-3026"/>
        <s v="DN-3041"/>
        <s v="DN-3080"/>
        <s v="DN-3100"/>
        <s v="DN-3118"/>
        <s v="DN-3122"/>
        <s v="DN-3125"/>
        <s v="DN-3128"/>
        <s v="DN-3153"/>
        <s v="DN-3196"/>
        <s v="DN-3235"/>
        <s v="DN-3236"/>
        <s v="DN-3260"/>
        <s v="DN-3264"/>
        <s v="DN-3278"/>
        <s v="DN-3300"/>
        <s v="DN-3335"/>
        <s v="DN-3347"/>
        <s v="DN-3421"/>
        <s v="DN-3505"/>
        <s v="DN-3481"/>
        <s v="DN-3497"/>
        <s v="DN-3501"/>
        <s v="DN-3532"/>
        <s v="DN-3582"/>
        <s v="DN-3589"/>
        <s v="DN-3605"/>
        <s v="DN-3642"/>
        <s v="DN-3659"/>
        <s v="DN-3704"/>
        <s v="DN-3732"/>
        <s v="DN-3762"/>
        <s v="DN-3811"/>
        <s v="DN-3842"/>
        <s v="DN-3870"/>
        <s v="DN-3871"/>
        <s v="DN-3928"/>
        <s v="DN-3929"/>
        <s v="DN-3952"/>
        <s v="DN-4008"/>
        <s v="DN-4009"/>
        <s v="DN-4012"/>
        <s v="DN-4040"/>
        <s v="DN-4055"/>
        <s v="DN-4085"/>
        <s v="DN-4101"/>
        <s v="DN-4144"/>
        <s v="DN-4149"/>
        <s v="DN-4162"/>
        <s v="DN-4213"/>
        <s v="DN-4216"/>
        <s v="DN-4309"/>
        <s v="DN-4310"/>
        <s v="DN-4325"/>
        <s v="DN-4345"/>
        <s v="DN-1522"/>
        <s v="DN-1541"/>
        <s v="DN-1674"/>
        <s v="DN-1678"/>
        <s v="DN-1733"/>
        <s v="DN-1753"/>
        <s v="DN-1760"/>
        <s v="DN-1765"/>
        <s v="DN-1766"/>
        <s v="DN-1818"/>
        <s v="DN-1843"/>
        <s v="DN-1856"/>
        <s v="DN-1857"/>
        <s v="DN-1952"/>
        <s v="DN-1988"/>
        <s v="DN-1997"/>
        <s v="DN-2024"/>
        <s v="DN-2050"/>
        <s v="DN-2067"/>
        <s v="DN-2074"/>
        <s v="DN-2109"/>
        <s v="DN-2141"/>
        <s v="DN-2200"/>
        <s v="DN-2276"/>
        <s v="DN-2329"/>
        <s v="DN-2429"/>
        <s v="DN-2439"/>
        <s v="DN-2461"/>
        <s v="DN-2473"/>
        <s v="DN-2537"/>
        <s v="DN-2541"/>
        <s v="DN-2542"/>
        <s v="DN-2588"/>
        <s v="DN-2591"/>
        <s v="DN-2594"/>
        <s v="DN-2603"/>
        <s v="DN-2675"/>
        <s v="DN-2677"/>
        <s v="DN-2691"/>
        <s v="DN-2712"/>
        <s v="DN-2737"/>
        <s v="DN-2745"/>
        <s v="DN-2746"/>
        <s v="DN-2781"/>
        <s v="DN-2782"/>
        <s v="DN-2798"/>
        <s v="DN-2800"/>
        <s v="DN-2840"/>
        <s v="DN-2841"/>
        <s v="DN-2845"/>
        <s v="DN-2848"/>
        <s v="DN-2852"/>
        <s v="DN-2853"/>
        <s v="DN-2860"/>
        <s v="DN-2961"/>
        <s v="DN-2972"/>
        <s v="DN-3024"/>
        <s v="DN-3038"/>
        <s v="DN-3062"/>
        <s v="DN-3065"/>
        <s v="DN-3069"/>
        <s v="DN-3120"/>
        <s v="DN-3129"/>
        <s v="DN-3147"/>
        <s v="DN-3214"/>
        <s v="DN-3229"/>
        <s v="DN-3257"/>
        <s v="DN-3256"/>
        <s v="DN-3263"/>
        <s v="DN-3285"/>
        <s v="DN-3295"/>
        <s v="DN-3296"/>
        <s v="DN-3301"/>
        <s v="DN-3316"/>
        <s v="DN-3341"/>
        <s v="DN-3382"/>
        <s v="DN-3384"/>
        <s v="DN-3386"/>
        <s v="DN-3401"/>
        <s v="DN-3454"/>
        <s v="DN-3458"/>
        <s v="DN-3480"/>
        <s v="DN-3503"/>
        <s v="DN-3515"/>
        <s v="DN-3538"/>
        <s v="DN-3579"/>
        <s v="DN-3581"/>
        <s v="DN-3592"/>
        <s v="DN-3608"/>
        <s v="DN-3611"/>
        <s v="DN-3617"/>
        <s v="DN-3759"/>
        <s v="DN-3813"/>
        <s v="DN-3931"/>
        <s v="DN-3932"/>
        <s v="DN-4041"/>
        <s v="DN-4043"/>
        <s v="DN-4088"/>
        <s v="DN-4105"/>
        <s v="DN-4125"/>
        <s v="DN-4181"/>
        <s v="DN-4218"/>
        <s v="DN-4265"/>
        <s v="DN-4296"/>
        <s v="DN-4327"/>
        <s v="DN-1506"/>
        <s v="DN-1520"/>
        <s v="DN-1550"/>
        <s v="DN-1576"/>
        <s v="DN-1598"/>
        <s v="DN-1600"/>
        <s v="DN-1607"/>
        <s v="DN-1663"/>
        <s v="DN-1756"/>
        <s v="DN-1801"/>
        <s v="DN-1827"/>
        <s v="DN-1835"/>
        <s v="DN-1859"/>
        <s v="DN-1943"/>
        <s v="DN-1949"/>
        <s v="DN-1987"/>
        <s v="DN-2031"/>
        <s v="DN-2055"/>
        <s v="DN-2057"/>
        <s v="DN-2075"/>
        <s v="DN-2079"/>
        <s v="DN-2144"/>
        <s v="DN-2152"/>
        <s v="DN-2189"/>
        <s v="DN-2265"/>
        <s v="DN-2287"/>
        <s v="DN-2312"/>
        <s v="DN-2326"/>
        <s v="DN-2328"/>
        <s v="DN-2345"/>
        <s v="DN-2363"/>
        <s v="DN-2389"/>
        <s v="DN-2412"/>
        <s v="DN-2460"/>
        <s v="DN-2467"/>
        <s v="DN-2595"/>
        <s v="DN-2607"/>
        <s v="DN-2627"/>
        <s v="DN-2632"/>
        <s v="DN-2636"/>
        <s v="DN-2676"/>
        <s v="DN-2719"/>
        <s v="DN-2736"/>
        <s v="DN-2759"/>
        <s v="DN-2761"/>
        <s v="DN-2783"/>
        <s v="DN-2801"/>
        <s v="DN-2807"/>
        <s v="DN-2857"/>
        <s v="DN-2871"/>
        <s v="DN-2874"/>
        <s v="DN-2875"/>
        <s v="DN-2883"/>
        <s v="DN-2889"/>
        <s v="DN-2927"/>
        <s v="DN-2999"/>
        <s v="DN-3001"/>
        <s v="DN-3035"/>
        <s v="DN-3042"/>
        <s v="DN-3096"/>
        <s v="DN-3101"/>
        <s v="DN-3103"/>
        <s v="DN-3119"/>
        <s v="DN-3123"/>
        <s v="DN-3124"/>
        <s v="DN-3121"/>
        <s v="DN-3160"/>
        <s v="DN-3194"/>
        <s v="DN-3207"/>
        <s v="DN-3221"/>
        <s v="DN-3237"/>
        <s v="DN-3267"/>
        <s v="DN-3304"/>
        <s v="DN-3305"/>
        <s v="DN-3308"/>
        <s v="DN-3402"/>
        <s v="DN-3479"/>
        <s v="DN-3520"/>
        <s v="DN-3531"/>
        <s v="DN-3602"/>
        <s v="DN-3613"/>
        <s v="DN-3712"/>
        <s v="DN-3739"/>
        <s v="DN-3748"/>
        <s v="DN-3766"/>
        <s v="DN-3760"/>
        <s v="DN-3892"/>
        <s v="DN-3787"/>
        <s v="DN-3837"/>
        <s v="DN-3845"/>
        <s v="DN-3852"/>
        <s v="DN-3863"/>
        <s v="DN-3908"/>
        <s v="DN-3967"/>
        <s v="DN-3968"/>
        <s v="DN-4061"/>
        <s v="DN-4070"/>
        <s v="DN-4071"/>
        <s v="DN-4089"/>
        <s v="DN-4102"/>
        <s v="DN-4106"/>
        <s v="DN-4151"/>
        <s v="DN-4180"/>
        <s v="DN-4217"/>
        <s v="DN-4210"/>
        <s v="DN-4249"/>
        <s v="DN-4287"/>
        <s v="DN-4306"/>
        <s v="DN-4297"/>
        <s v="DN-4347"/>
        <s v="DN-1507"/>
        <s v="DN-1595"/>
        <s v="DN-1616"/>
        <s v="DN-1636"/>
        <s v="DN-1675"/>
        <s v="DN-1751"/>
        <s v="DN-1769"/>
        <s v="DN-1773"/>
        <s v="DN-1834"/>
        <s v="DN-1841"/>
        <s v="DN-1853"/>
        <s v="DN-1869"/>
        <s v="DN-1870"/>
        <s v="DN-1874"/>
        <s v="DN-1927"/>
        <s v="DN-1947"/>
        <s v="DN-1951"/>
        <s v="DN-1981"/>
        <s v="DN-2008"/>
        <s v="DN-2026"/>
        <s v="DN-2049"/>
        <s v="DN-2084"/>
        <s v="DN-2111"/>
        <s v="DN-2151"/>
        <s v="DN-2199"/>
        <s v="DN-2227"/>
        <s v="DN-2435"/>
        <s v="DN-2443"/>
        <s v="DN-2444"/>
        <s v="DN-2446"/>
        <s v="DN-2544"/>
        <s v="DN-2546"/>
        <s v="DN-2572"/>
        <s v="DN-2573"/>
        <s v="DN-2619"/>
        <s v="DN-2626"/>
        <s v="DN-2633"/>
        <s v="DN-2634"/>
        <s v="DN-2718"/>
        <s v="DN-2722"/>
        <s v="DN-2838"/>
        <s v="DN-2839"/>
        <s v="DN-2876"/>
        <s v="DN-2897"/>
        <s v="DN-2971"/>
        <s v="DN-2976"/>
        <s v="DN-2977"/>
        <s v="DN-3040"/>
        <s v="DN-3126"/>
        <s v="DN-3155"/>
        <s v="DN-3218"/>
        <s v="DN-3273"/>
        <s v="DN-3326"/>
        <s v="DN-3333"/>
        <s v="DN-3345"/>
        <s v="DN-3348"/>
        <s v="DN-3399"/>
        <s v="DN-3424"/>
        <s v="DN-3381"/>
        <s v="DN-3492"/>
        <s v="DN-3493"/>
        <s v="DN-3516"/>
        <s v="DN-3641"/>
        <s v="DN-3699"/>
        <s v="DN-3709"/>
        <s v="DN-3643"/>
        <s v="DN-3804"/>
        <s v="DN-3814"/>
        <s v="DN-3841"/>
        <s v="DN-3948"/>
        <s v="DN-3969"/>
        <s v="DN-4003"/>
        <s v="DN-4011"/>
        <s v="DN-4019"/>
        <s v="DN-4042"/>
        <s v="DN-4044"/>
        <s v="DN-4109"/>
        <s v="DN-4141"/>
        <s v="DN-4178"/>
        <s v="DN-4299"/>
        <s v="DN-1517"/>
        <s v="DN-1540"/>
        <s v="DN-1638"/>
        <s v="DN-1750"/>
        <s v="DN-1755"/>
        <s v="DN-1757"/>
        <s v="DN-1758"/>
        <s v="DN-1767"/>
        <s v="DN-1798"/>
        <s v="DN-1819"/>
        <s v="DN-1840"/>
        <s v="DN-1860"/>
        <s v="DN-1998"/>
        <s v="DN-2039"/>
        <s v="DN-2056"/>
        <s v="DN-2058"/>
        <s v="DN-2130"/>
        <s v="DN-2135"/>
        <s v="DN-2190"/>
        <s v="DN-2201"/>
        <s v="DN-2256"/>
        <s v="DN-2261"/>
        <s v="DN-2306"/>
        <s v="DN-2375"/>
        <s v="DN-2484"/>
        <s v="DN-2549"/>
        <s v="DN-2571"/>
        <s v="DN-2602"/>
        <s v="DN-2609"/>
        <s v="DN-2625"/>
        <s v="DN-2653"/>
        <s v="DN-2670"/>
        <s v="DN-2674"/>
        <s v="DN-2673"/>
        <s v="DN-2797"/>
        <s v="DN-2815"/>
        <s v="DN-2822"/>
        <s v="DN-2824"/>
        <s v="DN-2830"/>
        <s v="DN-2926"/>
        <s v="DN-2963"/>
        <s v="DN-3034"/>
        <s v="DN-3134"/>
        <s v="DN-3219"/>
        <s v="DN-3259"/>
        <s v="DN-3261"/>
        <s v="DN-3346"/>
        <s v="DN-3453"/>
        <s v="DN-3543"/>
        <s v="DN-3533"/>
        <s v="DN-3534"/>
        <s v="DN-3593"/>
        <s v="DN-3689"/>
        <s v="DN-3714"/>
        <s v="DN-3758"/>
        <s v="DN-3857"/>
        <s v="DN-3867"/>
        <s v="DN-3902"/>
        <s v="DN-3930"/>
        <s v="DN-4006"/>
        <s v="DN-4034"/>
        <s v="DN-4103"/>
        <s v="DN-4104"/>
        <s v="DN-4095"/>
        <s v="DN-4150"/>
        <s v="DN-4214"/>
        <s v="DN-4298"/>
        <s v="DN-1548"/>
        <s v="DN-1596"/>
        <s v="DN-1749"/>
        <s v="DN-1772"/>
        <s v="DN-1816"/>
        <s v="DN-1820"/>
        <s v="DN-1824"/>
        <s v="DN-1852"/>
        <s v="DN-1858"/>
        <s v="DN-1986"/>
        <s v="DN-2002"/>
        <s v="DN-2082"/>
        <s v="DN-2102"/>
        <s v="DN-2192"/>
        <s v="DN-2207"/>
        <s v="DN-2253"/>
        <s v="DN-2373"/>
        <s v="DN-2416"/>
        <s v="DN-2432"/>
        <s v="DN-2436"/>
        <s v="DN-2538"/>
        <s v="DN-2570"/>
        <s v="DN-2747"/>
        <s v="DN-2762"/>
        <s v="DN-2784"/>
        <s v="DN-2842"/>
        <s v="DN-2843"/>
        <s v="DN-2850"/>
        <s v="DN-2953"/>
        <s v="DN-2962"/>
        <s v="DN-3104"/>
        <s v="DN-3105"/>
        <s v="DN-3111"/>
        <s v="DN-3127"/>
        <s v="DN-3137"/>
        <s v="DN-3159"/>
        <s v="DN-3255"/>
        <s v="DN-3266"/>
        <s v="DN-3234"/>
        <s v="DN-3270"/>
        <s v="DN-3271"/>
        <s v="DN-3284"/>
        <s v="DN-3309"/>
        <s v="DN-3383"/>
        <s v="DN-3385"/>
        <s v="DN-3407"/>
        <s v="DN-3527"/>
        <s v="DN-3629"/>
        <s v="DN-3646"/>
        <s v="DN-3661"/>
        <s v="DN-3674"/>
        <s v="DN-3688"/>
        <s v="DN-3736"/>
        <s v="DN-3797"/>
        <s v="DN-3802"/>
        <s v="DN-3812"/>
        <s v="DN-3868"/>
        <s v="DN-3926"/>
        <s v="DN-3933"/>
        <s v="DN-3936"/>
        <s v="DN-3964"/>
        <s v="DN-4007"/>
        <s v="DN-4200"/>
        <s v="DN-4286"/>
        <s v="DN-4330"/>
        <s v="DN-1429"/>
        <s v="DN-1574"/>
        <s v="DN-1599"/>
        <s v="DN-1622"/>
        <s v="DN-1631"/>
        <s v="DN-1770"/>
        <s v="DN-1846"/>
        <s v="DN-1890"/>
        <s v="DN-2006"/>
        <s v="DN-2028"/>
        <s v="DN-2040"/>
        <s v="DN-2048"/>
        <s v="DN-2103"/>
        <s v="DN-2131"/>
        <s v="DN-2133"/>
        <s v="DN-2222"/>
        <s v="DN-2313"/>
        <s v="DN-2314"/>
        <s v="DN-2315"/>
        <s v="DN-2344"/>
        <s v="DN-2374"/>
        <s v="DN-2536"/>
        <s v="DN-2569"/>
        <s v="DN-2580"/>
        <s v="DN-2593"/>
        <s v="DN-2585"/>
        <s v="DN-2592"/>
        <s v="DN-2721"/>
        <s v="DN-2740"/>
        <s v="DN-2770"/>
        <s v="DN-2789"/>
        <s v="DN-2796"/>
        <s v="DN-2828"/>
        <s v="DN-2888"/>
        <s v="DN-2915"/>
        <s v="DN-2916"/>
        <s v="DN-2964"/>
        <s v="DN-2983"/>
        <s v="DN-2986"/>
        <s v="DN-3011"/>
        <s v="DN-3152"/>
        <s v="DN-3156"/>
        <s v="DN-3185"/>
        <s v="DN-3290"/>
        <s v="DN-3314"/>
        <s v="DN-3351"/>
        <s v="DN-3353"/>
        <s v="DN-3416"/>
        <s v="DN-3423"/>
        <s v="DN-3445"/>
        <s v="DN-3477"/>
        <s v="DN-3502"/>
        <s v="DN-3536"/>
        <s v="DN-3578"/>
        <s v="DN-3583"/>
        <s v="DN-3607"/>
        <s v="DN-3637"/>
        <s v="DN-3658"/>
        <s v="DN-3700"/>
        <s v="DN-3891"/>
        <s v="DN-3810"/>
        <s v="DN-3853"/>
        <s v="DN-3910"/>
        <s v="DN-3925"/>
        <s v="DN-4060"/>
        <s v="DN-4215"/>
        <s v="DN-4238"/>
        <s v="DN-4323"/>
        <s v="DN-1551"/>
        <s v="DN-1552"/>
        <s v="DN-1597"/>
        <s v="DN-1604"/>
        <s v="DN-1632"/>
        <s v="DN-1633"/>
        <s v="DN-1634"/>
        <s v="DN-1645"/>
        <s v="DN-1649"/>
        <s v="DN-1697"/>
        <s v="DN-1754"/>
        <s v="DN-1768"/>
        <s v="DN-1999"/>
        <s v="DN-2068"/>
        <s v="DN-2145"/>
        <s v="DN-2333"/>
        <s v="DN-2413"/>
        <s v="DN-2438"/>
        <s v="DN-2489"/>
        <s v="DN-2543"/>
        <s v="DN-2547"/>
        <s v="DN-2596"/>
        <s v="DN-2628"/>
        <s v="DN-2672"/>
        <s v="DN-2714"/>
        <s v="DN-2779"/>
        <s v="DN-2780"/>
        <s v="DN-2788"/>
        <s v="DN-2790"/>
        <s v="DN-2831"/>
        <s v="DN-2844"/>
        <s v="DN-2872"/>
        <s v="DN-2890"/>
        <s v="DN-2922"/>
        <s v="DN-2925"/>
        <s v="DN-3088"/>
        <s v="DN-3177"/>
        <s v="DN-3208"/>
        <s v="DN-3220"/>
        <s v="DN-3283"/>
        <s v="DN-3310"/>
        <s v="DN-3336"/>
        <s v="DN-3378"/>
        <s v="DN-3414"/>
        <s v="DN-3499"/>
        <s v="DN-3500"/>
        <s v="DN-3518"/>
        <s v="DN-3594"/>
        <s v="DN-3614"/>
        <s v="DN-3690"/>
        <s v="DN-3713"/>
        <s v="DN-3880"/>
        <s v="DN-3788"/>
        <s v="DN-4100"/>
        <s v="DN-4163"/>
        <s v="DN-4176"/>
        <s v="DN-4259"/>
      </sharedItems>
    </cacheField>
    <cacheField name="Country" numFmtId="0">
      <sharedItems count="8">
        <s v="Tanzania"/>
        <s v="Rwanda"/>
        <s v="Ethiopia"/>
        <s v="Uganda"/>
        <s v="Kenya"/>
        <s v="South Sudan"/>
        <s v="Burundi"/>
        <s v="Congo, DRC" u="1"/>
      </sharedItems>
    </cacheField>
    <cacheField name="Product Group" numFmtId="0">
      <sharedItems/>
    </cacheField>
    <cacheField name="Sub Classification" numFmtId="0">
      <sharedItems/>
    </cacheField>
    <cacheField name="Vendor" numFmtId="0">
      <sharedItems/>
    </cacheField>
    <cacheField name="Fulfill Via" numFmtId="0">
      <sharedItems count="2">
        <s v="Direct Drop"/>
        <s v="From RDC"/>
      </sharedItems>
    </cacheField>
    <cacheField name="Vendor INCO Term" numFmtId="0">
      <sharedItems/>
    </cacheField>
    <cacheField name="Shipment Mode" numFmtId="0">
      <sharedItems/>
    </cacheField>
    <cacheField name="PO Sent to Vendor Date" numFmtId="14">
      <sharedItems containsNonDate="0" containsDate="1" containsString="0" containsBlank="1" minDate="2006-12-22T00:00:00" maxDate="2015-07-29T00:00:00"/>
    </cacheField>
    <cacheField name="Scheduled Delivery Date" numFmtId="14">
      <sharedItems containsSemiMixedTypes="0" containsNonDate="0" containsDate="1" containsString="0" minDate="2006-11-24T00:00:00" maxDate="2015-10-01T00:00:00"/>
    </cacheField>
    <cacheField name="Delivered to Client Date" numFmtId="14">
      <sharedItems containsSemiMixedTypes="0" containsNonDate="0" containsDate="1" containsString="0" minDate="2006-11-24T00:00:00" maxDate="2015-08-29T00:00:00"/>
    </cacheField>
    <cacheField name="Delivery Recorded Date" numFmtId="14">
      <sharedItems containsSemiMixedTypes="0" containsNonDate="0" containsDate="1" containsString="0" minDate="2006-11-24T00:00:00" maxDate="2015-09-03T00:00:00"/>
    </cacheField>
    <cacheField name="Item Description" numFmtId="0">
      <sharedItems count="82">
        <s v="Nevirapine 200mg, tablets, 60 Tabs"/>
        <s v="Lamivudine/Zidovudine 150/300mg, tablets, 60 Tabs"/>
        <s v="Didanosine 2g [Videx], powder for oral solution 10mg/ml, reconstitute to 200 ml"/>
        <s v="Stavudine 30mg, capsules, 60 Caps"/>
        <s v="Didanosine EC 400mg [Videx EC], delayed-release capsules, Blister 3 x 10 Caps"/>
        <s v="Efavirenz/Emtricitabine/Tenofovir Disoproxil Fumarate 600/200/300mg [Atripla], tablets, 30 Tabs"/>
        <s v="Lopinavir/Ritonavir 80/20mg/ml [Kaletra], oral solution, cool, Bottle 5 x 60 ml"/>
        <s v="Lopinavir/Ritonavir 100/25mg [Aluvia], tablets, 60 Tabs"/>
        <s v="Efavirenz 600mg, tablets, 30 Tabs"/>
        <s v="Abacavir 300mg, tablets, 60 Tabs"/>
        <s v="Tenofovir Disoproxil Fumarate 300mg [Viread], tablets, 30 Tabs"/>
        <s v="Lamivudine/Nevirapine/Zidovudine 150/200/300mg, tablets, 60 Tabs"/>
        <s v="Didanosine EC 250mg [Videx EC], delayed-release capsules, Blister 3 x 10 Caps"/>
        <s v="Lamivudine/Nevirapine/Stavudine 150/200/30mg, tablets, 60 Tabs"/>
        <s v="Lopinavir/Ritonavir 200/50mg [Aluvia], tablets, 120 Tabs"/>
        <s v="Saquinavir 200mg [Invirase], capsules, 270 Caps"/>
        <s v="Lamivudine 150mg, tablets, 60 Tabs"/>
        <s v="Abacavir 20mg/ml [Ziagen], oral solution, Bottle, 240 ml"/>
        <s v="Didanosine 50mg [Videx], chewable tablets, 60 Tabs"/>
        <s v="Lamivudine/Zidovudine+Nevirapine 150/300+200mg, tablets, co-blister, 60+60 Tabs"/>
        <s v="Zidovudine 10mg/ml, oral solution, Bottle, 240 ml"/>
        <s v="Stavudine 1mg/ml, powder for oral solution, 200 ml"/>
        <s v="Emtricitabine/Tenofovir Disoproxil Fumarate 200/300mg [Truvada], tablets, 30 Tabs"/>
        <s v="Nelfinavir (as mesilate) 250mg [Viracept], tablets, 270 Tabs"/>
        <s v="Abacavir 20mg/ml, oral solution, Bottle, 240 ml"/>
        <s v="Lamivudine 10mg/ml, oral solution, Bottle, 240 ml"/>
        <s v="Stavudine 20mg, capsules, 60 Caps"/>
        <s v="Efavirenz 200mg [Stocrin/Sustiva], capsule, 90 Caps"/>
        <s v="Didanosine 100mg, chewable/dispersible tablets, 60 Tabs"/>
        <s v="Zidovudine 300mg, tablets, 60 Tabs"/>
        <s v="Ritonavir 100mg [Norvir], capsules, cool, 4 x 84 Caps"/>
        <s v="Lamivudine/Stavudine 150/30mg, tablets, 60 Tabs"/>
        <s v="Efavirenz 30mg/ml [Stocrin/Sustiva], oral solution, Bottle, 180 ml"/>
        <s v="Stavudine 40mg, capsules, 60 Caps"/>
        <s v="Lamivudine/Stavudine 150/30mg, tablets, 30 Tabs"/>
        <s v="Tenofovir Disoproxil Fumarate 300mg, tablets, 30 Tabs"/>
        <s v="Nevirapine 10mg/ml, oral suspension, Bottle, 240 ml"/>
        <s v="Efavirenz 200mg, capsule, 90 Caps"/>
        <s v="Indinavir 400mg [Crixivan], capsules, 180 Caps"/>
        <s v="Lamivudine/Tenofovir Disoproxil Fumarate 300/300mg, tablets, 30 Tabs"/>
        <s v="Etravirine 100mg [Intelence], tablets, 120 Tabs"/>
        <s v="Efavirenz 50mg, capsule, 30 Caps"/>
        <s v="Lamivudine/Zidovudine 30/60mg, dispersible tablets, 60 Tabs"/>
        <s v="Nevirapine 10mg/ml, oral suspension w/syringe, Bottle, 240 ml"/>
        <s v="Atazanavir 200mg [Reyataz], capsules, 60 Caps"/>
        <s v="Efavirenz/Emtricitabine/Tenofovir Disoproxil Fumarate 600/200/300mg, tablets, 30 Tabs"/>
        <s v="Efavirenz/Lamivudine/Tenofovir Disoproxil Fumarate 600/300/300mg, tablets, 30 Tabs"/>
        <s v="Lopinavir/Ritonavir 200/50mg, tablets, 120 Tabs"/>
        <s v="Didanosine 250mg, delayed-release capsules, 30 Caps"/>
        <s v="Didanosine 400mg, delayed-release capsules, 30 Caps"/>
        <s v="Didanosine 100mg [Videx],chewable tablets, 60 Tabs"/>
        <s v="Efavirenz 200mg, scored tablets, 90 Tabs"/>
        <s v="Atazanavir 150mg, capsules, 60 Caps"/>
        <s v="Atazanavir/Ritonavir 300/100mg, tablets, 30 Tabs"/>
        <s v="Nevirapine 10mg/ml, oral suspension w/syringe, Bottle, 100 ml"/>
        <s v="Atazanavir 200mg, capsules, 60 Caps"/>
        <s v="Raltegravir 400mg [Isentress], tablets, 60 Tabs"/>
        <s v="Lamivudine/Nevirapine/Zidovudine 30/50/60mg, dispersible tablets, 60 Tabs"/>
        <s v="Ritonavir 100mg [Norvir], film coated tablets, 60 Tabs"/>
        <s v="Darunavir 300mg [Prezista], tablets, 120 Tabs"/>
        <s v="Lopinavir/Ritonavir 100/25mg, tablets, 60 Tabs"/>
        <s v="Atazanavir 300mg, capsules, 30 Caps"/>
        <s v="Abacavir/Lamivudine 600/300mg, tablets, 30 Tabs"/>
        <s v="Saquinavir 500mg [Invirase], tablets, 120 Tabs"/>
        <s v="Lamivudine/Stavudine 60/12mg, dispersible tablets, 60 Tabs"/>
        <s v="Nevirapine 50mg, dispersible tablets (tablets for oral suspension), 30 Tabs"/>
        <s v="Didanosine 25mg [Videx], chewable tablets, 60 Tabs"/>
        <s v="Lamivudine 10mg/ml, oral solution w/syringe, Bottle, 240 ml"/>
        <s v="Atazanavir 150mg [Reyataz], capsules, 60 Caps"/>
        <s v="Efavirenz 200mg, tablets, 30 Tabs"/>
        <s v="Emtricitabine/Tenofovir Disoproxil Fumarate 200/300mg, tablets, 30 Tabs"/>
        <s v="Nelfinavir 50mg/g [Viracept], oral powder, 144g"/>
        <s v="Abacavir 20mg/ml, oral solution w/syringe, Bottle, 240 ml"/>
        <s v="Lamivudine/Zidovudine 30/60mg, tablets, 60 Tabs"/>
        <s v="Lamivudine/Nevirapine/Stavudine 30/50/6mg, dispersible tablets, 60 Tabs"/>
        <s v="Lamivudine/Stavudine 30/6mg, dispersible tablets, 60 Tabs"/>
        <s v="Abacavir/Lamivudine 60/30mg, tablets, 60 Tabs"/>
        <s v="Lamivudine/Nevirapine/Zidovudine 30/50/60mg, [DON] dispersible tablets, 60 Tabs"/>
        <s v="Abacavir/Lamivudine 600/300mg, scored tablets, 30 Tabs"/>
        <s v="Abacavir/Lamivudine 60/30mg, dispersible tablets, 60 Tabs"/>
        <s v="Zidovudine 10mg/ml, oral solution w/syringe, Bottle, 240 ml"/>
        <s v="Lamivudine/Nevirapine/Stavudine 60/100/12mg, dispersible tablets, 60 Tabs"/>
      </sharedItems>
    </cacheField>
    <cacheField name="Molecule/Test Type" numFmtId="0">
      <sharedItems/>
    </cacheField>
    <cacheField name="Brand" numFmtId="0">
      <sharedItems/>
    </cacheField>
    <cacheField name="Dosage" numFmtId="0">
      <sharedItems/>
    </cacheField>
    <cacheField name="Dosage Form" numFmtId="0">
      <sharedItems/>
    </cacheField>
    <cacheField name="Unit of Measure (Per Pack)" numFmtId="0">
      <sharedItems containsSemiMixedTypes="0" containsString="0" containsNumber="1" containsInteger="1" minValue="30" maxValue="336"/>
    </cacheField>
    <cacheField name="Line Item Quantity" numFmtId="0">
      <sharedItems containsSemiMixedTypes="0" containsString="0" containsNumber="1" containsInteger="1" minValue="2" maxValue="350000"/>
    </cacheField>
    <cacheField name="Line Item Value" numFmtId="0">
      <sharedItems containsSemiMixedTypes="0" containsString="0" containsNumber="1" minValue="0" maxValue="3416000"/>
    </cacheField>
    <cacheField name="Pack Price" numFmtId="0">
      <sharedItems containsSemiMixedTypes="0" containsString="0" containsNumber="1" minValue="0" maxValue="159.72999999999999"/>
    </cacheField>
    <cacheField name="Unit Price" numFmtId="0">
      <sharedItems containsSemiMixedTypes="0" containsString="0" containsNumber="1" minValue="0" maxValue="1.68"/>
    </cacheField>
    <cacheField name="Weight (Kilograms)" numFmtId="0">
      <sharedItems containsString="0" containsBlank="1" containsNumber="1" containsInteger="1" minValue="1" maxValue="41041"/>
    </cacheField>
    <cacheField name="Freight Cost (USD)" numFmtId="0">
      <sharedItems containsString="0" containsBlank="1" containsNumber="1" minValue="29.21" maxValue="146850.66"/>
    </cacheField>
    <cacheField name="On_time_flag" numFmtId="0">
      <sharedItems containsSemiMixedTypes="0" containsString="0" containsNumber="1" containsInteger="1" minValue="0" maxValue="1"/>
    </cacheField>
    <cacheField name="Delivery Recorded Date - Copy" numFmtId="0">
      <sharedItems containsSemiMixedTypes="0" containsString="0" containsNumber="1" containsInteger="1" minValue="2006" maxValue="2015" count="10">
        <n v="2006"/>
        <n v="2007"/>
        <n v="2008"/>
        <n v="2009"/>
        <n v="2010"/>
        <n v="2012"/>
        <n v="2013"/>
        <n v="2014"/>
        <n v="2015"/>
        <n v="2011"/>
      </sharedItems>
    </cacheField>
    <cacheField name="Monetary Value" numFmtId="0" formula="'Line Item Quantity'*'Unit Price'" databaseField="0"/>
    <cacheField name="Variance" numFmtId="0" formula="'Delivered to Client Date'-'Scheduled Delivery Date'" databaseField="0"/>
    <cacheField name="Weighted Average" numFmtId="0" formula="'Line Item Value'/'Line Item Quantity'"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53">
  <r>
    <n v="45"/>
    <s v="SCMS-140"/>
    <x v="0"/>
    <x v="0"/>
    <s v="ARV"/>
    <s v="Adult"/>
    <s v="Aurobindo Pharma Limited"/>
    <x v="0"/>
    <s v="EXW"/>
    <s v="Air"/>
    <m/>
    <d v="2006-11-24T00:00:00"/>
    <d v="2006-11-24T00:00:00"/>
    <d v="2006-11-24T00:00:00"/>
    <x v="0"/>
    <s v="Nevirapine"/>
    <s v="Generic"/>
    <s v="200mg"/>
    <s v="Tablet"/>
    <n v="60"/>
    <n v="16667"/>
    <n v="60834.55"/>
    <n v="3.65"/>
    <n v="0.06"/>
    <n v="1478"/>
    <n v="6212.41"/>
    <n v="1"/>
    <x v="0"/>
  </r>
  <r>
    <n v="64"/>
    <s v="SCMS-268"/>
    <x v="1"/>
    <x v="1"/>
    <s v="ARV"/>
    <s v="Adult"/>
    <s v="CIPLA LIMITED"/>
    <x v="0"/>
    <s v="EXW"/>
    <s v="Air"/>
    <d v="2006-12-22T00:00:00"/>
    <d v="2007-02-27T00:00:00"/>
    <d v="2007-02-27T00:00:00"/>
    <d v="2007-02-27T00:00:00"/>
    <x v="1"/>
    <s v="Lamivudine/Zidovudine"/>
    <s v="Generic"/>
    <s v="150/300mg"/>
    <s v="Tablet - FDC"/>
    <n v="60"/>
    <n v="10000"/>
    <n v="99800"/>
    <n v="9.98"/>
    <n v="0.17"/>
    <n v="7416"/>
    <n v="64179.42"/>
    <n v="1"/>
    <x v="1"/>
  </r>
  <r>
    <n v="87"/>
    <s v="SCMS-555"/>
    <x v="2"/>
    <x v="0"/>
    <s v="ARV"/>
    <s v="Pediatric"/>
    <s v="BRISTOL-MYERS SQUIBB"/>
    <x v="0"/>
    <s v="CIP"/>
    <s v="Air"/>
    <d v="2007-04-12T00:00:00"/>
    <d v="2007-06-06T00:00:00"/>
    <d v="2007-06-06T00:00:00"/>
    <d v="2007-06-06T00:00:00"/>
    <x v="2"/>
    <s v="Didanosine"/>
    <s v="Videx"/>
    <s v="2g"/>
    <s v="Powder for oral solution"/>
    <n v="200"/>
    <n v="712"/>
    <n v="8964.08"/>
    <n v="12.59"/>
    <n v="0.06"/>
    <n v="162"/>
    <n v="912.96"/>
    <n v="1"/>
    <x v="1"/>
  </r>
  <r>
    <n v="161"/>
    <s v="SCMS-11070"/>
    <x v="3"/>
    <x v="2"/>
    <s v="ARV"/>
    <s v="Adult"/>
    <s v="Aurobindo Pharma Limited"/>
    <x v="0"/>
    <s v="EXW"/>
    <s v="Air"/>
    <d v="2007-10-03T00:00:00"/>
    <d v="2007-11-20T00:00:00"/>
    <d v="2007-11-20T00:00:00"/>
    <d v="2007-11-20T00:00:00"/>
    <x v="3"/>
    <s v="Stavudine"/>
    <s v="Generic"/>
    <s v="30mg"/>
    <s v="Capsule"/>
    <n v="60"/>
    <n v="64000"/>
    <n v="99200"/>
    <n v="1.55"/>
    <n v="0.03"/>
    <n v="4228"/>
    <n v="12237.61"/>
    <n v="1"/>
    <x v="1"/>
  </r>
  <r>
    <n v="535"/>
    <s v="SCMS-23610"/>
    <x v="4"/>
    <x v="0"/>
    <s v="ARV"/>
    <s v="Adult"/>
    <s v="BRISTOL-MYERS SQUIBB"/>
    <x v="0"/>
    <s v="CIP"/>
    <s v="Air"/>
    <d v="2008-05-15T00:00:00"/>
    <d v="2008-09-02T00:00:00"/>
    <d v="2008-09-02T00:00:00"/>
    <d v="2008-09-02T00:00:00"/>
    <x v="4"/>
    <s v="Didanosine EC"/>
    <s v="Videx EC"/>
    <s v="400mg"/>
    <s v="Delayed-release capsules - blister"/>
    <n v="30"/>
    <n v="2597"/>
    <n v="61470.99"/>
    <n v="23.67"/>
    <n v="0.79"/>
    <n v="117"/>
    <n v="645.1"/>
    <n v="1"/>
    <x v="2"/>
  </r>
  <r>
    <n v="858"/>
    <s v="SCMS-34680"/>
    <x v="5"/>
    <x v="0"/>
    <s v="ARV"/>
    <s v="Adult"/>
    <s v="MERCK SHARP &amp; DOHME IDEA GMBH (FORMALLY MERCK SHARP &amp; DOHME B.V.)"/>
    <x v="0"/>
    <s v="CIP"/>
    <s v="Air"/>
    <d v="2008-12-19T00:00:00"/>
    <d v="2009-04-21T00:00:00"/>
    <d v="2009-04-21T00:00:00"/>
    <d v="2009-04-21T00:00:00"/>
    <x v="5"/>
    <s v="Efavirenz/Emtricitabine/Tenofovir Disoproxil Fumarate"/>
    <s v="Atripla"/>
    <s v="600/200/300mg"/>
    <s v="Tablet - FDC"/>
    <n v="30"/>
    <n v="50000"/>
    <n v="2520000"/>
    <n v="50.4"/>
    <n v="1.68"/>
    <n v="4093"/>
    <n v="9339"/>
    <n v="1"/>
    <x v="3"/>
  </r>
  <r>
    <n v="985"/>
    <s v="SCMS-38370"/>
    <x v="6"/>
    <x v="0"/>
    <s v="ARV"/>
    <s v="Pediatric"/>
    <s v="ABBVIE LOGISTICS (FORMERLY ABBOTT LOGISTICS BV)"/>
    <x v="0"/>
    <s v="FCA"/>
    <s v="Air"/>
    <d v="2009-02-05T00:00:00"/>
    <d v="2009-05-28T00:00:00"/>
    <d v="2009-05-28T00:00:00"/>
    <d v="2009-05-28T00:00:00"/>
    <x v="6"/>
    <s v="Lopinavir/Ritonavir"/>
    <s v="Kaletra"/>
    <s v="80/20mg/ml"/>
    <s v="Oral solution"/>
    <n v="300"/>
    <n v="524"/>
    <n v="21536.400000000001"/>
    <n v="41.1"/>
    <n v="0.14000000000000001"/>
    <n v="644"/>
    <n v="6668.61"/>
    <n v="1"/>
    <x v="3"/>
  </r>
  <r>
    <n v="986"/>
    <s v="SCMS-38380"/>
    <x v="7"/>
    <x v="0"/>
    <s v="ARV"/>
    <s v="Pediatric"/>
    <s v="ABBVIE LOGISTICS (FORMERLY ABBOTT LOGISTICS BV)"/>
    <x v="0"/>
    <s v="FCA"/>
    <s v="Air"/>
    <d v="2009-02-05T00:00:00"/>
    <d v="2009-05-04T00:00:00"/>
    <d v="2009-05-04T00:00:00"/>
    <d v="2009-05-04T00:00:00"/>
    <x v="7"/>
    <s v="Lopinavir/Ritonavir"/>
    <s v="Generic"/>
    <s v="100/25mg"/>
    <s v="Tablet"/>
    <n v="60"/>
    <n v="2094"/>
    <n v="21526.32"/>
    <n v="10.28"/>
    <n v="0.17"/>
    <n v="237"/>
    <m/>
    <n v="1"/>
    <x v="3"/>
  </r>
  <r>
    <n v="1156"/>
    <s v="SCMS-43890"/>
    <x v="8"/>
    <x v="1"/>
    <s v="ARV"/>
    <s v="Adult"/>
    <s v="HETERO LABS LIMITED"/>
    <x v="0"/>
    <s v="CIP"/>
    <s v="Air"/>
    <d v="2009-04-15T00:00:00"/>
    <d v="2009-07-25T00:00:00"/>
    <d v="2009-07-25T00:00:00"/>
    <d v="2009-07-25T00:00:00"/>
    <x v="8"/>
    <s v="Efavirenz"/>
    <s v="Generic"/>
    <s v="600mg"/>
    <s v="Tablet"/>
    <n v="30"/>
    <n v="55356"/>
    <n v="386384.88"/>
    <n v="6.98"/>
    <n v="0.23"/>
    <n v="4482"/>
    <n v="37404.74"/>
    <n v="1"/>
    <x v="3"/>
  </r>
  <r>
    <n v="1299"/>
    <s v="SCMS-268"/>
    <x v="1"/>
    <x v="1"/>
    <s v="ARV"/>
    <s v="Adult"/>
    <s v="CIPLA LIMITED"/>
    <x v="0"/>
    <s v="EXW"/>
    <s v="Air"/>
    <d v="2006-12-22T00:00:00"/>
    <d v="2007-02-27T00:00:00"/>
    <d v="2007-02-27T00:00:00"/>
    <d v="2007-02-27T00:00:00"/>
    <x v="8"/>
    <s v="Efavirenz"/>
    <s v="Generic"/>
    <s v="600mg"/>
    <s v="Tablet"/>
    <n v="30"/>
    <n v="71577"/>
    <n v="1087970.3999999999"/>
    <n v="15.2"/>
    <n v="0.51"/>
    <m/>
    <m/>
    <n v="1"/>
    <x v="1"/>
  </r>
  <r>
    <n v="1300"/>
    <s v="SCMS-268"/>
    <x v="1"/>
    <x v="1"/>
    <s v="ARV"/>
    <s v="Adult"/>
    <s v="CIPLA LIMITED"/>
    <x v="0"/>
    <s v="EXW"/>
    <s v="Air"/>
    <d v="2006-12-22T00:00:00"/>
    <d v="2007-02-27T00:00:00"/>
    <d v="2007-02-27T00:00:00"/>
    <d v="2007-02-27T00:00:00"/>
    <x v="9"/>
    <s v="Abacavir"/>
    <s v="Generic"/>
    <s v="300mg"/>
    <s v="Tablet"/>
    <n v="60"/>
    <n v="5605"/>
    <n v="202340.5"/>
    <n v="36.1"/>
    <n v="0.6"/>
    <m/>
    <m/>
    <n v="1"/>
    <x v="1"/>
  </r>
  <r>
    <n v="1502"/>
    <s v="SCMS-13900"/>
    <x v="9"/>
    <x v="1"/>
    <s v="ARV"/>
    <s v="Adult"/>
    <s v="ASPEN PHARMACARE"/>
    <x v="0"/>
    <s v="EXW"/>
    <s v="Air"/>
    <d v="2007-11-12T00:00:00"/>
    <d v="2008-01-28T00:00:00"/>
    <d v="2008-01-28T00:00:00"/>
    <d v="2008-01-28T00:00:00"/>
    <x v="10"/>
    <s v="Tenofovir Disoproxil Fumarate"/>
    <s v="Viread"/>
    <s v="300mg"/>
    <s v="Tablet"/>
    <n v="30"/>
    <n v="1609"/>
    <n v="27353"/>
    <n v="17"/>
    <n v="0.56999999999999995"/>
    <n v="157"/>
    <n v="7922.24"/>
    <n v="1"/>
    <x v="2"/>
  </r>
  <r>
    <n v="1529"/>
    <s v="SCMS-14750"/>
    <x v="10"/>
    <x v="1"/>
    <s v="ARV"/>
    <s v="Adult"/>
    <s v="MYLAN LABORATORIES LTD (FORMERLY MATRIX LABORATORIES)"/>
    <x v="0"/>
    <s v="CIP"/>
    <s v="Air"/>
    <d v="2007-12-03T00:00:00"/>
    <d v="2008-01-28T00:00:00"/>
    <d v="2008-01-28T00:00:00"/>
    <d v="2008-01-28T00:00:00"/>
    <x v="9"/>
    <s v="Abacavir"/>
    <s v="Generic"/>
    <s v="300mg"/>
    <s v="Tablet"/>
    <n v="60"/>
    <n v="1099"/>
    <n v="30222.5"/>
    <n v="27.5"/>
    <n v="0.46"/>
    <n v="113"/>
    <n v="1511.25"/>
    <n v="1"/>
    <x v="2"/>
  </r>
  <r>
    <n v="1888"/>
    <s v="SCMS-25520"/>
    <x v="11"/>
    <x v="1"/>
    <s v="ARV"/>
    <s v="Adult"/>
    <s v="Aurobindo Pharma Limited"/>
    <x v="0"/>
    <s v="CIP"/>
    <s v="Air"/>
    <d v="2008-06-13T00:00:00"/>
    <d v="2008-07-23T00:00:00"/>
    <d v="2008-07-22T00:00:00"/>
    <d v="2008-07-22T00:00:00"/>
    <x v="11"/>
    <s v="Lamivudine/Nevirapine/Zidovudine"/>
    <s v="Generic"/>
    <s v="150/300/200mg"/>
    <s v="Tablet - FDC"/>
    <n v="60"/>
    <n v="47879"/>
    <n v="569281.31000000006"/>
    <n v="11.89"/>
    <n v="0.2"/>
    <n v="5311"/>
    <n v="30408.04"/>
    <n v="1"/>
    <x v="2"/>
  </r>
  <r>
    <n v="1889"/>
    <s v="SCMS-25520"/>
    <x v="12"/>
    <x v="1"/>
    <s v="ARV"/>
    <s v="Adult"/>
    <s v="Aurobindo Pharma Limited"/>
    <x v="0"/>
    <s v="CIP"/>
    <s v="Air"/>
    <d v="2008-06-13T00:00:00"/>
    <d v="2008-07-23T00:00:00"/>
    <d v="2008-07-23T00:00:00"/>
    <d v="2008-07-23T00:00:00"/>
    <x v="11"/>
    <s v="Lamivudine/Nevirapine/Zidovudine"/>
    <s v="Generic"/>
    <s v="150/300/200mg"/>
    <s v="Tablet - FDC"/>
    <n v="60"/>
    <n v="61021"/>
    <n v="725539.69"/>
    <n v="11.89"/>
    <n v="0.2"/>
    <n v="6768"/>
    <n v="38120.959999999999"/>
    <n v="1"/>
    <x v="2"/>
  </r>
  <r>
    <n v="2441"/>
    <s v="SCMS-41240"/>
    <x v="13"/>
    <x v="3"/>
    <s v="ARV"/>
    <s v="Adult"/>
    <s v="BRISTOL-MYERS SQUIBB"/>
    <x v="0"/>
    <s v="CIP"/>
    <s v="Air"/>
    <d v="2009-03-19T00:00:00"/>
    <d v="2009-05-04T00:00:00"/>
    <d v="2009-05-04T00:00:00"/>
    <d v="2009-05-04T00:00:00"/>
    <x v="12"/>
    <s v="Didanosine EC"/>
    <s v="Videx EC"/>
    <s v="250mg"/>
    <s v="Delayed-release capsules - blister"/>
    <n v="30"/>
    <n v="60"/>
    <n v="1100.4000000000001"/>
    <n v="18.34"/>
    <n v="0.61"/>
    <n v="3000"/>
    <n v="428.91"/>
    <n v="1"/>
    <x v="3"/>
  </r>
  <r>
    <n v="2463"/>
    <s v="SCMS-30312"/>
    <x v="14"/>
    <x v="1"/>
    <s v="ARV"/>
    <s v="Adult"/>
    <s v="CIPLA LIMITED"/>
    <x v="0"/>
    <s v="CIP"/>
    <s v="Air"/>
    <d v="2008-10-21T00:00:00"/>
    <d v="2009-04-20T00:00:00"/>
    <d v="2009-04-20T00:00:00"/>
    <d v="2009-04-20T00:00:00"/>
    <x v="1"/>
    <s v="Lamivudine/Zidovudine"/>
    <s v="Generic"/>
    <s v="150/300mg"/>
    <s v="Tablet - FDC"/>
    <n v="60"/>
    <n v="7840"/>
    <n v="71344"/>
    <n v="9.1"/>
    <n v="0.15"/>
    <n v="719"/>
    <n v="853.88"/>
    <n v="1"/>
    <x v="3"/>
  </r>
  <r>
    <n v="2536"/>
    <s v="SCMS-43880"/>
    <x v="15"/>
    <x v="1"/>
    <s v="ARV"/>
    <s v="Adult"/>
    <s v="MYLAN LABORATORIES LTD (FORMERLY MATRIX LABORATORIES)"/>
    <x v="0"/>
    <s v="CIP"/>
    <s v="Air"/>
    <d v="2009-04-15T00:00:00"/>
    <d v="2009-07-20T00:00:00"/>
    <d v="2009-07-20T00:00:00"/>
    <d v="2009-07-20T00:00:00"/>
    <x v="11"/>
    <s v="Lamivudine/Nevirapine/Zidovudine"/>
    <s v="Generic"/>
    <s v="150/300/200mg"/>
    <s v="Tablet - FDC"/>
    <n v="60"/>
    <n v="26932"/>
    <n v="317528.28000000003"/>
    <n v="11.79"/>
    <n v="0.2"/>
    <n v="3393"/>
    <n v="30661.5"/>
    <n v="1"/>
    <x v="3"/>
  </r>
  <r>
    <n v="2808"/>
    <s v="SCMS-11071"/>
    <x v="16"/>
    <x v="2"/>
    <s v="ARV"/>
    <s v="Adult"/>
    <s v="Aurobindo Pharma Limited"/>
    <x v="0"/>
    <s v="EXW"/>
    <s v="Air"/>
    <d v="2007-10-03T00:00:00"/>
    <d v="2007-11-20T00:00:00"/>
    <d v="2007-12-24T00:00:00"/>
    <d v="2007-12-24T00:00:00"/>
    <x v="3"/>
    <s v="Stavudine"/>
    <s v="Generic"/>
    <s v="30mg"/>
    <s v="Capsule"/>
    <n v="60"/>
    <n v="35065"/>
    <n v="54350.75"/>
    <n v="1.55"/>
    <n v="0.03"/>
    <n v="2318"/>
    <n v="6755.81"/>
    <n v="0"/>
    <x v="1"/>
  </r>
  <r>
    <n v="2892"/>
    <s v="SCMS-13510"/>
    <x v="17"/>
    <x v="3"/>
    <s v="ARV"/>
    <s v="Adult"/>
    <s v="BRISTOL-MYERS SQUIBB"/>
    <x v="0"/>
    <s v="CIP"/>
    <s v="Air"/>
    <d v="2007-10-03T00:00:00"/>
    <d v="2008-03-31T00:00:00"/>
    <d v="2008-03-31T00:00:00"/>
    <d v="2008-03-31T00:00:00"/>
    <x v="4"/>
    <s v="Didanosine EC"/>
    <s v="Videx EC"/>
    <s v="400mg"/>
    <s v="Delayed-release capsules - blister"/>
    <n v="30"/>
    <n v="140"/>
    <n v="3313.8"/>
    <n v="23.67"/>
    <n v="0.79"/>
    <n v="6"/>
    <m/>
    <n v="1"/>
    <x v="2"/>
  </r>
  <r>
    <n v="3294"/>
    <s v="SCMS-27190"/>
    <x v="18"/>
    <x v="3"/>
    <s v="ARV"/>
    <s v="Adult"/>
    <s v="BRISTOL-MYERS SQUIBB"/>
    <x v="0"/>
    <s v="CIP"/>
    <s v="Air"/>
    <d v="2008-07-18T00:00:00"/>
    <d v="2008-09-09T00:00:00"/>
    <d v="2008-09-09T00:00:00"/>
    <d v="2008-09-09T00:00:00"/>
    <x v="4"/>
    <s v="Didanosine EC"/>
    <s v="Videx EC"/>
    <s v="400mg"/>
    <s v="Delayed-release capsules - blister"/>
    <n v="30"/>
    <n v="50"/>
    <n v="1183.5"/>
    <n v="23.67"/>
    <n v="0.79"/>
    <n v="2"/>
    <n v="330"/>
    <n v="1"/>
    <x v="2"/>
  </r>
  <r>
    <n v="3470"/>
    <s v="SCMS-32250"/>
    <x v="19"/>
    <x v="3"/>
    <s v="ARV"/>
    <s v="Adult"/>
    <s v="BRISTOL-MYERS SQUIBB"/>
    <x v="0"/>
    <s v="CIP"/>
    <s v="Air"/>
    <d v="2008-10-17T00:00:00"/>
    <d v="2008-12-09T00:00:00"/>
    <d v="2008-12-09T00:00:00"/>
    <d v="2008-12-09T00:00:00"/>
    <x v="12"/>
    <s v="Didanosine EC"/>
    <s v="Videx EC"/>
    <s v="250mg"/>
    <s v="Delayed-release capsules - blister"/>
    <n v="30"/>
    <n v="50"/>
    <n v="917"/>
    <n v="18.34"/>
    <n v="0.61"/>
    <n v="2"/>
    <n v="378"/>
    <n v="1"/>
    <x v="2"/>
  </r>
  <r>
    <n v="3828"/>
    <s v="SCMS-43870"/>
    <x v="20"/>
    <x v="1"/>
    <s v="ARV"/>
    <s v="Adult"/>
    <s v="MYLAN LABORATORIES LTD (FORMERLY MATRIX LABORATORIES)"/>
    <x v="0"/>
    <s v="CIP"/>
    <s v="Air"/>
    <d v="2009-04-15T00:00:00"/>
    <d v="2009-09-21T00:00:00"/>
    <d v="2009-09-21T00:00:00"/>
    <d v="2009-09-21T00:00:00"/>
    <x v="11"/>
    <s v="Lamivudine/Nevirapine/Zidovudine"/>
    <s v="Generic"/>
    <s v="150/300/200mg"/>
    <s v="Tablet - FDC"/>
    <n v="60"/>
    <n v="54432"/>
    <n v="641753.28"/>
    <n v="11.79"/>
    <n v="0.2"/>
    <n v="7278"/>
    <n v="61925.7"/>
    <n v="1"/>
    <x v="3"/>
  </r>
  <r>
    <n v="3955"/>
    <s v="SCMS-157"/>
    <x v="21"/>
    <x v="3"/>
    <s v="ARV"/>
    <s v="Adult"/>
    <s v="Aurobindo Pharma Limited"/>
    <x v="0"/>
    <s v="EXW"/>
    <s v="Air"/>
    <m/>
    <d v="2006-12-21T00:00:00"/>
    <d v="2006-12-21T00:00:00"/>
    <d v="2006-12-21T00:00:00"/>
    <x v="1"/>
    <s v="Lamivudine/Zidovudine"/>
    <s v="Generic"/>
    <s v="150/300mg"/>
    <s v="Tablet - FDC"/>
    <n v="60"/>
    <n v="5080"/>
    <n v="55880"/>
    <n v="11"/>
    <n v="0.18"/>
    <n v="1172"/>
    <n v="5595.44"/>
    <n v="1"/>
    <x v="0"/>
  </r>
  <r>
    <n v="4193"/>
    <s v="SCMS-14221"/>
    <x v="22"/>
    <x v="1"/>
    <s v="ARV"/>
    <s v="Adult"/>
    <s v="CIPLA LIMITED"/>
    <x v="0"/>
    <s v="CIP"/>
    <s v="Air"/>
    <d v="2007-11-21T00:00:00"/>
    <d v="2008-04-28T00:00:00"/>
    <d v="2008-04-22T00:00:00"/>
    <d v="2008-04-22T00:00:00"/>
    <x v="13"/>
    <s v="Lamivudine/Nevirapine/Stavudine"/>
    <s v="Generic"/>
    <s v="150/200/30mg"/>
    <s v="Tablet - FDC"/>
    <n v="60"/>
    <n v="38784"/>
    <n v="271488"/>
    <n v="7"/>
    <n v="0.12"/>
    <n v="4124"/>
    <n v="10500"/>
    <n v="1"/>
    <x v="2"/>
  </r>
  <r>
    <n v="4567"/>
    <s v="SCMS-23611"/>
    <x v="23"/>
    <x v="0"/>
    <s v="ARV"/>
    <s v="Adult"/>
    <s v="BRISTOL-MYERS SQUIBB"/>
    <x v="0"/>
    <s v="CIP"/>
    <s v="Air"/>
    <d v="2008-05-15T00:00:00"/>
    <d v="2008-11-03T00:00:00"/>
    <d v="2008-11-03T00:00:00"/>
    <d v="2008-11-03T00:00:00"/>
    <x v="4"/>
    <s v="Didanosine EC"/>
    <s v="Videx EC"/>
    <s v="400mg"/>
    <s v="Delayed-release capsules - blister"/>
    <n v="30"/>
    <n v="2597"/>
    <n v="61470.99"/>
    <n v="23.67"/>
    <n v="0.79"/>
    <m/>
    <m/>
    <n v="1"/>
    <x v="2"/>
  </r>
  <r>
    <n v="4709"/>
    <s v="SCMS-30310"/>
    <x v="24"/>
    <x v="1"/>
    <s v="ARV"/>
    <s v="Adult"/>
    <s v="CIPLA LIMITED"/>
    <x v="0"/>
    <s v="CIP"/>
    <s v="Air"/>
    <d v="2008-10-21T00:00:00"/>
    <d v="2009-03-10T00:00:00"/>
    <d v="2009-03-10T00:00:00"/>
    <d v="2009-03-10T00:00:00"/>
    <x v="1"/>
    <s v="Lamivudine/Zidovudine"/>
    <s v="Generic"/>
    <s v="150/300mg"/>
    <s v="Tablet - FDC"/>
    <n v="60"/>
    <n v="18560"/>
    <n v="168896"/>
    <n v="9.1"/>
    <n v="0.15"/>
    <n v="1698"/>
    <n v="16414.22"/>
    <n v="1"/>
    <x v="3"/>
  </r>
  <r>
    <n v="4824"/>
    <s v="SCMS-34690"/>
    <x v="25"/>
    <x v="0"/>
    <s v="ARV"/>
    <s v="Adult"/>
    <s v="MERCK SHARP &amp; DOHME IDEA GMBH (FORMALLY MERCK SHARP &amp; DOHME B.V.)"/>
    <x v="0"/>
    <s v="CIP"/>
    <s v="Air"/>
    <d v="2008-12-30T00:00:00"/>
    <d v="2009-06-15T00:00:00"/>
    <d v="2009-06-15T00:00:00"/>
    <d v="2009-06-15T00:00:00"/>
    <x v="5"/>
    <s v="Efavirenz/Emtricitabine/Tenofovir Disoproxil Fumarate"/>
    <s v="Atripla"/>
    <s v="600/200/300mg"/>
    <s v="Tablet - FDC"/>
    <n v="30"/>
    <n v="24963"/>
    <n v="1258135.2"/>
    <n v="50.4"/>
    <n v="1.68"/>
    <n v="2462"/>
    <n v="3451.41"/>
    <n v="1"/>
    <x v="3"/>
  </r>
  <r>
    <n v="4949"/>
    <s v="SCMS-38410"/>
    <x v="26"/>
    <x v="0"/>
    <s v="ARV"/>
    <s v="Adult"/>
    <s v="ABBVIE LOGISTICS (FORMERLY ABBOTT LOGISTICS BV)"/>
    <x v="0"/>
    <s v="FCA"/>
    <s v="Air"/>
    <d v="2009-02-05T00:00:00"/>
    <d v="2009-08-11T00:00:00"/>
    <d v="2009-08-11T00:00:00"/>
    <d v="2009-08-11T00:00:00"/>
    <x v="14"/>
    <s v="Lopinavir/Ritonavir"/>
    <s v="Aluvia"/>
    <s v="200/50mg"/>
    <s v="Tablet"/>
    <n v="120"/>
    <n v="10680"/>
    <n v="438948"/>
    <n v="41.1"/>
    <n v="0.34"/>
    <n v="2724"/>
    <n v="12620.12"/>
    <n v="1"/>
    <x v="3"/>
  </r>
  <r>
    <n v="5113"/>
    <s v="SCMS-43900"/>
    <x v="27"/>
    <x v="1"/>
    <s v="ARV"/>
    <s v="Adult"/>
    <s v="HETERO LABS LIMITED"/>
    <x v="0"/>
    <s v="CIP"/>
    <s v="Air"/>
    <d v="2009-07-15T00:00:00"/>
    <d v="2009-08-12T00:00:00"/>
    <d v="2009-08-12T00:00:00"/>
    <d v="2009-08-12T00:00:00"/>
    <x v="8"/>
    <s v="Efavirenz"/>
    <s v="Generic"/>
    <s v="600mg"/>
    <s v="Tablet"/>
    <n v="30"/>
    <n v="28034"/>
    <n v="195677.32"/>
    <n v="6.98"/>
    <n v="0.23"/>
    <n v="2268"/>
    <n v="19023.36"/>
    <n v="1"/>
    <x v="3"/>
  </r>
  <r>
    <n v="5175"/>
    <s v="SCMS-46500"/>
    <x v="28"/>
    <x v="0"/>
    <s v="ARV"/>
    <s v="Adult"/>
    <s v="Hoffmann-La Roche ltd Basel"/>
    <x v="0"/>
    <s v="FCA"/>
    <s v="Air"/>
    <d v="2009-05-28T00:00:00"/>
    <d v="2009-07-30T00:00:00"/>
    <d v="2009-07-30T00:00:00"/>
    <d v="2009-07-30T00:00:00"/>
    <x v="15"/>
    <s v="Saquinavir"/>
    <s v="Invirase"/>
    <s v="200mg"/>
    <s v="Capsule"/>
    <n v="270"/>
    <n v="820"/>
    <n v="73074.13"/>
    <n v="89.11"/>
    <n v="0.33"/>
    <n v="424"/>
    <n v="3310.89"/>
    <n v="1"/>
    <x v="3"/>
  </r>
  <r>
    <n v="5277"/>
    <s v="SCMS-159"/>
    <x v="29"/>
    <x v="3"/>
    <s v="ARV"/>
    <s v="Adult"/>
    <s v="SUN PHARMACEUTICAL INDUSTRIES LTD (RANBAXY LABORATORIES LIMITED)"/>
    <x v="0"/>
    <s v="EXW"/>
    <s v="Air"/>
    <m/>
    <d v="2006-12-22T00:00:00"/>
    <d v="2006-12-22T00:00:00"/>
    <d v="2006-12-22T00:00:00"/>
    <x v="16"/>
    <s v="Lamivudine"/>
    <s v="Generic"/>
    <s v="150mg"/>
    <s v="Tablet"/>
    <n v="60"/>
    <n v="6349"/>
    <n v="21269.15"/>
    <n v="3.35"/>
    <n v="0.06"/>
    <n v="369"/>
    <n v="2623.49"/>
    <n v="1"/>
    <x v="0"/>
  </r>
  <r>
    <n v="5905"/>
    <s v="SCMS-26640"/>
    <x v="30"/>
    <x v="0"/>
    <s v="ARV"/>
    <s v="Pediatric"/>
    <s v="GLAXOSMITHKLINE EXPORT LIMITED"/>
    <x v="0"/>
    <s v="CIP"/>
    <s v="Air"/>
    <d v="2008-07-04T00:00:00"/>
    <d v="2008-09-08T00:00:00"/>
    <d v="2008-09-08T00:00:00"/>
    <d v="2008-09-08T00:00:00"/>
    <x v="17"/>
    <s v="Abacavir"/>
    <s v="Ziagen"/>
    <s v="20mg/ml"/>
    <s v="Oral solution"/>
    <n v="240"/>
    <n v="132"/>
    <n v="1990.56"/>
    <n v="15.08"/>
    <n v="0.06"/>
    <n v="65"/>
    <n v="633"/>
    <n v="1"/>
    <x v="2"/>
  </r>
  <r>
    <n v="6621"/>
    <s v="SCMS-157"/>
    <x v="21"/>
    <x v="3"/>
    <s v="ARV"/>
    <s v="Adult"/>
    <s v="Aurobindo Pharma Limited"/>
    <x v="0"/>
    <s v="EXW"/>
    <s v="Air"/>
    <m/>
    <d v="2006-12-21T00:00:00"/>
    <d v="2006-12-21T00:00:00"/>
    <d v="2006-12-21T00:00:00"/>
    <x v="3"/>
    <s v="Stavudine"/>
    <s v="Generic"/>
    <s v="30mg"/>
    <s v="Capsule"/>
    <n v="60"/>
    <n v="6349"/>
    <n v="12380.55"/>
    <n v="1.95"/>
    <n v="0.03"/>
    <m/>
    <m/>
    <n v="1"/>
    <x v="0"/>
  </r>
  <r>
    <n v="6622"/>
    <s v="SCMS-160"/>
    <x v="31"/>
    <x v="3"/>
    <s v="ARV"/>
    <s v="Adult"/>
    <s v="STRIDES ARCOLAB LIMITED"/>
    <x v="0"/>
    <s v="EXW"/>
    <s v="Air"/>
    <m/>
    <d v="2007-01-02T00:00:00"/>
    <d v="2007-01-02T00:00:00"/>
    <d v="2007-01-02T00:00:00"/>
    <x v="0"/>
    <s v="Nevirapine"/>
    <s v="Generic"/>
    <s v="200mg"/>
    <s v="Tablet"/>
    <n v="60"/>
    <n v="6349"/>
    <n v="21586.6"/>
    <n v="3.4"/>
    <n v="0.06"/>
    <n v="355"/>
    <n v="3181.2"/>
    <n v="1"/>
    <x v="1"/>
  </r>
  <r>
    <n v="6705"/>
    <s v="SCMS-800"/>
    <x v="32"/>
    <x v="1"/>
    <s v="ARV"/>
    <s v="Pediatric"/>
    <s v="BRISTOL-MYERS SQUIBB"/>
    <x v="0"/>
    <s v="CIP"/>
    <s v="Air"/>
    <d v="2007-07-17T00:00:00"/>
    <d v="2007-09-14T00:00:00"/>
    <d v="2007-09-14T00:00:00"/>
    <d v="2007-09-14T00:00:00"/>
    <x v="18"/>
    <s v="Didanosine"/>
    <s v="Videx"/>
    <s v="50mg"/>
    <s v="Chewable/dispersible tablet"/>
    <n v="60"/>
    <n v="182"/>
    <n v="1729"/>
    <n v="9.5"/>
    <n v="0.16"/>
    <n v="40"/>
    <n v="86.4"/>
    <n v="1"/>
    <x v="1"/>
  </r>
  <r>
    <n v="6837"/>
    <s v="SCMS-13900"/>
    <x v="9"/>
    <x v="1"/>
    <s v="ARV"/>
    <s v="Adult"/>
    <s v="ASPEN PHARMACARE"/>
    <x v="0"/>
    <s v="EXW"/>
    <s v="Air"/>
    <d v="2007-11-12T00:00:00"/>
    <d v="2008-01-28T00:00:00"/>
    <d v="2008-01-28T00:00:00"/>
    <d v="2008-01-28T00:00:00"/>
    <x v="10"/>
    <s v="Tenofovir Disoproxil Fumarate"/>
    <s v="Viread"/>
    <s v="300mg"/>
    <s v="Tablet"/>
    <n v="30"/>
    <n v="84"/>
    <n v="0.84"/>
    <n v="0.01"/>
    <n v="0"/>
    <m/>
    <m/>
    <n v="1"/>
    <x v="2"/>
  </r>
  <r>
    <n v="6848"/>
    <s v="SCMS-14221"/>
    <x v="33"/>
    <x v="1"/>
    <s v="ARV"/>
    <s v="Adult"/>
    <s v="CIPLA LIMITED"/>
    <x v="0"/>
    <s v="CIP"/>
    <s v="Air"/>
    <d v="2007-11-21T00:00:00"/>
    <d v="2008-04-28T00:00:00"/>
    <d v="2008-04-22T00:00:00"/>
    <d v="2008-04-22T00:00:00"/>
    <x v="13"/>
    <s v="Lamivudine/Nevirapine/Stavudine"/>
    <s v="Generic"/>
    <s v="150/200/30mg"/>
    <s v="Tablet - FDC"/>
    <n v="60"/>
    <n v="34576"/>
    <n v="242032"/>
    <n v="7"/>
    <n v="0.12"/>
    <n v="3656"/>
    <n v="10500"/>
    <n v="1"/>
    <x v="2"/>
  </r>
  <r>
    <n v="6849"/>
    <s v="SCMS-14221"/>
    <x v="34"/>
    <x v="1"/>
    <s v="ARV"/>
    <s v="Adult"/>
    <s v="CIPLA LIMITED"/>
    <x v="0"/>
    <s v="CIP"/>
    <s v="Air"/>
    <d v="2007-11-21T00:00:00"/>
    <d v="2008-04-28T00:00:00"/>
    <d v="2008-04-28T00:00:00"/>
    <d v="2008-04-28T00:00:00"/>
    <x v="13"/>
    <s v="Lamivudine/Nevirapine/Stavudine"/>
    <s v="Generic"/>
    <s v="150/200/30mg"/>
    <s v="Tablet - FDC"/>
    <n v="60"/>
    <n v="16640"/>
    <n v="116480"/>
    <n v="7"/>
    <n v="0.12"/>
    <n v="1766"/>
    <n v="10500"/>
    <n v="1"/>
    <x v="2"/>
  </r>
  <r>
    <n v="6896"/>
    <s v="SCMS-16220"/>
    <x v="35"/>
    <x v="2"/>
    <s v="ARV"/>
    <s v="Adult"/>
    <s v="ASPEN PHARMACARE"/>
    <x v="0"/>
    <s v="EXW"/>
    <s v="Air"/>
    <d v="2008-01-03T00:00:00"/>
    <d v="2008-03-04T00:00:00"/>
    <d v="2008-03-04T00:00:00"/>
    <d v="2008-03-04T00:00:00"/>
    <x v="10"/>
    <s v="Tenofovir Disoproxil Fumarate"/>
    <s v="Viread"/>
    <s v="300mg"/>
    <s v="Tablet"/>
    <n v="30"/>
    <n v="14820"/>
    <n v="251940"/>
    <n v="17"/>
    <n v="0.56999999999999995"/>
    <n v="1233"/>
    <n v="5137.76"/>
    <n v="1"/>
    <x v="2"/>
  </r>
  <r>
    <n v="6931"/>
    <s v="SCMS-16760"/>
    <x v="36"/>
    <x v="0"/>
    <s v="ARV"/>
    <s v="Pediatric"/>
    <s v="GLAXOSMITHKLINE EXPORT LIMITED"/>
    <x v="0"/>
    <s v="CIP"/>
    <s v="Air"/>
    <d v="2008-01-24T00:00:00"/>
    <d v="2008-05-08T00:00:00"/>
    <d v="2008-05-08T00:00:00"/>
    <d v="2008-05-08T00:00:00"/>
    <x v="17"/>
    <s v="Abacavir"/>
    <s v="Ziagen"/>
    <s v="20mg/ml"/>
    <s v="Oral solution"/>
    <n v="240"/>
    <n v="132"/>
    <n v="3300"/>
    <n v="25"/>
    <n v="0.1"/>
    <m/>
    <m/>
    <n v="1"/>
    <x v="2"/>
  </r>
  <r>
    <n v="7201"/>
    <s v="SCMS-25530"/>
    <x v="37"/>
    <x v="1"/>
    <s v="ARV"/>
    <s v="Adult"/>
    <s v="Aurobindo Pharma Limited"/>
    <x v="0"/>
    <s v="CIP"/>
    <s v="Air"/>
    <d v="2008-06-13T00:00:00"/>
    <d v="2008-07-22T00:00:00"/>
    <d v="2008-07-22T00:00:00"/>
    <d v="2008-07-22T00:00:00"/>
    <x v="1"/>
    <s v="Lamivudine/Zidovudine"/>
    <s v="Generic"/>
    <s v="150/300mg"/>
    <s v="Tablet - FDC"/>
    <n v="60"/>
    <n v="45168"/>
    <n v="414642.24"/>
    <n v="9.18"/>
    <n v="0.15"/>
    <n v="3953"/>
    <n v="23071.26"/>
    <n v="1"/>
    <x v="2"/>
  </r>
  <r>
    <n v="7638"/>
    <s v="SCMS-38400"/>
    <x v="38"/>
    <x v="0"/>
    <s v="ARV"/>
    <s v="Adult"/>
    <s v="ABBVIE LOGISTICS (FORMERLY ABBOTT LOGISTICS BV)"/>
    <x v="0"/>
    <s v="FCA"/>
    <s v="Air"/>
    <d v="2009-02-05T00:00:00"/>
    <d v="2009-05-27T00:00:00"/>
    <d v="2009-05-27T00:00:00"/>
    <d v="2009-05-27T00:00:00"/>
    <x v="14"/>
    <s v="Lopinavir/Ritonavir"/>
    <s v="Aluvia"/>
    <s v="200/50mg"/>
    <s v="Tablet"/>
    <n v="120"/>
    <n v="12560"/>
    <n v="516216"/>
    <n v="41.1"/>
    <n v="0.34"/>
    <n v="3073"/>
    <n v="12815.42"/>
    <n v="1"/>
    <x v="3"/>
  </r>
  <r>
    <n v="7849"/>
    <s v="SCMS-45660"/>
    <x v="39"/>
    <x v="3"/>
    <s v="ARV"/>
    <s v="Adult"/>
    <s v="BRISTOL-MYERS SQUIBB"/>
    <x v="0"/>
    <s v="CIP"/>
    <s v="Air"/>
    <d v="2009-05-11T00:00:00"/>
    <d v="2009-07-06T00:00:00"/>
    <d v="2009-07-06T00:00:00"/>
    <d v="2009-07-06T00:00:00"/>
    <x v="12"/>
    <s v="Didanosine EC"/>
    <s v="Videx EC"/>
    <s v="250mg"/>
    <s v="Delayed-release capsules - blister"/>
    <n v="30"/>
    <n v="84"/>
    <n v="1540.56"/>
    <n v="18.34"/>
    <n v="0.61"/>
    <n v="4"/>
    <n v="390.81"/>
    <n v="1"/>
    <x v="3"/>
  </r>
  <r>
    <n v="7868"/>
    <s v="SCMS-46510"/>
    <x v="40"/>
    <x v="0"/>
    <s v="ARV"/>
    <s v="Adult"/>
    <s v="Hoffmann-La Roche ltd Basel"/>
    <x v="0"/>
    <s v="FCA"/>
    <s v="Air"/>
    <d v="2009-05-28T00:00:00"/>
    <d v="2009-09-25T00:00:00"/>
    <d v="2009-09-25T00:00:00"/>
    <d v="2009-09-25T00:00:00"/>
    <x v="15"/>
    <s v="Saquinavir"/>
    <s v="Invirase"/>
    <s v="200mg"/>
    <s v="Capsule"/>
    <n v="270"/>
    <n v="5178"/>
    <n v="461436.41"/>
    <n v="89.11"/>
    <n v="0.33"/>
    <n v="2666"/>
    <n v="16751.580000000002"/>
    <n v="1"/>
    <x v="3"/>
  </r>
  <r>
    <n v="7975"/>
    <s v="SCMS-176"/>
    <x v="41"/>
    <x v="3"/>
    <s v="ARV"/>
    <s v="Adult"/>
    <s v="ASPEN PHARMACARE"/>
    <x v="0"/>
    <s v="EXW"/>
    <s v="Air"/>
    <m/>
    <d v="2006-12-22T00:00:00"/>
    <d v="2006-12-22T00:00:00"/>
    <d v="2006-12-22T00:00:00"/>
    <x v="19"/>
    <s v="Lamivudine/Zidovudine+Nevirapine"/>
    <s v="Generic"/>
    <s v="150/300+200mg"/>
    <s v="Tablet - FDC + co-blister"/>
    <n v="120"/>
    <n v="1270"/>
    <n v="26670"/>
    <n v="21"/>
    <n v="0.18"/>
    <n v="201"/>
    <n v="1262.9100000000001"/>
    <n v="1"/>
    <x v="0"/>
  </r>
  <r>
    <n v="8192"/>
    <s v="SCMS-14220"/>
    <x v="42"/>
    <x v="1"/>
    <s v="ARV"/>
    <s v="Adult"/>
    <s v="CIPLA LIMITED"/>
    <x v="0"/>
    <s v="CIP"/>
    <s v="Air"/>
    <d v="2007-11-21T00:00:00"/>
    <d v="2008-04-28T00:00:00"/>
    <d v="2008-03-11T00:00:00"/>
    <d v="2008-03-11T00:00:00"/>
    <x v="13"/>
    <s v="Lamivudine/Nevirapine/Stavudine"/>
    <s v="Generic"/>
    <s v="150/200/30mg"/>
    <s v="Tablet - FDC"/>
    <n v="60"/>
    <n v="100000"/>
    <n v="700000"/>
    <n v="7"/>
    <n v="0.12"/>
    <n v="10303"/>
    <n v="35034.75"/>
    <n v="1"/>
    <x v="2"/>
  </r>
  <r>
    <n v="8207"/>
    <s v="SCMS-14730"/>
    <x v="43"/>
    <x v="1"/>
    <s v="ARV"/>
    <s v="Adult"/>
    <s v="Aurobindo Pharma Limited"/>
    <x v="0"/>
    <s v="CIP"/>
    <s v="Air"/>
    <d v="2007-12-03T00:00:00"/>
    <d v="2008-01-03T00:00:00"/>
    <d v="2008-01-03T00:00:00"/>
    <d v="2008-01-03T00:00:00"/>
    <x v="8"/>
    <s v="Efavirenz"/>
    <s v="Generic"/>
    <s v="600mg"/>
    <s v="Tablet"/>
    <n v="30"/>
    <n v="32510"/>
    <n v="381992.5"/>
    <n v="11.75"/>
    <n v="0.39"/>
    <n v="2791"/>
    <n v="28336.18"/>
    <n v="1"/>
    <x v="2"/>
  </r>
  <r>
    <n v="8218"/>
    <s v="SCMS-15220"/>
    <x v="44"/>
    <x v="0"/>
    <s v="ARV"/>
    <s v="Pediatric"/>
    <s v="BRISTOL-MYERS SQUIBB"/>
    <x v="0"/>
    <s v="CIP"/>
    <s v="Air"/>
    <d v="2007-12-10T00:00:00"/>
    <d v="2008-05-08T00:00:00"/>
    <d v="2008-05-08T00:00:00"/>
    <d v="2008-05-08T00:00:00"/>
    <x v="2"/>
    <s v="Didanosine"/>
    <s v="Videx"/>
    <s v="2g"/>
    <s v="Powder for oral solution"/>
    <n v="200"/>
    <n v="712"/>
    <n v="8964.08"/>
    <n v="12.59"/>
    <n v="0.06"/>
    <m/>
    <m/>
    <n v="1"/>
    <x v="2"/>
  </r>
  <r>
    <n v="8803"/>
    <s v="SCMS-34690"/>
    <x v="25"/>
    <x v="0"/>
    <s v="ARV"/>
    <s v="Adult"/>
    <s v="MERCK SHARP &amp; DOHME IDEA GMBH (FORMALLY MERCK SHARP &amp; DOHME B.V.)"/>
    <x v="0"/>
    <s v="CIP"/>
    <s v="Air"/>
    <d v="2008-12-30T00:00:00"/>
    <d v="2009-06-15T00:00:00"/>
    <d v="2009-06-15T00:00:00"/>
    <d v="2009-06-15T00:00:00"/>
    <x v="5"/>
    <s v="Efavirenz/Emtricitabine/Tenofovir Disoproxil Fumarate"/>
    <s v="Atripla"/>
    <s v="600/200/300mg"/>
    <s v="Tablet - FDC"/>
    <n v="30"/>
    <n v="2680"/>
    <n v="135072"/>
    <n v="50.4"/>
    <n v="1.68"/>
    <m/>
    <m/>
    <n v="1"/>
    <x v="3"/>
  </r>
  <r>
    <n v="8864"/>
    <s v="SCMS-36490"/>
    <x v="45"/>
    <x v="0"/>
    <s v="ARV"/>
    <s v="Adult"/>
    <s v="ABBVIE LOGISTICS (FORMERLY ABBOTT LOGISTICS BV)"/>
    <x v="0"/>
    <s v="FCA"/>
    <s v="Air"/>
    <d v="2008-12-30T00:00:00"/>
    <d v="2009-02-23T00:00:00"/>
    <d v="2009-02-23T00:00:00"/>
    <d v="2009-02-23T00:00:00"/>
    <x v="14"/>
    <s v="Lopinavir/Ritonavir"/>
    <s v="Aluvia"/>
    <s v="200/50mg"/>
    <s v="Tablet"/>
    <n v="120"/>
    <n v="12500"/>
    <n v="513750"/>
    <n v="41.1"/>
    <n v="0.34"/>
    <n v="3088"/>
    <n v="12937.16"/>
    <n v="1"/>
    <x v="3"/>
  </r>
  <r>
    <n v="8922"/>
    <s v="SCMS-38410"/>
    <x v="26"/>
    <x v="0"/>
    <s v="ARV"/>
    <s v="Adult"/>
    <s v="ABBVIE LOGISTICS (FORMERLY ABBOTT LOGISTICS BV)"/>
    <x v="0"/>
    <s v="FCA"/>
    <s v="Air"/>
    <d v="2009-02-05T00:00:00"/>
    <d v="2009-08-11T00:00:00"/>
    <d v="2009-08-11T00:00:00"/>
    <d v="2009-08-11T00:00:00"/>
    <x v="14"/>
    <s v="Lopinavir/Ritonavir"/>
    <s v="Aluvia"/>
    <s v="200/50mg"/>
    <s v="Tablet"/>
    <n v="120"/>
    <n v="60"/>
    <n v="2466"/>
    <n v="41.1"/>
    <n v="0.34"/>
    <m/>
    <m/>
    <n v="1"/>
    <x v="3"/>
  </r>
  <r>
    <n v="8989"/>
    <s v="SCMS-30311"/>
    <x v="46"/>
    <x v="1"/>
    <s v="ARV"/>
    <s v="Adult"/>
    <s v="CIPLA LIMITED"/>
    <x v="0"/>
    <s v="CIP"/>
    <s v="Air"/>
    <d v="2008-10-21T00:00:00"/>
    <d v="2009-04-21T00:00:00"/>
    <d v="2009-04-21T00:00:00"/>
    <d v="2009-04-21T00:00:00"/>
    <x v="1"/>
    <s v="Lamivudine/Zidovudine"/>
    <s v="Generic"/>
    <s v="150/300mg"/>
    <s v="Tablet - FDC"/>
    <n v="60"/>
    <n v="22752"/>
    <n v="207043.20000000001"/>
    <n v="9.1"/>
    <n v="0.15"/>
    <n v="2086"/>
    <n v="853.87"/>
    <n v="1"/>
    <x v="3"/>
  </r>
  <r>
    <n v="9279"/>
    <s v="SCMS-157"/>
    <x v="21"/>
    <x v="3"/>
    <s v="ARV"/>
    <s v="Adult"/>
    <s v="Aurobindo Pharma Limited"/>
    <x v="0"/>
    <s v="EXW"/>
    <s v="Air"/>
    <m/>
    <d v="2006-12-21T00:00:00"/>
    <d v="2006-12-21T00:00:00"/>
    <d v="2006-12-21T00:00:00"/>
    <x v="8"/>
    <s v="Efavirenz"/>
    <s v="Generic"/>
    <s v="600mg"/>
    <s v="Tablet"/>
    <n v="30"/>
    <n v="5080"/>
    <n v="85090"/>
    <n v="16.75"/>
    <n v="0.56000000000000005"/>
    <m/>
    <m/>
    <n v="1"/>
    <x v="0"/>
  </r>
  <r>
    <n v="9499"/>
    <s v="SCMS-14730"/>
    <x v="47"/>
    <x v="1"/>
    <s v="ARV"/>
    <s v="Adult"/>
    <s v="Aurobindo Pharma Limited"/>
    <x v="0"/>
    <s v="CIP"/>
    <s v="Air"/>
    <d v="2007-12-03T00:00:00"/>
    <d v="2008-01-03T00:00:00"/>
    <d v="2008-01-03T00:00:00"/>
    <d v="2008-01-03T00:00:00"/>
    <x v="8"/>
    <s v="Efavirenz"/>
    <s v="Generic"/>
    <s v="600mg"/>
    <s v="Tablet"/>
    <n v="30"/>
    <n v="48259"/>
    <n v="567043.25"/>
    <n v="11.75"/>
    <n v="0.39"/>
    <n v="4143"/>
    <n v="19088.86"/>
    <n v="1"/>
    <x v="2"/>
  </r>
  <r>
    <n v="9550"/>
    <s v="SCMS-16220"/>
    <x v="35"/>
    <x v="2"/>
    <s v="ARV"/>
    <s v="Adult"/>
    <s v="ASPEN PHARMACARE"/>
    <x v="0"/>
    <s v="EXW"/>
    <s v="Air"/>
    <d v="2008-01-03T00:00:00"/>
    <d v="2008-03-04T00:00:00"/>
    <d v="2008-03-04T00:00:00"/>
    <d v="2008-03-04T00:00:00"/>
    <x v="10"/>
    <s v="Tenofovir Disoproxil Fumarate"/>
    <s v="Viread"/>
    <s v="300mg"/>
    <s v="Tablet"/>
    <n v="30"/>
    <n v="780"/>
    <n v="7.8"/>
    <n v="0.01"/>
    <n v="0"/>
    <m/>
    <m/>
    <n v="1"/>
    <x v="2"/>
  </r>
  <r>
    <n v="9836"/>
    <s v="SCMS-25910"/>
    <x v="48"/>
    <x v="1"/>
    <s v="ARV"/>
    <s v="Adult"/>
    <s v="HETERO LABS LIMITED"/>
    <x v="0"/>
    <s v="CIP"/>
    <s v="Air"/>
    <d v="2008-08-06T00:00:00"/>
    <d v="2008-09-23T00:00:00"/>
    <d v="2008-09-23T00:00:00"/>
    <d v="2008-09-23T00:00:00"/>
    <x v="8"/>
    <s v="Efavirenz"/>
    <s v="Generic"/>
    <s v="600mg"/>
    <s v="Tablet"/>
    <n v="30"/>
    <n v="83400"/>
    <n v="931578"/>
    <n v="11.17"/>
    <n v="0.37"/>
    <n v="6701"/>
    <n v="87692.85"/>
    <n v="1"/>
    <x v="2"/>
  </r>
  <r>
    <n v="10126"/>
    <s v="SCMS-34690"/>
    <x v="25"/>
    <x v="0"/>
    <s v="ARV"/>
    <s v="Adult"/>
    <s v="MERCK SHARP &amp; DOHME IDEA GMBH (FORMALLY MERCK SHARP &amp; DOHME B.V.)"/>
    <x v="0"/>
    <s v="CIP"/>
    <s v="Air"/>
    <d v="2008-12-30T00:00:00"/>
    <d v="2009-06-15T00:00:00"/>
    <d v="2009-06-15T00:00:00"/>
    <d v="2009-06-15T00:00:00"/>
    <x v="5"/>
    <s v="Efavirenz/Emtricitabine/Tenofovir Disoproxil Fumarate"/>
    <s v="Atripla"/>
    <s v="600/200/300mg"/>
    <s v="Tablet - FDC"/>
    <n v="30"/>
    <n v="2357"/>
    <n v="118792.8"/>
    <n v="50.4"/>
    <n v="1.68"/>
    <m/>
    <m/>
    <n v="1"/>
    <x v="3"/>
  </r>
  <r>
    <n v="10416"/>
    <s v="SCMS-43790"/>
    <x v="49"/>
    <x v="1"/>
    <s v="ARV"/>
    <s v="Adult"/>
    <s v="MYLAN LABORATORIES LTD (FORMERLY MATRIX LABORATORIES)"/>
    <x v="0"/>
    <s v="CIP"/>
    <s v="Air"/>
    <d v="2009-04-15T00:00:00"/>
    <d v="2009-09-14T00:00:00"/>
    <d v="2009-09-14T00:00:00"/>
    <d v="2009-09-14T00:00:00"/>
    <x v="1"/>
    <s v="Lamivudine/Zidovudine"/>
    <s v="Generic"/>
    <s v="150/300mg"/>
    <s v="Tablet - FDC"/>
    <n v="60"/>
    <n v="38736"/>
    <n v="348624"/>
    <n v="9"/>
    <n v="0.15"/>
    <n v="3080"/>
    <n v="33235.440000000002"/>
    <n v="1"/>
    <x v="3"/>
  </r>
  <r>
    <n v="10600"/>
    <s v="SO-1080"/>
    <x v="50"/>
    <x v="3"/>
    <s v="ARV"/>
    <s v="Adult"/>
    <s v="SCMS from RDC"/>
    <x v="1"/>
    <s v="N/A - From RDC"/>
    <s v="Air"/>
    <m/>
    <d v="2007-11-05T00:00:00"/>
    <d v="2007-11-05T00:00:00"/>
    <d v="2007-11-05T00:00:00"/>
    <x v="13"/>
    <s v="Lamivudine/Nevirapine/Stavudine"/>
    <s v="Generic"/>
    <s v="150/200/30mg"/>
    <s v="Tablet - FDC"/>
    <n v="60"/>
    <n v="1953"/>
    <n v="14452.2"/>
    <n v="7.4"/>
    <n v="0.12"/>
    <n v="283"/>
    <n v="1673"/>
    <n v="1"/>
    <x v="1"/>
  </r>
  <r>
    <n v="10613"/>
    <s v="SO-914"/>
    <x v="51"/>
    <x v="2"/>
    <s v="ARV"/>
    <s v="Pediatric"/>
    <s v="SCMS from RDC"/>
    <x v="1"/>
    <s v="N/A - From RDC"/>
    <s v="N/A"/>
    <m/>
    <d v="2007-09-04T00:00:00"/>
    <d v="2007-09-04T00:00:00"/>
    <d v="2007-09-04T00:00:00"/>
    <x v="20"/>
    <s v="Zidovudine"/>
    <s v="Generic"/>
    <s v="10mg/ml"/>
    <s v="Oral solution"/>
    <n v="240"/>
    <n v="13850"/>
    <n v="29777.5"/>
    <n v="2.15"/>
    <n v="0.01"/>
    <n v="35216"/>
    <n v="88801"/>
    <n v="1"/>
    <x v="1"/>
  </r>
  <r>
    <n v="10637"/>
    <s v="SO-1342"/>
    <x v="52"/>
    <x v="2"/>
    <s v="ARV"/>
    <s v="Pediatric"/>
    <s v="SCMS from RDC"/>
    <x v="1"/>
    <s v="N/A - From RDC"/>
    <s v="Air"/>
    <m/>
    <d v="2007-11-26T00:00:00"/>
    <d v="2007-11-26T00:00:00"/>
    <d v="2007-11-26T00:00:00"/>
    <x v="21"/>
    <s v="Stavudine"/>
    <s v="Generic"/>
    <s v="1mg/ml"/>
    <s v="Oral solution"/>
    <n v="200"/>
    <n v="7294"/>
    <n v="10211.6"/>
    <n v="1.4"/>
    <n v="0.01"/>
    <n v="753"/>
    <n v="8004"/>
    <n v="1"/>
    <x v="1"/>
  </r>
  <r>
    <n v="10662"/>
    <s v="SO-1647"/>
    <x v="53"/>
    <x v="0"/>
    <s v="ARV"/>
    <s v="Adult"/>
    <s v="SCMS from RDC"/>
    <x v="1"/>
    <s v="N/A - From RDC"/>
    <s v="Air"/>
    <m/>
    <d v="2008-02-06T00:00:00"/>
    <d v="2008-02-06T00:00:00"/>
    <d v="2008-02-06T00:00:00"/>
    <x v="1"/>
    <s v="Lamivudine/Zidovudine"/>
    <s v="Generic"/>
    <s v="150/300mg"/>
    <s v="Tablet - FDC"/>
    <n v="60"/>
    <n v="9476"/>
    <n v="90022"/>
    <n v="9.5"/>
    <n v="0.16"/>
    <n v="1008"/>
    <n v="4207.3999999999996"/>
    <n v="1"/>
    <x v="2"/>
  </r>
  <r>
    <n v="10669"/>
    <s v="SO-1715"/>
    <x v="54"/>
    <x v="3"/>
    <s v="ARV"/>
    <s v="Adult"/>
    <s v="SCMS from RDC"/>
    <x v="1"/>
    <s v="N/A - From RDC"/>
    <s v="N/A"/>
    <m/>
    <d v="2008-03-06T00:00:00"/>
    <d v="2008-03-06T00:00:00"/>
    <d v="2008-03-06T00:00:00"/>
    <x v="22"/>
    <s v="Emtricitabine/Tenofovir Disoproxil Fumarate"/>
    <s v="Truvada"/>
    <s v="300/200mg"/>
    <s v="Tablet - FDC"/>
    <n v="30"/>
    <n v="656"/>
    <n v="17220"/>
    <n v="26.25"/>
    <n v="0.88"/>
    <n v="58"/>
    <n v="794.22"/>
    <n v="1"/>
    <x v="2"/>
  </r>
  <r>
    <n v="10670"/>
    <s v="SO-1082"/>
    <x v="55"/>
    <x v="3"/>
    <s v="ARV"/>
    <s v="Adult"/>
    <s v="SCMS from RDC"/>
    <x v="1"/>
    <s v="N/A - From RDC"/>
    <s v="N/A"/>
    <m/>
    <d v="2008-02-28T00:00:00"/>
    <d v="2008-02-28T00:00:00"/>
    <d v="2008-02-28T00:00:00"/>
    <x v="13"/>
    <s v="Lamivudine/Nevirapine/Stavudine"/>
    <s v="Generic"/>
    <s v="150/200/30mg"/>
    <s v="Tablet - FDC"/>
    <n v="60"/>
    <n v="93"/>
    <n v="688.2"/>
    <n v="7.4"/>
    <n v="0.12"/>
    <n v="311"/>
    <n v="1430.22"/>
    <n v="1"/>
    <x v="2"/>
  </r>
  <r>
    <n v="10674"/>
    <s v="SO-2560"/>
    <x v="56"/>
    <x v="0"/>
    <s v="ARV"/>
    <s v="Adult"/>
    <s v="SCMS from RDC"/>
    <x v="1"/>
    <s v="N/A - From RDC"/>
    <s v="Air"/>
    <m/>
    <d v="2008-07-29T00:00:00"/>
    <d v="2008-07-29T00:00:00"/>
    <d v="2008-07-29T00:00:00"/>
    <x v="0"/>
    <s v="Nevirapine"/>
    <s v="Generic"/>
    <s v="200mg"/>
    <s v="Tablet"/>
    <n v="60"/>
    <n v="1300"/>
    <n v="4420"/>
    <n v="3.4"/>
    <n v="0.06"/>
    <n v="16709"/>
    <n v="15210"/>
    <n v="1"/>
    <x v="2"/>
  </r>
  <r>
    <n v="10685"/>
    <s v="SO-1949"/>
    <x v="57"/>
    <x v="2"/>
    <s v="ARV"/>
    <s v="Adult"/>
    <s v="SCMS from RDC"/>
    <x v="1"/>
    <s v="N/A - From RDC"/>
    <s v="N/A"/>
    <m/>
    <d v="2008-03-25T00:00:00"/>
    <d v="2008-03-25T00:00:00"/>
    <d v="2008-03-25T00:00:00"/>
    <x v="3"/>
    <s v="Stavudine"/>
    <s v="Generic"/>
    <s v="30mg"/>
    <s v="Capsule"/>
    <n v="60"/>
    <n v="51293"/>
    <n v="77965.36"/>
    <n v="1.52"/>
    <n v="0.03"/>
    <n v="3371"/>
    <n v="11862.2"/>
    <n v="1"/>
    <x v="2"/>
  </r>
  <r>
    <n v="10693"/>
    <s v="SO-1301"/>
    <x v="58"/>
    <x v="3"/>
    <s v="ARV"/>
    <s v="Adult"/>
    <s v="SCMS from RDC"/>
    <x v="1"/>
    <s v="N/A - From RDC"/>
    <s v="Air"/>
    <m/>
    <d v="2008-03-19T00:00:00"/>
    <d v="2008-03-19T00:00:00"/>
    <d v="2008-03-19T00:00:00"/>
    <x v="8"/>
    <s v="Efavirenz"/>
    <s v="Generic"/>
    <s v="600mg"/>
    <s v="Tablet"/>
    <n v="30"/>
    <n v="2060"/>
    <n v="25585.200000000001"/>
    <n v="12.42"/>
    <n v="0.41"/>
    <n v="196"/>
    <n v="1381.7"/>
    <n v="1"/>
    <x v="2"/>
  </r>
  <r>
    <n v="10696"/>
    <s v="SO-2704"/>
    <x v="59"/>
    <x v="0"/>
    <s v="ARV"/>
    <s v="Adult"/>
    <s v="SCMS from RDC"/>
    <x v="1"/>
    <s v="N/A - From RDC"/>
    <s v="Air"/>
    <m/>
    <d v="2008-07-09T00:00:00"/>
    <d v="2008-07-09T00:00:00"/>
    <d v="2008-07-09T00:00:00"/>
    <x v="9"/>
    <s v="Abacavir"/>
    <s v="Generic"/>
    <s v="300mg"/>
    <s v="Tablet"/>
    <n v="60"/>
    <n v="5730"/>
    <n v="157746.9"/>
    <n v="27.53"/>
    <n v="0.46"/>
    <n v="569"/>
    <n v="886.35"/>
    <n v="1"/>
    <x v="2"/>
  </r>
  <r>
    <n v="10708"/>
    <s v="SO-2720"/>
    <x v="60"/>
    <x v="0"/>
    <s v="ARV"/>
    <s v="Adult"/>
    <s v="SCMS from RDC"/>
    <x v="1"/>
    <s v="N/A - From RDC"/>
    <s v="Air"/>
    <m/>
    <d v="2008-07-01T00:00:00"/>
    <d v="2008-07-01T00:00:00"/>
    <d v="2008-07-01T00:00:00"/>
    <x v="16"/>
    <s v="Lamivudine"/>
    <s v="Generic"/>
    <s v="150mg"/>
    <s v="Tablet"/>
    <n v="60"/>
    <n v="23230"/>
    <n v="67599.3"/>
    <n v="2.91"/>
    <n v="0.05"/>
    <n v="1156"/>
    <n v="6308.6"/>
    <n v="1"/>
    <x v="2"/>
  </r>
  <r>
    <n v="10711"/>
    <s v="SO-17760"/>
    <x v="61"/>
    <x v="3"/>
    <s v="ARV"/>
    <s v="Adult"/>
    <s v="SCMS from RDC"/>
    <x v="1"/>
    <s v="N/A - From RDC"/>
    <s v="Air"/>
    <m/>
    <d v="2009-04-02T00:00:00"/>
    <d v="2009-04-02T00:00:00"/>
    <d v="2009-04-02T00:00:00"/>
    <x v="1"/>
    <s v="Lamivudine/Zidovudine"/>
    <s v="Generic"/>
    <s v="150/300mg"/>
    <s v="Tablet - FDC"/>
    <n v="60"/>
    <n v="3505"/>
    <n v="32771.75"/>
    <n v="9.35"/>
    <n v="0.16"/>
    <n v="6556"/>
    <n v="5401.95"/>
    <n v="1"/>
    <x v="3"/>
  </r>
  <r>
    <n v="10716"/>
    <s v="SO-17910"/>
    <x v="62"/>
    <x v="3"/>
    <s v="ARV"/>
    <s v="Adult"/>
    <s v="SCMS from RDC"/>
    <x v="1"/>
    <s v="N/A - From RDC"/>
    <s v="Air"/>
    <m/>
    <d v="2009-02-19T00:00:00"/>
    <d v="2009-02-19T00:00:00"/>
    <d v="2009-02-19T00:00:00"/>
    <x v="8"/>
    <s v="Efavirenz"/>
    <s v="Generic"/>
    <s v="600mg"/>
    <s v="Tablet"/>
    <n v="30"/>
    <n v="1747"/>
    <n v="19217"/>
    <n v="11"/>
    <n v="0.37"/>
    <n v="152"/>
    <n v="1340.96"/>
    <n v="1"/>
    <x v="3"/>
  </r>
  <r>
    <n v="10717"/>
    <s v="SO-24630"/>
    <x v="63"/>
    <x v="1"/>
    <s v="ARV"/>
    <s v="Adult"/>
    <s v="SCMS from RDC"/>
    <x v="1"/>
    <s v="N/A - From RDC"/>
    <s v="Air"/>
    <m/>
    <d v="2009-03-16T00:00:00"/>
    <d v="2009-03-16T00:00:00"/>
    <d v="2009-03-16T00:00:00"/>
    <x v="0"/>
    <s v="Nevirapine"/>
    <s v="Generic"/>
    <s v="200mg"/>
    <s v="Tablet"/>
    <n v="60"/>
    <n v="7425"/>
    <n v="23760"/>
    <n v="3.2"/>
    <n v="0.05"/>
    <n v="404"/>
    <n v="5637.82"/>
    <n v="1"/>
    <x v="3"/>
  </r>
  <r>
    <n v="10724"/>
    <s v="SO-19400"/>
    <x v="64"/>
    <x v="2"/>
    <s v="ARV"/>
    <s v="Adult"/>
    <s v="SCMS from RDC"/>
    <x v="1"/>
    <s v="N/A - From RDC"/>
    <s v="Air"/>
    <m/>
    <d v="2008-12-12T00:00:00"/>
    <d v="2008-12-12T00:00:00"/>
    <d v="2008-12-12T00:00:00"/>
    <x v="1"/>
    <s v="Lamivudine/Zidovudine"/>
    <s v="Generic"/>
    <s v="150/300mg"/>
    <s v="Tablet - FDC"/>
    <n v="60"/>
    <n v="31000"/>
    <n v="271560"/>
    <n v="8.76"/>
    <n v="0.15"/>
    <n v="1787"/>
    <n v="10073.76"/>
    <n v="1"/>
    <x v="2"/>
  </r>
  <r>
    <n v="10731"/>
    <s v="SO-17420"/>
    <x v="65"/>
    <x v="3"/>
    <s v="ARV"/>
    <s v="Adult"/>
    <s v="SCMS from RDC"/>
    <x v="1"/>
    <s v="N/A - From RDC"/>
    <s v="Air"/>
    <m/>
    <d v="2008-11-04T00:00:00"/>
    <d v="2008-11-04T00:00:00"/>
    <d v="2008-11-04T00:00:00"/>
    <x v="13"/>
    <s v="Lamivudine/Nevirapine/Stavudine"/>
    <s v="Generic"/>
    <s v="150/200/30mg"/>
    <s v="Tablet - FDC"/>
    <n v="60"/>
    <n v="2742"/>
    <n v="20290.8"/>
    <n v="7.4"/>
    <n v="0.12"/>
    <n v="204"/>
    <n v="3477"/>
    <n v="1"/>
    <x v="2"/>
  </r>
  <r>
    <n v="10734"/>
    <s v="SO-11821"/>
    <x v="66"/>
    <x v="0"/>
    <s v="ARV"/>
    <s v="Adult"/>
    <s v="SCMS from RDC"/>
    <x v="1"/>
    <s v="N/A - From RDC"/>
    <s v="Air"/>
    <m/>
    <d v="2008-09-15T00:00:00"/>
    <d v="2008-09-15T00:00:00"/>
    <d v="2008-09-15T00:00:00"/>
    <x v="8"/>
    <s v="Efavirenz"/>
    <s v="Generic"/>
    <s v="600mg"/>
    <s v="Tablet"/>
    <n v="30"/>
    <n v="5000"/>
    <n v="60050"/>
    <n v="12.01"/>
    <n v="0.4"/>
    <n v="379"/>
    <n v="1188.97"/>
    <n v="1"/>
    <x v="2"/>
  </r>
  <r>
    <n v="10737"/>
    <s v="SO-22020"/>
    <x v="67"/>
    <x v="2"/>
    <s v="ARV"/>
    <s v="Adult"/>
    <s v="SCMS from RDC"/>
    <x v="1"/>
    <s v="N/A - From RDC"/>
    <s v="Air"/>
    <m/>
    <d v="2009-03-03T00:00:00"/>
    <d v="2009-03-03T00:00:00"/>
    <d v="2009-03-03T00:00:00"/>
    <x v="8"/>
    <s v="Efavirenz"/>
    <s v="Generic"/>
    <s v="600mg"/>
    <s v="Tablet"/>
    <n v="30"/>
    <n v="28926"/>
    <n v="307194.12"/>
    <n v="10.62"/>
    <n v="0.35"/>
    <n v="4593"/>
    <n v="16901.37"/>
    <n v="1"/>
    <x v="3"/>
  </r>
  <r>
    <n v="10741"/>
    <s v="SO-2562"/>
    <x v="68"/>
    <x v="0"/>
    <s v="ARV"/>
    <s v="Adult"/>
    <s v="SCMS from RDC"/>
    <x v="1"/>
    <s v="N/A - From RDC"/>
    <s v="Truck"/>
    <m/>
    <d v="2008-08-22T00:00:00"/>
    <d v="2008-08-22T00:00:00"/>
    <d v="2008-08-22T00:00:00"/>
    <x v="1"/>
    <s v="Lamivudine/Zidovudine"/>
    <s v="Generic"/>
    <s v="150/300mg"/>
    <s v="Tablet - FDC"/>
    <n v="60"/>
    <n v="46163"/>
    <n v="436240.35"/>
    <n v="9.4499999999999993"/>
    <n v="0.16"/>
    <n v="4237"/>
    <n v="3482.59"/>
    <n v="1"/>
    <x v="2"/>
  </r>
  <r>
    <n v="10748"/>
    <s v="SO-17870"/>
    <x v="69"/>
    <x v="3"/>
    <s v="ARV"/>
    <s v="Adult"/>
    <s v="SCMS from RDC"/>
    <x v="1"/>
    <s v="N/A - From RDC"/>
    <s v="Air"/>
    <m/>
    <d v="2009-01-09T00:00:00"/>
    <d v="2009-01-09T00:00:00"/>
    <d v="2009-01-09T00:00:00"/>
    <x v="11"/>
    <s v="Lamivudine/Nevirapine/Zidovudine"/>
    <s v="Generic"/>
    <s v="150/300/200mg"/>
    <s v="Tablet - FDC"/>
    <n v="60"/>
    <n v="6296"/>
    <n v="74292.800000000003"/>
    <n v="11.8"/>
    <n v="0.2"/>
    <n v="822"/>
    <n v="7321.04"/>
    <n v="1"/>
    <x v="3"/>
  </r>
  <r>
    <n v="10754"/>
    <s v="SO-11820"/>
    <x v="70"/>
    <x v="0"/>
    <s v="ARV"/>
    <s v="Adult"/>
    <s v="SCMS from RDC"/>
    <x v="1"/>
    <s v="N/A - From RDC"/>
    <s v="Air"/>
    <m/>
    <d v="2008-08-22T00:00:00"/>
    <d v="2008-08-22T00:00:00"/>
    <d v="2008-08-22T00:00:00"/>
    <x v="8"/>
    <s v="Efavirenz"/>
    <s v="Generic"/>
    <s v="600mg"/>
    <s v="Tablet"/>
    <n v="30"/>
    <n v="145000"/>
    <n v="1741450"/>
    <n v="12.01"/>
    <n v="0.4"/>
    <n v="11186"/>
    <n v="9330"/>
    <n v="1"/>
    <x v="2"/>
  </r>
  <r>
    <n v="10766"/>
    <s v="SO-30100"/>
    <x v="71"/>
    <x v="3"/>
    <s v="ARV"/>
    <s v="Adult"/>
    <s v="SCMS from RDC"/>
    <x v="1"/>
    <s v="N/A - From RDC"/>
    <s v="Air"/>
    <m/>
    <d v="2009-06-01T00:00:00"/>
    <d v="2009-06-01T00:00:00"/>
    <d v="2009-06-01T00:00:00"/>
    <x v="1"/>
    <s v="Lamivudine/Zidovudine"/>
    <s v="Generic"/>
    <s v="150/300mg"/>
    <s v="Tablet - FDC"/>
    <n v="60"/>
    <n v="3574"/>
    <n v="31308.240000000002"/>
    <n v="8.76"/>
    <n v="0.15"/>
    <n v="14"/>
    <n v="1375.36"/>
    <n v="1"/>
    <x v="3"/>
  </r>
  <r>
    <n v="10787"/>
    <s v="SO-31280"/>
    <x v="72"/>
    <x v="0"/>
    <s v="ARV"/>
    <s v="Adult"/>
    <s v="SCMS from RDC"/>
    <x v="1"/>
    <s v="N/A - From RDC"/>
    <s v="Truck"/>
    <m/>
    <d v="2009-08-20T00:00:00"/>
    <d v="2009-08-20T00:00:00"/>
    <d v="2009-08-20T00:00:00"/>
    <x v="9"/>
    <s v="Abacavir"/>
    <s v="Generic"/>
    <s v="300mg"/>
    <s v="Tablet"/>
    <n v="60"/>
    <n v="4794"/>
    <n v="122007.3"/>
    <n v="25.45"/>
    <n v="0.42"/>
    <n v="475"/>
    <n v="3588.34"/>
    <n v="1"/>
    <x v="3"/>
  </r>
  <r>
    <n v="10797"/>
    <s v="SO-33570"/>
    <x v="73"/>
    <x v="3"/>
    <s v="ARV"/>
    <s v="Adult"/>
    <s v="SCMS from RDC"/>
    <x v="1"/>
    <s v="N/A - From RDC"/>
    <s v="Air"/>
    <m/>
    <d v="2009-10-08T00:00:00"/>
    <d v="2009-10-08T00:00:00"/>
    <d v="2009-10-08T00:00:00"/>
    <x v="13"/>
    <s v="Lamivudine/Nevirapine/Stavudine"/>
    <s v="Generic"/>
    <s v="150/200/30mg"/>
    <s v="Tablet - FDC"/>
    <n v="60"/>
    <n v="240"/>
    <n v="1680"/>
    <n v="7"/>
    <n v="0.12"/>
    <n v="23"/>
    <n v="1173.0999999999999"/>
    <n v="1"/>
    <x v="3"/>
  </r>
  <r>
    <n v="10798"/>
    <s v="SO-31283"/>
    <x v="74"/>
    <x v="0"/>
    <s v="ARV"/>
    <s v="Adult"/>
    <s v="SCMS from RDC"/>
    <x v="1"/>
    <s v="N/A - From RDC"/>
    <s v="Truck"/>
    <m/>
    <d v="2009-10-26T00:00:00"/>
    <d v="2009-10-26T00:00:00"/>
    <d v="2009-10-26T00:00:00"/>
    <x v="9"/>
    <s v="Abacavir"/>
    <s v="Generic"/>
    <s v="300mg"/>
    <s v="Tablet"/>
    <n v="60"/>
    <n v="6915"/>
    <n v="175986.75"/>
    <n v="25.45"/>
    <n v="0.42"/>
    <n v="1067"/>
    <n v="2217.5"/>
    <n v="1"/>
    <x v="3"/>
  </r>
  <r>
    <n v="10799"/>
    <s v="SO-33400"/>
    <x v="75"/>
    <x v="3"/>
    <s v="ARV"/>
    <s v="Adult"/>
    <s v="SCMS from RDC"/>
    <x v="1"/>
    <s v="N/A - From RDC"/>
    <s v="Truck"/>
    <m/>
    <d v="2009-10-12T00:00:00"/>
    <d v="2009-10-12T00:00:00"/>
    <d v="2009-10-12T00:00:00"/>
    <x v="11"/>
    <s v="Lamivudine/Nevirapine/Zidovudine"/>
    <s v="Generic"/>
    <s v="150/300/200mg"/>
    <s v="Tablet - FDC"/>
    <n v="60"/>
    <n v="14066"/>
    <n v="159649.1"/>
    <n v="11.35"/>
    <n v="0.19"/>
    <n v="1593"/>
    <n v="9547.7000000000007"/>
    <n v="1"/>
    <x v="3"/>
  </r>
  <r>
    <n v="10809"/>
    <s v="SO-249"/>
    <x v="76"/>
    <x v="1"/>
    <s v="ARV"/>
    <s v="Adult"/>
    <s v="SCMS from RDC"/>
    <x v="1"/>
    <s v="N/A - From RDC"/>
    <s v="Air"/>
    <m/>
    <d v="2007-02-01T00:00:00"/>
    <d v="2007-02-01T00:00:00"/>
    <d v="2007-02-01T00:00:00"/>
    <x v="9"/>
    <s v="Abacavir"/>
    <s v="Generic"/>
    <s v="300mg"/>
    <s v="Tablet"/>
    <n v="60"/>
    <n v="600"/>
    <n v="21480"/>
    <n v="35.799999999999997"/>
    <n v="0.6"/>
    <n v="55"/>
    <n v="913.15"/>
    <n v="1"/>
    <x v="1"/>
  </r>
  <r>
    <n v="10810"/>
    <s v="SO-290"/>
    <x v="77"/>
    <x v="1"/>
    <s v="ARV"/>
    <s v="Adult"/>
    <s v="SCMS from RDC"/>
    <x v="1"/>
    <s v="N/A - From RDC"/>
    <s v="Air"/>
    <m/>
    <d v="2007-02-05T00:00:00"/>
    <d v="2007-02-05T00:00:00"/>
    <d v="2007-02-05T00:00:00"/>
    <x v="23"/>
    <s v="Nelfinavir (as mesilate)"/>
    <s v="Viracept"/>
    <s v="250mg"/>
    <s v="Tablet"/>
    <n v="270"/>
    <n v="400"/>
    <n v="38920"/>
    <n v="97.3"/>
    <n v="0.36"/>
    <n v="108"/>
    <n v="23000.34"/>
    <n v="1"/>
    <x v="1"/>
  </r>
  <r>
    <n v="10823"/>
    <s v="SO-481"/>
    <x v="78"/>
    <x v="1"/>
    <s v="ARV"/>
    <s v="Pediatric"/>
    <s v="SCMS from RDC"/>
    <x v="1"/>
    <s v="N/A - From RDC"/>
    <s v="Air"/>
    <m/>
    <d v="2007-05-14T00:00:00"/>
    <d v="2007-05-14T00:00:00"/>
    <d v="2007-05-14T00:00:00"/>
    <x v="24"/>
    <s v="Abacavir"/>
    <s v="Generic"/>
    <s v="20mg/ml"/>
    <s v="Oral solution"/>
    <n v="240"/>
    <n v="90"/>
    <n v="1935"/>
    <n v="21.5"/>
    <n v="0.09"/>
    <n v="120"/>
    <n v="11609.31"/>
    <n v="1"/>
    <x v="1"/>
  </r>
  <r>
    <n v="10830"/>
    <s v="SO-606"/>
    <x v="79"/>
    <x v="0"/>
    <s v="ARV"/>
    <s v="Adult"/>
    <s v="SCMS from RDC"/>
    <x v="1"/>
    <s v="N/A - From RDC"/>
    <s v="Air"/>
    <m/>
    <d v="2007-07-06T00:00:00"/>
    <d v="2007-07-06T00:00:00"/>
    <d v="2007-07-06T00:00:00"/>
    <x v="9"/>
    <s v="Abacavir"/>
    <s v="Generic"/>
    <s v="300mg"/>
    <s v="Tablet"/>
    <n v="60"/>
    <n v="6781"/>
    <n v="242759.8"/>
    <n v="35.799999999999997"/>
    <n v="0.6"/>
    <n v="675"/>
    <n v="2440"/>
    <n v="1"/>
    <x v="1"/>
  </r>
  <r>
    <n v="10837"/>
    <s v="SO-428"/>
    <x v="80"/>
    <x v="0"/>
    <s v="ARV"/>
    <s v="Adult"/>
    <s v="SCMS from RDC"/>
    <x v="1"/>
    <s v="N/A - From RDC"/>
    <s v="Air"/>
    <m/>
    <d v="2007-07-06T00:00:00"/>
    <d v="2007-07-06T00:00:00"/>
    <d v="2007-07-06T00:00:00"/>
    <x v="13"/>
    <s v="Lamivudine/Nevirapine/Stavudine"/>
    <s v="Generic"/>
    <s v="150/200/30mg"/>
    <s v="Tablet - FDC"/>
    <n v="60"/>
    <n v="3386"/>
    <n v="25395"/>
    <n v="7.5"/>
    <n v="0.12"/>
    <n v="31"/>
    <n v="1589"/>
    <n v="1"/>
    <x v="1"/>
  </r>
  <r>
    <n v="10840"/>
    <s v="SO-850"/>
    <x v="81"/>
    <x v="0"/>
    <s v="ARV"/>
    <s v="Adult"/>
    <s v="SCMS from RDC"/>
    <x v="1"/>
    <s v="N/A - From RDC"/>
    <s v="N/A"/>
    <m/>
    <d v="2007-08-22T00:00:00"/>
    <d v="2007-08-22T00:00:00"/>
    <d v="2007-08-22T00:00:00"/>
    <x v="13"/>
    <s v="Lamivudine/Nevirapine/Stavudine"/>
    <s v="Generic"/>
    <s v="150/200/30mg"/>
    <s v="Tablet - FDC"/>
    <n v="60"/>
    <n v="3386"/>
    <n v="25395"/>
    <n v="7.5"/>
    <n v="0.12"/>
    <n v="345"/>
    <n v="2554.39"/>
    <n v="1"/>
    <x v="1"/>
  </r>
  <r>
    <n v="10859"/>
    <s v="SO-455"/>
    <x v="82"/>
    <x v="0"/>
    <s v="ARV"/>
    <s v="Adult"/>
    <s v="SCMS from RDC"/>
    <x v="1"/>
    <s v="N/A - From RDC"/>
    <s v="N/A"/>
    <m/>
    <d v="2007-09-10T00:00:00"/>
    <d v="2007-09-10T00:00:00"/>
    <d v="2007-09-10T00:00:00"/>
    <x v="9"/>
    <s v="Abacavir"/>
    <s v="Generic"/>
    <s v="300mg"/>
    <s v="Tablet"/>
    <n v="60"/>
    <n v="3896"/>
    <n v="139476.79999999999"/>
    <n v="35.799999999999997"/>
    <n v="0.6"/>
    <n v="3369"/>
    <n v="9689"/>
    <n v="1"/>
    <x v="1"/>
  </r>
  <r>
    <n v="10863"/>
    <s v="SO-895"/>
    <x v="83"/>
    <x v="3"/>
    <s v="ARV"/>
    <s v="Adult"/>
    <s v="SCMS from RDC"/>
    <x v="1"/>
    <s v="N/A - From RDC"/>
    <s v="Air"/>
    <m/>
    <d v="2007-08-27T00:00:00"/>
    <d v="2007-08-27T00:00:00"/>
    <d v="2007-08-27T00:00:00"/>
    <x v="0"/>
    <s v="Nevirapine"/>
    <s v="Generic"/>
    <s v="200mg"/>
    <s v="Tablet"/>
    <n v="60"/>
    <n v="1859"/>
    <n v="6320.6"/>
    <n v="3.4"/>
    <n v="0.06"/>
    <n v="214"/>
    <n v="891"/>
    <n v="1"/>
    <x v="1"/>
  </r>
  <r>
    <n v="10878"/>
    <s v="SO-914"/>
    <x v="51"/>
    <x v="2"/>
    <s v="ARV"/>
    <s v="Pediatric"/>
    <s v="SCMS from RDC"/>
    <x v="1"/>
    <s v="N/A - From RDC"/>
    <s v="N/A"/>
    <m/>
    <d v="2007-09-04T00:00:00"/>
    <d v="2007-09-04T00:00:00"/>
    <d v="2007-09-04T00:00:00"/>
    <x v="20"/>
    <s v="Zidovudine"/>
    <s v="Generic"/>
    <s v="10mg/ml"/>
    <s v="Oral solution"/>
    <n v="240"/>
    <n v="13850"/>
    <n v="29777.5"/>
    <n v="2.15"/>
    <n v="0.01"/>
    <m/>
    <m/>
    <n v="1"/>
    <x v="1"/>
  </r>
  <r>
    <n v="10879"/>
    <s v="SO-914"/>
    <x v="51"/>
    <x v="2"/>
    <s v="ARV"/>
    <s v="Pediatric"/>
    <s v="SCMS from RDC"/>
    <x v="1"/>
    <s v="N/A - From RDC"/>
    <s v="N/A"/>
    <m/>
    <d v="2007-09-04T00:00:00"/>
    <d v="2007-09-04T00:00:00"/>
    <d v="2007-09-04T00:00:00"/>
    <x v="25"/>
    <s v="Lamivudine"/>
    <s v="Generic"/>
    <s v="10mg/ml"/>
    <s v="Oral solution"/>
    <n v="240"/>
    <n v="15913"/>
    <n v="31348.61"/>
    <n v="1.97"/>
    <n v="0.01"/>
    <m/>
    <m/>
    <n v="1"/>
    <x v="1"/>
  </r>
  <r>
    <n v="10880"/>
    <s v="SO-914"/>
    <x v="51"/>
    <x v="2"/>
    <s v="ARV"/>
    <s v="Adult"/>
    <s v="SCMS from RDC"/>
    <x v="1"/>
    <s v="N/A - From RDC"/>
    <s v="N/A"/>
    <m/>
    <d v="2007-09-04T00:00:00"/>
    <d v="2007-09-04T00:00:00"/>
    <d v="2007-09-04T00:00:00"/>
    <x v="3"/>
    <s v="Stavudine"/>
    <s v="Generic"/>
    <s v="30mg"/>
    <s v="Capsule"/>
    <n v="60"/>
    <n v="14700"/>
    <n v="22344"/>
    <n v="1.52"/>
    <n v="0.03"/>
    <m/>
    <m/>
    <n v="1"/>
    <x v="1"/>
  </r>
  <r>
    <n v="10889"/>
    <s v="SO-1123"/>
    <x v="84"/>
    <x v="3"/>
    <s v="ARV"/>
    <s v="Adult"/>
    <s v="SCMS from RDC"/>
    <x v="1"/>
    <s v="N/A - From RDC"/>
    <s v="Air"/>
    <m/>
    <d v="2007-11-05T00:00:00"/>
    <d v="2007-11-05T00:00:00"/>
    <d v="2007-11-05T00:00:00"/>
    <x v="8"/>
    <s v="Efavirenz"/>
    <s v="Generic"/>
    <s v="600mg"/>
    <s v="Tablet"/>
    <n v="30"/>
    <n v="1717"/>
    <n v="21325.14"/>
    <n v="12.42"/>
    <n v="0.41"/>
    <n v="151"/>
    <n v="1157.58"/>
    <n v="1"/>
    <x v="1"/>
  </r>
  <r>
    <n v="10906"/>
    <s v="SO-1085"/>
    <x v="85"/>
    <x v="3"/>
    <s v="ARV"/>
    <s v="Adult"/>
    <s v="SCMS from RDC"/>
    <x v="1"/>
    <s v="N/A - From RDC"/>
    <s v="Air"/>
    <m/>
    <d v="2007-12-10T00:00:00"/>
    <d v="2007-12-10T00:00:00"/>
    <d v="2007-12-10T00:00:00"/>
    <x v="11"/>
    <s v="Lamivudine/Nevirapine/Zidovudine"/>
    <s v="Generic"/>
    <s v="150/300/200mg"/>
    <s v="Tablet - FDC"/>
    <n v="60"/>
    <n v="1650"/>
    <n v="22275"/>
    <n v="13.5"/>
    <n v="0.22"/>
    <n v="197"/>
    <n v="1637"/>
    <n v="1"/>
    <x v="1"/>
  </r>
  <r>
    <n v="10908"/>
    <s v="SO-1300"/>
    <x v="86"/>
    <x v="3"/>
    <s v="ARV"/>
    <s v="Adult"/>
    <s v="SCMS from RDC"/>
    <x v="1"/>
    <s v="N/A - From RDC"/>
    <s v="Air"/>
    <m/>
    <d v="2007-12-10T00:00:00"/>
    <d v="2007-12-10T00:00:00"/>
    <d v="2007-12-10T00:00:00"/>
    <x v="22"/>
    <s v="Emtricitabine/Tenofovir Disoproxil Fumarate"/>
    <s v="Truvada"/>
    <s v="300/200mg"/>
    <s v="Tablet - FDC"/>
    <n v="30"/>
    <n v="42"/>
    <n v="1102.5"/>
    <n v="26.25"/>
    <n v="0.88"/>
    <n v="464"/>
    <n v="3393"/>
    <n v="1"/>
    <x v="1"/>
  </r>
  <r>
    <n v="10917"/>
    <s v="SO-1527"/>
    <x v="87"/>
    <x v="2"/>
    <s v="ARV"/>
    <s v="Adult"/>
    <s v="SCMS from RDC"/>
    <x v="1"/>
    <s v="N/A - From RDC"/>
    <s v="Air"/>
    <m/>
    <d v="2008-02-20T00:00:00"/>
    <d v="2008-02-20T00:00:00"/>
    <d v="2008-02-20T00:00:00"/>
    <x v="26"/>
    <s v="Stavudine"/>
    <s v="Generic"/>
    <s v="20mg"/>
    <s v="Capsule"/>
    <n v="60"/>
    <n v="219"/>
    <n v="383.25"/>
    <n v="1.75"/>
    <n v="0.03"/>
    <n v="16"/>
    <n v="472.5"/>
    <n v="1"/>
    <x v="2"/>
  </r>
  <r>
    <n v="10918"/>
    <s v="SO-1514"/>
    <x v="88"/>
    <x v="2"/>
    <s v="ARV"/>
    <s v="Adult"/>
    <s v="SCMS from RDC"/>
    <x v="1"/>
    <s v="N/A - From RDC"/>
    <s v="Air"/>
    <m/>
    <d v="2007-12-20T00:00:00"/>
    <d v="2007-12-20T00:00:00"/>
    <d v="2007-12-20T00:00:00"/>
    <x v="10"/>
    <s v="Tenofovir Disoproxil Fumarate"/>
    <s v="Viread"/>
    <s v="300mg"/>
    <s v="Tablet"/>
    <n v="30"/>
    <n v="1184"/>
    <n v="20128"/>
    <n v="17"/>
    <n v="0.56999999999999995"/>
    <n v="49"/>
    <n v="639.75"/>
    <n v="1"/>
    <x v="1"/>
  </r>
  <r>
    <n v="10923"/>
    <s v="SO-1533"/>
    <x v="89"/>
    <x v="2"/>
    <s v="ARV"/>
    <s v="Pediatric"/>
    <s v="SCMS from RDC"/>
    <x v="1"/>
    <s v="N/A - From RDC"/>
    <s v="Air"/>
    <m/>
    <d v="2007-12-20T00:00:00"/>
    <d v="2007-12-20T00:00:00"/>
    <d v="2007-12-20T00:00:00"/>
    <x v="20"/>
    <s v="Zidovudine"/>
    <s v="Generic"/>
    <s v="10mg/ml"/>
    <s v="Oral solution"/>
    <n v="240"/>
    <n v="1926"/>
    <n v="4140.8999999999996"/>
    <n v="2.15"/>
    <n v="0.01"/>
    <n v="807"/>
    <n v="2511.67"/>
    <n v="1"/>
    <x v="1"/>
  </r>
  <r>
    <n v="10929"/>
    <s v="SO-1525"/>
    <x v="90"/>
    <x v="2"/>
    <s v="ARV"/>
    <s v="Pediatric"/>
    <s v="SCMS from RDC"/>
    <x v="1"/>
    <s v="N/A - From RDC"/>
    <s v="Air"/>
    <m/>
    <d v="2007-12-17T00:00:00"/>
    <d v="2007-12-17T00:00:00"/>
    <d v="2007-12-17T00:00:00"/>
    <x v="27"/>
    <s v="Efavirenz"/>
    <s v="Stocrin/Sustiva"/>
    <s v="200mg"/>
    <s v="Capsule"/>
    <n v="90"/>
    <n v="1692"/>
    <n v="27072"/>
    <n v="16"/>
    <n v="0.18"/>
    <n v="182"/>
    <n v="1722"/>
    <n v="1"/>
    <x v="1"/>
  </r>
  <r>
    <n v="10931"/>
    <s v="SO-1513"/>
    <x v="91"/>
    <x v="2"/>
    <s v="ARV"/>
    <s v="Adult"/>
    <s v="SCMS from RDC"/>
    <x v="1"/>
    <s v="N/A - From RDC"/>
    <s v="Air"/>
    <m/>
    <d v="2008-01-10T00:00:00"/>
    <d v="2008-01-10T00:00:00"/>
    <d v="2008-01-10T00:00:00"/>
    <x v="10"/>
    <s v="Tenofovir Disoproxil Fumarate"/>
    <s v="Viread"/>
    <s v="300mg"/>
    <s v="Tablet"/>
    <n v="30"/>
    <n v="591"/>
    <n v="10047"/>
    <n v="17"/>
    <n v="0.56999999999999995"/>
    <n v="37"/>
    <n v="504"/>
    <n v="1"/>
    <x v="2"/>
  </r>
  <r>
    <n v="10933"/>
    <s v="SO-1515"/>
    <x v="92"/>
    <x v="1"/>
    <s v="ARV"/>
    <s v="Adult"/>
    <s v="SCMS from RDC"/>
    <x v="1"/>
    <s v="N/A - From RDC"/>
    <s v="Air"/>
    <m/>
    <d v="2008-01-28T00:00:00"/>
    <d v="2008-01-28T00:00:00"/>
    <d v="2008-01-28T00:00:00"/>
    <x v="16"/>
    <s v="Lamivudine"/>
    <s v="Generic"/>
    <s v="150mg"/>
    <s v="Tablet"/>
    <n v="60"/>
    <n v="3150"/>
    <n v="9576"/>
    <n v="3.04"/>
    <n v="0.05"/>
    <n v="165"/>
    <n v="2559.2800000000002"/>
    <n v="1"/>
    <x v="2"/>
  </r>
  <r>
    <n v="10936"/>
    <s v="SO-1532"/>
    <x v="93"/>
    <x v="2"/>
    <s v="ARV"/>
    <s v="Adult"/>
    <s v="SCMS from RDC"/>
    <x v="1"/>
    <s v="N/A - From RDC"/>
    <s v="Air"/>
    <m/>
    <d v="2008-01-31T00:00:00"/>
    <d v="2008-01-31T00:00:00"/>
    <d v="2008-01-31T00:00:00"/>
    <x v="0"/>
    <s v="Nevirapine"/>
    <s v="Generic"/>
    <s v="200mg"/>
    <s v="Tablet"/>
    <n v="60"/>
    <n v="7511"/>
    <n v="25537.4"/>
    <n v="3.4"/>
    <n v="0.06"/>
    <n v="732"/>
    <n v="2724.27"/>
    <n v="1"/>
    <x v="2"/>
  </r>
  <r>
    <n v="10940"/>
    <s v="SO-1648"/>
    <x v="94"/>
    <x v="0"/>
    <s v="ARV"/>
    <s v="Pediatric"/>
    <s v="SCMS from RDC"/>
    <x v="1"/>
    <s v="N/A - From RDC"/>
    <s v="Air"/>
    <m/>
    <d v="2008-02-25T00:00:00"/>
    <d v="2008-02-25T00:00:00"/>
    <d v="2008-02-25T00:00:00"/>
    <x v="28"/>
    <s v="Didanosine"/>
    <s v="Generic"/>
    <s v="100mg"/>
    <s v="Chewable/dispersible tablet"/>
    <n v="60"/>
    <n v="2273"/>
    <n v="17615.75"/>
    <n v="7.75"/>
    <n v="0.13"/>
    <n v="2749"/>
    <n v="10654.94"/>
    <n v="1"/>
    <x v="2"/>
  </r>
  <r>
    <n v="10943"/>
    <s v="SO-1719"/>
    <x v="95"/>
    <x v="2"/>
    <s v="ARV"/>
    <s v="Adult"/>
    <s v="SCMS from RDC"/>
    <x v="1"/>
    <s v="N/A - From RDC"/>
    <s v="Air"/>
    <m/>
    <d v="2008-02-05T00:00:00"/>
    <d v="2008-02-05T00:00:00"/>
    <d v="2008-02-05T00:00:00"/>
    <x v="29"/>
    <s v="Zidovudine"/>
    <s v="Generic"/>
    <s v="300mg"/>
    <s v="Tablet"/>
    <n v="60"/>
    <n v="10000"/>
    <n v="81500"/>
    <n v="8.15"/>
    <n v="0.14000000000000001"/>
    <n v="574"/>
    <n v="3787.32"/>
    <n v="1"/>
    <x v="2"/>
  </r>
  <r>
    <n v="10947"/>
    <s v="SO-2662"/>
    <x v="96"/>
    <x v="0"/>
    <s v="ARV"/>
    <s v="Adult"/>
    <s v="SCMS from RDC"/>
    <x v="1"/>
    <s v="N/A - From RDC"/>
    <s v="Air"/>
    <m/>
    <d v="2008-07-09T00:00:00"/>
    <d v="2008-07-09T00:00:00"/>
    <d v="2008-07-09T00:00:00"/>
    <x v="16"/>
    <s v="Lamivudine"/>
    <s v="Generic"/>
    <s v="150mg"/>
    <s v="Tablet"/>
    <n v="60"/>
    <n v="11181"/>
    <n v="32536.71"/>
    <n v="2.91"/>
    <n v="0.05"/>
    <n v="566"/>
    <n v="3594.6"/>
    <n v="1"/>
    <x v="2"/>
  </r>
  <r>
    <n v="10949"/>
    <s v="SO-2000"/>
    <x v="97"/>
    <x v="0"/>
    <s v="ARV"/>
    <s v="Adult"/>
    <s v="SCMS from RDC"/>
    <x v="1"/>
    <s v="N/A - From RDC"/>
    <s v="N/A"/>
    <m/>
    <d v="2008-04-30T00:00:00"/>
    <d v="2008-04-30T00:00:00"/>
    <d v="2008-04-30T00:00:00"/>
    <x v="14"/>
    <s v="Lopinavir/Ritonavir"/>
    <s v="Aluvia"/>
    <s v="200/50mg"/>
    <s v="Tablet"/>
    <n v="120"/>
    <n v="2580"/>
    <n v="106038"/>
    <n v="41.1"/>
    <n v="0.34"/>
    <n v="559"/>
    <n v="3562.4"/>
    <n v="1"/>
    <x v="2"/>
  </r>
  <r>
    <n v="10950"/>
    <s v="SO-2560"/>
    <x v="56"/>
    <x v="0"/>
    <s v="ARV"/>
    <s v="Adult"/>
    <s v="SCMS from RDC"/>
    <x v="1"/>
    <s v="N/A - From RDC"/>
    <s v="Air"/>
    <m/>
    <d v="2008-07-29T00:00:00"/>
    <d v="2008-07-29T00:00:00"/>
    <d v="2008-07-29T00:00:00"/>
    <x v="0"/>
    <s v="Nevirapine"/>
    <s v="Generic"/>
    <s v="200mg"/>
    <s v="Tablet"/>
    <n v="60"/>
    <n v="50288"/>
    <n v="170979.20000000001"/>
    <n v="3.4"/>
    <n v="0.06"/>
    <m/>
    <m/>
    <n v="1"/>
    <x v="2"/>
  </r>
  <r>
    <n v="10960"/>
    <s v="SO-1695"/>
    <x v="98"/>
    <x v="0"/>
    <s v="ARV"/>
    <s v="Adult"/>
    <s v="SCMS from RDC"/>
    <x v="1"/>
    <s v="N/A - From RDC"/>
    <s v="N/A"/>
    <m/>
    <d v="2008-04-22T00:00:00"/>
    <d v="2008-04-23T00:00:00"/>
    <d v="2008-04-23T00:00:00"/>
    <x v="1"/>
    <s v="Lamivudine/Zidovudine"/>
    <s v="Generic"/>
    <s v="150/300mg"/>
    <s v="Tablet - FDC"/>
    <n v="60"/>
    <n v="51364"/>
    <n v="487958"/>
    <n v="9.5"/>
    <n v="0.16"/>
    <n v="5372"/>
    <n v="16430.72"/>
    <n v="0"/>
    <x v="2"/>
  </r>
  <r>
    <n v="10964"/>
    <s v="SO-2791"/>
    <x v="99"/>
    <x v="3"/>
    <s v="ARV"/>
    <s v="Pediatric"/>
    <s v="SCMS from RDC"/>
    <x v="1"/>
    <s v="N/A - From RDC"/>
    <s v="Air"/>
    <m/>
    <d v="2008-07-11T00:00:00"/>
    <d v="2008-07-11T00:00:00"/>
    <d v="2008-07-11T00:00:00"/>
    <x v="20"/>
    <s v="Zidovudine"/>
    <s v="Generic"/>
    <s v="10mg/ml"/>
    <s v="Oral solution"/>
    <n v="240"/>
    <n v="4296"/>
    <n v="9021.6"/>
    <n v="2.1"/>
    <n v="0.01"/>
    <n v="1600"/>
    <n v="10314.280000000001"/>
    <n v="1"/>
    <x v="2"/>
  </r>
  <r>
    <n v="10966"/>
    <s v="SO-2674"/>
    <x v="100"/>
    <x v="3"/>
    <s v="ARV"/>
    <s v="Adult"/>
    <s v="SCMS from RDC"/>
    <x v="1"/>
    <s v="N/A - From RDC"/>
    <s v="Air"/>
    <m/>
    <d v="2008-07-11T00:00:00"/>
    <d v="2008-07-11T00:00:00"/>
    <d v="2008-07-11T00:00:00"/>
    <x v="0"/>
    <s v="Nevirapine"/>
    <s v="Generic"/>
    <s v="200mg"/>
    <s v="Tablet"/>
    <n v="60"/>
    <n v="1061"/>
    <n v="3607.4"/>
    <n v="3.4"/>
    <n v="0.06"/>
    <n v="106"/>
    <n v="1054.52"/>
    <n v="1"/>
    <x v="2"/>
  </r>
  <r>
    <n v="10972"/>
    <s v="SO-1518"/>
    <x v="101"/>
    <x v="2"/>
    <s v="ARV"/>
    <s v="Adult"/>
    <s v="SCMS from RDC"/>
    <x v="1"/>
    <s v="N/A - From RDC"/>
    <s v="Air"/>
    <m/>
    <d v="2008-03-21T00:00:00"/>
    <d v="2008-03-21T00:00:00"/>
    <d v="2008-03-21T00:00:00"/>
    <x v="1"/>
    <s v="Lamivudine/Zidovudine"/>
    <s v="Generic"/>
    <s v="150/300mg"/>
    <s v="Tablet - FDC"/>
    <n v="60"/>
    <n v="65524"/>
    <n v="622478"/>
    <n v="9.5"/>
    <n v="0.16"/>
    <n v="14599"/>
    <n v="32146.52"/>
    <n v="1"/>
    <x v="2"/>
  </r>
  <r>
    <n v="10982"/>
    <s v="SO-1696"/>
    <x v="102"/>
    <x v="0"/>
    <s v="ARV"/>
    <s v="Pediatric"/>
    <s v="SCMS from RDC"/>
    <x v="1"/>
    <s v="N/A - From RDC"/>
    <s v="Air"/>
    <m/>
    <d v="2008-07-09T00:00:00"/>
    <d v="2008-07-09T00:00:00"/>
    <d v="2008-07-09T00:00:00"/>
    <x v="28"/>
    <s v="Didanosine"/>
    <s v="Generic"/>
    <s v="100mg"/>
    <s v="Chewable/dispersible tablet"/>
    <n v="60"/>
    <n v="11640"/>
    <n v="90210"/>
    <n v="7.75"/>
    <n v="0.13"/>
    <n v="16778"/>
    <n v="9043.65"/>
    <n v="1"/>
    <x v="2"/>
  </r>
  <r>
    <n v="10986"/>
    <s v="SO-13190"/>
    <x v="103"/>
    <x v="0"/>
    <s v="ARV"/>
    <s v="Adult"/>
    <s v="SCMS from RDC"/>
    <x v="1"/>
    <s v="N/A - From RDC"/>
    <s v="Air"/>
    <m/>
    <d v="2008-10-21T00:00:00"/>
    <d v="2008-10-21T00:00:00"/>
    <d v="2008-10-21T00:00:00"/>
    <x v="13"/>
    <s v="Lamivudine/Nevirapine/Stavudine"/>
    <s v="Generic"/>
    <s v="150/200/30mg"/>
    <s v="Tablet - FDC"/>
    <n v="60"/>
    <n v="90323"/>
    <n v="668390.19999999995"/>
    <n v="7.4"/>
    <n v="0.12"/>
    <n v="9635"/>
    <n v="52979.7"/>
    <n v="1"/>
    <x v="2"/>
  </r>
  <r>
    <n v="10995"/>
    <s v="SO-17720"/>
    <x v="104"/>
    <x v="3"/>
    <s v="ARV"/>
    <s v="Adult"/>
    <s v="SCMS from RDC"/>
    <x v="1"/>
    <s v="N/A - From RDC"/>
    <s v="Air"/>
    <m/>
    <d v="2009-02-04T00:00:00"/>
    <d v="2009-02-04T00:00:00"/>
    <d v="2009-02-04T00:00:00"/>
    <x v="11"/>
    <s v="Lamivudine/Nevirapine/Zidovudine"/>
    <s v="Generic"/>
    <s v="150/300/200mg"/>
    <s v="Tablet - FDC"/>
    <n v="60"/>
    <n v="20000"/>
    <n v="236000"/>
    <n v="11.8"/>
    <n v="0.2"/>
    <n v="2283"/>
    <n v="13586.1"/>
    <n v="1"/>
    <x v="3"/>
  </r>
  <r>
    <n v="10999"/>
    <s v="SO-2566"/>
    <x v="105"/>
    <x v="0"/>
    <s v="ARV"/>
    <s v="Adult"/>
    <s v="SCMS from RDC"/>
    <x v="1"/>
    <s v="N/A - From RDC"/>
    <s v="Truck"/>
    <m/>
    <d v="2008-09-23T00:00:00"/>
    <d v="2008-09-23T00:00:00"/>
    <d v="2008-09-23T00:00:00"/>
    <x v="13"/>
    <s v="Lamivudine/Nevirapine/Stavudine"/>
    <s v="Generic"/>
    <s v="150/200/30mg"/>
    <s v="Tablet - FDC"/>
    <n v="60"/>
    <n v="123317"/>
    <n v="912545.8"/>
    <n v="7.4"/>
    <n v="0.12"/>
    <n v="13253"/>
    <n v="64506.78"/>
    <n v="1"/>
    <x v="2"/>
  </r>
  <r>
    <n v="11000"/>
    <s v="SO-17890"/>
    <x v="106"/>
    <x v="3"/>
    <s v="ARV"/>
    <s v="Adult"/>
    <s v="SCMS from RDC"/>
    <x v="1"/>
    <s v="N/A - From RDC"/>
    <s v="Air"/>
    <m/>
    <d v="2009-03-19T00:00:00"/>
    <d v="2009-03-19T00:00:00"/>
    <d v="2009-03-19T00:00:00"/>
    <x v="11"/>
    <s v="Lamivudine/Nevirapine/Zidovudine"/>
    <s v="Generic"/>
    <s v="150/300/200mg"/>
    <s v="Tablet - FDC"/>
    <n v="60"/>
    <n v="1893"/>
    <n v="22337.4"/>
    <n v="11.8"/>
    <n v="0.2"/>
    <n v="215"/>
    <n v="2408.91"/>
    <n v="1"/>
    <x v="3"/>
  </r>
  <r>
    <n v="11001"/>
    <s v="SO-17830"/>
    <x v="107"/>
    <x v="3"/>
    <s v="ARV"/>
    <s v="Adult"/>
    <s v="SCMS from RDC"/>
    <x v="1"/>
    <s v="N/A - From RDC"/>
    <s v="Air"/>
    <m/>
    <d v="2008-12-09T00:00:00"/>
    <d v="2008-12-09T00:00:00"/>
    <d v="2008-12-09T00:00:00"/>
    <x v="14"/>
    <s v="Lopinavir/Ritonavir"/>
    <s v="Aluvia"/>
    <s v="200/50mg"/>
    <s v="Tablet"/>
    <n v="120"/>
    <n v="42"/>
    <n v="1726.2"/>
    <n v="41.1"/>
    <n v="0.34"/>
    <n v="123"/>
    <n v="845.37"/>
    <n v="1"/>
    <x v="2"/>
  </r>
  <r>
    <n v="11017"/>
    <s v="SO-17780"/>
    <x v="108"/>
    <x v="3"/>
    <s v="ARV"/>
    <s v="Adult"/>
    <s v="SCMS from RDC"/>
    <x v="1"/>
    <s v="N/A - From RDC"/>
    <s v="Air"/>
    <m/>
    <d v="2008-12-02T00:00:00"/>
    <d v="2008-12-02T00:00:00"/>
    <d v="2008-12-02T00:00:00"/>
    <x v="16"/>
    <s v="Lamivudine"/>
    <s v="Generic"/>
    <s v="150mg"/>
    <s v="Tablet"/>
    <n v="60"/>
    <n v="500"/>
    <n v="1450"/>
    <n v="2.9"/>
    <n v="0.05"/>
    <n v="26"/>
    <n v="1096.71"/>
    <n v="1"/>
    <x v="2"/>
  </r>
  <r>
    <n v="11019"/>
    <s v="SO-22010"/>
    <x v="109"/>
    <x v="2"/>
    <s v="ARV"/>
    <s v="Adult"/>
    <s v="SCMS from RDC"/>
    <x v="1"/>
    <s v="N/A - From RDC"/>
    <s v="Air"/>
    <m/>
    <d v="2009-01-29T00:00:00"/>
    <d v="2009-01-29T00:00:00"/>
    <d v="2009-01-29T00:00:00"/>
    <x v="10"/>
    <s v="Tenofovir Disoproxil Fumarate"/>
    <s v="Viread"/>
    <s v="300mg"/>
    <s v="Tablet"/>
    <n v="30"/>
    <n v="3068"/>
    <n v="52156"/>
    <n v="17"/>
    <n v="0.56999999999999995"/>
    <n v="2002"/>
    <n v="10460.94"/>
    <n v="1"/>
    <x v="3"/>
  </r>
  <r>
    <n v="11032"/>
    <s v="SO-27300"/>
    <x v="110"/>
    <x v="1"/>
    <s v="ARV"/>
    <s v="Adult"/>
    <s v="SCMS from RDC"/>
    <x v="1"/>
    <s v="N/A - From RDC"/>
    <s v="Air"/>
    <m/>
    <d v="2009-04-27T00:00:00"/>
    <d v="2009-04-27T00:00:00"/>
    <d v="2009-04-27T00:00:00"/>
    <x v="0"/>
    <s v="Nevirapine"/>
    <s v="Generic"/>
    <s v="200mg"/>
    <s v="Tablet"/>
    <n v="60"/>
    <n v="7350"/>
    <n v="22050"/>
    <n v="3"/>
    <n v="0.05"/>
    <n v="404"/>
    <n v="3366.98"/>
    <n v="1"/>
    <x v="3"/>
  </r>
  <r>
    <n v="11033"/>
    <s v="SO-18740"/>
    <x v="111"/>
    <x v="0"/>
    <s v="ARV"/>
    <s v="Adult"/>
    <s v="SCMS from RDC"/>
    <x v="1"/>
    <s v="N/A - From RDC"/>
    <s v="Truck"/>
    <m/>
    <d v="2009-05-11T00:00:00"/>
    <d v="2009-05-11T00:00:00"/>
    <d v="2009-05-11T00:00:00"/>
    <x v="22"/>
    <s v="Emtricitabine/Tenofovir Disoproxil Fumarate"/>
    <s v="Truvada"/>
    <s v="300/200mg"/>
    <s v="Tablet - FDC"/>
    <n v="30"/>
    <n v="37440"/>
    <n v="982800"/>
    <n v="26.25"/>
    <n v="0.88"/>
    <n v="5712"/>
    <n v="5873"/>
    <n v="1"/>
    <x v="3"/>
  </r>
  <r>
    <n v="11041"/>
    <s v="SO-26150"/>
    <x v="112"/>
    <x v="3"/>
    <s v="ARV"/>
    <s v="Adult"/>
    <s v="SCMS from RDC"/>
    <x v="1"/>
    <s v="N/A - From RDC"/>
    <s v="Air"/>
    <m/>
    <d v="2009-06-01T00:00:00"/>
    <d v="2009-06-01T00:00:00"/>
    <d v="2009-06-01T00:00:00"/>
    <x v="22"/>
    <s v="Emtricitabine/Tenofovir Disoproxil Fumarate"/>
    <s v="Truvada"/>
    <s v="300/200mg"/>
    <s v="Tablet - FDC"/>
    <n v="30"/>
    <n v="260"/>
    <n v="6825"/>
    <n v="26.25"/>
    <n v="0.88"/>
    <n v="28"/>
    <n v="1180.71"/>
    <n v="1"/>
    <x v="3"/>
  </r>
  <r>
    <n v="11042"/>
    <s v="SO-26151"/>
    <x v="113"/>
    <x v="3"/>
    <s v="ARV"/>
    <s v="Adult"/>
    <s v="SCMS from RDC"/>
    <x v="1"/>
    <s v="N/A - From RDC"/>
    <s v="Air"/>
    <m/>
    <d v="2009-05-22T00:00:00"/>
    <d v="2009-05-22T00:00:00"/>
    <d v="2009-05-22T00:00:00"/>
    <x v="16"/>
    <s v="Lamivudine"/>
    <s v="Generic"/>
    <s v="150mg"/>
    <s v="Tablet"/>
    <n v="60"/>
    <n v="90"/>
    <n v="219.6"/>
    <n v="2.44"/>
    <n v="0.04"/>
    <n v="5"/>
    <n v="537.32000000000005"/>
    <n v="1"/>
    <x v="3"/>
  </r>
  <r>
    <n v="11043"/>
    <s v="SO-30060"/>
    <x v="114"/>
    <x v="3"/>
    <s v="ARV"/>
    <s v="Adult"/>
    <s v="SCMS from RDC"/>
    <x v="1"/>
    <s v="N/A - From RDC"/>
    <s v="Air"/>
    <m/>
    <d v="2009-06-01T00:00:00"/>
    <d v="2009-06-01T00:00:00"/>
    <d v="2009-06-01T00:00:00"/>
    <x v="14"/>
    <s v="Lopinavir/Ritonavir"/>
    <s v="Aluvia"/>
    <s v="200/50mg"/>
    <s v="Tablet"/>
    <n v="120"/>
    <n v="100"/>
    <n v="4110"/>
    <n v="41.1"/>
    <n v="0.34"/>
    <n v="23"/>
    <n v="1152.6300000000001"/>
    <n v="1"/>
    <x v="3"/>
  </r>
  <r>
    <n v="11052"/>
    <s v="SO-31140"/>
    <x v="115"/>
    <x v="3"/>
    <s v="ARV"/>
    <s v="Adult"/>
    <s v="SCMS from RDC"/>
    <x v="1"/>
    <s v="N/A - From RDC"/>
    <s v="Air"/>
    <m/>
    <d v="2009-06-01T00:00:00"/>
    <d v="2009-06-01T00:00:00"/>
    <d v="2009-06-01T00:00:00"/>
    <x v="29"/>
    <s v="Zidovudine"/>
    <s v="Generic"/>
    <s v="300mg"/>
    <s v="Tablet"/>
    <n v="60"/>
    <n v="105"/>
    <n v="809.55"/>
    <n v="7.71"/>
    <n v="0.13"/>
    <n v="6"/>
    <n v="1053.8599999999999"/>
    <n v="1"/>
    <x v="3"/>
  </r>
  <r>
    <n v="11055"/>
    <s v="SO-31360"/>
    <x v="116"/>
    <x v="3"/>
    <s v="ARV"/>
    <s v="Adult"/>
    <s v="SCMS from RDC"/>
    <x v="1"/>
    <s v="N/A - From RDC"/>
    <s v="Air"/>
    <m/>
    <d v="2009-06-22T00:00:00"/>
    <d v="2009-06-22T00:00:00"/>
    <d v="2009-06-22T00:00:00"/>
    <x v="11"/>
    <s v="Lamivudine/Nevirapine/Zidovudine"/>
    <s v="Generic"/>
    <s v="150/300/200mg"/>
    <s v="Tablet - FDC"/>
    <n v="60"/>
    <n v="11216"/>
    <n v="127301.6"/>
    <n v="11.35"/>
    <n v="0.19"/>
    <n v="1894"/>
    <n v="13293.41"/>
    <n v="1"/>
    <x v="3"/>
  </r>
  <r>
    <n v="11067"/>
    <s v="SO-32960"/>
    <x v="117"/>
    <x v="3"/>
    <s v="ARV"/>
    <s v="Adult"/>
    <s v="SCMS from RDC"/>
    <x v="1"/>
    <s v="N/A - From RDC"/>
    <s v="Air"/>
    <m/>
    <d v="2009-09-14T00:00:00"/>
    <d v="2009-09-14T00:00:00"/>
    <d v="2009-09-14T00:00:00"/>
    <x v="29"/>
    <s v="Zidovudine"/>
    <s v="Generic"/>
    <s v="300mg"/>
    <s v="Tablet"/>
    <n v="60"/>
    <n v="192"/>
    <n v="1445.76"/>
    <n v="7.53"/>
    <n v="0.13"/>
    <n v="11"/>
    <n v="1112.31"/>
    <n v="1"/>
    <x v="3"/>
  </r>
  <r>
    <n v="11068"/>
    <s v="SO-30150"/>
    <x v="118"/>
    <x v="3"/>
    <s v="ARV"/>
    <s v="Adult"/>
    <s v="SCMS from RDC"/>
    <x v="1"/>
    <s v="N/A - From RDC"/>
    <s v="Air"/>
    <m/>
    <d v="2009-10-08T00:00:00"/>
    <d v="2009-10-08T00:00:00"/>
    <d v="2009-10-08T00:00:00"/>
    <x v="8"/>
    <s v="Efavirenz"/>
    <s v="Generic"/>
    <s v="600mg"/>
    <s v="Tablet"/>
    <n v="30"/>
    <n v="3740"/>
    <n v="26441.8"/>
    <n v="7.07"/>
    <n v="0.24"/>
    <n v="322"/>
    <n v="3054.1"/>
    <n v="1"/>
    <x v="3"/>
  </r>
  <r>
    <n v="11138"/>
    <s v="SO-441"/>
    <x v="119"/>
    <x v="0"/>
    <s v="ARV"/>
    <s v="Adult"/>
    <s v="SCMS from RDC"/>
    <x v="1"/>
    <s v="N/A - From RDC"/>
    <s v="Air"/>
    <m/>
    <d v="2007-08-13T00:00:00"/>
    <d v="2007-08-13T00:00:00"/>
    <d v="2007-08-13T00:00:00"/>
    <x v="14"/>
    <s v="Lopinavir/Ritonavir"/>
    <s v="Aluvia"/>
    <s v="200/50mg"/>
    <s v="Tablet"/>
    <n v="120"/>
    <n v="3000"/>
    <n v="123300"/>
    <n v="41.1"/>
    <n v="0.34"/>
    <n v="1422"/>
    <n v="4198"/>
    <n v="1"/>
    <x v="1"/>
  </r>
  <r>
    <n v="11139"/>
    <s v="SO-496"/>
    <x v="120"/>
    <x v="0"/>
    <s v="ARV"/>
    <s v="Adult"/>
    <s v="SCMS from RDC"/>
    <x v="1"/>
    <s v="N/A - From RDC"/>
    <s v="Air"/>
    <m/>
    <d v="2007-07-30T00:00:00"/>
    <d v="2007-07-30T00:00:00"/>
    <d v="2007-07-30T00:00:00"/>
    <x v="30"/>
    <s v="Ritonavir"/>
    <s v="Norvir"/>
    <s v="100mg"/>
    <s v="Capsule"/>
    <n v="336"/>
    <n v="157"/>
    <n v="6022.52"/>
    <n v="38.36"/>
    <n v="0.11"/>
    <n v="547"/>
    <n v="2094"/>
    <n v="1"/>
    <x v="1"/>
  </r>
  <r>
    <n v="11153"/>
    <s v="SO-456"/>
    <x v="121"/>
    <x v="0"/>
    <s v="ARV"/>
    <s v="Adult"/>
    <s v="SCMS from RDC"/>
    <x v="1"/>
    <s v="N/A - From RDC"/>
    <s v="Air"/>
    <m/>
    <d v="2007-08-29T00:00:00"/>
    <d v="2007-08-29T00:00:00"/>
    <d v="2007-08-29T00:00:00"/>
    <x v="8"/>
    <s v="Efavirenz"/>
    <s v="Generic"/>
    <s v="600mg"/>
    <s v="Tablet"/>
    <n v="30"/>
    <n v="23814"/>
    <n v="387215.64"/>
    <n v="16.260000000000002"/>
    <n v="0.54"/>
    <n v="2102"/>
    <n v="5834"/>
    <n v="1"/>
    <x v="1"/>
  </r>
  <r>
    <n v="11156"/>
    <s v="SO-896"/>
    <x v="122"/>
    <x v="3"/>
    <s v="ARV"/>
    <s v="Adult"/>
    <s v="SCMS from RDC"/>
    <x v="1"/>
    <s v="N/A - From RDC"/>
    <s v="N/A"/>
    <m/>
    <d v="2007-10-17T00:00:00"/>
    <d v="2007-10-17T00:00:00"/>
    <d v="2007-10-17T00:00:00"/>
    <x v="3"/>
    <s v="Stavudine"/>
    <s v="Generic"/>
    <s v="30mg"/>
    <s v="Capsule"/>
    <n v="60"/>
    <n v="294"/>
    <n v="446.88"/>
    <n v="1.52"/>
    <n v="0.03"/>
    <n v="14"/>
    <n v="632.6"/>
    <n v="1"/>
    <x v="1"/>
  </r>
  <r>
    <n v="11160"/>
    <s v="SO-1080"/>
    <x v="50"/>
    <x v="3"/>
    <s v="ARV"/>
    <s v="Adult"/>
    <s v="SCMS from RDC"/>
    <x v="1"/>
    <s v="N/A - From RDC"/>
    <s v="Air"/>
    <m/>
    <d v="2007-11-05T00:00:00"/>
    <d v="2007-11-05T00:00:00"/>
    <d v="2007-11-05T00:00:00"/>
    <x v="8"/>
    <s v="Efavirenz"/>
    <s v="Generic"/>
    <s v="600mg"/>
    <s v="Tablet"/>
    <n v="30"/>
    <n v="1717"/>
    <n v="21325.14"/>
    <n v="12.42"/>
    <n v="0.41"/>
    <m/>
    <m/>
    <n v="1"/>
    <x v="1"/>
  </r>
  <r>
    <n v="11174"/>
    <s v="SO-914"/>
    <x v="51"/>
    <x v="2"/>
    <s v="ARV"/>
    <s v="Adult"/>
    <s v="SCMS from RDC"/>
    <x v="1"/>
    <s v="N/A - From RDC"/>
    <s v="N/A"/>
    <m/>
    <d v="2007-09-04T00:00:00"/>
    <d v="2007-09-04T00:00:00"/>
    <d v="2007-09-04T00:00:00"/>
    <x v="16"/>
    <s v="Lamivudine"/>
    <s v="Generic"/>
    <s v="150mg"/>
    <s v="Tablet"/>
    <n v="60"/>
    <n v="60029"/>
    <n v="182488.16"/>
    <n v="3.04"/>
    <n v="0.05"/>
    <m/>
    <m/>
    <n v="1"/>
    <x v="1"/>
  </r>
  <r>
    <n v="11198"/>
    <s v="SO-1300"/>
    <x v="86"/>
    <x v="3"/>
    <s v="ARV"/>
    <s v="Adult"/>
    <s v="SCMS from RDC"/>
    <x v="1"/>
    <s v="N/A - From RDC"/>
    <s v="Air"/>
    <m/>
    <d v="2007-12-10T00:00:00"/>
    <d v="2007-12-10T00:00:00"/>
    <d v="2007-12-10T00:00:00"/>
    <x v="11"/>
    <s v="Lamivudine/Nevirapine/Zidovudine"/>
    <s v="Generic"/>
    <s v="150/300/200mg"/>
    <s v="Tablet - FDC"/>
    <n v="60"/>
    <n v="3930"/>
    <n v="80565"/>
    <n v="20.5"/>
    <n v="0.34"/>
    <m/>
    <m/>
    <n v="1"/>
    <x v="1"/>
  </r>
  <r>
    <n v="11217"/>
    <s v="SO-1542"/>
    <x v="123"/>
    <x v="2"/>
    <s v="ARV"/>
    <s v="Adult"/>
    <s v="SCMS from RDC"/>
    <x v="1"/>
    <s v="N/A - From RDC"/>
    <s v="Air"/>
    <m/>
    <d v="2007-12-20T00:00:00"/>
    <d v="2007-12-20T00:00:00"/>
    <d v="2007-12-20T00:00:00"/>
    <x v="1"/>
    <s v="Lamivudine/Zidovudine"/>
    <s v="Generic"/>
    <s v="150/300mg"/>
    <s v="Tablet - FDC"/>
    <n v="60"/>
    <n v="9692"/>
    <n v="92074"/>
    <n v="9.5"/>
    <n v="0.16"/>
    <n v="1215"/>
    <n v="6346.22"/>
    <n v="1"/>
    <x v="1"/>
  </r>
  <r>
    <n v="11225"/>
    <s v="SO-1682"/>
    <x v="124"/>
    <x v="1"/>
    <s v="ARV"/>
    <s v="Adult"/>
    <s v="SCMS from RDC"/>
    <x v="1"/>
    <s v="N/A - From RDC"/>
    <s v="Air"/>
    <m/>
    <d v="2008-01-28T00:00:00"/>
    <d v="2008-01-28T00:00:00"/>
    <d v="2008-01-28T00:00:00"/>
    <x v="3"/>
    <s v="Stavudine"/>
    <s v="Generic"/>
    <s v="30mg"/>
    <s v="Capsule"/>
    <n v="60"/>
    <n v="392"/>
    <n v="842.8"/>
    <n v="2.15"/>
    <n v="0.04"/>
    <n v="29"/>
    <n v="1372.38"/>
    <n v="1"/>
    <x v="2"/>
  </r>
  <r>
    <n v="11226"/>
    <s v="SO-1647"/>
    <x v="53"/>
    <x v="0"/>
    <s v="ARV"/>
    <s v="Adult"/>
    <s v="SCMS from RDC"/>
    <x v="1"/>
    <s v="N/A - From RDC"/>
    <s v="Air"/>
    <m/>
    <d v="2008-02-06T00:00:00"/>
    <d v="2008-02-06T00:00:00"/>
    <d v="2008-02-06T00:00:00"/>
    <x v="9"/>
    <s v="Abacavir"/>
    <s v="Generic"/>
    <s v="300mg"/>
    <s v="Tablet"/>
    <n v="60"/>
    <n v="1128"/>
    <n v="31053.84"/>
    <n v="27.53"/>
    <n v="0.46"/>
    <m/>
    <m/>
    <n v="1"/>
    <x v="2"/>
  </r>
  <r>
    <n v="11231"/>
    <s v="SO-1082"/>
    <x v="55"/>
    <x v="3"/>
    <s v="ARV"/>
    <s v="Adult"/>
    <s v="SCMS from RDC"/>
    <x v="1"/>
    <s v="N/A - From RDC"/>
    <s v="N/A"/>
    <m/>
    <d v="2008-02-28T00:00:00"/>
    <d v="2008-02-28T00:00:00"/>
    <d v="2008-02-28T00:00:00"/>
    <x v="1"/>
    <s v="Lamivudine/Zidovudine"/>
    <s v="Generic"/>
    <s v="150/300mg"/>
    <s v="Tablet - FDC"/>
    <n v="60"/>
    <n v="2883"/>
    <n v="27388.5"/>
    <n v="9.5"/>
    <n v="0.16"/>
    <m/>
    <m/>
    <n v="1"/>
    <x v="2"/>
  </r>
  <r>
    <n v="11235"/>
    <s v="SO-2560"/>
    <x v="56"/>
    <x v="0"/>
    <s v="ARV"/>
    <s v="Adult"/>
    <s v="SCMS from RDC"/>
    <x v="1"/>
    <s v="N/A - From RDC"/>
    <s v="Air"/>
    <m/>
    <d v="2008-07-29T00:00:00"/>
    <d v="2008-07-29T00:00:00"/>
    <d v="2008-07-29T00:00:00"/>
    <x v="1"/>
    <s v="Lamivudine/Zidovudine"/>
    <s v="Generic"/>
    <s v="150/300mg"/>
    <s v="Tablet - FDC"/>
    <n v="60"/>
    <n v="5809"/>
    <n v="54895.05"/>
    <n v="9.4499999999999993"/>
    <n v="0.16"/>
    <m/>
    <m/>
    <n v="1"/>
    <x v="2"/>
  </r>
  <r>
    <n v="11249"/>
    <s v="SO-1964"/>
    <x v="125"/>
    <x v="2"/>
    <s v="ARV"/>
    <s v="Adult"/>
    <s v="SCMS from RDC"/>
    <x v="1"/>
    <s v="N/A - From RDC"/>
    <s v="Air"/>
    <m/>
    <d v="2008-03-12T00:00:00"/>
    <d v="2008-03-12T00:00:00"/>
    <d v="2008-03-12T00:00:00"/>
    <x v="16"/>
    <s v="Lamivudine"/>
    <s v="Generic"/>
    <s v="150mg"/>
    <s v="Tablet"/>
    <n v="60"/>
    <n v="14044"/>
    <n v="42693.760000000002"/>
    <n v="3.04"/>
    <n v="0.05"/>
    <n v="732"/>
    <n v="2963.8"/>
    <n v="1"/>
    <x v="2"/>
  </r>
  <r>
    <n v="11263"/>
    <s v="SO-1974"/>
    <x v="126"/>
    <x v="2"/>
    <s v="ARV"/>
    <s v="Pediatric"/>
    <s v="SCMS from RDC"/>
    <x v="1"/>
    <s v="N/A - From RDC"/>
    <s v="Air"/>
    <m/>
    <d v="2008-04-21T00:00:00"/>
    <d v="2008-04-21T00:00:00"/>
    <d v="2008-04-21T00:00:00"/>
    <x v="20"/>
    <s v="Zidovudine"/>
    <s v="Generic"/>
    <s v="10mg/ml"/>
    <s v="Oral solution"/>
    <n v="240"/>
    <n v="1846"/>
    <n v="3968.9"/>
    <n v="2.15"/>
    <n v="0.01"/>
    <n v="773"/>
    <n v="3472.55"/>
    <n v="1"/>
    <x v="2"/>
  </r>
  <r>
    <n v="11269"/>
    <s v="SO-2343"/>
    <x v="127"/>
    <x v="3"/>
    <s v="ARV"/>
    <s v="Adult"/>
    <s v="SCMS from RDC"/>
    <x v="1"/>
    <s v="N/A - From RDC"/>
    <s v="Air"/>
    <m/>
    <d v="2008-08-21T00:00:00"/>
    <d v="2008-08-21T00:00:00"/>
    <d v="2008-08-21T00:00:00"/>
    <x v="13"/>
    <s v="Lamivudine/Nevirapine/Stavudine"/>
    <s v="Generic"/>
    <s v="150/200/30mg"/>
    <s v="Tablet - FDC"/>
    <n v="60"/>
    <n v="2700"/>
    <n v="19980"/>
    <n v="7.4"/>
    <n v="0.12"/>
    <n v="199"/>
    <n v="1476.8"/>
    <n v="1"/>
    <x v="2"/>
  </r>
  <r>
    <n v="11270"/>
    <s v="SO-2344"/>
    <x v="128"/>
    <x v="3"/>
    <s v="ARV"/>
    <s v="Adult"/>
    <s v="SCMS from RDC"/>
    <x v="1"/>
    <s v="N/A - From RDC"/>
    <s v="Air"/>
    <m/>
    <d v="2008-08-21T00:00:00"/>
    <d v="2008-08-21T00:00:00"/>
    <d v="2008-08-21T00:00:00"/>
    <x v="1"/>
    <s v="Lamivudine/Zidovudine"/>
    <s v="Generic"/>
    <s v="150/300mg"/>
    <s v="Tablet - FDC"/>
    <n v="60"/>
    <n v="1350"/>
    <n v="12757.5"/>
    <n v="9.4499999999999993"/>
    <n v="0.16"/>
    <n v="239"/>
    <n v="1277.22"/>
    <n v="1"/>
    <x v="2"/>
  </r>
  <r>
    <n v="11273"/>
    <s v="SO-13300"/>
    <x v="129"/>
    <x v="0"/>
    <s v="ARV"/>
    <s v="Adult"/>
    <s v="SCMS from RDC"/>
    <x v="1"/>
    <s v="N/A - From RDC"/>
    <s v="Truck"/>
    <m/>
    <d v="2008-09-26T00:00:00"/>
    <d v="2008-09-26T00:00:00"/>
    <d v="2008-09-26T00:00:00"/>
    <x v="14"/>
    <s v="Lopinavir/Ritonavir"/>
    <s v="Aluvia"/>
    <s v="200/50mg"/>
    <s v="Tablet"/>
    <n v="120"/>
    <n v="2580"/>
    <n v="106038"/>
    <n v="41.1"/>
    <n v="0.34"/>
    <n v="587"/>
    <n v="1146.27"/>
    <n v="1"/>
    <x v="2"/>
  </r>
  <r>
    <n v="11289"/>
    <s v="SO-17430"/>
    <x v="130"/>
    <x v="3"/>
    <s v="ARV"/>
    <s v="Adult"/>
    <s v="SCMS from RDC"/>
    <x v="1"/>
    <s v="N/A - From RDC"/>
    <s v="Air"/>
    <m/>
    <d v="2008-12-09T00:00:00"/>
    <d v="2008-12-09T00:00:00"/>
    <d v="2008-12-09T00:00:00"/>
    <x v="14"/>
    <s v="Lopinavir/Ritonavir"/>
    <s v="Aluvia"/>
    <s v="200/50mg"/>
    <s v="Tablet"/>
    <n v="120"/>
    <n v="60"/>
    <n v="2466"/>
    <n v="41.1"/>
    <n v="0.34"/>
    <n v="547"/>
    <n v="2437.63"/>
    <n v="1"/>
    <x v="2"/>
  </r>
  <r>
    <n v="11291"/>
    <s v="SO-17830"/>
    <x v="107"/>
    <x v="3"/>
    <s v="ARV"/>
    <s v="Adult"/>
    <s v="SCMS from RDC"/>
    <x v="1"/>
    <s v="N/A - From RDC"/>
    <s v="Air"/>
    <m/>
    <d v="2008-12-09T00:00:00"/>
    <d v="2008-12-09T00:00:00"/>
    <d v="2008-12-09T00:00:00"/>
    <x v="1"/>
    <s v="Lamivudine/Zidovudine"/>
    <s v="Generic"/>
    <s v="150/300mg"/>
    <s v="Tablet - FDC"/>
    <n v="60"/>
    <n v="1144"/>
    <n v="10696.4"/>
    <n v="9.35"/>
    <n v="0.16"/>
    <m/>
    <m/>
    <n v="1"/>
    <x v="2"/>
  </r>
  <r>
    <n v="11292"/>
    <s v="SO-22020"/>
    <x v="67"/>
    <x v="2"/>
    <s v="ARV"/>
    <s v="Adult"/>
    <s v="SCMS from RDC"/>
    <x v="1"/>
    <s v="N/A - From RDC"/>
    <s v="Air"/>
    <m/>
    <d v="2009-03-03T00:00:00"/>
    <d v="2009-03-03T00:00:00"/>
    <d v="2009-03-03T00:00:00"/>
    <x v="31"/>
    <s v="Lamivudine/Stavudine"/>
    <s v="Generic"/>
    <s v="150/30mg"/>
    <s v="Tablet - FDC"/>
    <n v="60"/>
    <n v="1044"/>
    <n v="3967.2"/>
    <n v="3.8"/>
    <n v="0.06"/>
    <m/>
    <m/>
    <n v="1"/>
    <x v="3"/>
  </r>
  <r>
    <n v="11293"/>
    <s v="SO-18710"/>
    <x v="131"/>
    <x v="0"/>
    <s v="ARV"/>
    <s v="Pediatric"/>
    <s v="SCMS from RDC"/>
    <x v="1"/>
    <s v="N/A - From RDC"/>
    <s v="Truck"/>
    <m/>
    <d v="2009-03-06T00:00:00"/>
    <d v="2009-03-06T00:00:00"/>
    <d v="2009-03-06T00:00:00"/>
    <x v="24"/>
    <s v="Abacavir"/>
    <s v="Generic"/>
    <s v="20mg/ml"/>
    <s v="Oral solution"/>
    <n v="240"/>
    <n v="4439"/>
    <n v="71689.850000000006"/>
    <n v="16.149999999999999"/>
    <n v="7.0000000000000007E-2"/>
    <n v="1592"/>
    <n v="6708.25"/>
    <n v="1"/>
    <x v="3"/>
  </r>
  <r>
    <n v="11295"/>
    <s v="SO-17753"/>
    <x v="132"/>
    <x v="3"/>
    <s v="ARV"/>
    <s v="Adult"/>
    <s v="SCMS from RDC"/>
    <x v="1"/>
    <s v="N/A - From RDC"/>
    <s v="Air"/>
    <m/>
    <d v="2009-03-05T00:00:00"/>
    <d v="2009-03-05T00:00:00"/>
    <d v="2009-03-05T00:00:00"/>
    <x v="22"/>
    <s v="Emtricitabine/Tenofovir Disoproxil Fumarate"/>
    <s v="Truvada"/>
    <s v="300/200mg"/>
    <s v="Tablet - FDC"/>
    <n v="30"/>
    <n v="382"/>
    <n v="10027.5"/>
    <n v="26.25"/>
    <n v="0.88"/>
    <n v="177"/>
    <n v="2151.27"/>
    <n v="1"/>
    <x v="3"/>
  </r>
  <r>
    <n v="11298"/>
    <s v="SO-17754"/>
    <x v="133"/>
    <x v="3"/>
    <s v="ARV"/>
    <s v="Adult"/>
    <s v="SCMS from RDC"/>
    <x v="1"/>
    <s v="N/A - From RDC"/>
    <s v="Air"/>
    <m/>
    <d v="2009-04-08T00:00:00"/>
    <d v="2009-04-08T00:00:00"/>
    <d v="2009-04-08T00:00:00"/>
    <x v="22"/>
    <s v="Emtricitabine/Tenofovir Disoproxil Fumarate"/>
    <s v="Truvada"/>
    <s v="300/200mg"/>
    <s v="Tablet - FDC"/>
    <n v="30"/>
    <n v="3014"/>
    <n v="79117.5"/>
    <n v="26.25"/>
    <n v="0.88"/>
    <n v="291"/>
    <n v="1755"/>
    <n v="1"/>
    <x v="3"/>
  </r>
  <r>
    <n v="11302"/>
    <s v="SO-17710"/>
    <x v="134"/>
    <x v="3"/>
    <s v="ARV"/>
    <s v="Adult"/>
    <s v="SCMS from RDC"/>
    <x v="1"/>
    <s v="N/A - From RDC"/>
    <s v="Air"/>
    <m/>
    <d v="2008-11-27T00:00:00"/>
    <d v="2008-11-27T00:00:00"/>
    <d v="2008-11-27T00:00:00"/>
    <x v="1"/>
    <s v="Lamivudine/Zidovudine"/>
    <s v="Generic"/>
    <s v="150/300mg"/>
    <s v="Tablet - FDC"/>
    <n v="60"/>
    <n v="5377"/>
    <n v="50274.95"/>
    <n v="9.35"/>
    <n v="0.16"/>
    <n v="501"/>
    <n v="3266.38"/>
    <n v="1"/>
    <x v="2"/>
  </r>
  <r>
    <n v="11303"/>
    <s v="SO-22050"/>
    <x v="135"/>
    <x v="2"/>
    <s v="ARV"/>
    <s v="Adult"/>
    <s v="SCMS from RDC"/>
    <x v="1"/>
    <s v="N/A - From RDC"/>
    <s v="Air"/>
    <m/>
    <d v="2009-03-20T00:00:00"/>
    <d v="2009-03-20T00:00:00"/>
    <d v="2009-03-20T00:00:00"/>
    <x v="11"/>
    <s v="Lamivudine/Nevirapine/Zidovudine"/>
    <s v="Generic"/>
    <s v="150/300/200mg"/>
    <s v="Tablet - FDC"/>
    <n v="60"/>
    <n v="11188"/>
    <n v="132018.4"/>
    <n v="11.8"/>
    <n v="0.2"/>
    <n v="1435"/>
    <n v="9138"/>
    <n v="1"/>
    <x v="3"/>
  </r>
  <r>
    <n v="11309"/>
    <s v="SO-2676"/>
    <x v="136"/>
    <x v="3"/>
    <s v="ARV"/>
    <s v="Adult"/>
    <s v="SCMS from RDC"/>
    <x v="1"/>
    <s v="N/A - From RDC"/>
    <s v="Air"/>
    <m/>
    <d v="2008-10-08T00:00:00"/>
    <d v="2008-10-08T00:00:00"/>
    <d v="2008-10-08T00:00:00"/>
    <x v="14"/>
    <s v="Lopinavir/Ritonavir"/>
    <s v="Aluvia"/>
    <s v="200/50mg"/>
    <s v="Tablet"/>
    <n v="120"/>
    <n v="80"/>
    <n v="3288"/>
    <n v="41.1"/>
    <n v="0.34"/>
    <n v="18"/>
    <n v="418.75"/>
    <n v="1"/>
    <x v="2"/>
  </r>
  <r>
    <n v="11310"/>
    <s v="SO-27280"/>
    <x v="137"/>
    <x v="1"/>
    <s v="ARV"/>
    <s v="Adult"/>
    <s v="SCMS from RDC"/>
    <x v="1"/>
    <s v="N/A - From RDC"/>
    <s v="Air"/>
    <m/>
    <d v="2009-04-09T00:00:00"/>
    <d v="2009-04-09T00:00:00"/>
    <d v="2009-04-09T00:00:00"/>
    <x v="16"/>
    <s v="Lamivudine"/>
    <s v="Generic"/>
    <s v="150mg"/>
    <s v="Tablet"/>
    <n v="60"/>
    <n v="6385"/>
    <n v="15579.4"/>
    <n v="2.44"/>
    <n v="0.04"/>
    <n v="327"/>
    <n v="1762.5"/>
    <n v="1"/>
    <x v="3"/>
  </r>
  <r>
    <n v="11312"/>
    <s v="SO-29010"/>
    <x v="138"/>
    <x v="4"/>
    <s v="ARV"/>
    <s v="Pediatric"/>
    <s v="SCMS from RDC"/>
    <x v="1"/>
    <s v="N/A - From RDC"/>
    <s v="Truck"/>
    <m/>
    <d v="2009-04-23T00:00:00"/>
    <d v="2009-04-23T00:00:00"/>
    <d v="2009-04-23T00:00:00"/>
    <x v="32"/>
    <s v="Efavirenz"/>
    <s v="Stocrin/Sustiva"/>
    <s v="30mg/ml"/>
    <s v="Oral solution"/>
    <n v="180"/>
    <n v="3930"/>
    <n v="39.299999999999997"/>
    <n v="0.01"/>
    <n v="0"/>
    <m/>
    <m/>
    <n v="1"/>
    <x v="3"/>
  </r>
  <r>
    <n v="11317"/>
    <s v="SO-26140"/>
    <x v="139"/>
    <x v="3"/>
    <s v="ARV"/>
    <s v="Adult"/>
    <s v="SCMS from RDC"/>
    <x v="1"/>
    <s v="N/A - From RDC"/>
    <s v="Air"/>
    <m/>
    <d v="2009-06-24T00:00:00"/>
    <d v="2009-06-24T00:00:00"/>
    <d v="2009-06-24T00:00:00"/>
    <x v="8"/>
    <s v="Efavirenz"/>
    <s v="Generic"/>
    <s v="600mg"/>
    <s v="Tablet"/>
    <n v="30"/>
    <n v="867"/>
    <n v="8427.24"/>
    <n v="9.7200000000000006"/>
    <n v="0.32"/>
    <n v="76"/>
    <n v="1954.23"/>
    <n v="1"/>
    <x v="3"/>
  </r>
  <r>
    <n v="11319"/>
    <s v="SO-30100"/>
    <x v="71"/>
    <x v="3"/>
    <s v="ARV"/>
    <s v="Adult"/>
    <s v="SCMS from RDC"/>
    <x v="1"/>
    <s v="N/A - From RDC"/>
    <s v="Air"/>
    <m/>
    <d v="2009-06-01T00:00:00"/>
    <d v="2009-06-01T00:00:00"/>
    <d v="2009-06-01T00:00:00"/>
    <x v="22"/>
    <s v="Emtricitabine/Tenofovir Disoproxil Fumarate"/>
    <s v="Truvada"/>
    <s v="300/200mg"/>
    <s v="Tablet - FDC"/>
    <n v="30"/>
    <n v="90"/>
    <n v="2362.5"/>
    <n v="26.25"/>
    <n v="0.88"/>
    <m/>
    <m/>
    <n v="1"/>
    <x v="3"/>
  </r>
  <r>
    <n v="11361"/>
    <s v="SO-31284"/>
    <x v="140"/>
    <x v="0"/>
    <s v="ARV"/>
    <s v="Adult"/>
    <s v="SCMS from RDC"/>
    <x v="1"/>
    <s v="N/A - From RDC"/>
    <s v="Truck"/>
    <m/>
    <d v="2010-01-14T00:00:00"/>
    <d v="2010-01-14T00:00:00"/>
    <d v="2010-01-14T00:00:00"/>
    <x v="9"/>
    <s v="Abacavir"/>
    <s v="Generic"/>
    <s v="300mg"/>
    <s v="Tablet"/>
    <n v="60"/>
    <n v="6376"/>
    <n v="136573.92000000001"/>
    <n v="21.42"/>
    <n v="0.36"/>
    <n v="640"/>
    <n v="2751"/>
    <n v="1"/>
    <x v="4"/>
  </r>
  <r>
    <n v="11367"/>
    <s v="SO-308"/>
    <x v="141"/>
    <x v="1"/>
    <s v="ARV"/>
    <s v="Adult"/>
    <s v="SCMS from RDC"/>
    <x v="1"/>
    <s v="N/A - From RDC"/>
    <s v="Air"/>
    <m/>
    <d v="2007-03-17T00:00:00"/>
    <d v="2007-03-17T00:00:00"/>
    <d v="2007-03-17T00:00:00"/>
    <x v="10"/>
    <s v="Tenofovir Disoproxil Fumarate"/>
    <s v="Viread"/>
    <s v="300mg"/>
    <s v="Tablet"/>
    <n v="30"/>
    <n v="4000"/>
    <n v="68000"/>
    <n v="17"/>
    <n v="0.56999999999999995"/>
    <n v="256"/>
    <n v="12205.4"/>
    <n v="1"/>
    <x v="1"/>
  </r>
  <r>
    <n v="11376"/>
    <s v="SO-422"/>
    <x v="142"/>
    <x v="0"/>
    <s v="ARV"/>
    <s v="Adult"/>
    <s v="SCMS from RDC"/>
    <x v="1"/>
    <s v="N/A - From RDC"/>
    <s v="Air"/>
    <m/>
    <d v="2007-06-06T00:00:00"/>
    <d v="2007-06-06T00:00:00"/>
    <d v="2007-06-06T00:00:00"/>
    <x v="1"/>
    <s v="Lamivudine/Zidovudine"/>
    <s v="Generic"/>
    <s v="150/300mg"/>
    <s v="Tablet - FDC"/>
    <n v="60"/>
    <n v="28512"/>
    <n v="304508.15999999997"/>
    <n v="10.68"/>
    <n v="0.18"/>
    <n v="2630"/>
    <n v="13820.4"/>
    <n v="1"/>
    <x v="1"/>
  </r>
  <r>
    <n v="11381"/>
    <s v="SO-396"/>
    <x v="143"/>
    <x v="1"/>
    <s v="ARV"/>
    <s v="Adult"/>
    <s v="SCMS from RDC"/>
    <x v="1"/>
    <s v="N/A - From RDC"/>
    <s v="Air"/>
    <m/>
    <d v="2007-03-17T00:00:00"/>
    <d v="2007-03-17T00:00:00"/>
    <d v="2007-03-17T00:00:00"/>
    <x v="10"/>
    <s v="Tenofovir Disoproxil Fumarate"/>
    <s v="Viread"/>
    <s v="300mg"/>
    <s v="Tablet"/>
    <n v="30"/>
    <n v="4000"/>
    <n v="68000"/>
    <n v="17"/>
    <n v="0.56999999999999995"/>
    <n v="265"/>
    <n v="11931"/>
    <n v="1"/>
    <x v="1"/>
  </r>
  <r>
    <n v="11384"/>
    <s v="SO-481"/>
    <x v="78"/>
    <x v="1"/>
    <s v="ARV"/>
    <s v="Adult"/>
    <s v="SCMS from RDC"/>
    <x v="1"/>
    <s v="N/A - From RDC"/>
    <s v="Air"/>
    <m/>
    <d v="2007-05-14T00:00:00"/>
    <d v="2007-05-14T00:00:00"/>
    <d v="2007-05-14T00:00:00"/>
    <x v="3"/>
    <s v="Stavudine"/>
    <s v="Generic"/>
    <s v="30mg"/>
    <s v="Capsule"/>
    <n v="60"/>
    <n v="117"/>
    <n v="188.37"/>
    <n v="1.61"/>
    <n v="0.03"/>
    <m/>
    <m/>
    <n v="1"/>
    <x v="1"/>
  </r>
  <r>
    <n v="11385"/>
    <s v="SO-481"/>
    <x v="78"/>
    <x v="1"/>
    <s v="ARV"/>
    <s v="Adult"/>
    <s v="SCMS from RDC"/>
    <x v="1"/>
    <s v="N/A - From RDC"/>
    <s v="Air"/>
    <m/>
    <d v="2007-05-14T00:00:00"/>
    <d v="2007-05-14T00:00:00"/>
    <d v="2007-05-14T00:00:00"/>
    <x v="33"/>
    <s v="Stavudine"/>
    <s v="Generic"/>
    <s v="40mg"/>
    <s v="Capsule"/>
    <n v="60"/>
    <n v="306"/>
    <n v="651.78"/>
    <n v="2.13"/>
    <n v="0.04"/>
    <m/>
    <m/>
    <n v="1"/>
    <x v="1"/>
  </r>
  <r>
    <n v="11430"/>
    <s v="SO-895"/>
    <x v="83"/>
    <x v="3"/>
    <s v="ARV"/>
    <s v="Adult"/>
    <s v="SCMS from RDC"/>
    <x v="1"/>
    <s v="N/A - From RDC"/>
    <s v="Air"/>
    <m/>
    <d v="2007-08-27T00:00:00"/>
    <d v="2007-08-27T00:00:00"/>
    <d v="2007-08-27T00:00:00"/>
    <x v="3"/>
    <s v="Stavudine"/>
    <s v="Generic"/>
    <s v="30mg"/>
    <s v="Capsule"/>
    <n v="60"/>
    <n v="1000"/>
    <n v="1520"/>
    <n v="1.52"/>
    <n v="0.03"/>
    <m/>
    <m/>
    <n v="1"/>
    <x v="1"/>
  </r>
  <r>
    <n v="11454"/>
    <s v="SO-914"/>
    <x v="51"/>
    <x v="2"/>
    <s v="ARV"/>
    <s v="Adult"/>
    <s v="SCMS from RDC"/>
    <x v="1"/>
    <s v="N/A - From RDC"/>
    <s v="N/A"/>
    <m/>
    <d v="2007-09-04T00:00:00"/>
    <d v="2007-09-04T00:00:00"/>
    <d v="2007-09-04T00:00:00"/>
    <x v="16"/>
    <s v="Lamivudine"/>
    <s v="Generic"/>
    <s v="150mg"/>
    <s v="Tablet"/>
    <n v="60"/>
    <n v="15960"/>
    <n v="48518.400000000001"/>
    <n v="3.04"/>
    <n v="0.05"/>
    <m/>
    <m/>
    <n v="1"/>
    <x v="1"/>
  </r>
  <r>
    <n v="11516"/>
    <s v="SO-1302"/>
    <x v="144"/>
    <x v="3"/>
    <s v="ARV"/>
    <s v="Adult"/>
    <s v="SCMS from RDC"/>
    <x v="1"/>
    <s v="N/A - From RDC"/>
    <s v="Air"/>
    <m/>
    <d v="2008-01-15T00:00:00"/>
    <d v="2008-01-15T00:00:00"/>
    <d v="2008-01-15T00:00:00"/>
    <x v="1"/>
    <s v="Lamivudine/Zidovudine"/>
    <s v="Generic"/>
    <s v="150/300mg"/>
    <s v="Tablet - FDC"/>
    <n v="60"/>
    <n v="2084"/>
    <n v="19798"/>
    <n v="9.5"/>
    <n v="0.16"/>
    <n v="237"/>
    <n v="1154.5"/>
    <n v="1"/>
    <x v="2"/>
  </r>
  <r>
    <n v="11517"/>
    <s v="SO-1534"/>
    <x v="145"/>
    <x v="1"/>
    <s v="ARV"/>
    <s v="Adult"/>
    <s v="SCMS from RDC"/>
    <x v="1"/>
    <s v="N/A - From RDC"/>
    <s v="Air"/>
    <m/>
    <d v="2008-02-29T00:00:00"/>
    <d v="2008-02-29T00:00:00"/>
    <d v="2008-02-29T00:00:00"/>
    <x v="14"/>
    <s v="Lopinavir/Ritonavir"/>
    <s v="Aluvia"/>
    <s v="200/50mg"/>
    <s v="Tablet"/>
    <n v="120"/>
    <n v="600"/>
    <n v="24660"/>
    <n v="41.1"/>
    <n v="0.34"/>
    <n v="859"/>
    <n v="5531.4"/>
    <n v="1"/>
    <x v="2"/>
  </r>
  <r>
    <n v="11520"/>
    <s v="SO-1512"/>
    <x v="146"/>
    <x v="2"/>
    <s v="ARV"/>
    <s v="Adult"/>
    <s v="SCMS from RDC"/>
    <x v="1"/>
    <s v="N/A - From RDC"/>
    <s v="Air"/>
    <m/>
    <d v="2007-12-14T00:00:00"/>
    <d v="2007-12-14T00:00:00"/>
    <d v="2007-12-14T00:00:00"/>
    <x v="10"/>
    <s v="Tenofovir Disoproxil Fumarate"/>
    <s v="Viread"/>
    <s v="300mg"/>
    <s v="Tablet"/>
    <n v="30"/>
    <n v="535"/>
    <n v="9095"/>
    <n v="17"/>
    <n v="0.56999999999999995"/>
    <n v="33"/>
    <n v="755.5"/>
    <n v="1"/>
    <x v="1"/>
  </r>
  <r>
    <n v="11522"/>
    <s v="SO-1601"/>
    <x v="147"/>
    <x v="2"/>
    <s v="ARV"/>
    <s v="Adult"/>
    <s v="SCMS from RDC"/>
    <x v="1"/>
    <s v="N/A - From RDC"/>
    <s v="Air"/>
    <m/>
    <d v="2008-02-07T00:00:00"/>
    <d v="2008-02-07T00:00:00"/>
    <d v="2008-02-07T00:00:00"/>
    <x v="10"/>
    <s v="Tenofovir Disoproxil Fumarate"/>
    <s v="Viread"/>
    <s v="300mg"/>
    <s v="Tablet"/>
    <n v="30"/>
    <n v="4394"/>
    <n v="74698"/>
    <n v="17"/>
    <n v="0.56999999999999995"/>
    <n v="317"/>
    <n v="1628.18"/>
    <n v="1"/>
    <x v="2"/>
  </r>
  <r>
    <n v="11524"/>
    <s v="SO-1523"/>
    <x v="148"/>
    <x v="2"/>
    <s v="ARV"/>
    <s v="Adult"/>
    <s v="SCMS from RDC"/>
    <x v="1"/>
    <s v="N/A - From RDC"/>
    <s v="Air"/>
    <m/>
    <d v="2007-12-20T00:00:00"/>
    <d v="2008-01-16T00:00:00"/>
    <d v="2008-01-16T00:00:00"/>
    <x v="16"/>
    <s v="Lamivudine"/>
    <s v="Generic"/>
    <s v="150mg"/>
    <s v="Tablet"/>
    <n v="60"/>
    <n v="29500"/>
    <n v="89680"/>
    <n v="3.04"/>
    <n v="0.05"/>
    <n v="1650"/>
    <n v="11339.5"/>
    <n v="0"/>
    <x v="2"/>
  </r>
  <r>
    <n v="11525"/>
    <s v="SO-1648"/>
    <x v="94"/>
    <x v="0"/>
    <s v="ARV"/>
    <s v="Adult"/>
    <s v="SCMS from RDC"/>
    <x v="1"/>
    <s v="N/A - From RDC"/>
    <s v="Air"/>
    <m/>
    <d v="2008-02-25T00:00:00"/>
    <d v="2008-02-25T00:00:00"/>
    <d v="2008-02-25T00:00:00"/>
    <x v="8"/>
    <s v="Efavirenz"/>
    <s v="Generic"/>
    <s v="600mg"/>
    <s v="Tablet"/>
    <n v="30"/>
    <n v="20000"/>
    <n v="248400"/>
    <n v="12.42"/>
    <n v="0.41"/>
    <m/>
    <m/>
    <n v="1"/>
    <x v="2"/>
  </r>
  <r>
    <n v="11535"/>
    <s v="SO-1942"/>
    <x v="149"/>
    <x v="0"/>
    <s v="ARV"/>
    <s v="Adult"/>
    <s v="SCMS from RDC"/>
    <x v="1"/>
    <s v="N/A - From RDC"/>
    <s v="N/A"/>
    <m/>
    <d v="2008-03-28T00:00:00"/>
    <d v="2008-03-28T00:00:00"/>
    <d v="2008-03-28T00:00:00"/>
    <x v="8"/>
    <s v="Efavirenz"/>
    <s v="Generic"/>
    <s v="600mg"/>
    <s v="Tablet"/>
    <n v="30"/>
    <n v="49997"/>
    <n v="620962.74"/>
    <n v="12.42"/>
    <n v="0.41"/>
    <n v="4345"/>
    <n v="14637"/>
    <n v="1"/>
    <x v="2"/>
  </r>
  <r>
    <n v="11538"/>
    <s v="SO-1695"/>
    <x v="98"/>
    <x v="0"/>
    <s v="ARV"/>
    <s v="Adult"/>
    <s v="SCMS from RDC"/>
    <x v="1"/>
    <s v="N/A - From RDC"/>
    <s v="N/A"/>
    <m/>
    <d v="2008-04-22T00:00:00"/>
    <d v="2008-04-23T00:00:00"/>
    <d v="2008-04-23T00:00:00"/>
    <x v="9"/>
    <s v="Abacavir"/>
    <s v="Generic"/>
    <s v="300mg"/>
    <s v="Tablet"/>
    <n v="60"/>
    <n v="5730"/>
    <n v="157746.9"/>
    <n v="27.53"/>
    <n v="0.46"/>
    <m/>
    <m/>
    <n v="0"/>
    <x v="2"/>
  </r>
  <r>
    <n v="11541"/>
    <s v="SO-1301"/>
    <x v="58"/>
    <x v="3"/>
    <s v="ARV"/>
    <s v="Adult"/>
    <s v="SCMS from RDC"/>
    <x v="1"/>
    <s v="N/A - From RDC"/>
    <s v="Air"/>
    <m/>
    <d v="2008-03-19T00:00:00"/>
    <d v="2008-03-19T00:00:00"/>
    <d v="2008-03-19T00:00:00"/>
    <x v="34"/>
    <s v="Lamivudine/Stavudine"/>
    <s v="Generic"/>
    <s v="150/30mg"/>
    <s v="Tablet - FDC"/>
    <n v="30"/>
    <n v="300"/>
    <n v="600"/>
    <n v="2"/>
    <n v="7.0000000000000007E-2"/>
    <m/>
    <m/>
    <n v="1"/>
    <x v="2"/>
  </r>
  <r>
    <n v="11545"/>
    <s v="SO-1651"/>
    <x v="150"/>
    <x v="0"/>
    <s v="ARV"/>
    <s v="Pediatric"/>
    <s v="SCMS from RDC"/>
    <x v="1"/>
    <s v="N/A - From RDC"/>
    <s v="Air"/>
    <m/>
    <d v="2008-04-01T00:00:00"/>
    <d v="2008-04-01T00:00:00"/>
    <d v="2008-04-01T00:00:00"/>
    <x v="28"/>
    <s v="Didanosine"/>
    <s v="Generic"/>
    <s v="100mg"/>
    <s v="Chewable/dispersible tablet"/>
    <n v="60"/>
    <n v="9367"/>
    <n v="72594.25"/>
    <n v="7.75"/>
    <n v="0.13"/>
    <n v="1955"/>
    <n v="6923.3"/>
    <n v="1"/>
    <x v="2"/>
  </r>
  <r>
    <n v="11550"/>
    <s v="SO-1928"/>
    <x v="151"/>
    <x v="3"/>
    <s v="ARV"/>
    <s v="Adult"/>
    <s v="SCMS from RDC"/>
    <x v="1"/>
    <s v="N/A - From RDC"/>
    <s v="N/A"/>
    <m/>
    <d v="2008-04-07T00:00:00"/>
    <d v="2008-04-07T00:00:00"/>
    <d v="2008-04-07T00:00:00"/>
    <x v="11"/>
    <s v="Lamivudine/Nevirapine/Zidovudine"/>
    <s v="Generic"/>
    <s v="150/300/200mg"/>
    <s v="Tablet - FDC"/>
    <n v="60"/>
    <n v="1450"/>
    <n v="19575"/>
    <n v="13.5"/>
    <n v="0.22"/>
    <n v="167"/>
    <n v="1472.77"/>
    <n v="1"/>
    <x v="2"/>
  </r>
  <r>
    <n v="11552"/>
    <s v="SO-1537"/>
    <x v="152"/>
    <x v="2"/>
    <s v="ARV"/>
    <s v="Adult"/>
    <s v="SCMS from RDC"/>
    <x v="1"/>
    <s v="N/A - From RDC"/>
    <s v="Air"/>
    <m/>
    <d v="2008-03-06T00:00:00"/>
    <d v="2008-03-06T00:00:00"/>
    <d v="2008-03-06T00:00:00"/>
    <x v="16"/>
    <s v="Lamivudine"/>
    <s v="Generic"/>
    <s v="150mg"/>
    <s v="Tablet"/>
    <n v="60"/>
    <n v="65500"/>
    <n v="199120"/>
    <n v="3.04"/>
    <n v="0.05"/>
    <n v="3858"/>
    <n v="12047.8"/>
    <n v="1"/>
    <x v="2"/>
  </r>
  <r>
    <n v="11558"/>
    <s v="SO-2721"/>
    <x v="153"/>
    <x v="0"/>
    <s v="ARV"/>
    <s v="Adult"/>
    <s v="SCMS from RDC"/>
    <x v="1"/>
    <s v="N/A - From RDC"/>
    <s v="Air"/>
    <m/>
    <d v="2008-07-10T00:00:00"/>
    <d v="2008-07-10T00:00:00"/>
    <d v="2008-07-10T00:00:00"/>
    <x v="16"/>
    <s v="Lamivudine"/>
    <s v="Generic"/>
    <s v="150mg"/>
    <s v="Tablet"/>
    <n v="60"/>
    <n v="11352"/>
    <n v="33034.32"/>
    <n v="2.91"/>
    <n v="0.05"/>
    <n v="572"/>
    <n v="4152.5600000000004"/>
    <n v="1"/>
    <x v="2"/>
  </r>
  <r>
    <n v="11559"/>
    <s v="SO-2682"/>
    <x v="154"/>
    <x v="0"/>
    <s v="ARV"/>
    <s v="Adult"/>
    <s v="SCMS from RDC"/>
    <x v="1"/>
    <s v="N/A - From RDC"/>
    <s v="Air"/>
    <m/>
    <d v="2008-09-26T00:00:00"/>
    <d v="2008-09-26T00:00:00"/>
    <d v="2008-09-26T00:00:00"/>
    <x v="14"/>
    <s v="Lopinavir/Ritonavir"/>
    <s v="Aluvia"/>
    <s v="200/50mg"/>
    <s v="Tablet"/>
    <n v="120"/>
    <n v="2580"/>
    <n v="106038"/>
    <n v="41.1"/>
    <n v="0.34"/>
    <n v="587"/>
    <n v="1153.97"/>
    <n v="1"/>
    <x v="2"/>
  </r>
  <r>
    <n v="11560"/>
    <s v="SO-18340"/>
    <x v="155"/>
    <x v="2"/>
    <s v="ARV"/>
    <s v="Adult"/>
    <s v="SCMS from RDC"/>
    <x v="1"/>
    <s v="N/A - From RDC"/>
    <s v="Air"/>
    <m/>
    <d v="2008-11-11T00:00:00"/>
    <d v="2008-11-11T00:00:00"/>
    <d v="2008-11-11T00:00:00"/>
    <x v="29"/>
    <s v="Zidovudine"/>
    <s v="Generic"/>
    <s v="300mg"/>
    <s v="Tablet"/>
    <n v="60"/>
    <n v="5000"/>
    <n v="39500"/>
    <n v="7.9"/>
    <n v="0.13"/>
    <n v="229"/>
    <n v="1774.3"/>
    <n v="1"/>
    <x v="2"/>
  </r>
  <r>
    <n v="11565"/>
    <s v="SO-17790"/>
    <x v="156"/>
    <x v="3"/>
    <s v="ARV"/>
    <s v="Adult"/>
    <s v="SCMS from RDC"/>
    <x v="1"/>
    <s v="N/A - From RDC"/>
    <s v="Air"/>
    <m/>
    <d v="2009-03-03T00:00:00"/>
    <d v="2009-03-03T00:00:00"/>
    <d v="2009-03-03T00:00:00"/>
    <x v="29"/>
    <s v="Zidovudine"/>
    <s v="Generic"/>
    <s v="300mg"/>
    <s v="Tablet"/>
    <n v="60"/>
    <n v="50"/>
    <n v="395"/>
    <n v="7.9"/>
    <n v="0.13"/>
    <n v="3"/>
    <n v="978.92"/>
    <n v="1"/>
    <x v="3"/>
  </r>
  <r>
    <n v="11568"/>
    <s v="SO-17770"/>
    <x v="157"/>
    <x v="3"/>
    <s v="ARV"/>
    <s v="Adult"/>
    <s v="SCMS from RDC"/>
    <x v="1"/>
    <s v="N/A - From RDC"/>
    <s v="Truck"/>
    <m/>
    <d v="2008-12-15T00:00:00"/>
    <d v="2008-12-15T00:00:00"/>
    <d v="2008-12-15T00:00:00"/>
    <x v="0"/>
    <s v="Nevirapine"/>
    <s v="Generic"/>
    <s v="200mg"/>
    <s v="Tablet"/>
    <n v="60"/>
    <n v="2523"/>
    <n v="8073.6"/>
    <n v="3.2"/>
    <n v="0.05"/>
    <n v="585"/>
    <n v="5698.01"/>
    <n v="1"/>
    <x v="2"/>
  </r>
  <r>
    <n v="11569"/>
    <s v="SO-24620"/>
    <x v="158"/>
    <x v="1"/>
    <s v="ARV"/>
    <s v="Adult"/>
    <s v="SCMS from RDC"/>
    <x v="1"/>
    <s v="N/A - From RDC"/>
    <s v="Air"/>
    <m/>
    <d v="2009-03-06T00:00:00"/>
    <d v="2009-03-06T00:00:00"/>
    <d v="2009-03-06T00:00:00"/>
    <x v="1"/>
    <s v="Lamivudine/Zidovudine"/>
    <s v="Generic"/>
    <s v="150/300mg"/>
    <s v="Tablet - FDC"/>
    <n v="60"/>
    <n v="15000"/>
    <n v="131400"/>
    <n v="8.76"/>
    <n v="0.15"/>
    <n v="1364"/>
    <n v="21215.4"/>
    <n v="1"/>
    <x v="3"/>
  </r>
  <r>
    <n v="11587"/>
    <s v="SO-23980"/>
    <x v="159"/>
    <x v="2"/>
    <s v="ARV"/>
    <s v="Adult"/>
    <s v="SCMS from RDC"/>
    <x v="1"/>
    <s v="N/A - From RDC"/>
    <s v="Air"/>
    <m/>
    <d v="2009-03-04T00:00:00"/>
    <d v="2009-03-04T00:00:00"/>
    <d v="2009-03-04T00:00:00"/>
    <x v="13"/>
    <s v="Lamivudine/Nevirapine/Stavudine"/>
    <s v="Generic"/>
    <s v="150/200/30mg"/>
    <s v="Tablet - FDC"/>
    <n v="60"/>
    <n v="41922"/>
    <n v="298484.64"/>
    <n v="7.12"/>
    <n v="0.12"/>
    <n v="3190"/>
    <n v="14732.36"/>
    <n v="1"/>
    <x v="3"/>
  </r>
  <r>
    <n v="11592"/>
    <s v="SO-17430"/>
    <x v="130"/>
    <x v="3"/>
    <s v="ARV"/>
    <s v="Adult"/>
    <s v="SCMS from RDC"/>
    <x v="1"/>
    <s v="N/A - From RDC"/>
    <s v="Air"/>
    <m/>
    <d v="2008-12-09T00:00:00"/>
    <d v="2008-12-09T00:00:00"/>
    <d v="2008-12-09T00:00:00"/>
    <x v="11"/>
    <s v="Lamivudine/Nevirapine/Zidovudine"/>
    <s v="Generic"/>
    <s v="150/300/200mg"/>
    <s v="Tablet - FDC"/>
    <n v="60"/>
    <n v="4704"/>
    <n v="55507.199999999997"/>
    <n v="11.8"/>
    <n v="0.2"/>
    <m/>
    <m/>
    <n v="1"/>
    <x v="2"/>
  </r>
  <r>
    <n v="11593"/>
    <s v="SO-17440"/>
    <x v="160"/>
    <x v="3"/>
    <s v="ARV"/>
    <s v="Adult"/>
    <s v="SCMS from RDC"/>
    <x v="1"/>
    <s v="N/A - From RDC"/>
    <s v="Air"/>
    <m/>
    <d v="2008-11-04T00:00:00"/>
    <d v="2008-11-04T00:00:00"/>
    <d v="2008-11-04T00:00:00"/>
    <x v="22"/>
    <s v="Emtricitabine/Tenofovir Disoproxil Fumarate"/>
    <s v="Truvada"/>
    <s v="300/200mg"/>
    <s v="Tablet - FDC"/>
    <n v="30"/>
    <n v="67"/>
    <n v="1758.75"/>
    <n v="26.25"/>
    <n v="0.88"/>
    <n v="666"/>
    <n v="4503"/>
    <n v="1"/>
    <x v="2"/>
  </r>
  <r>
    <n v="11594"/>
    <s v="SO-17440"/>
    <x v="160"/>
    <x v="3"/>
    <s v="ARV"/>
    <s v="Adult"/>
    <s v="SCMS from RDC"/>
    <x v="1"/>
    <s v="N/A - From RDC"/>
    <s v="Air"/>
    <m/>
    <d v="2008-11-04T00:00:00"/>
    <d v="2008-11-04T00:00:00"/>
    <d v="2008-11-04T00:00:00"/>
    <x v="11"/>
    <s v="Lamivudine/Nevirapine/Zidovudine"/>
    <s v="Generic"/>
    <s v="150/300/200mg"/>
    <s v="Tablet - FDC"/>
    <n v="60"/>
    <n v="5919"/>
    <n v="69844.2"/>
    <n v="11.8"/>
    <n v="0.2"/>
    <m/>
    <m/>
    <n v="1"/>
    <x v="2"/>
  </r>
  <r>
    <n v="11596"/>
    <s v="SO-1697"/>
    <x v="161"/>
    <x v="0"/>
    <s v="ARV"/>
    <s v="Adult"/>
    <s v="SCMS from RDC"/>
    <x v="1"/>
    <s v="N/A - From RDC"/>
    <s v="N/A"/>
    <m/>
    <d v="2008-09-15T00:00:00"/>
    <d v="2008-09-15T00:00:00"/>
    <d v="2008-09-15T00:00:00"/>
    <x v="1"/>
    <s v="Lamivudine/Zidovudine"/>
    <s v="Generic"/>
    <s v="150/300mg"/>
    <s v="Tablet - FDC"/>
    <n v="60"/>
    <n v="58086"/>
    <n v="551817"/>
    <n v="9.5"/>
    <n v="0.16"/>
    <n v="8343"/>
    <n v="9001.0300000000007"/>
    <n v="1"/>
    <x v="2"/>
  </r>
  <r>
    <n v="11602"/>
    <s v="SO-17700"/>
    <x v="162"/>
    <x v="3"/>
    <s v="ARV"/>
    <s v="Adult"/>
    <s v="SCMS from RDC"/>
    <x v="1"/>
    <s v="N/A - From RDC"/>
    <s v="Air"/>
    <m/>
    <d v="2009-01-09T00:00:00"/>
    <d v="2009-01-09T00:00:00"/>
    <d v="2009-01-09T00:00:00"/>
    <x v="13"/>
    <s v="Lamivudine/Nevirapine/Stavudine"/>
    <s v="Generic"/>
    <s v="150/200/30mg"/>
    <s v="Tablet - FDC"/>
    <n v="60"/>
    <n v="1511"/>
    <n v="10879.2"/>
    <n v="7.2"/>
    <n v="0.12"/>
    <n v="205"/>
    <n v="2202.02"/>
    <n v="1"/>
    <x v="3"/>
  </r>
  <r>
    <n v="11603"/>
    <s v="SO-22020"/>
    <x v="67"/>
    <x v="2"/>
    <s v="ARV"/>
    <s v="Adult"/>
    <s v="SCMS from RDC"/>
    <x v="1"/>
    <s v="N/A - From RDC"/>
    <s v="Air"/>
    <m/>
    <d v="2009-03-03T00:00:00"/>
    <d v="2009-03-03T00:00:00"/>
    <d v="2009-03-03T00:00:00"/>
    <x v="8"/>
    <s v="Efavirenz"/>
    <s v="Generic"/>
    <s v="600mg"/>
    <s v="Tablet"/>
    <n v="30"/>
    <n v="11549"/>
    <n v="122650.38"/>
    <n v="10.62"/>
    <n v="0.35"/>
    <m/>
    <m/>
    <n v="1"/>
    <x v="3"/>
  </r>
  <r>
    <n v="11605"/>
    <s v="SO-10180"/>
    <x v="163"/>
    <x v="3"/>
    <s v="ARV"/>
    <s v="Pediatric"/>
    <s v="SCMS from RDC"/>
    <x v="1"/>
    <s v="N/A - From RDC"/>
    <s v="Air"/>
    <m/>
    <d v="2008-09-25T00:00:00"/>
    <d v="2008-09-25T00:00:00"/>
    <d v="2008-09-25T00:00:00"/>
    <x v="20"/>
    <s v="Zidovudine"/>
    <s v="Generic"/>
    <s v="10mg/ml"/>
    <s v="Oral solution"/>
    <n v="240"/>
    <n v="14668"/>
    <n v="30802.799999999999"/>
    <n v="2.1"/>
    <n v="0.01"/>
    <n v="5511"/>
    <n v="7876.44"/>
    <n v="1"/>
    <x v="2"/>
  </r>
  <r>
    <n v="11606"/>
    <s v="SO-2563"/>
    <x v="164"/>
    <x v="0"/>
    <s v="ARV"/>
    <s v="Adult"/>
    <s v="SCMS from RDC"/>
    <x v="1"/>
    <s v="N/A - From RDC"/>
    <s v="Air"/>
    <m/>
    <d v="2008-09-26T00:00:00"/>
    <d v="2008-09-26T00:00:00"/>
    <d v="2008-09-26T00:00:00"/>
    <x v="8"/>
    <s v="Efavirenz"/>
    <s v="Generic"/>
    <s v="600mg"/>
    <s v="Tablet"/>
    <n v="30"/>
    <n v="131808"/>
    <n v="1583014.08"/>
    <n v="12.01"/>
    <n v="0.4"/>
    <n v="9996"/>
    <n v="8399.76"/>
    <n v="1"/>
    <x v="2"/>
  </r>
  <r>
    <n v="11607"/>
    <s v="SO-17753"/>
    <x v="132"/>
    <x v="3"/>
    <s v="ARV"/>
    <s v="Adult"/>
    <s v="SCMS from RDC"/>
    <x v="1"/>
    <s v="N/A - From RDC"/>
    <s v="Air"/>
    <m/>
    <d v="2009-03-05T00:00:00"/>
    <d v="2009-03-05T00:00:00"/>
    <d v="2009-03-05T00:00:00"/>
    <x v="0"/>
    <s v="Nevirapine"/>
    <s v="Generic"/>
    <s v="200mg"/>
    <s v="Tablet"/>
    <n v="60"/>
    <n v="1524"/>
    <n v="4876.8"/>
    <n v="3.2"/>
    <n v="0.05"/>
    <m/>
    <m/>
    <n v="1"/>
    <x v="3"/>
  </r>
  <r>
    <n v="11608"/>
    <s v="SO-22020"/>
    <x v="67"/>
    <x v="2"/>
    <s v="ARV"/>
    <s v="Adult"/>
    <s v="SCMS from RDC"/>
    <x v="1"/>
    <s v="N/A - From RDC"/>
    <s v="Air"/>
    <m/>
    <d v="2009-03-03T00:00:00"/>
    <d v="2009-03-03T00:00:00"/>
    <d v="2009-03-03T00:00:00"/>
    <x v="35"/>
    <s v="Tenofovir Disoproxil Fumarate"/>
    <s v="Generic"/>
    <s v="300mg"/>
    <s v="Tablet"/>
    <n v="30"/>
    <n v="7000"/>
    <n v="92960"/>
    <n v="13.28"/>
    <n v="0.44"/>
    <m/>
    <m/>
    <n v="1"/>
    <x v="3"/>
  </r>
  <r>
    <n v="11609"/>
    <s v="SO-22020"/>
    <x v="67"/>
    <x v="2"/>
    <s v="ARV"/>
    <s v="Adult"/>
    <s v="SCMS from RDC"/>
    <x v="1"/>
    <s v="N/A - From RDC"/>
    <s v="Air"/>
    <m/>
    <d v="2009-03-03T00:00:00"/>
    <d v="2009-03-03T00:00:00"/>
    <d v="2009-03-03T00:00:00"/>
    <x v="34"/>
    <s v="Lamivudine/Stavudine"/>
    <s v="Generic"/>
    <s v="150/30mg"/>
    <s v="Tablet - FDC"/>
    <n v="30"/>
    <n v="14814"/>
    <n v="29628"/>
    <n v="2"/>
    <n v="7.0000000000000007E-2"/>
    <m/>
    <m/>
    <n v="1"/>
    <x v="3"/>
  </r>
  <r>
    <n v="11616"/>
    <s v="SO-17820"/>
    <x v="165"/>
    <x v="3"/>
    <s v="ARV"/>
    <s v="Adult"/>
    <s v="SCMS from RDC"/>
    <x v="1"/>
    <s v="N/A - From RDC"/>
    <s v="Air"/>
    <m/>
    <d v="2009-01-09T00:00:00"/>
    <d v="2009-01-09T00:00:00"/>
    <d v="2009-01-09T00:00:00"/>
    <x v="13"/>
    <s v="Lamivudine/Nevirapine/Stavudine"/>
    <s v="Generic"/>
    <s v="150/200/30mg"/>
    <s v="Tablet - FDC"/>
    <n v="60"/>
    <n v="3374"/>
    <n v="24292.799999999999"/>
    <n v="7.2"/>
    <n v="0.12"/>
    <n v="250"/>
    <n v="2331.0300000000002"/>
    <n v="1"/>
    <x v="3"/>
  </r>
  <r>
    <n v="11617"/>
    <s v="SO-17870"/>
    <x v="69"/>
    <x v="3"/>
    <s v="ARV"/>
    <s v="Adult"/>
    <s v="SCMS from RDC"/>
    <x v="1"/>
    <s v="N/A - From RDC"/>
    <s v="Air"/>
    <m/>
    <d v="2009-01-09T00:00:00"/>
    <d v="2009-01-09T00:00:00"/>
    <d v="2009-01-09T00:00:00"/>
    <x v="8"/>
    <s v="Efavirenz"/>
    <s v="Generic"/>
    <s v="600mg"/>
    <s v="Tablet"/>
    <n v="30"/>
    <n v="1444"/>
    <n v="15884"/>
    <n v="11"/>
    <n v="0.37"/>
    <m/>
    <m/>
    <n v="1"/>
    <x v="3"/>
  </r>
  <r>
    <n v="11618"/>
    <s v="SO-22000"/>
    <x v="166"/>
    <x v="2"/>
    <s v="ARV"/>
    <s v="Adult"/>
    <s v="SCMS from RDC"/>
    <x v="1"/>
    <s v="N/A - From RDC"/>
    <s v="Air"/>
    <m/>
    <d v="2009-02-18T00:00:00"/>
    <d v="2009-02-18T00:00:00"/>
    <d v="2009-02-18T00:00:00"/>
    <x v="13"/>
    <s v="Lamivudine/Nevirapine/Stavudine"/>
    <s v="Generic"/>
    <s v="150/200/30mg"/>
    <s v="Tablet - FDC"/>
    <n v="60"/>
    <n v="8258"/>
    <n v="58796.959999999999"/>
    <n v="7.12"/>
    <n v="0.12"/>
    <n v="5147"/>
    <n v="29336.46"/>
    <n v="1"/>
    <x v="3"/>
  </r>
  <r>
    <n v="11619"/>
    <s v="SO-22040"/>
    <x v="167"/>
    <x v="2"/>
    <s v="ARV"/>
    <s v="Adult"/>
    <s v="SCMS from RDC"/>
    <x v="1"/>
    <s v="N/A - From RDC"/>
    <s v="Air"/>
    <m/>
    <d v="2009-03-04T00:00:00"/>
    <d v="2009-03-04T00:00:00"/>
    <d v="2009-03-04T00:00:00"/>
    <x v="11"/>
    <s v="Lamivudine/Nevirapine/Zidovudine"/>
    <s v="Generic"/>
    <s v="150/300/200mg"/>
    <s v="Tablet - FDC"/>
    <n v="60"/>
    <n v="27588"/>
    <n v="325538.40000000002"/>
    <n v="11.8"/>
    <n v="0.2"/>
    <n v="3146"/>
    <n v="14538.36"/>
    <n v="1"/>
    <x v="3"/>
  </r>
  <r>
    <n v="11626"/>
    <s v="SO-17230"/>
    <x v="168"/>
    <x v="1"/>
    <s v="ARV"/>
    <s v="Adult"/>
    <s v="SCMS from RDC"/>
    <x v="1"/>
    <s v="N/A - From RDC"/>
    <s v="Truck"/>
    <m/>
    <d v="2008-10-28T00:00:00"/>
    <d v="2008-10-28T00:00:00"/>
    <d v="2008-10-28T00:00:00"/>
    <x v="0"/>
    <s v="Nevirapine"/>
    <s v="Generic"/>
    <s v="200mg"/>
    <s v="Tablet"/>
    <n v="60"/>
    <n v="288"/>
    <n v="921.6"/>
    <n v="3.2"/>
    <n v="0.05"/>
    <n v="28"/>
    <n v="896.26"/>
    <n v="1"/>
    <x v="2"/>
  </r>
  <r>
    <n v="11637"/>
    <s v="SO-26161"/>
    <x v="169"/>
    <x v="3"/>
    <s v="ARV"/>
    <s v="Adult"/>
    <s v="SCMS from RDC"/>
    <x v="1"/>
    <s v="N/A - From RDC"/>
    <s v="Air"/>
    <m/>
    <d v="2009-06-01T00:00:00"/>
    <d v="2009-06-01T00:00:00"/>
    <d v="2009-06-01T00:00:00"/>
    <x v="1"/>
    <s v="Lamivudine/Zidovudine"/>
    <s v="Generic"/>
    <s v="150/300mg"/>
    <s v="Tablet - FDC"/>
    <n v="60"/>
    <n v="685"/>
    <n v="6000.6"/>
    <n v="8.76"/>
    <n v="0.15"/>
    <n v="67"/>
    <n v="1122.8699999999999"/>
    <n v="1"/>
    <x v="3"/>
  </r>
  <r>
    <n v="11646"/>
    <s v="SO-30111"/>
    <x v="170"/>
    <x v="3"/>
    <s v="ARV"/>
    <s v="Adult"/>
    <s v="SCMS from RDC"/>
    <x v="1"/>
    <s v="N/A - From RDC"/>
    <s v="Air"/>
    <m/>
    <d v="2009-06-23T00:00:00"/>
    <d v="2009-06-23T00:00:00"/>
    <d v="2009-06-23T00:00:00"/>
    <x v="11"/>
    <s v="Lamivudine/Nevirapine/Zidovudine"/>
    <s v="Generic"/>
    <s v="150/300/200mg"/>
    <s v="Tablet - FDC"/>
    <n v="60"/>
    <n v="10371"/>
    <n v="117710.85"/>
    <n v="11.35"/>
    <n v="0.19"/>
    <n v="1273"/>
    <n v="7493.5"/>
    <n v="1"/>
    <x v="3"/>
  </r>
  <r>
    <n v="11654"/>
    <s v="SO-31450"/>
    <x v="171"/>
    <x v="3"/>
    <s v="ARV"/>
    <s v="Adult"/>
    <s v="SCMS from RDC"/>
    <x v="1"/>
    <s v="N/A - From RDC"/>
    <s v="Air"/>
    <m/>
    <d v="2009-06-23T00:00:00"/>
    <d v="2009-06-23T00:00:00"/>
    <d v="2009-06-23T00:00:00"/>
    <x v="1"/>
    <s v="Lamivudine/Zidovudine"/>
    <s v="Generic"/>
    <s v="150/300mg"/>
    <s v="Tablet - FDC"/>
    <n v="60"/>
    <n v="6000"/>
    <n v="52560"/>
    <n v="8.76"/>
    <n v="0.15"/>
    <n v="486"/>
    <n v="3338.35"/>
    <n v="1"/>
    <x v="3"/>
  </r>
  <r>
    <n v="11655"/>
    <s v="SO-31360"/>
    <x v="116"/>
    <x v="3"/>
    <s v="ARV"/>
    <s v="Adult"/>
    <s v="SCMS from RDC"/>
    <x v="1"/>
    <s v="N/A - From RDC"/>
    <s v="Air"/>
    <m/>
    <d v="2009-06-22T00:00:00"/>
    <d v="2009-06-22T00:00:00"/>
    <d v="2009-06-22T00:00:00"/>
    <x v="8"/>
    <s v="Efavirenz"/>
    <s v="Generic"/>
    <s v="600mg"/>
    <s v="Tablet"/>
    <n v="30"/>
    <n v="7300"/>
    <n v="50005"/>
    <n v="6.85"/>
    <n v="0.23"/>
    <m/>
    <m/>
    <n v="1"/>
    <x v="3"/>
  </r>
  <r>
    <n v="11661"/>
    <s v="SO-32120"/>
    <x v="172"/>
    <x v="3"/>
    <s v="ARV"/>
    <s v="Adult"/>
    <s v="SCMS from RDC"/>
    <x v="1"/>
    <s v="N/A - From RDC"/>
    <s v="Air"/>
    <m/>
    <d v="2009-08-14T00:00:00"/>
    <d v="2009-08-14T00:00:00"/>
    <d v="2009-08-14T00:00:00"/>
    <x v="0"/>
    <s v="Nevirapine"/>
    <s v="Generic"/>
    <s v="200mg"/>
    <s v="Tablet"/>
    <n v="60"/>
    <n v="2844"/>
    <n v="8247.6"/>
    <n v="2.9"/>
    <n v="0.05"/>
    <n v="1587"/>
    <n v="11206.84"/>
    <n v="1"/>
    <x v="3"/>
  </r>
  <r>
    <n v="11669"/>
    <s v="SO-31460"/>
    <x v="173"/>
    <x v="3"/>
    <s v="ARV"/>
    <s v="Adult"/>
    <s v="SCMS from RDC"/>
    <x v="1"/>
    <s v="N/A - From RDC"/>
    <s v="Air"/>
    <m/>
    <d v="2009-09-15T00:00:00"/>
    <d v="2009-09-15T00:00:00"/>
    <d v="2009-09-15T00:00:00"/>
    <x v="22"/>
    <s v="Emtricitabine/Tenofovir Disoproxil Fumarate"/>
    <s v="Truvada"/>
    <s v="300/200mg"/>
    <s v="Tablet - FDC"/>
    <n v="30"/>
    <n v="1201"/>
    <n v="31526.25"/>
    <n v="26.25"/>
    <n v="0.88"/>
    <n v="327"/>
    <n v="2737.97"/>
    <n v="1"/>
    <x v="3"/>
  </r>
  <r>
    <n v="11678"/>
    <s v="SO-32920"/>
    <x v="174"/>
    <x v="3"/>
    <s v="ARV"/>
    <s v="Adult"/>
    <s v="SCMS from RDC"/>
    <x v="1"/>
    <s v="N/A - From RDC"/>
    <s v="Air"/>
    <m/>
    <d v="2009-08-24T00:00:00"/>
    <d v="2009-08-24T00:00:00"/>
    <d v="2009-08-24T00:00:00"/>
    <x v="0"/>
    <s v="Nevirapine"/>
    <s v="Generic"/>
    <s v="200mg"/>
    <s v="Tablet"/>
    <n v="60"/>
    <n v="4564"/>
    <n v="13235.6"/>
    <n v="2.9"/>
    <n v="0.05"/>
    <n v="847"/>
    <n v="4999.4799999999996"/>
    <n v="1"/>
    <x v="3"/>
  </r>
  <r>
    <n v="11680"/>
    <s v="SO-32150"/>
    <x v="175"/>
    <x v="3"/>
    <s v="ARV"/>
    <s v="Adult"/>
    <s v="SCMS from RDC"/>
    <x v="1"/>
    <s v="N/A - From RDC"/>
    <s v="Air"/>
    <m/>
    <d v="2009-09-11T00:00:00"/>
    <d v="2009-09-11T00:00:00"/>
    <d v="2009-09-11T00:00:00"/>
    <x v="1"/>
    <s v="Lamivudine/Zidovudine"/>
    <s v="Generic"/>
    <s v="150/300mg"/>
    <s v="Tablet - FDC"/>
    <n v="60"/>
    <n v="13000"/>
    <n v="113880"/>
    <n v="8.76"/>
    <n v="0.15"/>
    <n v="1051"/>
    <n v="6575.7"/>
    <n v="1"/>
    <x v="3"/>
  </r>
  <r>
    <n v="11689"/>
    <s v="SO-33000"/>
    <x v="176"/>
    <x v="3"/>
    <s v="ARV"/>
    <s v="Adult"/>
    <s v="SCMS from RDC"/>
    <x v="1"/>
    <s v="N/A - From RDC"/>
    <s v="Air"/>
    <m/>
    <d v="2009-10-12T00:00:00"/>
    <d v="2009-10-12T00:00:00"/>
    <d v="2009-10-12T00:00:00"/>
    <x v="11"/>
    <s v="Lamivudine/Nevirapine/Zidovudine"/>
    <s v="Generic"/>
    <s v="150/300/200mg"/>
    <s v="Tablet - FDC"/>
    <n v="60"/>
    <n v="350"/>
    <n v="3972.5"/>
    <n v="11.35"/>
    <n v="0.19"/>
    <n v="45"/>
    <n v="749.25"/>
    <n v="1"/>
    <x v="3"/>
  </r>
  <r>
    <n v="11690"/>
    <s v="SO-31283"/>
    <x v="74"/>
    <x v="0"/>
    <s v="ARV"/>
    <s v="Adult"/>
    <s v="SCMS from RDC"/>
    <x v="1"/>
    <s v="N/A - From RDC"/>
    <s v="Truck"/>
    <m/>
    <d v="2009-10-26T00:00:00"/>
    <d v="2009-10-26T00:00:00"/>
    <d v="2009-10-26T00:00:00"/>
    <x v="9"/>
    <s v="Abacavir"/>
    <s v="Generic"/>
    <s v="300mg"/>
    <s v="Tablet"/>
    <n v="60"/>
    <n v="3752"/>
    <n v="95488.4"/>
    <n v="25.45"/>
    <n v="0.42"/>
    <m/>
    <m/>
    <n v="1"/>
    <x v="3"/>
  </r>
  <r>
    <n v="11691"/>
    <s v="SO-33750"/>
    <x v="177"/>
    <x v="2"/>
    <s v="ARV"/>
    <s v="Pediatric"/>
    <s v="SCMS from RDC"/>
    <x v="1"/>
    <s v="N/A - From RDC"/>
    <s v="Air"/>
    <m/>
    <d v="2009-10-20T00:00:00"/>
    <d v="2009-10-20T00:00:00"/>
    <d v="2009-10-20T00:00:00"/>
    <x v="24"/>
    <s v="Abacavir"/>
    <s v="Generic"/>
    <s v="20mg/ml"/>
    <s v="Oral solution"/>
    <n v="240"/>
    <n v="100"/>
    <n v="1464"/>
    <n v="14.64"/>
    <n v="0.06"/>
    <n v="18"/>
    <n v="523.45000000000005"/>
    <n v="1"/>
    <x v="3"/>
  </r>
  <r>
    <n v="11697"/>
    <s v="SO-34570"/>
    <x v="178"/>
    <x v="2"/>
    <s v="ARV"/>
    <s v="Adult"/>
    <s v="SCMS from RDC"/>
    <x v="1"/>
    <s v="N/A - From RDC"/>
    <s v="Air"/>
    <m/>
    <d v="2009-11-26T00:00:00"/>
    <d v="2009-11-26T00:00:00"/>
    <d v="2009-11-26T00:00:00"/>
    <x v="0"/>
    <s v="Nevirapine"/>
    <s v="Generic"/>
    <s v="200mg"/>
    <s v="Tablet"/>
    <n v="60"/>
    <n v="6661"/>
    <n v="19316.900000000001"/>
    <n v="2.9"/>
    <n v="0.05"/>
    <n v="778"/>
    <n v="4702.0200000000004"/>
    <n v="1"/>
    <x v="3"/>
  </r>
  <r>
    <n v="11732"/>
    <s v="SO-632"/>
    <x v="179"/>
    <x v="0"/>
    <s v="ARV"/>
    <s v="Adult"/>
    <s v="SCMS from RDC"/>
    <x v="1"/>
    <s v="N/A - From RDC"/>
    <s v="Air"/>
    <m/>
    <d v="2007-07-06T00:00:00"/>
    <d v="2007-07-06T00:00:00"/>
    <d v="2007-07-06T00:00:00"/>
    <x v="8"/>
    <s v="Efavirenz"/>
    <s v="Generic"/>
    <s v="600mg"/>
    <s v="Tablet"/>
    <n v="30"/>
    <n v="28665"/>
    <n v="466092.9"/>
    <n v="16.260000000000002"/>
    <n v="0.54"/>
    <n v="2515"/>
    <n v="6834"/>
    <n v="1"/>
    <x v="1"/>
  </r>
  <r>
    <n v="11741"/>
    <s v="SO-769"/>
    <x v="180"/>
    <x v="0"/>
    <s v="ARV"/>
    <s v="Adult"/>
    <s v="SCMS from RDC"/>
    <x v="1"/>
    <s v="N/A - From RDC"/>
    <s v="Air"/>
    <m/>
    <d v="2007-08-22T00:00:00"/>
    <d v="2007-08-22T00:00:00"/>
    <d v="2007-08-22T00:00:00"/>
    <x v="0"/>
    <s v="Nevirapine"/>
    <s v="Generic"/>
    <s v="200mg"/>
    <s v="Tablet"/>
    <n v="60"/>
    <n v="11807"/>
    <n v="42150.99"/>
    <n v="3.57"/>
    <n v="0.06"/>
    <n v="1802"/>
    <n v="3267"/>
    <n v="1"/>
    <x v="1"/>
  </r>
  <r>
    <n v="11744"/>
    <s v="SO-445"/>
    <x v="181"/>
    <x v="0"/>
    <s v="ARV"/>
    <s v="Adult"/>
    <s v="SCMS from RDC"/>
    <x v="1"/>
    <s v="N/A - From RDC"/>
    <s v="Air"/>
    <m/>
    <d v="2007-07-30T00:00:00"/>
    <d v="2007-07-30T00:00:00"/>
    <d v="2007-07-30T00:00:00"/>
    <x v="1"/>
    <s v="Lamivudine/Zidovudine"/>
    <s v="Generic"/>
    <s v="150/300mg"/>
    <s v="Tablet - FDC"/>
    <n v="60"/>
    <n v="10977"/>
    <n v="117234.36"/>
    <n v="10.68"/>
    <n v="0.18"/>
    <n v="957"/>
    <n v="3243"/>
    <n v="1"/>
    <x v="1"/>
  </r>
  <r>
    <n v="11747"/>
    <s v="SO-633"/>
    <x v="182"/>
    <x v="0"/>
    <s v="ARV"/>
    <s v="Adult"/>
    <s v="SCMS from RDC"/>
    <x v="1"/>
    <s v="N/A - From RDC"/>
    <s v="Air"/>
    <m/>
    <d v="2007-07-30T00:00:00"/>
    <d v="2007-07-30T00:00:00"/>
    <d v="2007-07-30T00:00:00"/>
    <x v="14"/>
    <s v="Lopinavir/Ritonavir"/>
    <s v="Aluvia"/>
    <s v="200/50mg"/>
    <s v="Tablet"/>
    <n v="120"/>
    <n v="1155"/>
    <n v="47470.5"/>
    <n v="41.1"/>
    <n v="0.34"/>
    <n v="255"/>
    <n v="1388"/>
    <n v="1"/>
    <x v="1"/>
  </r>
  <r>
    <n v="11753"/>
    <s v="SO-455"/>
    <x v="82"/>
    <x v="0"/>
    <s v="ARV"/>
    <s v="Adult"/>
    <s v="SCMS from RDC"/>
    <x v="1"/>
    <s v="N/A - From RDC"/>
    <s v="N/A"/>
    <m/>
    <d v="2007-09-10T00:00:00"/>
    <d v="2007-09-10T00:00:00"/>
    <d v="2007-09-10T00:00:00"/>
    <x v="1"/>
    <s v="Lamivudine/Zidovudine"/>
    <s v="Generic"/>
    <s v="150/300mg"/>
    <s v="Tablet - FDC"/>
    <n v="60"/>
    <n v="10000"/>
    <n v="106800"/>
    <n v="10.68"/>
    <n v="0.18"/>
    <m/>
    <m/>
    <n v="1"/>
    <x v="1"/>
  </r>
  <r>
    <n v="11754"/>
    <s v="SO-771"/>
    <x v="183"/>
    <x v="0"/>
    <s v="ARV"/>
    <s v="Adult"/>
    <s v="SCMS from RDC"/>
    <x v="1"/>
    <s v="N/A - From RDC"/>
    <s v="N/A"/>
    <m/>
    <d v="2007-09-26T00:00:00"/>
    <d v="2007-09-26T00:00:00"/>
    <d v="2007-09-26T00:00:00"/>
    <x v="9"/>
    <s v="Abacavir"/>
    <s v="Generic"/>
    <s v="300mg"/>
    <s v="Tablet"/>
    <n v="60"/>
    <n v="7661"/>
    <n v="274263.8"/>
    <n v="35.799999999999997"/>
    <n v="0.6"/>
    <n v="750"/>
    <n v="3901.78"/>
    <n v="1"/>
    <x v="1"/>
  </r>
  <r>
    <n v="11824"/>
    <s v="SO-1009"/>
    <x v="184"/>
    <x v="2"/>
    <s v="ARV"/>
    <s v="Pediatric"/>
    <s v="SCMS from RDC"/>
    <x v="1"/>
    <s v="N/A - From RDC"/>
    <s v="N/A"/>
    <m/>
    <d v="2007-12-20T00:00:00"/>
    <d v="2007-12-20T00:00:00"/>
    <d v="2007-12-20T00:00:00"/>
    <x v="36"/>
    <s v="Nevirapine"/>
    <s v="Generic"/>
    <s v="10mg/ml"/>
    <s v="Oral suspension"/>
    <n v="240"/>
    <n v="11168"/>
    <n v="69241.600000000006"/>
    <n v="6.2"/>
    <n v="0.03"/>
    <n v="4583"/>
    <n v="14554.5"/>
    <n v="1"/>
    <x v="1"/>
  </r>
  <r>
    <n v="11830"/>
    <s v="SO-1531"/>
    <x v="185"/>
    <x v="2"/>
    <s v="ARV"/>
    <s v="Pediatric"/>
    <s v="SCMS from RDC"/>
    <x v="1"/>
    <s v="N/A - From RDC"/>
    <s v="Air"/>
    <m/>
    <d v="2007-12-20T00:00:00"/>
    <d v="2007-12-20T00:00:00"/>
    <d v="2007-12-20T00:00:00"/>
    <x v="20"/>
    <s v="Zidovudine"/>
    <s v="Generic"/>
    <s v="10mg/ml"/>
    <s v="Oral solution"/>
    <n v="240"/>
    <n v="3286"/>
    <n v="7064.9"/>
    <n v="2.15"/>
    <n v="0.01"/>
    <n v="1215"/>
    <n v="8586"/>
    <n v="1"/>
    <x v="1"/>
  </r>
  <r>
    <n v="11833"/>
    <s v="SO-1302"/>
    <x v="144"/>
    <x v="3"/>
    <s v="ARV"/>
    <s v="Adult"/>
    <s v="SCMS from RDC"/>
    <x v="1"/>
    <s v="N/A - From RDC"/>
    <s v="Air"/>
    <m/>
    <d v="2008-01-15T00:00:00"/>
    <d v="2008-01-15T00:00:00"/>
    <d v="2008-01-15T00:00:00"/>
    <x v="14"/>
    <s v="Lopinavir/Ritonavir"/>
    <s v="Aluvia"/>
    <s v="200/50mg"/>
    <s v="Tablet"/>
    <n v="120"/>
    <n v="180"/>
    <n v="7398"/>
    <n v="41.1"/>
    <n v="0.34"/>
    <m/>
    <m/>
    <n v="1"/>
    <x v="2"/>
  </r>
  <r>
    <n v="11834"/>
    <s v="SO-1516"/>
    <x v="186"/>
    <x v="1"/>
    <s v="ARV"/>
    <s v="Adult"/>
    <s v="SCMS from RDC"/>
    <x v="1"/>
    <s v="N/A - From RDC"/>
    <s v="Air"/>
    <m/>
    <d v="2008-01-31T00:00:00"/>
    <d v="2008-01-31T00:00:00"/>
    <d v="2008-01-31T00:00:00"/>
    <x v="8"/>
    <s v="Efavirenz"/>
    <s v="Generic"/>
    <s v="600mg"/>
    <s v="Tablet"/>
    <n v="30"/>
    <n v="37258"/>
    <n v="462744.36"/>
    <n v="12.42"/>
    <n v="0.41"/>
    <n v="3195"/>
    <n v="36417.89"/>
    <n v="1"/>
    <x v="2"/>
  </r>
  <r>
    <n v="11845"/>
    <s v="SO-1536"/>
    <x v="187"/>
    <x v="2"/>
    <s v="ARV"/>
    <s v="Adult"/>
    <s v="SCMS from RDC"/>
    <x v="1"/>
    <s v="N/A - From RDC"/>
    <s v="Air"/>
    <m/>
    <d v="2008-02-01T00:00:00"/>
    <d v="2008-02-01T00:00:00"/>
    <d v="2008-02-01T00:00:00"/>
    <x v="16"/>
    <s v="Lamivudine"/>
    <s v="Generic"/>
    <s v="150mg"/>
    <s v="Tablet"/>
    <n v="60"/>
    <n v="48671"/>
    <n v="147959.84"/>
    <n v="3.04"/>
    <n v="0.05"/>
    <n v="2533"/>
    <n v="9187.7999999999993"/>
    <n v="1"/>
    <x v="2"/>
  </r>
  <r>
    <n v="11846"/>
    <s v="SO-1304"/>
    <x v="188"/>
    <x v="3"/>
    <s v="ARV"/>
    <s v="Adult"/>
    <s v="SCMS from RDC"/>
    <x v="1"/>
    <s v="N/A - From RDC"/>
    <s v="Air"/>
    <m/>
    <d v="2008-03-11T00:00:00"/>
    <d v="2008-03-11T00:00:00"/>
    <d v="2008-03-11T00:00:00"/>
    <x v="8"/>
    <s v="Efavirenz"/>
    <s v="Generic"/>
    <s v="600mg"/>
    <s v="Tablet"/>
    <n v="30"/>
    <n v="3364"/>
    <n v="41780.879999999997"/>
    <n v="12.42"/>
    <n v="0.41"/>
    <n v="369"/>
    <n v="1902.9"/>
    <n v="1"/>
    <x v="2"/>
  </r>
  <r>
    <n v="11847"/>
    <s v="SO-1304"/>
    <x v="188"/>
    <x v="3"/>
    <s v="ARV"/>
    <s v="Adult"/>
    <s v="SCMS from RDC"/>
    <x v="1"/>
    <s v="N/A - From RDC"/>
    <s v="Air"/>
    <m/>
    <d v="2008-03-11T00:00:00"/>
    <d v="2008-03-11T00:00:00"/>
    <d v="2008-03-11T00:00:00"/>
    <x v="22"/>
    <s v="Emtricitabine/Tenofovir Disoproxil Fumarate"/>
    <s v="Truvada"/>
    <s v="300/200mg"/>
    <s v="Tablet - FDC"/>
    <n v="30"/>
    <n v="656"/>
    <n v="17220"/>
    <n v="26.25"/>
    <n v="0.88"/>
    <m/>
    <m/>
    <n v="1"/>
    <x v="2"/>
  </r>
  <r>
    <n v="11850"/>
    <s v="SO-1528"/>
    <x v="189"/>
    <x v="2"/>
    <s v="ARV"/>
    <s v="Adult"/>
    <s v="SCMS from RDC"/>
    <x v="1"/>
    <s v="N/A - From RDC"/>
    <s v="Air"/>
    <m/>
    <d v="2008-01-29T00:00:00"/>
    <d v="2008-01-29T00:00:00"/>
    <d v="2008-01-29T00:00:00"/>
    <x v="0"/>
    <s v="Nevirapine"/>
    <s v="Generic"/>
    <s v="200mg"/>
    <s v="Tablet"/>
    <n v="60"/>
    <n v="55560"/>
    <n v="188904"/>
    <n v="3.4"/>
    <n v="0.06"/>
    <n v="5181"/>
    <n v="17975.21"/>
    <n v="1"/>
    <x v="2"/>
  </r>
  <r>
    <n v="11851"/>
    <s v="SO-1648"/>
    <x v="94"/>
    <x v="0"/>
    <s v="ARV"/>
    <s v="Adult"/>
    <s v="SCMS from RDC"/>
    <x v="1"/>
    <s v="N/A - From RDC"/>
    <s v="Air"/>
    <m/>
    <d v="2008-02-25T00:00:00"/>
    <d v="2008-02-25T00:00:00"/>
    <d v="2008-02-25T00:00:00"/>
    <x v="14"/>
    <s v="Lopinavir/Ritonavir"/>
    <s v="Aluvia"/>
    <s v="200/50mg"/>
    <s v="Tablet"/>
    <n v="120"/>
    <n v="2580"/>
    <n v="106038"/>
    <n v="41.1"/>
    <n v="0.34"/>
    <m/>
    <m/>
    <n v="1"/>
    <x v="2"/>
  </r>
  <r>
    <n v="11883"/>
    <s v="SO-1943"/>
    <x v="190"/>
    <x v="0"/>
    <s v="ARV"/>
    <s v="Pediatric"/>
    <s v="SCMS from RDC"/>
    <x v="1"/>
    <s v="N/A - From RDC"/>
    <s v="Air"/>
    <m/>
    <d v="2008-04-23T00:00:00"/>
    <d v="2008-04-23T00:00:00"/>
    <d v="2008-04-23T00:00:00"/>
    <x v="28"/>
    <s v="Didanosine"/>
    <s v="Generic"/>
    <s v="100mg"/>
    <s v="Chewable/dispersible tablet"/>
    <n v="60"/>
    <n v="11640"/>
    <n v="90210"/>
    <n v="7.75"/>
    <n v="0.13"/>
    <n v="2427"/>
    <n v="8381.2199999999993"/>
    <n v="1"/>
    <x v="2"/>
  </r>
  <r>
    <n v="11887"/>
    <s v="SO-2674"/>
    <x v="100"/>
    <x v="3"/>
    <s v="ARV"/>
    <s v="Adult"/>
    <s v="SCMS from RDC"/>
    <x v="1"/>
    <s v="N/A - From RDC"/>
    <s v="Air"/>
    <m/>
    <d v="2008-07-11T00:00:00"/>
    <d v="2008-07-11T00:00:00"/>
    <d v="2008-07-11T00:00:00"/>
    <x v="29"/>
    <s v="Zidovudine"/>
    <s v="Generic"/>
    <s v="300mg"/>
    <s v="Tablet"/>
    <n v="60"/>
    <n v="46"/>
    <n v="368"/>
    <n v="8"/>
    <n v="0.13"/>
    <m/>
    <m/>
    <n v="1"/>
    <x v="2"/>
  </r>
  <r>
    <n v="11892"/>
    <s v="SO-1999"/>
    <x v="191"/>
    <x v="0"/>
    <s v="ARV"/>
    <s v="Adult"/>
    <s v="SCMS from RDC"/>
    <x v="1"/>
    <s v="N/A - From RDC"/>
    <s v="Air"/>
    <m/>
    <d v="2008-04-23T00:00:00"/>
    <d v="2008-04-23T00:00:00"/>
    <d v="2008-04-23T00:00:00"/>
    <x v="8"/>
    <s v="Efavirenz"/>
    <s v="Generic"/>
    <s v="600mg"/>
    <s v="Tablet"/>
    <n v="30"/>
    <n v="18451"/>
    <n v="229161.42"/>
    <n v="12.42"/>
    <n v="0.41"/>
    <n v="1636"/>
    <n v="6195.24"/>
    <n v="1"/>
    <x v="2"/>
  </r>
  <r>
    <n v="11893"/>
    <s v="SO-1518"/>
    <x v="101"/>
    <x v="2"/>
    <s v="ARV"/>
    <s v="Adult"/>
    <s v="SCMS from RDC"/>
    <x v="1"/>
    <s v="N/A - From RDC"/>
    <s v="Air"/>
    <m/>
    <d v="2008-03-21T00:00:00"/>
    <d v="2008-03-21T00:00:00"/>
    <d v="2008-03-21T00:00:00"/>
    <x v="0"/>
    <s v="Nevirapine"/>
    <s v="Generic"/>
    <s v="200mg"/>
    <s v="Tablet"/>
    <n v="60"/>
    <n v="100731"/>
    <n v="342485.4"/>
    <n v="3.4"/>
    <n v="0.06"/>
    <m/>
    <m/>
    <n v="1"/>
    <x v="2"/>
  </r>
  <r>
    <n v="11906"/>
    <s v="SO-17770"/>
    <x v="157"/>
    <x v="3"/>
    <s v="ARV"/>
    <s v="Adult"/>
    <s v="SCMS from RDC"/>
    <x v="1"/>
    <s v="N/A - From RDC"/>
    <s v="Truck"/>
    <m/>
    <d v="2008-12-15T00:00:00"/>
    <d v="2008-12-15T00:00:00"/>
    <d v="2008-12-15T00:00:00"/>
    <x v="8"/>
    <s v="Efavirenz"/>
    <s v="Generic"/>
    <s v="600mg"/>
    <s v="Tablet"/>
    <n v="30"/>
    <n v="5147"/>
    <n v="56617"/>
    <n v="11"/>
    <n v="0.37"/>
    <m/>
    <m/>
    <n v="1"/>
    <x v="2"/>
  </r>
  <r>
    <n v="11913"/>
    <s v="SO-22050"/>
    <x v="135"/>
    <x v="2"/>
    <s v="ARV"/>
    <s v="Adult"/>
    <s v="SCMS from RDC"/>
    <x v="1"/>
    <s v="N/A - From RDC"/>
    <s v="Air"/>
    <m/>
    <d v="2009-03-20T00:00:00"/>
    <d v="2009-03-20T00:00:00"/>
    <d v="2009-03-20T00:00:00"/>
    <x v="11"/>
    <s v="Lamivudine/Nevirapine/Zidovudine"/>
    <s v="Generic"/>
    <s v="150/300/200mg"/>
    <s v="Tablet - FDC"/>
    <n v="60"/>
    <n v="10812"/>
    <n v="127581.6"/>
    <n v="11.8"/>
    <n v="0.2"/>
    <m/>
    <m/>
    <n v="1"/>
    <x v="3"/>
  </r>
  <r>
    <n v="11920"/>
    <s v="SO-17220"/>
    <x v="192"/>
    <x v="1"/>
    <s v="ARV"/>
    <s v="Adult"/>
    <s v="SCMS from RDC"/>
    <x v="1"/>
    <s v="N/A - From RDC"/>
    <s v="Truck"/>
    <m/>
    <d v="2008-11-05T00:00:00"/>
    <d v="2008-11-05T00:00:00"/>
    <d v="2008-11-05T00:00:00"/>
    <x v="0"/>
    <s v="Nevirapine"/>
    <s v="Generic"/>
    <s v="200mg"/>
    <s v="Tablet"/>
    <n v="60"/>
    <n v="4703"/>
    <n v="15049.6"/>
    <n v="3.2"/>
    <n v="0.05"/>
    <n v="455"/>
    <n v="3754.14"/>
    <n v="1"/>
    <x v="2"/>
  </r>
  <r>
    <n v="11924"/>
    <s v="SO-23000"/>
    <x v="193"/>
    <x v="1"/>
    <s v="ARV"/>
    <s v="Adult"/>
    <s v="SCMS from RDC"/>
    <x v="1"/>
    <s v="N/A - From RDC"/>
    <s v="Air"/>
    <m/>
    <d v="2009-02-06T00:00:00"/>
    <d v="2009-02-06T00:00:00"/>
    <d v="2009-02-06T00:00:00"/>
    <x v="16"/>
    <s v="Lamivudine"/>
    <s v="Generic"/>
    <s v="150mg"/>
    <s v="Tablet"/>
    <n v="60"/>
    <n v="10530"/>
    <n v="25693.200000000001"/>
    <n v="2.44"/>
    <n v="0.04"/>
    <n v="544"/>
    <n v="5029.05"/>
    <n v="1"/>
    <x v="3"/>
  </r>
  <r>
    <n v="11925"/>
    <s v="SO-1697"/>
    <x v="161"/>
    <x v="0"/>
    <s v="ARV"/>
    <s v="Pediatric"/>
    <s v="SCMS from RDC"/>
    <x v="1"/>
    <s v="N/A - From RDC"/>
    <s v="N/A"/>
    <m/>
    <d v="2008-09-15T00:00:00"/>
    <d v="2008-09-15T00:00:00"/>
    <d v="2008-09-15T00:00:00"/>
    <x v="28"/>
    <s v="Didanosine"/>
    <s v="Generic"/>
    <s v="100mg"/>
    <s v="Chewable/dispersible tablet"/>
    <n v="60"/>
    <n v="11640"/>
    <n v="90210"/>
    <n v="7.75"/>
    <n v="0.13"/>
    <m/>
    <m/>
    <n v="1"/>
    <x v="2"/>
  </r>
  <r>
    <n v="11940"/>
    <s v="SO-2565"/>
    <x v="194"/>
    <x v="0"/>
    <s v="ARV"/>
    <s v="Adult"/>
    <s v="SCMS from RDC"/>
    <x v="1"/>
    <s v="N/A - From RDC"/>
    <s v="Air"/>
    <m/>
    <d v="2008-08-29T00:00:00"/>
    <d v="2008-08-29T00:00:00"/>
    <d v="2008-08-29T00:00:00"/>
    <x v="13"/>
    <s v="Lamivudine/Nevirapine/Stavudine"/>
    <s v="Generic"/>
    <s v="150/200/30mg"/>
    <s v="Tablet - FDC"/>
    <n v="60"/>
    <n v="2011"/>
    <n v="14881.4"/>
    <n v="7.4"/>
    <n v="0.12"/>
    <n v="6650"/>
    <n v="36855.599999999999"/>
    <n v="1"/>
    <x v="2"/>
  </r>
  <r>
    <n v="11944"/>
    <s v="SO-22000"/>
    <x v="166"/>
    <x v="2"/>
    <s v="ARV"/>
    <s v="Adult"/>
    <s v="SCMS from RDC"/>
    <x v="1"/>
    <s v="N/A - From RDC"/>
    <s v="Air"/>
    <m/>
    <d v="2009-02-18T00:00:00"/>
    <d v="2009-02-18T00:00:00"/>
    <d v="2009-02-18T00:00:00"/>
    <x v="13"/>
    <s v="Lamivudine/Nevirapine/Stavudine"/>
    <s v="Generic"/>
    <s v="150/200/30mg"/>
    <s v="Tablet - FDC"/>
    <n v="60"/>
    <n v="2855"/>
    <n v="20327.599999999999"/>
    <n v="7.12"/>
    <n v="0.12"/>
    <m/>
    <m/>
    <n v="1"/>
    <x v="3"/>
  </r>
  <r>
    <n v="11966"/>
    <s v="SO-29010"/>
    <x v="138"/>
    <x v="4"/>
    <s v="ARV"/>
    <s v="Pediatric"/>
    <s v="SCMS from RDC"/>
    <x v="1"/>
    <s v="N/A - From RDC"/>
    <s v="Truck"/>
    <m/>
    <d v="2009-04-23T00:00:00"/>
    <d v="2009-04-23T00:00:00"/>
    <d v="2009-04-23T00:00:00"/>
    <x v="37"/>
    <s v="Efavirenz"/>
    <s v="Generic"/>
    <s v="200mg"/>
    <s v="Capsule"/>
    <n v="90"/>
    <n v="170"/>
    <n v="1.7"/>
    <n v="0.01"/>
    <n v="0"/>
    <m/>
    <m/>
    <n v="1"/>
    <x v="3"/>
  </r>
  <r>
    <n v="11991"/>
    <s v="SO-32120"/>
    <x v="172"/>
    <x v="3"/>
    <s v="ARV"/>
    <s v="Adult"/>
    <s v="SCMS from RDC"/>
    <x v="1"/>
    <s v="N/A - From RDC"/>
    <s v="Air"/>
    <m/>
    <d v="2009-08-14T00:00:00"/>
    <d v="2009-08-14T00:00:00"/>
    <d v="2009-08-14T00:00:00"/>
    <x v="1"/>
    <s v="Lamivudine/Zidovudine"/>
    <s v="Generic"/>
    <s v="150/300mg"/>
    <s v="Tablet - FDC"/>
    <n v="60"/>
    <n v="14479"/>
    <n v="97878.04"/>
    <n v="6.76"/>
    <n v="0.11"/>
    <m/>
    <m/>
    <n v="1"/>
    <x v="3"/>
  </r>
  <r>
    <n v="11992"/>
    <s v="SO-30081"/>
    <x v="195"/>
    <x v="3"/>
    <s v="ARV"/>
    <s v="Adult"/>
    <s v="SCMS from RDC"/>
    <x v="1"/>
    <s v="N/A - From RDC"/>
    <s v="Air"/>
    <m/>
    <d v="2009-08-14T00:00:00"/>
    <d v="2009-08-14T00:00:00"/>
    <d v="2009-08-14T00:00:00"/>
    <x v="13"/>
    <s v="Lamivudine/Nevirapine/Stavudine"/>
    <s v="Generic"/>
    <s v="150/200/30mg"/>
    <s v="Tablet - FDC"/>
    <n v="60"/>
    <n v="1604"/>
    <n v="11420.48"/>
    <n v="7.12"/>
    <n v="0.12"/>
    <n v="120"/>
    <n v="1670.63"/>
    <n v="1"/>
    <x v="3"/>
  </r>
  <r>
    <n v="11993"/>
    <s v="SO-30080"/>
    <x v="196"/>
    <x v="3"/>
    <s v="ARV"/>
    <s v="Adult"/>
    <s v="SCMS from RDC"/>
    <x v="1"/>
    <s v="N/A - From RDC"/>
    <s v="Air"/>
    <m/>
    <d v="2009-07-17T00:00:00"/>
    <d v="2009-07-17T00:00:00"/>
    <d v="2009-07-17T00:00:00"/>
    <x v="13"/>
    <s v="Lamivudine/Nevirapine/Stavudine"/>
    <s v="Generic"/>
    <s v="150/200/30mg"/>
    <s v="Tablet - FDC"/>
    <n v="60"/>
    <n v="4340"/>
    <n v="30900.799999999999"/>
    <n v="7.12"/>
    <n v="0.12"/>
    <n v="322"/>
    <n v="3017.15"/>
    <n v="1"/>
    <x v="3"/>
  </r>
  <r>
    <n v="12004"/>
    <s v="SO-32930"/>
    <x v="197"/>
    <x v="3"/>
    <s v="ARV"/>
    <s v="Adult"/>
    <s v="SCMS from RDC"/>
    <x v="1"/>
    <s v="N/A - From RDC"/>
    <s v="Air"/>
    <m/>
    <d v="2009-09-09T00:00:00"/>
    <d v="2009-09-09T00:00:00"/>
    <d v="2009-09-09T00:00:00"/>
    <x v="11"/>
    <s v="Lamivudine/Nevirapine/Zidovudine"/>
    <s v="Generic"/>
    <s v="150/300/200mg"/>
    <s v="Tablet - FDC"/>
    <n v="60"/>
    <n v="19650"/>
    <n v="223027.5"/>
    <n v="11.35"/>
    <n v="0.19"/>
    <n v="2237"/>
    <n v="15250.99"/>
    <n v="1"/>
    <x v="3"/>
  </r>
  <r>
    <n v="12008"/>
    <s v="SO-31470"/>
    <x v="198"/>
    <x v="3"/>
    <s v="ARV"/>
    <s v="Adult"/>
    <s v="SCMS from RDC"/>
    <x v="1"/>
    <s v="N/A - From RDC"/>
    <s v="Air"/>
    <m/>
    <d v="2009-09-14T00:00:00"/>
    <d v="2009-09-14T00:00:00"/>
    <d v="2009-09-14T00:00:00"/>
    <x v="22"/>
    <s v="Emtricitabine/Tenofovir Disoproxil Fumarate"/>
    <s v="Truvada"/>
    <s v="300/200mg"/>
    <s v="Tablet - FDC"/>
    <n v="30"/>
    <n v="1795"/>
    <n v="47118.75"/>
    <n v="26.25"/>
    <n v="0.88"/>
    <n v="160"/>
    <n v="2590.35"/>
    <n v="1"/>
    <x v="3"/>
  </r>
  <r>
    <n v="12015"/>
    <s v="SO-33630"/>
    <x v="199"/>
    <x v="2"/>
    <s v="ARV"/>
    <s v="Adult"/>
    <s v="SCMS from RDC"/>
    <x v="1"/>
    <s v="N/A - From RDC"/>
    <s v="Air"/>
    <m/>
    <d v="2009-10-06T00:00:00"/>
    <d v="2009-10-06T00:00:00"/>
    <d v="2009-10-06T00:00:00"/>
    <x v="16"/>
    <s v="Lamivudine"/>
    <s v="Generic"/>
    <s v="150mg"/>
    <s v="Tablet"/>
    <n v="60"/>
    <n v="4500"/>
    <n v="10980"/>
    <n v="2.44"/>
    <n v="0.04"/>
    <n v="658"/>
    <n v="4311.22"/>
    <n v="1"/>
    <x v="3"/>
  </r>
  <r>
    <n v="12017"/>
    <s v="SO-34000"/>
    <x v="200"/>
    <x v="3"/>
    <s v="ARV"/>
    <s v="Adult"/>
    <s v="SCMS from RDC"/>
    <x v="1"/>
    <s v="N/A - From RDC"/>
    <s v="Air"/>
    <m/>
    <d v="2009-10-29T00:00:00"/>
    <d v="2009-10-29T00:00:00"/>
    <d v="2009-10-29T00:00:00"/>
    <x v="3"/>
    <s v="Stavudine"/>
    <s v="Generic"/>
    <s v="30mg"/>
    <s v="Capsule"/>
    <n v="60"/>
    <n v="300"/>
    <n v="438"/>
    <n v="1.46"/>
    <n v="0.02"/>
    <n v="20"/>
    <n v="667.17"/>
    <n v="1"/>
    <x v="3"/>
  </r>
  <r>
    <n v="12018"/>
    <s v="SO-33150"/>
    <x v="201"/>
    <x v="3"/>
    <s v="ARV"/>
    <s v="Adult"/>
    <s v="SCMS from RDC"/>
    <x v="1"/>
    <s v="N/A - From RDC"/>
    <s v="Air"/>
    <m/>
    <d v="2009-10-29T00:00:00"/>
    <d v="2009-10-29T00:00:00"/>
    <d v="2009-10-29T00:00:00"/>
    <x v="29"/>
    <s v="Zidovudine"/>
    <s v="Generic"/>
    <s v="300mg"/>
    <s v="Tablet"/>
    <n v="60"/>
    <n v="589"/>
    <n v="4435.17"/>
    <n v="7.53"/>
    <n v="0.13"/>
    <n v="33"/>
    <n v="747.17"/>
    <n v="1"/>
    <x v="3"/>
  </r>
  <r>
    <n v="12020"/>
    <s v="SO-35210"/>
    <x v="202"/>
    <x v="2"/>
    <s v="ARV"/>
    <s v="Adult"/>
    <s v="SCMS from RDC"/>
    <x v="1"/>
    <s v="N/A - From RDC"/>
    <s v="Air"/>
    <m/>
    <d v="2009-12-08T00:00:00"/>
    <d v="2009-12-08T00:00:00"/>
    <d v="2009-12-08T00:00:00"/>
    <x v="0"/>
    <s v="Nevirapine"/>
    <s v="Generic"/>
    <s v="200mg"/>
    <s v="Tablet"/>
    <n v="60"/>
    <n v="20000"/>
    <n v="58000"/>
    <n v="2.9"/>
    <n v="0.05"/>
    <n v="2190"/>
    <n v="7573.92"/>
    <n v="1"/>
    <x v="3"/>
  </r>
  <r>
    <n v="12021"/>
    <s v="SO-34580"/>
    <x v="203"/>
    <x v="2"/>
    <s v="ARV"/>
    <s v="Adult"/>
    <s v="SCMS from RDC"/>
    <x v="1"/>
    <s v="N/A - From RDC"/>
    <s v="Air"/>
    <m/>
    <d v="2010-01-13T00:00:00"/>
    <d v="2010-01-13T00:00:00"/>
    <d v="2010-01-13T00:00:00"/>
    <x v="0"/>
    <s v="Nevirapine"/>
    <s v="Generic"/>
    <s v="200mg"/>
    <s v="Tablet"/>
    <n v="60"/>
    <n v="25540"/>
    <n v="74066"/>
    <n v="2.9"/>
    <n v="0.05"/>
    <n v="2031"/>
    <n v="6774.59"/>
    <n v="1"/>
    <x v="4"/>
  </r>
  <r>
    <n v="12041"/>
    <s v="SO-481"/>
    <x v="78"/>
    <x v="1"/>
    <s v="ARV"/>
    <s v="Adult"/>
    <s v="SCMS from RDC"/>
    <x v="1"/>
    <s v="N/A - From RDC"/>
    <s v="Air"/>
    <m/>
    <d v="2007-05-14T00:00:00"/>
    <d v="2007-05-14T00:00:00"/>
    <d v="2007-05-14T00:00:00"/>
    <x v="16"/>
    <s v="Lamivudine"/>
    <s v="Generic"/>
    <s v="150mg"/>
    <s v="Tablet"/>
    <n v="60"/>
    <n v="1267"/>
    <n v="4193.7700000000004"/>
    <n v="3.31"/>
    <n v="0.06"/>
    <m/>
    <m/>
    <n v="1"/>
    <x v="1"/>
  </r>
  <r>
    <n v="12073"/>
    <s v="SO-496"/>
    <x v="120"/>
    <x v="0"/>
    <s v="ARV"/>
    <s v="Pediatric"/>
    <s v="SCMS from RDC"/>
    <x v="1"/>
    <s v="N/A - From RDC"/>
    <s v="Air"/>
    <m/>
    <d v="2007-07-30T00:00:00"/>
    <d v="2007-07-30T00:00:00"/>
    <d v="2007-07-30T00:00:00"/>
    <x v="6"/>
    <s v="Lopinavir/Ritonavir"/>
    <s v="Kaletra"/>
    <s v="80/20mg/ml"/>
    <s v="Oral solution"/>
    <n v="300"/>
    <n v="147"/>
    <n v="6041.7"/>
    <n v="41.1"/>
    <n v="0.14000000000000001"/>
    <m/>
    <m/>
    <n v="1"/>
    <x v="1"/>
  </r>
  <r>
    <n v="12078"/>
    <s v="SO-814"/>
    <x v="204"/>
    <x v="1"/>
    <s v="ARV"/>
    <s v="Adult"/>
    <s v="SCMS from RDC"/>
    <x v="1"/>
    <s v="N/A - From RDC"/>
    <s v="Air"/>
    <m/>
    <d v="2007-08-06T00:00:00"/>
    <d v="2007-08-06T00:00:00"/>
    <d v="2007-08-06T00:00:00"/>
    <x v="38"/>
    <s v="Indinavir"/>
    <s v="Crixivan"/>
    <s v="400mg"/>
    <s v="Capsule"/>
    <n v="180"/>
    <n v="112"/>
    <n v="5600"/>
    <n v="50"/>
    <n v="0.28000000000000003"/>
    <n v="24"/>
    <n v="1161"/>
    <n v="1"/>
    <x v="1"/>
  </r>
  <r>
    <n v="12086"/>
    <s v="SO-457"/>
    <x v="205"/>
    <x v="0"/>
    <s v="ARV"/>
    <s v="Adult"/>
    <s v="SCMS from RDC"/>
    <x v="1"/>
    <s v="N/A - From RDC"/>
    <s v="Air"/>
    <m/>
    <d v="2007-08-29T00:00:00"/>
    <d v="2007-08-29T00:00:00"/>
    <d v="2007-08-29T00:00:00"/>
    <x v="1"/>
    <s v="Lamivudine/Zidovudine"/>
    <s v="Generic"/>
    <s v="150/300mg"/>
    <s v="Tablet - FDC"/>
    <n v="60"/>
    <n v="29489"/>
    <n v="314942.52"/>
    <n v="10.68"/>
    <n v="0.18"/>
    <n v="2670"/>
    <n v="7533"/>
    <n v="1"/>
    <x v="1"/>
  </r>
  <r>
    <n v="12109"/>
    <s v="SO-914"/>
    <x v="51"/>
    <x v="2"/>
    <s v="ARV"/>
    <s v="Pediatric"/>
    <s v="SCMS from RDC"/>
    <x v="1"/>
    <s v="N/A - From RDC"/>
    <s v="N/A"/>
    <m/>
    <d v="2007-09-04T00:00:00"/>
    <d v="2007-09-04T00:00:00"/>
    <d v="2007-09-04T00:00:00"/>
    <x v="25"/>
    <s v="Lamivudine"/>
    <s v="Generic"/>
    <s v="10mg/ml"/>
    <s v="Oral solution"/>
    <n v="240"/>
    <n v="11950"/>
    <n v="23541.5"/>
    <n v="1.97"/>
    <n v="0.01"/>
    <m/>
    <m/>
    <n v="1"/>
    <x v="1"/>
  </r>
  <r>
    <n v="12110"/>
    <s v="SO-914"/>
    <x v="51"/>
    <x v="2"/>
    <s v="ARV"/>
    <s v="Adult"/>
    <s v="SCMS from RDC"/>
    <x v="1"/>
    <s v="N/A - From RDC"/>
    <s v="N/A"/>
    <m/>
    <d v="2007-09-04T00:00:00"/>
    <d v="2007-09-04T00:00:00"/>
    <d v="2007-09-04T00:00:00"/>
    <x v="16"/>
    <s v="Lamivudine"/>
    <s v="Generic"/>
    <s v="150mg"/>
    <s v="Tablet"/>
    <n v="60"/>
    <n v="46855"/>
    <n v="142439.20000000001"/>
    <n v="3.04"/>
    <n v="0.05"/>
    <m/>
    <m/>
    <n v="1"/>
    <x v="1"/>
  </r>
  <r>
    <n v="12136"/>
    <s v="SO-1009"/>
    <x v="184"/>
    <x v="2"/>
    <s v="ARV"/>
    <s v="Adult"/>
    <s v="SCMS from RDC"/>
    <x v="1"/>
    <s v="N/A - From RDC"/>
    <s v="N/A"/>
    <m/>
    <d v="2007-12-20T00:00:00"/>
    <d v="2007-12-20T00:00:00"/>
    <d v="2007-12-20T00:00:00"/>
    <x v="16"/>
    <s v="Lamivudine"/>
    <s v="Generic"/>
    <s v="150mg"/>
    <s v="Tablet"/>
    <n v="60"/>
    <n v="14040"/>
    <n v="42681.599999999999"/>
    <n v="3.04"/>
    <n v="0.05"/>
    <m/>
    <m/>
    <n v="1"/>
    <x v="1"/>
  </r>
  <r>
    <n v="12138"/>
    <s v="SO-1524"/>
    <x v="206"/>
    <x v="2"/>
    <s v="ARV"/>
    <s v="Adult"/>
    <s v="SCMS from RDC"/>
    <x v="1"/>
    <s v="N/A - From RDC"/>
    <s v="Air"/>
    <m/>
    <d v="2007-12-20T00:00:00"/>
    <d v="2007-12-20T00:00:00"/>
    <d v="2007-12-20T00:00:00"/>
    <x v="1"/>
    <s v="Lamivudine/Zidovudine"/>
    <s v="Generic"/>
    <s v="150/300mg"/>
    <s v="Tablet - FDC"/>
    <n v="60"/>
    <n v="1797"/>
    <n v="17071.5"/>
    <n v="9.5"/>
    <n v="0.16"/>
    <n v="170"/>
    <n v="892"/>
    <n v="1"/>
    <x v="1"/>
  </r>
  <r>
    <n v="12143"/>
    <s v="SO-1530"/>
    <x v="207"/>
    <x v="2"/>
    <s v="ARV"/>
    <s v="Adult"/>
    <s v="SCMS from RDC"/>
    <x v="1"/>
    <s v="N/A - From RDC"/>
    <s v="Air"/>
    <m/>
    <d v="2007-12-20T00:00:00"/>
    <d v="2007-12-20T00:00:00"/>
    <d v="2007-12-20T00:00:00"/>
    <x v="0"/>
    <s v="Nevirapine"/>
    <s v="Generic"/>
    <s v="200mg"/>
    <s v="Tablet"/>
    <n v="60"/>
    <n v="1255"/>
    <n v="4267"/>
    <n v="3.4"/>
    <n v="0.06"/>
    <n v="120"/>
    <n v="1318"/>
    <n v="1"/>
    <x v="1"/>
  </r>
  <r>
    <n v="12148"/>
    <s v="SO-1302"/>
    <x v="144"/>
    <x v="3"/>
    <s v="ARV"/>
    <s v="Adult"/>
    <s v="SCMS from RDC"/>
    <x v="1"/>
    <s v="N/A - From RDC"/>
    <s v="Air"/>
    <m/>
    <d v="2008-01-15T00:00:00"/>
    <d v="2008-01-15T00:00:00"/>
    <d v="2008-01-15T00:00:00"/>
    <x v="1"/>
    <s v="Lamivudine/Zidovudine"/>
    <s v="Generic"/>
    <s v="150/300mg"/>
    <s v="Tablet - FDC"/>
    <n v="60"/>
    <n v="16"/>
    <n v="152"/>
    <n v="9.5"/>
    <n v="0.16"/>
    <m/>
    <m/>
    <n v="1"/>
    <x v="2"/>
  </r>
  <r>
    <n v="12169"/>
    <s v="SO-1941"/>
    <x v="208"/>
    <x v="0"/>
    <s v="ARV"/>
    <s v="Adult"/>
    <s v="SCMS from RDC"/>
    <x v="1"/>
    <s v="N/A - From RDC"/>
    <s v="N/A"/>
    <m/>
    <d v="2008-04-01T00:00:00"/>
    <d v="2008-04-01T00:00:00"/>
    <d v="2008-04-01T00:00:00"/>
    <x v="8"/>
    <s v="Efavirenz"/>
    <s v="Generic"/>
    <s v="600mg"/>
    <s v="Tablet"/>
    <n v="30"/>
    <n v="32997"/>
    <n v="409822.74"/>
    <n v="12.42"/>
    <n v="0.41"/>
    <n v="2867"/>
    <n v="10288.1"/>
    <n v="1"/>
    <x v="2"/>
  </r>
  <r>
    <n v="12172"/>
    <s v="SO-2342"/>
    <x v="209"/>
    <x v="3"/>
    <s v="ARV"/>
    <s v="Adult"/>
    <s v="SCMS from RDC"/>
    <x v="1"/>
    <s v="N/A - From RDC"/>
    <s v="Air"/>
    <m/>
    <d v="2008-06-02T00:00:00"/>
    <d v="2008-06-02T00:00:00"/>
    <d v="2008-06-02T00:00:00"/>
    <x v="8"/>
    <s v="Efavirenz"/>
    <s v="Generic"/>
    <s v="600mg"/>
    <s v="Tablet"/>
    <n v="30"/>
    <n v="860"/>
    <n v="10328.6"/>
    <n v="12.01"/>
    <n v="0.4"/>
    <n v="76"/>
    <n v="675"/>
    <n v="1"/>
    <x v="2"/>
  </r>
  <r>
    <n v="12176"/>
    <s v="SO-2675"/>
    <x v="210"/>
    <x v="3"/>
    <s v="ARV"/>
    <s v="Adult"/>
    <s v="SCMS from RDC"/>
    <x v="1"/>
    <s v="N/A - From RDC"/>
    <s v="Air"/>
    <m/>
    <d v="2008-08-04T00:00:00"/>
    <d v="2008-08-04T00:00:00"/>
    <d v="2008-08-04T00:00:00"/>
    <x v="11"/>
    <s v="Lamivudine/Nevirapine/Zidovudine"/>
    <s v="Generic"/>
    <s v="150/300/200mg"/>
    <s v="Tablet - FDC"/>
    <n v="60"/>
    <n v="7296"/>
    <n v="96890.880000000005"/>
    <n v="13.28"/>
    <n v="0.22"/>
    <n v="824"/>
    <n v="3182.52"/>
    <n v="1"/>
    <x v="2"/>
  </r>
  <r>
    <n v="12189"/>
    <s v="SO-2792"/>
    <x v="211"/>
    <x v="3"/>
    <s v="ARV"/>
    <s v="Pediatric"/>
    <s v="SCMS from RDC"/>
    <x v="1"/>
    <s v="N/A - From RDC"/>
    <s v="Air"/>
    <m/>
    <d v="2008-07-22T00:00:00"/>
    <d v="2008-07-22T00:00:00"/>
    <d v="2008-07-22T00:00:00"/>
    <x v="20"/>
    <s v="Zidovudine"/>
    <s v="Generic"/>
    <s v="10mg/ml"/>
    <s v="Oral solution"/>
    <n v="240"/>
    <n v="6036"/>
    <n v="12675.6"/>
    <n v="2.1"/>
    <n v="0.01"/>
    <n v="2253"/>
    <n v="15923.41"/>
    <n v="1"/>
    <x v="2"/>
  </r>
  <r>
    <n v="12195"/>
    <s v="SO-1652"/>
    <x v="212"/>
    <x v="0"/>
    <s v="ARV"/>
    <s v="Adult"/>
    <s v="SCMS from RDC"/>
    <x v="1"/>
    <s v="N/A - From RDC"/>
    <s v="Air"/>
    <m/>
    <d v="2008-03-28T00:00:00"/>
    <d v="2008-03-28T00:00:00"/>
    <d v="2008-03-28T00:00:00"/>
    <x v="8"/>
    <s v="Efavirenz"/>
    <s v="Generic"/>
    <s v="600mg"/>
    <s v="Tablet"/>
    <n v="30"/>
    <n v="17000"/>
    <n v="211140"/>
    <n v="12.42"/>
    <n v="0.41"/>
    <n v="6007"/>
    <n v="20395.599999999999"/>
    <n v="1"/>
    <x v="2"/>
  </r>
  <r>
    <n v="12204"/>
    <s v="SO-1974"/>
    <x v="126"/>
    <x v="2"/>
    <s v="ARV"/>
    <s v="Adult"/>
    <s v="SCMS from RDC"/>
    <x v="1"/>
    <s v="N/A - From RDC"/>
    <s v="Air"/>
    <m/>
    <d v="2008-04-21T00:00:00"/>
    <d v="2008-04-21T00:00:00"/>
    <d v="2008-04-21T00:00:00"/>
    <x v="0"/>
    <s v="Nevirapine"/>
    <s v="Generic"/>
    <s v="200mg"/>
    <s v="Tablet"/>
    <n v="60"/>
    <n v="1440"/>
    <n v="4896"/>
    <n v="3.4"/>
    <n v="0.06"/>
    <m/>
    <m/>
    <n v="1"/>
    <x v="2"/>
  </r>
  <r>
    <n v="12210"/>
    <s v="SO-2344"/>
    <x v="128"/>
    <x v="3"/>
    <s v="ARV"/>
    <s v="Adult"/>
    <s v="SCMS from RDC"/>
    <x v="1"/>
    <s v="N/A - From RDC"/>
    <s v="Air"/>
    <m/>
    <d v="2008-08-21T00:00:00"/>
    <d v="2008-08-21T00:00:00"/>
    <d v="2008-08-21T00:00:00"/>
    <x v="8"/>
    <s v="Efavirenz"/>
    <s v="Generic"/>
    <s v="600mg"/>
    <s v="Tablet"/>
    <n v="30"/>
    <n v="1300"/>
    <n v="15613"/>
    <n v="12.01"/>
    <n v="0.4"/>
    <m/>
    <m/>
    <n v="1"/>
    <x v="2"/>
  </r>
  <r>
    <n v="12216"/>
    <s v="SO-17760"/>
    <x v="61"/>
    <x v="3"/>
    <s v="ARV"/>
    <s v="Adult"/>
    <s v="SCMS from RDC"/>
    <x v="1"/>
    <s v="N/A - From RDC"/>
    <s v="Air"/>
    <m/>
    <d v="2009-04-02T00:00:00"/>
    <d v="2009-04-02T00:00:00"/>
    <d v="2009-04-02T00:00:00"/>
    <x v="8"/>
    <s v="Efavirenz"/>
    <s v="Generic"/>
    <s v="600mg"/>
    <s v="Tablet"/>
    <n v="30"/>
    <n v="3713"/>
    <n v="40843"/>
    <n v="11"/>
    <n v="0.37"/>
    <m/>
    <m/>
    <n v="1"/>
    <x v="3"/>
  </r>
  <r>
    <n v="12219"/>
    <s v="SO-17750"/>
    <x v="213"/>
    <x v="3"/>
    <s v="ARV"/>
    <s v="Adult"/>
    <s v="SCMS from RDC"/>
    <x v="1"/>
    <s v="N/A - From RDC"/>
    <s v="Air"/>
    <m/>
    <d v="2009-03-03T00:00:00"/>
    <d v="2009-03-03T00:00:00"/>
    <d v="2009-03-03T00:00:00"/>
    <x v="22"/>
    <s v="Emtricitabine/Tenofovir Disoproxil Fumarate"/>
    <s v="Truvada"/>
    <s v="300/200mg"/>
    <s v="Tablet - FDC"/>
    <n v="30"/>
    <n v="1166"/>
    <n v="30607.5"/>
    <n v="26.25"/>
    <n v="0.88"/>
    <n v="145"/>
    <n v="1742.25"/>
    <n v="1"/>
    <x v="3"/>
  </r>
  <r>
    <n v="12220"/>
    <s v="SO-17750"/>
    <x v="213"/>
    <x v="3"/>
    <s v="ARV"/>
    <s v="Adult"/>
    <s v="SCMS from RDC"/>
    <x v="1"/>
    <s v="N/A - From RDC"/>
    <s v="Air"/>
    <m/>
    <d v="2009-03-03T00:00:00"/>
    <d v="2009-03-03T00:00:00"/>
    <d v="2009-03-03T00:00:00"/>
    <x v="11"/>
    <s v="Lamivudine/Nevirapine/Zidovudine"/>
    <s v="Generic"/>
    <s v="150/300/200mg"/>
    <s v="Tablet - FDC"/>
    <n v="60"/>
    <n v="312"/>
    <n v="3681.6"/>
    <n v="11.8"/>
    <n v="0.2"/>
    <m/>
    <m/>
    <n v="1"/>
    <x v="3"/>
  </r>
  <r>
    <n v="12237"/>
    <s v="SO-21990"/>
    <x v="214"/>
    <x v="2"/>
    <s v="ARV"/>
    <s v="Adult"/>
    <s v="SCMS from RDC"/>
    <x v="1"/>
    <s v="N/A - From RDC"/>
    <s v="Air"/>
    <m/>
    <d v="2009-02-03T00:00:00"/>
    <d v="2009-02-03T00:00:00"/>
    <d v="2009-02-03T00:00:00"/>
    <x v="13"/>
    <s v="Lamivudine/Nevirapine/Stavudine"/>
    <s v="Generic"/>
    <s v="150/200/30mg"/>
    <s v="Tablet - FDC"/>
    <n v="60"/>
    <n v="22918"/>
    <n v="163176.16"/>
    <n v="7.12"/>
    <n v="0.12"/>
    <n v="1689"/>
    <n v="9189.57"/>
    <n v="1"/>
    <x v="3"/>
  </r>
  <r>
    <n v="12238"/>
    <s v="SO-18722"/>
    <x v="215"/>
    <x v="0"/>
    <s v="ARV"/>
    <s v="Adult"/>
    <s v="SCMS from RDC"/>
    <x v="1"/>
    <s v="N/A - From RDC"/>
    <s v="Truck"/>
    <m/>
    <d v="2009-03-09T00:00:00"/>
    <d v="2009-03-09T00:00:00"/>
    <d v="2009-03-09T00:00:00"/>
    <x v="10"/>
    <s v="Tenofovir Disoproxil Fumarate"/>
    <s v="Viread"/>
    <s v="300mg"/>
    <s v="Tablet"/>
    <n v="30"/>
    <n v="883"/>
    <n v="15011"/>
    <n v="17"/>
    <n v="0.56999999999999995"/>
    <n v="70"/>
    <n v="1169.9000000000001"/>
    <n v="1"/>
    <x v="3"/>
  </r>
  <r>
    <n v="12252"/>
    <s v="SO-17900"/>
    <x v="216"/>
    <x v="3"/>
    <s v="ARV"/>
    <s v="Adult"/>
    <s v="SCMS from RDC"/>
    <x v="1"/>
    <s v="N/A - From RDC"/>
    <s v="Air"/>
    <m/>
    <d v="2009-01-06T00:00:00"/>
    <d v="2009-01-06T00:00:00"/>
    <d v="2009-01-06T00:00:00"/>
    <x v="11"/>
    <s v="Lamivudine/Nevirapine/Zidovudine"/>
    <s v="Generic"/>
    <s v="150/300/200mg"/>
    <s v="Tablet - FDC"/>
    <n v="60"/>
    <n v="5131"/>
    <n v="60545.8"/>
    <n v="11.8"/>
    <n v="0.2"/>
    <n v="691"/>
    <n v="8252.73"/>
    <n v="1"/>
    <x v="3"/>
  </r>
  <r>
    <n v="12253"/>
    <s v="SO-17900"/>
    <x v="216"/>
    <x v="3"/>
    <s v="ARV"/>
    <s v="Adult"/>
    <s v="SCMS from RDC"/>
    <x v="1"/>
    <s v="N/A - From RDC"/>
    <s v="Air"/>
    <m/>
    <d v="2009-01-06T00:00:00"/>
    <d v="2009-01-06T00:00:00"/>
    <d v="2009-01-06T00:00:00"/>
    <x v="34"/>
    <s v="Lamivudine/Stavudine"/>
    <s v="Generic"/>
    <s v="150/30mg"/>
    <s v="Tablet - FDC"/>
    <n v="30"/>
    <n v="1082"/>
    <n v="2164"/>
    <n v="2"/>
    <n v="7.0000000000000007E-2"/>
    <m/>
    <m/>
    <n v="1"/>
    <x v="3"/>
  </r>
  <r>
    <n v="12254"/>
    <s v="SO-2565"/>
    <x v="194"/>
    <x v="0"/>
    <s v="ARV"/>
    <s v="Adult"/>
    <s v="SCMS from RDC"/>
    <x v="1"/>
    <s v="N/A - From RDC"/>
    <s v="Air"/>
    <m/>
    <d v="2008-08-29T00:00:00"/>
    <d v="2008-08-29T00:00:00"/>
    <d v="2008-08-29T00:00:00"/>
    <x v="13"/>
    <s v="Lamivudine/Nevirapine/Stavudine"/>
    <s v="Generic"/>
    <s v="150/200/30mg"/>
    <s v="Tablet - FDC"/>
    <n v="60"/>
    <n v="60332"/>
    <n v="446456.8"/>
    <n v="7.4"/>
    <n v="0.12"/>
    <m/>
    <m/>
    <n v="1"/>
    <x v="2"/>
  </r>
  <r>
    <n v="12255"/>
    <s v="SO-22000"/>
    <x v="166"/>
    <x v="2"/>
    <s v="ARV"/>
    <s v="Adult"/>
    <s v="SCMS from RDC"/>
    <x v="1"/>
    <s v="N/A - From RDC"/>
    <s v="Air"/>
    <m/>
    <d v="2009-02-18T00:00:00"/>
    <d v="2009-02-18T00:00:00"/>
    <d v="2009-02-18T00:00:00"/>
    <x v="31"/>
    <s v="Lamivudine/Stavudine"/>
    <s v="Generic"/>
    <s v="150/30mg"/>
    <s v="Tablet - FDC"/>
    <n v="60"/>
    <n v="27000"/>
    <n v="102600"/>
    <n v="3.8"/>
    <n v="0.06"/>
    <m/>
    <m/>
    <n v="1"/>
    <x v="3"/>
  </r>
  <r>
    <n v="12256"/>
    <s v="SO-22030"/>
    <x v="217"/>
    <x v="2"/>
    <s v="ARV"/>
    <s v="Adult"/>
    <s v="SCMS from RDC"/>
    <x v="1"/>
    <s v="N/A - From RDC"/>
    <s v="Air"/>
    <m/>
    <d v="2009-03-04T00:00:00"/>
    <d v="2009-03-04T00:00:00"/>
    <d v="2009-03-04T00:00:00"/>
    <x v="13"/>
    <s v="Lamivudine/Nevirapine/Stavudine"/>
    <s v="Generic"/>
    <s v="150/200/30mg"/>
    <s v="Tablet - FDC"/>
    <n v="60"/>
    <n v="107556"/>
    <n v="765798.72"/>
    <n v="7.12"/>
    <n v="0.12"/>
    <n v="14450"/>
    <n v="14144.68"/>
    <n v="1"/>
    <x v="3"/>
  </r>
  <r>
    <n v="12267"/>
    <s v="SO-22190"/>
    <x v="218"/>
    <x v="2"/>
    <s v="ARV"/>
    <s v="Adult"/>
    <s v="SCMS from RDC"/>
    <x v="1"/>
    <s v="N/A - From RDC"/>
    <s v="Air"/>
    <m/>
    <d v="2009-02-18T00:00:00"/>
    <d v="2009-02-18T00:00:00"/>
    <d v="2009-02-18T00:00:00"/>
    <x v="1"/>
    <s v="Lamivudine/Zidovudine"/>
    <s v="Generic"/>
    <s v="150/300mg"/>
    <s v="Tablet - FDC"/>
    <n v="60"/>
    <n v="5000"/>
    <n v="43800"/>
    <n v="8.76"/>
    <n v="0.15"/>
    <n v="403"/>
    <n v="1719.65"/>
    <n v="1"/>
    <x v="3"/>
  </r>
  <r>
    <n v="12273"/>
    <s v="SO-18740"/>
    <x v="111"/>
    <x v="0"/>
    <s v="ARV"/>
    <s v="Adult"/>
    <s v="SCMS from RDC"/>
    <x v="1"/>
    <s v="N/A - From RDC"/>
    <s v="Truck"/>
    <m/>
    <d v="2009-05-11T00:00:00"/>
    <d v="2009-05-11T00:00:00"/>
    <d v="2009-05-11T00:00:00"/>
    <x v="22"/>
    <s v="Emtricitabine/Tenofovir Disoproxil Fumarate"/>
    <s v="Truvada"/>
    <s v="300/200mg"/>
    <s v="Tablet - FDC"/>
    <n v="30"/>
    <n v="20240"/>
    <n v="531300"/>
    <n v="26.25"/>
    <n v="0.88"/>
    <m/>
    <m/>
    <n v="1"/>
    <x v="3"/>
  </r>
  <r>
    <n v="12281"/>
    <s v="SO-26160"/>
    <x v="219"/>
    <x v="3"/>
    <s v="ARV"/>
    <s v="Adult"/>
    <s v="SCMS from RDC"/>
    <x v="1"/>
    <s v="N/A - From RDC"/>
    <s v="Air"/>
    <m/>
    <d v="2009-05-22T00:00:00"/>
    <d v="2009-05-22T00:00:00"/>
    <d v="2009-05-22T00:00:00"/>
    <x v="3"/>
    <s v="Stavudine"/>
    <s v="Generic"/>
    <s v="30mg"/>
    <s v="Capsule"/>
    <n v="60"/>
    <n v="60"/>
    <n v="89.4"/>
    <n v="1.49"/>
    <n v="0.02"/>
    <n v="4"/>
    <n v="526.41"/>
    <n v="1"/>
    <x v="3"/>
  </r>
  <r>
    <n v="12296"/>
    <s v="SO-26170"/>
    <x v="220"/>
    <x v="3"/>
    <s v="ARV"/>
    <s v="Adult"/>
    <s v="SCMS from RDC"/>
    <x v="1"/>
    <s v="N/A - From RDC"/>
    <s v="Air"/>
    <m/>
    <d v="2009-06-29T00:00:00"/>
    <d v="2009-06-29T00:00:00"/>
    <d v="2009-06-29T00:00:00"/>
    <x v="11"/>
    <s v="Lamivudine/Nevirapine/Zidovudine"/>
    <s v="Generic"/>
    <s v="150/300/200mg"/>
    <s v="Tablet - FDC"/>
    <n v="60"/>
    <n v="10372"/>
    <n v="119900.32"/>
    <n v="11.56"/>
    <n v="0.19"/>
    <n v="1312"/>
    <n v="14569.14"/>
    <n v="1"/>
    <x v="3"/>
  </r>
  <r>
    <n v="12309"/>
    <s v="SO-32800"/>
    <x v="221"/>
    <x v="1"/>
    <s v="ARV"/>
    <s v="Adult"/>
    <s v="SCMS from RDC"/>
    <x v="1"/>
    <s v="N/A - From RDC"/>
    <s v="Air"/>
    <m/>
    <d v="2009-07-31T00:00:00"/>
    <d v="2009-07-31T00:00:00"/>
    <d v="2009-07-31T00:00:00"/>
    <x v="16"/>
    <s v="Lamivudine"/>
    <s v="Generic"/>
    <s v="150mg"/>
    <s v="Tablet"/>
    <n v="60"/>
    <n v="8766"/>
    <n v="21389.040000000001"/>
    <n v="2.44"/>
    <n v="0.04"/>
    <n v="447"/>
    <n v="4257.01"/>
    <n v="1"/>
    <x v="3"/>
  </r>
  <r>
    <n v="12310"/>
    <s v="SO-32920"/>
    <x v="174"/>
    <x v="3"/>
    <s v="ARV"/>
    <s v="Adult"/>
    <s v="SCMS from RDC"/>
    <x v="1"/>
    <s v="N/A - From RDC"/>
    <s v="Air"/>
    <m/>
    <d v="2009-08-24T00:00:00"/>
    <d v="2009-08-24T00:00:00"/>
    <d v="2009-08-24T00:00:00"/>
    <x v="0"/>
    <s v="Nevirapine"/>
    <s v="Generic"/>
    <s v="200mg"/>
    <s v="Tablet"/>
    <n v="60"/>
    <n v="1650"/>
    <n v="4785"/>
    <n v="2.9"/>
    <n v="0.05"/>
    <m/>
    <m/>
    <n v="1"/>
    <x v="3"/>
  </r>
  <r>
    <n v="12311"/>
    <s v="SO-32950"/>
    <x v="222"/>
    <x v="3"/>
    <s v="ARV"/>
    <s v="Adult"/>
    <s v="SCMS from RDC"/>
    <x v="1"/>
    <s v="N/A - From RDC"/>
    <s v="Air"/>
    <m/>
    <d v="2009-08-28T00:00:00"/>
    <d v="2009-08-28T00:00:00"/>
    <d v="2009-08-28T00:00:00"/>
    <x v="1"/>
    <s v="Lamivudine/Zidovudine"/>
    <s v="Generic"/>
    <s v="150/300mg"/>
    <s v="Tablet - FDC"/>
    <n v="60"/>
    <n v="24000"/>
    <n v="210240"/>
    <n v="8.76"/>
    <n v="0.15"/>
    <n v="5748"/>
    <n v="38957.51"/>
    <n v="1"/>
    <x v="3"/>
  </r>
  <r>
    <n v="12312"/>
    <s v="SO-32950"/>
    <x v="222"/>
    <x v="3"/>
    <s v="ARV"/>
    <s v="Adult"/>
    <s v="SCMS from RDC"/>
    <x v="1"/>
    <s v="N/A - From RDC"/>
    <s v="Air"/>
    <m/>
    <d v="2009-08-28T00:00:00"/>
    <d v="2009-08-28T00:00:00"/>
    <d v="2009-08-28T00:00:00"/>
    <x v="11"/>
    <s v="Lamivudine/Nevirapine/Zidovudine"/>
    <s v="Generic"/>
    <s v="150/300/200mg"/>
    <s v="Tablet - FDC"/>
    <n v="60"/>
    <n v="34000"/>
    <n v="385900"/>
    <n v="11.35"/>
    <n v="0.19"/>
    <m/>
    <m/>
    <n v="1"/>
    <x v="3"/>
  </r>
  <r>
    <n v="12319"/>
    <s v="SO-31281"/>
    <x v="223"/>
    <x v="0"/>
    <s v="ARV"/>
    <s v="Adult"/>
    <s v="SCMS from RDC"/>
    <x v="1"/>
    <s v="N/A - From RDC"/>
    <s v="Truck"/>
    <m/>
    <d v="2009-09-25T00:00:00"/>
    <d v="2009-09-25T00:00:00"/>
    <d v="2009-09-25T00:00:00"/>
    <x v="9"/>
    <s v="Abacavir"/>
    <s v="Generic"/>
    <s v="300mg"/>
    <s v="Tablet"/>
    <n v="60"/>
    <n v="9243"/>
    <n v="235234.35"/>
    <n v="25.45"/>
    <n v="0.42"/>
    <n v="936"/>
    <n v="2233.61"/>
    <n v="1"/>
    <x v="3"/>
  </r>
  <r>
    <n v="12325"/>
    <s v="SO-33640"/>
    <x v="224"/>
    <x v="2"/>
    <s v="ARV"/>
    <s v="Adult"/>
    <s v="SCMS from RDC"/>
    <x v="1"/>
    <s v="N/A - From RDC"/>
    <s v="Air"/>
    <m/>
    <d v="2009-09-29T00:00:00"/>
    <d v="2009-09-29T00:00:00"/>
    <d v="2009-09-29T00:00:00"/>
    <x v="16"/>
    <s v="Lamivudine"/>
    <s v="Generic"/>
    <s v="150mg"/>
    <s v="Tablet"/>
    <n v="60"/>
    <n v="4234"/>
    <n v="10330.959999999999"/>
    <n v="2.44"/>
    <n v="0.04"/>
    <n v="212"/>
    <n v="1489.4"/>
    <n v="1"/>
    <x v="3"/>
  </r>
  <r>
    <n v="12329"/>
    <s v="SO-34290"/>
    <x v="225"/>
    <x v="3"/>
    <s v="ARV"/>
    <s v="Adult"/>
    <s v="SCMS from RDC"/>
    <x v="1"/>
    <s v="N/A - From RDC"/>
    <s v="Air"/>
    <m/>
    <d v="2009-11-23T00:00:00"/>
    <d v="2009-11-23T00:00:00"/>
    <d v="2009-11-23T00:00:00"/>
    <x v="31"/>
    <s v="Lamivudine/Stavudine"/>
    <s v="Generic"/>
    <s v="150/30mg"/>
    <s v="Tablet - FDC"/>
    <n v="60"/>
    <n v="60"/>
    <n v="240"/>
    <n v="4"/>
    <n v="7.0000000000000007E-2"/>
    <n v="4"/>
    <n v="396.08"/>
    <n v="1"/>
    <x v="3"/>
  </r>
  <r>
    <n v="12330"/>
    <s v="SO-34581"/>
    <x v="226"/>
    <x v="2"/>
    <s v="ARV"/>
    <s v="Adult"/>
    <s v="SCMS from RDC"/>
    <x v="1"/>
    <s v="N/A - From RDC"/>
    <s v="Air"/>
    <m/>
    <d v="2009-12-02T00:00:00"/>
    <d v="2009-12-02T00:00:00"/>
    <d v="2009-12-02T00:00:00"/>
    <x v="0"/>
    <s v="Nevirapine"/>
    <s v="Generic"/>
    <s v="200mg"/>
    <s v="Tablet"/>
    <n v="60"/>
    <n v="4460"/>
    <n v="12934"/>
    <n v="2.9"/>
    <n v="0.05"/>
    <n v="250"/>
    <n v="1366.22"/>
    <n v="1"/>
    <x v="3"/>
  </r>
  <r>
    <n v="12358"/>
    <s v="SO-602"/>
    <x v="227"/>
    <x v="1"/>
    <s v="ARV"/>
    <s v="Adult"/>
    <s v="SCMS from RDC"/>
    <x v="1"/>
    <s v="N/A - From RDC"/>
    <s v="Air"/>
    <m/>
    <d v="2007-06-05T00:00:00"/>
    <d v="2007-06-05T00:00:00"/>
    <d v="2007-06-05T00:00:00"/>
    <x v="16"/>
    <s v="Lamivudine"/>
    <s v="Generic"/>
    <s v="150mg"/>
    <s v="Tablet"/>
    <n v="60"/>
    <n v="3431"/>
    <n v="11356.61"/>
    <n v="3.31"/>
    <n v="0.06"/>
    <n v="216"/>
    <n v="2520.4699999999998"/>
    <n v="1"/>
    <x v="1"/>
  </r>
  <r>
    <n v="12372"/>
    <s v="SO-441"/>
    <x v="119"/>
    <x v="0"/>
    <s v="ARV"/>
    <s v="Adult"/>
    <s v="SCMS from RDC"/>
    <x v="1"/>
    <s v="N/A - From RDC"/>
    <s v="Air"/>
    <m/>
    <d v="2007-08-13T00:00:00"/>
    <d v="2007-08-13T00:00:00"/>
    <d v="2007-08-13T00:00:00"/>
    <x v="9"/>
    <s v="Abacavir"/>
    <s v="Generic"/>
    <s v="300mg"/>
    <s v="Tablet"/>
    <n v="60"/>
    <n v="4776"/>
    <n v="170980.8"/>
    <n v="35.799999999999997"/>
    <n v="0.6"/>
    <m/>
    <m/>
    <n v="1"/>
    <x v="1"/>
  </r>
  <r>
    <n v="12384"/>
    <s v="SO-768"/>
    <x v="228"/>
    <x v="0"/>
    <s v="ARV"/>
    <s v="Adult"/>
    <s v="SCMS from RDC"/>
    <x v="1"/>
    <s v="N/A - From RDC"/>
    <s v="Air"/>
    <m/>
    <d v="2007-07-30T00:00:00"/>
    <d v="2007-07-30T00:00:00"/>
    <d v="2007-07-30T00:00:00"/>
    <x v="0"/>
    <s v="Nevirapine"/>
    <s v="Generic"/>
    <s v="200mg"/>
    <s v="Tablet"/>
    <n v="60"/>
    <n v="11807"/>
    <n v="42150.99"/>
    <n v="3.57"/>
    <n v="0.06"/>
    <n v="1050"/>
    <n v="3291"/>
    <n v="1"/>
    <x v="1"/>
  </r>
  <r>
    <n v="12393"/>
    <s v="SO-455"/>
    <x v="82"/>
    <x v="0"/>
    <s v="ARV"/>
    <s v="Adult"/>
    <s v="SCMS from RDC"/>
    <x v="1"/>
    <s v="N/A - From RDC"/>
    <s v="N/A"/>
    <m/>
    <d v="2007-09-10T00:00:00"/>
    <d v="2007-09-10T00:00:00"/>
    <d v="2007-09-10T00:00:00"/>
    <x v="30"/>
    <s v="Ritonavir"/>
    <s v="Norvir"/>
    <s v="100mg"/>
    <s v="Capsule"/>
    <n v="336"/>
    <n v="157"/>
    <n v="6022.52"/>
    <n v="38.36"/>
    <n v="0.11"/>
    <m/>
    <m/>
    <n v="1"/>
    <x v="1"/>
  </r>
  <r>
    <n v="12404"/>
    <s v="SO-1075"/>
    <x v="229"/>
    <x v="0"/>
    <s v="ARV"/>
    <s v="Pediatric"/>
    <s v="SCMS from RDC"/>
    <x v="1"/>
    <s v="N/A - From RDC"/>
    <s v="N/A"/>
    <m/>
    <d v="2007-10-11T00:00:00"/>
    <d v="2007-10-11T00:00:00"/>
    <d v="2007-10-11T00:00:00"/>
    <x v="27"/>
    <s v="Efavirenz"/>
    <s v="Stocrin/Sustiva"/>
    <s v="200mg"/>
    <s v="Capsule"/>
    <n v="90"/>
    <n v="1987"/>
    <n v="64418.54"/>
    <n v="32.42"/>
    <n v="0.36"/>
    <n v="238"/>
    <n v="2465"/>
    <n v="1"/>
    <x v="1"/>
  </r>
  <r>
    <n v="12434"/>
    <s v="SO-919"/>
    <x v="230"/>
    <x v="2"/>
    <s v="ARV"/>
    <s v="Adult"/>
    <s v="SCMS from RDC"/>
    <x v="1"/>
    <s v="N/A - From RDC"/>
    <s v="N/A"/>
    <m/>
    <d v="2007-10-31T00:00:00"/>
    <d v="2007-10-31T00:00:00"/>
    <d v="2007-10-31T00:00:00"/>
    <x v="16"/>
    <s v="Lamivudine"/>
    <s v="Generic"/>
    <s v="150mg"/>
    <s v="Tablet"/>
    <n v="60"/>
    <n v="3145"/>
    <n v="9560.7999999999993"/>
    <n v="3.04"/>
    <n v="0.05"/>
    <n v="162"/>
    <n v="810.86"/>
    <n v="1"/>
    <x v="1"/>
  </r>
  <r>
    <n v="12435"/>
    <s v="SO-1300"/>
    <x v="86"/>
    <x v="3"/>
    <s v="ARV"/>
    <s v="Adult"/>
    <s v="SCMS from RDC"/>
    <x v="1"/>
    <s v="N/A - From RDC"/>
    <s v="Air"/>
    <m/>
    <d v="2007-12-10T00:00:00"/>
    <d v="2007-12-10T00:00:00"/>
    <d v="2007-12-10T00:00:00"/>
    <x v="29"/>
    <s v="Zidovudine"/>
    <s v="Generic"/>
    <s v="300mg"/>
    <s v="Tablet"/>
    <n v="60"/>
    <n v="140"/>
    <n v="1141"/>
    <n v="8.15"/>
    <n v="0.14000000000000001"/>
    <m/>
    <m/>
    <n v="1"/>
    <x v="1"/>
  </r>
  <r>
    <n v="12447"/>
    <s v="SO-1530"/>
    <x v="231"/>
    <x v="2"/>
    <s v="ARV"/>
    <s v="Adult"/>
    <s v="SCMS from RDC"/>
    <x v="1"/>
    <s v="N/A - From RDC"/>
    <s v="Air"/>
    <m/>
    <d v="2007-12-20T00:00:00"/>
    <d v="2007-12-25T00:00:00"/>
    <d v="2007-12-25T00:00:00"/>
    <x v="0"/>
    <s v="Nevirapine"/>
    <s v="Generic"/>
    <s v="200mg"/>
    <s v="Tablet"/>
    <n v="60"/>
    <n v="12745"/>
    <n v="43333"/>
    <n v="3.4"/>
    <n v="0.06"/>
    <n v="1197"/>
    <n v="8332"/>
    <n v="0"/>
    <x v="1"/>
  </r>
  <r>
    <n v="12453"/>
    <s v="SO-1522"/>
    <x v="232"/>
    <x v="2"/>
    <s v="ARV"/>
    <s v="Adult"/>
    <s v="SCMS from RDC"/>
    <x v="1"/>
    <s v="N/A - From RDC"/>
    <s v="Air"/>
    <m/>
    <d v="2008-01-31T00:00:00"/>
    <d v="2008-01-31T00:00:00"/>
    <d v="2008-01-31T00:00:00"/>
    <x v="8"/>
    <s v="Efavirenz"/>
    <s v="Generic"/>
    <s v="600mg"/>
    <s v="Tablet"/>
    <n v="30"/>
    <n v="67624"/>
    <n v="839890.08"/>
    <n v="12.42"/>
    <n v="0.41"/>
    <n v="5840"/>
    <n v="20222.400000000001"/>
    <n v="1"/>
    <x v="2"/>
  </r>
  <r>
    <n v="12455"/>
    <s v="SO-1534"/>
    <x v="145"/>
    <x v="1"/>
    <s v="ARV"/>
    <s v="Pediatric"/>
    <s v="SCMS from RDC"/>
    <x v="1"/>
    <s v="N/A - From RDC"/>
    <s v="Air"/>
    <m/>
    <d v="2008-02-29T00:00:00"/>
    <d v="2008-02-29T00:00:00"/>
    <d v="2008-02-29T00:00:00"/>
    <x v="25"/>
    <s v="Lamivudine"/>
    <s v="Generic"/>
    <s v="10mg/ml"/>
    <s v="Oral solution"/>
    <n v="240"/>
    <n v="2000"/>
    <n v="3940"/>
    <n v="1.97"/>
    <n v="0.01"/>
    <m/>
    <m/>
    <n v="1"/>
    <x v="2"/>
  </r>
  <r>
    <n v="12470"/>
    <s v="SO-1529"/>
    <x v="233"/>
    <x v="2"/>
    <s v="ARV"/>
    <s v="Pediatric"/>
    <s v="SCMS from RDC"/>
    <x v="1"/>
    <s v="N/A - From RDC"/>
    <s v="Air"/>
    <m/>
    <d v="2008-02-04T00:00:00"/>
    <d v="2008-02-04T00:00:00"/>
    <d v="2008-02-04T00:00:00"/>
    <x v="20"/>
    <s v="Zidovudine"/>
    <s v="Generic"/>
    <s v="10mg/ml"/>
    <s v="Oral solution"/>
    <n v="240"/>
    <n v="3326"/>
    <n v="7150.9"/>
    <n v="2.15"/>
    <n v="0.01"/>
    <n v="1225"/>
    <n v="4485.25"/>
    <n v="1"/>
    <x v="2"/>
  </r>
  <r>
    <n v="12481"/>
    <s v="SO-2560"/>
    <x v="56"/>
    <x v="0"/>
    <s v="ARV"/>
    <s v="Adult"/>
    <s v="SCMS from RDC"/>
    <x v="1"/>
    <s v="N/A - From RDC"/>
    <s v="Air"/>
    <m/>
    <d v="2008-07-29T00:00:00"/>
    <d v="2008-07-29T00:00:00"/>
    <d v="2008-07-29T00:00:00"/>
    <x v="1"/>
    <s v="Lamivudine/Zidovudine"/>
    <s v="Generic"/>
    <s v="150/300mg"/>
    <s v="Tablet - FDC"/>
    <n v="60"/>
    <n v="122590"/>
    <n v="1158475.5"/>
    <n v="9.4499999999999993"/>
    <n v="0.16"/>
    <m/>
    <m/>
    <n v="1"/>
    <x v="2"/>
  </r>
  <r>
    <n v="12484"/>
    <s v="SO-2556"/>
    <x v="234"/>
    <x v="0"/>
    <s v="ARV"/>
    <s v="Adult"/>
    <s v="SCMS from RDC"/>
    <x v="1"/>
    <s v="N/A - From RDC"/>
    <s v="Truck"/>
    <m/>
    <d v="2008-06-30T00:00:00"/>
    <d v="2008-06-30T00:00:00"/>
    <d v="2008-06-30T00:00:00"/>
    <x v="8"/>
    <s v="Efavirenz"/>
    <s v="Generic"/>
    <s v="600mg"/>
    <s v="Tablet"/>
    <n v="30"/>
    <n v="75000"/>
    <n v="900750"/>
    <n v="12.01"/>
    <n v="0.4"/>
    <n v="15566"/>
    <n v="9330"/>
    <n v="1"/>
    <x v="2"/>
  </r>
  <r>
    <n v="12486"/>
    <s v="SO-2559"/>
    <x v="235"/>
    <x v="0"/>
    <s v="ARV"/>
    <s v="Adult"/>
    <s v="SCMS from RDC"/>
    <x v="1"/>
    <s v="N/A - From RDC"/>
    <s v="Air"/>
    <m/>
    <d v="2008-09-16T00:00:00"/>
    <d v="2008-09-16T00:00:00"/>
    <d v="2008-09-16T00:00:00"/>
    <x v="13"/>
    <s v="Lamivudine/Nevirapine/Stavudine"/>
    <s v="Generic"/>
    <s v="150/200/30mg"/>
    <s v="Tablet - FDC"/>
    <n v="60"/>
    <n v="155319"/>
    <n v="1149360.6000000001"/>
    <n v="7.4"/>
    <n v="0.12"/>
    <n v="28334"/>
    <n v="80239.66"/>
    <n v="1"/>
    <x v="2"/>
  </r>
  <r>
    <n v="12493"/>
    <s v="SO-2341"/>
    <x v="236"/>
    <x v="3"/>
    <s v="ARV"/>
    <s v="Adult"/>
    <s v="SCMS from RDC"/>
    <x v="1"/>
    <s v="N/A - From RDC"/>
    <s v="Air"/>
    <m/>
    <d v="2008-05-19T00:00:00"/>
    <d v="2008-05-19T00:00:00"/>
    <d v="2008-05-19T00:00:00"/>
    <x v="1"/>
    <s v="Lamivudine/Zidovudine"/>
    <s v="Generic"/>
    <s v="150/300mg"/>
    <s v="Tablet - FDC"/>
    <n v="60"/>
    <n v="800"/>
    <n v="7560"/>
    <n v="9.4499999999999993"/>
    <n v="0.16"/>
    <n v="75"/>
    <n v="935.8"/>
    <n v="1"/>
    <x v="2"/>
  </r>
  <r>
    <n v="12495"/>
    <s v="SO-2558"/>
    <x v="237"/>
    <x v="0"/>
    <s v="ARV"/>
    <s v="Adult"/>
    <s v="SCMS from RDC"/>
    <x v="1"/>
    <s v="N/A - From RDC"/>
    <s v="Truck"/>
    <m/>
    <d v="2008-06-30T00:00:00"/>
    <d v="2008-06-30T00:00:00"/>
    <d v="2008-06-30T00:00:00"/>
    <x v="1"/>
    <s v="Lamivudine/Zidovudine"/>
    <s v="Generic"/>
    <s v="150/300mg"/>
    <s v="Tablet - FDC"/>
    <n v="60"/>
    <n v="112191"/>
    <n v="1060204.95"/>
    <n v="9.4499999999999993"/>
    <n v="0.16"/>
    <n v="10453"/>
    <n v="8831.92"/>
    <n v="1"/>
    <x v="2"/>
  </r>
  <r>
    <n v="12498"/>
    <s v="SO-2358"/>
    <x v="238"/>
    <x v="2"/>
    <s v="ARV"/>
    <s v="Pediatric"/>
    <s v="SCMS from RDC"/>
    <x v="1"/>
    <s v="N/A - From RDC"/>
    <s v="Air"/>
    <m/>
    <d v="2008-04-21T00:00:00"/>
    <d v="2008-04-21T00:00:00"/>
    <d v="2008-04-21T00:00:00"/>
    <x v="21"/>
    <s v="Stavudine"/>
    <s v="Generic"/>
    <s v="1mg/ml"/>
    <s v="Oral solution"/>
    <n v="200"/>
    <n v="3000"/>
    <n v="4200"/>
    <n v="1.4"/>
    <n v="0.01"/>
    <n v="342"/>
    <n v="1850.7"/>
    <n v="1"/>
    <x v="2"/>
  </r>
  <r>
    <n v="12502"/>
    <s v="SO-1652"/>
    <x v="212"/>
    <x v="0"/>
    <s v="ARV"/>
    <s v="Adult"/>
    <s v="SCMS from RDC"/>
    <x v="1"/>
    <s v="N/A - From RDC"/>
    <s v="Air"/>
    <m/>
    <d v="2008-03-28T00:00:00"/>
    <d v="2008-03-28T00:00:00"/>
    <d v="2008-03-28T00:00:00"/>
    <x v="1"/>
    <s v="Lamivudine/Zidovudine"/>
    <s v="Generic"/>
    <s v="150/300mg"/>
    <s v="Tablet - FDC"/>
    <n v="60"/>
    <n v="48610"/>
    <n v="461795"/>
    <n v="9.5"/>
    <n v="0.16"/>
    <m/>
    <m/>
    <n v="1"/>
    <x v="2"/>
  </r>
  <r>
    <n v="12504"/>
    <s v="SO-2001"/>
    <x v="239"/>
    <x v="0"/>
    <s v="ARV"/>
    <s v="Adult"/>
    <s v="SCMS from RDC"/>
    <x v="1"/>
    <s v="N/A - From RDC"/>
    <s v="Air"/>
    <m/>
    <d v="2008-06-30T00:00:00"/>
    <d v="2008-06-30T00:00:00"/>
    <d v="2008-06-30T00:00:00"/>
    <x v="1"/>
    <s v="Lamivudine/Zidovudine"/>
    <s v="Generic"/>
    <s v="150/300mg"/>
    <s v="Tablet - FDC"/>
    <n v="60"/>
    <n v="6722"/>
    <n v="63859"/>
    <n v="9.5"/>
    <n v="0.16"/>
    <n v="634"/>
    <n v="1108.08"/>
    <n v="1"/>
    <x v="2"/>
  </r>
  <r>
    <n v="12516"/>
    <s v="SO-2564"/>
    <x v="240"/>
    <x v="0"/>
    <s v="ARV"/>
    <s v="Adult"/>
    <s v="SCMS from RDC"/>
    <x v="1"/>
    <s v="N/A - From RDC"/>
    <s v="Air"/>
    <m/>
    <d v="2008-07-01T00:00:00"/>
    <d v="2008-07-01T00:00:00"/>
    <d v="2008-07-01T00:00:00"/>
    <x v="3"/>
    <s v="Stavudine"/>
    <s v="Generic"/>
    <s v="30mg"/>
    <s v="Capsule"/>
    <n v="60"/>
    <n v="75318"/>
    <n v="114483.36"/>
    <n v="1.52"/>
    <n v="0.03"/>
    <n v="5040"/>
    <n v="22965.4"/>
    <n v="1"/>
    <x v="2"/>
  </r>
  <r>
    <n v="12517"/>
    <s v="SO-1696"/>
    <x v="102"/>
    <x v="0"/>
    <s v="ARV"/>
    <s v="Adult"/>
    <s v="SCMS from RDC"/>
    <x v="1"/>
    <s v="N/A - From RDC"/>
    <s v="Air"/>
    <m/>
    <d v="2008-07-09T00:00:00"/>
    <d v="2008-07-09T00:00:00"/>
    <d v="2008-07-09T00:00:00"/>
    <x v="8"/>
    <s v="Efavirenz"/>
    <s v="Generic"/>
    <s v="600mg"/>
    <s v="Tablet"/>
    <n v="30"/>
    <n v="101445"/>
    <n v="1259946.8999999999"/>
    <n v="12.42"/>
    <n v="0.41"/>
    <m/>
    <m/>
    <n v="1"/>
    <x v="2"/>
  </r>
  <r>
    <n v="12518"/>
    <s v="SO-1696"/>
    <x v="102"/>
    <x v="0"/>
    <s v="ARV"/>
    <s v="Adult"/>
    <s v="SCMS from RDC"/>
    <x v="1"/>
    <s v="N/A - From RDC"/>
    <s v="Air"/>
    <m/>
    <d v="2008-07-09T00:00:00"/>
    <d v="2008-07-09T00:00:00"/>
    <d v="2008-07-09T00:00:00"/>
    <x v="1"/>
    <s v="Lamivudine/Zidovudine"/>
    <s v="Generic"/>
    <s v="150/300mg"/>
    <s v="Tablet - FDC"/>
    <n v="60"/>
    <n v="58086"/>
    <n v="551817"/>
    <n v="9.5"/>
    <n v="0.16"/>
    <m/>
    <m/>
    <n v="1"/>
    <x v="2"/>
  </r>
  <r>
    <n v="12519"/>
    <s v="SO-2677"/>
    <x v="241"/>
    <x v="3"/>
    <s v="ARV"/>
    <s v="Adult"/>
    <s v="SCMS from RDC"/>
    <x v="1"/>
    <s v="N/A - From RDC"/>
    <s v="Air"/>
    <m/>
    <d v="2008-07-10T00:00:00"/>
    <d v="2008-07-10T00:00:00"/>
    <d v="2008-07-10T00:00:00"/>
    <x v="3"/>
    <s v="Stavudine"/>
    <s v="Generic"/>
    <s v="30mg"/>
    <s v="Capsule"/>
    <n v="60"/>
    <n v="500"/>
    <n v="775"/>
    <n v="1.55"/>
    <n v="0.03"/>
    <n v="33"/>
    <n v="578.24"/>
    <n v="1"/>
    <x v="2"/>
  </r>
  <r>
    <n v="12536"/>
    <s v="SO-17450"/>
    <x v="242"/>
    <x v="3"/>
    <s v="ARV"/>
    <s v="Adult"/>
    <s v="SCMS from RDC"/>
    <x v="1"/>
    <s v="N/A - From RDC"/>
    <s v="Ocean"/>
    <m/>
    <d v="2009-02-02T00:00:00"/>
    <d v="2009-02-02T00:00:00"/>
    <d v="2009-02-02T00:00:00"/>
    <x v="34"/>
    <s v="Lamivudine/Stavudine"/>
    <s v="Generic"/>
    <s v="150/30mg"/>
    <s v="Tablet - FDC"/>
    <n v="30"/>
    <n v="1166"/>
    <n v="2332"/>
    <n v="2"/>
    <n v="7.0000000000000007E-2"/>
    <n v="71"/>
    <n v="1240"/>
    <n v="1"/>
    <x v="3"/>
  </r>
  <r>
    <n v="12542"/>
    <s v="SO-17752"/>
    <x v="243"/>
    <x v="3"/>
    <s v="ARV"/>
    <s v="Adult"/>
    <s v="SCMS from RDC"/>
    <x v="1"/>
    <s v="N/A - From RDC"/>
    <s v="Air"/>
    <m/>
    <d v="2009-03-03T00:00:00"/>
    <d v="2009-03-03T00:00:00"/>
    <d v="2009-03-03T00:00:00"/>
    <x v="11"/>
    <s v="Lamivudine/Nevirapine/Zidovudine"/>
    <s v="Generic"/>
    <s v="150/300/200mg"/>
    <s v="Tablet - FDC"/>
    <n v="60"/>
    <n v="88"/>
    <n v="1038.4000000000001"/>
    <n v="11.8"/>
    <n v="0.2"/>
    <n v="10"/>
    <n v="1002.2"/>
    <n v="1"/>
    <x v="3"/>
  </r>
  <r>
    <n v="12543"/>
    <s v="SO-17911"/>
    <x v="244"/>
    <x v="3"/>
    <s v="ARV"/>
    <s v="Adult"/>
    <s v="SCMS from RDC"/>
    <x v="1"/>
    <s v="N/A - From RDC"/>
    <s v="Air"/>
    <m/>
    <d v="2009-03-19T00:00:00"/>
    <d v="2009-03-19T00:00:00"/>
    <d v="2009-03-19T00:00:00"/>
    <x v="8"/>
    <s v="Efavirenz"/>
    <s v="Generic"/>
    <s v="600mg"/>
    <s v="Tablet"/>
    <n v="30"/>
    <n v="9"/>
    <n v="99"/>
    <n v="11"/>
    <n v="0.37"/>
    <n v="1"/>
    <n v="966.37"/>
    <n v="1"/>
    <x v="3"/>
  </r>
  <r>
    <n v="12544"/>
    <s v="SO-17700"/>
    <x v="162"/>
    <x v="3"/>
    <s v="ARV"/>
    <s v="Adult"/>
    <s v="SCMS from RDC"/>
    <x v="1"/>
    <s v="N/A - From RDC"/>
    <s v="Air"/>
    <m/>
    <d v="2009-01-09T00:00:00"/>
    <d v="2009-01-09T00:00:00"/>
    <d v="2009-01-09T00:00:00"/>
    <x v="13"/>
    <s v="Lamivudine/Nevirapine/Stavudine"/>
    <s v="Generic"/>
    <s v="150/200/30mg"/>
    <s v="Tablet - FDC"/>
    <n v="60"/>
    <n v="965"/>
    <n v="6948"/>
    <n v="7.2"/>
    <n v="0.12"/>
    <m/>
    <m/>
    <n v="1"/>
    <x v="3"/>
  </r>
  <r>
    <n v="12547"/>
    <s v="SO-17754"/>
    <x v="133"/>
    <x v="3"/>
    <s v="ARV"/>
    <s v="Adult"/>
    <s v="SCMS from RDC"/>
    <x v="1"/>
    <s v="N/A - From RDC"/>
    <s v="Air"/>
    <m/>
    <d v="2009-04-08T00:00:00"/>
    <d v="2009-04-08T00:00:00"/>
    <d v="2009-04-08T00:00:00"/>
    <x v="22"/>
    <s v="Emtricitabine/Tenofovir Disoproxil Fumarate"/>
    <s v="Truvada"/>
    <s v="300/200mg"/>
    <s v="Tablet - FDC"/>
    <n v="30"/>
    <n v="328"/>
    <n v="8610"/>
    <n v="26.25"/>
    <n v="0.88"/>
    <m/>
    <m/>
    <n v="1"/>
    <x v="3"/>
  </r>
  <r>
    <n v="12552"/>
    <s v="SO-17900"/>
    <x v="216"/>
    <x v="3"/>
    <s v="ARV"/>
    <s v="Adult"/>
    <s v="SCMS from RDC"/>
    <x v="1"/>
    <s v="N/A - From RDC"/>
    <s v="Air"/>
    <m/>
    <d v="2009-01-06T00:00:00"/>
    <d v="2009-01-06T00:00:00"/>
    <d v="2009-01-06T00:00:00"/>
    <x v="34"/>
    <s v="Lamivudine/Stavudine"/>
    <s v="Generic"/>
    <s v="150/30mg"/>
    <s v="Tablet - FDC"/>
    <n v="30"/>
    <n v="938"/>
    <n v="1876"/>
    <n v="2"/>
    <n v="7.0000000000000007E-2"/>
    <m/>
    <m/>
    <n v="1"/>
    <x v="3"/>
  </r>
  <r>
    <n v="12553"/>
    <s v="SO-22000"/>
    <x v="166"/>
    <x v="2"/>
    <s v="ARV"/>
    <s v="Adult"/>
    <s v="SCMS from RDC"/>
    <x v="1"/>
    <s v="N/A - From RDC"/>
    <s v="Air"/>
    <m/>
    <d v="2009-02-18T00:00:00"/>
    <d v="2009-02-18T00:00:00"/>
    <d v="2009-02-18T00:00:00"/>
    <x v="35"/>
    <s v="Tenofovir Disoproxil Fumarate"/>
    <s v="Generic"/>
    <s v="300mg"/>
    <s v="Tablet"/>
    <n v="30"/>
    <n v="3100"/>
    <n v="41168"/>
    <n v="13.28"/>
    <n v="0.44"/>
    <m/>
    <m/>
    <n v="1"/>
    <x v="3"/>
  </r>
  <r>
    <n v="12554"/>
    <s v="SO-22010"/>
    <x v="109"/>
    <x v="2"/>
    <s v="ARV"/>
    <s v="Adult"/>
    <s v="SCMS from RDC"/>
    <x v="1"/>
    <s v="N/A - From RDC"/>
    <s v="Air"/>
    <m/>
    <d v="2009-01-29T00:00:00"/>
    <d v="2009-01-29T00:00:00"/>
    <d v="2009-01-29T00:00:00"/>
    <x v="13"/>
    <s v="Lamivudine/Nevirapine/Stavudine"/>
    <s v="Generic"/>
    <s v="150/200/30mg"/>
    <s v="Tablet - FDC"/>
    <n v="60"/>
    <n v="17103"/>
    <n v="121773.36"/>
    <n v="7.12"/>
    <n v="0.12"/>
    <m/>
    <m/>
    <n v="1"/>
    <x v="3"/>
  </r>
  <r>
    <n v="12569"/>
    <s v="SO-26180"/>
    <x v="245"/>
    <x v="3"/>
    <s v="ARV"/>
    <s v="Adult"/>
    <s v="SCMS from RDC"/>
    <x v="1"/>
    <s v="N/A - From RDC"/>
    <s v="Air"/>
    <m/>
    <d v="2009-04-24T00:00:00"/>
    <d v="2009-04-24T00:00:00"/>
    <d v="2009-04-24T00:00:00"/>
    <x v="14"/>
    <s v="Lopinavir/Ritonavir"/>
    <s v="Aluvia"/>
    <s v="200/50mg"/>
    <s v="Tablet"/>
    <n v="120"/>
    <n v="80"/>
    <n v="3288"/>
    <n v="41.1"/>
    <n v="0.34"/>
    <n v="19"/>
    <n v="1381.64"/>
    <n v="1"/>
    <x v="3"/>
  </r>
  <r>
    <n v="12578"/>
    <s v="SO-26140"/>
    <x v="139"/>
    <x v="3"/>
    <s v="ARV"/>
    <s v="Adult"/>
    <s v="SCMS from RDC"/>
    <x v="1"/>
    <s v="N/A - From RDC"/>
    <s v="Air"/>
    <m/>
    <d v="2009-06-24T00:00:00"/>
    <d v="2009-06-24T00:00:00"/>
    <d v="2009-06-24T00:00:00"/>
    <x v="0"/>
    <s v="Nevirapine"/>
    <s v="Generic"/>
    <s v="200mg"/>
    <s v="Tablet"/>
    <n v="60"/>
    <n v="107"/>
    <n v="342.4"/>
    <n v="3.2"/>
    <n v="0.05"/>
    <m/>
    <m/>
    <n v="1"/>
    <x v="3"/>
  </r>
  <r>
    <n v="12587"/>
    <s v="SO-30110"/>
    <x v="246"/>
    <x v="3"/>
    <s v="ARV"/>
    <s v="Adult"/>
    <s v="SCMS from RDC"/>
    <x v="1"/>
    <s v="N/A - From RDC"/>
    <s v="Air"/>
    <m/>
    <d v="2009-06-24T00:00:00"/>
    <d v="2009-06-24T00:00:00"/>
    <d v="2009-06-24T00:00:00"/>
    <x v="11"/>
    <s v="Lamivudine/Nevirapine/Zidovudine"/>
    <s v="Generic"/>
    <s v="150/300/200mg"/>
    <s v="Tablet - FDC"/>
    <n v="60"/>
    <n v="1155"/>
    <n v="13109.25"/>
    <n v="11.35"/>
    <n v="0.19"/>
    <n v="147"/>
    <n v="1848.59"/>
    <n v="1"/>
    <x v="3"/>
  </r>
  <r>
    <n v="12591"/>
    <s v="SO-31430"/>
    <x v="247"/>
    <x v="3"/>
    <s v="ARV"/>
    <s v="Adult"/>
    <s v="SCMS from RDC"/>
    <x v="1"/>
    <s v="N/A - From RDC"/>
    <s v="Air"/>
    <m/>
    <d v="2009-06-26T00:00:00"/>
    <d v="2009-06-26T00:00:00"/>
    <d v="2009-06-26T00:00:00"/>
    <x v="14"/>
    <s v="Lopinavir/Ritonavir"/>
    <s v="Aluvia"/>
    <s v="200/50mg"/>
    <s v="Tablet"/>
    <n v="120"/>
    <n v="220"/>
    <n v="9042"/>
    <n v="41.1"/>
    <n v="0.34"/>
    <n v="50"/>
    <n v="1359.4"/>
    <n v="1"/>
    <x v="3"/>
  </r>
  <r>
    <n v="12602"/>
    <s v="SO-31460"/>
    <x v="173"/>
    <x v="3"/>
    <s v="ARV"/>
    <s v="Adult"/>
    <s v="SCMS from RDC"/>
    <x v="1"/>
    <s v="N/A - From RDC"/>
    <s v="Air"/>
    <m/>
    <d v="2009-09-15T00:00:00"/>
    <d v="2009-09-15T00:00:00"/>
    <d v="2009-09-15T00:00:00"/>
    <x v="0"/>
    <s v="Nevirapine"/>
    <s v="Generic"/>
    <s v="200mg"/>
    <s v="Tablet"/>
    <n v="60"/>
    <n v="2250"/>
    <n v="6525"/>
    <n v="2.9"/>
    <n v="0.05"/>
    <m/>
    <m/>
    <n v="1"/>
    <x v="3"/>
  </r>
  <r>
    <n v="12603"/>
    <s v="SO-30120"/>
    <x v="248"/>
    <x v="3"/>
    <s v="ARV"/>
    <s v="Adult"/>
    <s v="SCMS from RDC"/>
    <x v="1"/>
    <s v="N/A - From RDC"/>
    <s v="Air"/>
    <m/>
    <d v="2009-08-10T00:00:00"/>
    <d v="2009-08-10T00:00:00"/>
    <d v="2009-08-10T00:00:00"/>
    <x v="1"/>
    <s v="Lamivudine/Zidovudine"/>
    <s v="Generic"/>
    <s v="150/300mg"/>
    <s v="Tablet - FDC"/>
    <n v="60"/>
    <n v="2420"/>
    <n v="21199.200000000001"/>
    <n v="8.76"/>
    <n v="0.15"/>
    <n v="202"/>
    <n v="1534.1"/>
    <n v="1"/>
    <x v="3"/>
  </r>
  <r>
    <n v="12610"/>
    <s v="SO-18750"/>
    <x v="249"/>
    <x v="0"/>
    <s v="ARV"/>
    <s v="Adult"/>
    <s v="SCMS from RDC"/>
    <x v="1"/>
    <s v="N/A - From RDC"/>
    <s v="Truck"/>
    <m/>
    <d v="2009-09-25T00:00:00"/>
    <d v="2009-09-25T00:00:00"/>
    <d v="2009-09-25T00:00:00"/>
    <x v="10"/>
    <s v="Tenofovir Disoproxil Fumarate"/>
    <s v="Viread"/>
    <s v="300mg"/>
    <s v="Tablet"/>
    <n v="30"/>
    <n v="536"/>
    <n v="9112"/>
    <n v="17"/>
    <n v="0.56999999999999995"/>
    <n v="41"/>
    <n v="2233.61"/>
    <n v="1"/>
    <x v="3"/>
  </r>
  <r>
    <n v="12614"/>
    <s v="SO-31282"/>
    <x v="250"/>
    <x v="0"/>
    <s v="ARV"/>
    <s v="Adult"/>
    <s v="SCMS from RDC"/>
    <x v="1"/>
    <s v="N/A - From RDC"/>
    <s v="Truck"/>
    <m/>
    <d v="2009-10-26T00:00:00"/>
    <d v="2009-10-26T00:00:00"/>
    <d v="2009-10-26T00:00:00"/>
    <x v="9"/>
    <s v="Abacavir"/>
    <s v="Generic"/>
    <s v="300mg"/>
    <s v="Tablet"/>
    <n v="60"/>
    <n v="15900"/>
    <n v="404655"/>
    <n v="25.45"/>
    <n v="0.42"/>
    <n v="1630"/>
    <n v="2217.5"/>
    <n v="1"/>
    <x v="3"/>
  </r>
  <r>
    <n v="12616"/>
    <s v="SO-33630"/>
    <x v="199"/>
    <x v="2"/>
    <s v="ARV"/>
    <s v="Adult"/>
    <s v="SCMS from RDC"/>
    <x v="1"/>
    <s v="N/A - From RDC"/>
    <s v="Air"/>
    <m/>
    <d v="2009-10-06T00:00:00"/>
    <d v="2009-10-06T00:00:00"/>
    <d v="2009-10-06T00:00:00"/>
    <x v="16"/>
    <s v="Lamivudine"/>
    <s v="Generic"/>
    <s v="150mg"/>
    <s v="Tablet"/>
    <n v="60"/>
    <n v="4275"/>
    <n v="10431"/>
    <n v="2.44"/>
    <n v="0.04"/>
    <m/>
    <m/>
    <n v="1"/>
    <x v="3"/>
  </r>
  <r>
    <n v="12637"/>
    <s v="SO-490"/>
    <x v="251"/>
    <x v="1"/>
    <s v="ARV"/>
    <s v="Adult"/>
    <s v="SCMS from RDC"/>
    <x v="1"/>
    <s v="N/A - From RDC"/>
    <s v="Air"/>
    <m/>
    <d v="2007-04-19T00:00:00"/>
    <d v="2007-04-19T00:00:00"/>
    <d v="2007-04-19T00:00:00"/>
    <x v="1"/>
    <s v="Lamivudine/Zidovudine"/>
    <s v="Generic"/>
    <s v="150/300mg"/>
    <s v="Tablet - FDC"/>
    <n v="60"/>
    <n v="38463"/>
    <n v="383860.74"/>
    <n v="9.98"/>
    <n v="0.17"/>
    <n v="3450"/>
    <n v="20896.5"/>
    <n v="1"/>
    <x v="1"/>
  </r>
  <r>
    <n v="12664"/>
    <s v="SO-441"/>
    <x v="119"/>
    <x v="0"/>
    <s v="ARV"/>
    <s v="Adult"/>
    <s v="SCMS from RDC"/>
    <x v="1"/>
    <s v="N/A - From RDC"/>
    <s v="Air"/>
    <m/>
    <d v="2007-08-13T00:00:00"/>
    <d v="2007-08-13T00:00:00"/>
    <d v="2007-08-13T00:00:00"/>
    <x v="8"/>
    <s v="Efavirenz"/>
    <s v="Generic"/>
    <s v="600mg"/>
    <s v="Tablet"/>
    <n v="30"/>
    <n v="3149"/>
    <n v="51202.74"/>
    <n v="16.260000000000002"/>
    <n v="0.54"/>
    <m/>
    <m/>
    <n v="1"/>
    <x v="1"/>
  </r>
  <r>
    <n v="12665"/>
    <s v="SO-489"/>
    <x v="252"/>
    <x v="1"/>
    <s v="ARV"/>
    <s v="Pediatric"/>
    <s v="SCMS from RDC"/>
    <x v="1"/>
    <s v="N/A - From RDC"/>
    <s v="Air"/>
    <m/>
    <d v="2007-07-26T00:00:00"/>
    <d v="2007-07-26T00:00:00"/>
    <d v="2007-07-26T00:00:00"/>
    <x v="6"/>
    <s v="Lopinavir/Ritonavir"/>
    <s v="Kaletra"/>
    <s v="80/20mg/ml"/>
    <s v="Oral solution"/>
    <n v="300"/>
    <n v="50"/>
    <n v="2055"/>
    <n v="41.1"/>
    <n v="0.14000000000000001"/>
    <n v="50"/>
    <n v="661.06"/>
    <n v="1"/>
    <x v="1"/>
  </r>
  <r>
    <n v="12682"/>
    <s v="SO-455"/>
    <x v="82"/>
    <x v="0"/>
    <s v="ARV"/>
    <s v="Adult"/>
    <s v="SCMS from RDC"/>
    <x v="1"/>
    <s v="N/A - From RDC"/>
    <s v="N/A"/>
    <m/>
    <d v="2007-09-10T00:00:00"/>
    <d v="2007-09-10T00:00:00"/>
    <d v="2007-09-10T00:00:00"/>
    <x v="8"/>
    <s v="Efavirenz"/>
    <s v="Generic"/>
    <s v="600mg"/>
    <s v="Tablet"/>
    <n v="30"/>
    <n v="8000"/>
    <n v="130080"/>
    <n v="16.260000000000002"/>
    <n v="0.54"/>
    <m/>
    <m/>
    <n v="1"/>
    <x v="1"/>
  </r>
  <r>
    <n v="12683"/>
    <s v="SO-455"/>
    <x v="82"/>
    <x v="0"/>
    <s v="ARV"/>
    <s v="Adult"/>
    <s v="SCMS from RDC"/>
    <x v="1"/>
    <s v="N/A - From RDC"/>
    <s v="N/A"/>
    <m/>
    <d v="2007-09-10T00:00:00"/>
    <d v="2007-09-10T00:00:00"/>
    <d v="2007-09-10T00:00:00"/>
    <x v="14"/>
    <s v="Lopinavir/Ritonavir"/>
    <s v="Aluvia"/>
    <s v="200/50mg"/>
    <s v="Tablet"/>
    <n v="120"/>
    <n v="4155"/>
    <n v="170770.5"/>
    <n v="41.1"/>
    <n v="0.34"/>
    <m/>
    <m/>
    <n v="1"/>
    <x v="1"/>
  </r>
  <r>
    <n v="12684"/>
    <s v="SO-455"/>
    <x v="82"/>
    <x v="0"/>
    <s v="ARV"/>
    <s v="Pediatric"/>
    <s v="SCMS from RDC"/>
    <x v="1"/>
    <s v="N/A - From RDC"/>
    <s v="N/A"/>
    <m/>
    <d v="2007-09-10T00:00:00"/>
    <d v="2007-09-10T00:00:00"/>
    <d v="2007-09-10T00:00:00"/>
    <x v="6"/>
    <s v="Lopinavir/Ritonavir"/>
    <s v="Kaletra"/>
    <s v="80/20mg/ml"/>
    <s v="Oral solution"/>
    <n v="300"/>
    <n v="147"/>
    <n v="6041.7"/>
    <n v="41.1"/>
    <n v="0.14000000000000001"/>
    <m/>
    <m/>
    <n v="1"/>
    <x v="1"/>
  </r>
  <r>
    <n v="12694"/>
    <s v="SO-1081"/>
    <x v="253"/>
    <x v="3"/>
    <s v="ARV"/>
    <s v="Adult"/>
    <s v="SCMS from RDC"/>
    <x v="1"/>
    <s v="N/A - From RDC"/>
    <s v="N/A"/>
    <m/>
    <d v="2007-10-16T00:00:00"/>
    <d v="2007-10-16T00:00:00"/>
    <d v="2007-10-16T00:00:00"/>
    <x v="1"/>
    <s v="Lamivudine/Zidovudine"/>
    <s v="Generic"/>
    <s v="150/300mg"/>
    <s v="Tablet - FDC"/>
    <n v="60"/>
    <n v="1350"/>
    <n v="12825"/>
    <n v="9.5"/>
    <n v="0.16"/>
    <n v="80"/>
    <n v="739"/>
    <n v="1"/>
    <x v="1"/>
  </r>
  <r>
    <n v="12711"/>
    <s v="SO-914"/>
    <x v="51"/>
    <x v="2"/>
    <s v="ARV"/>
    <s v="Pediatric"/>
    <s v="SCMS from RDC"/>
    <x v="1"/>
    <s v="N/A - From RDC"/>
    <s v="N/A"/>
    <m/>
    <d v="2007-09-04T00:00:00"/>
    <d v="2007-09-04T00:00:00"/>
    <d v="2007-09-04T00:00:00"/>
    <x v="36"/>
    <s v="Nevirapine"/>
    <s v="Generic"/>
    <s v="10mg/ml"/>
    <s v="Oral suspension"/>
    <n v="240"/>
    <n v="10336"/>
    <n v="64083.199999999997"/>
    <n v="6.2"/>
    <n v="0.03"/>
    <m/>
    <m/>
    <n v="1"/>
    <x v="1"/>
  </r>
  <r>
    <n v="12712"/>
    <s v="SO-914"/>
    <x v="51"/>
    <x v="2"/>
    <s v="ARV"/>
    <s v="Pediatric"/>
    <s v="SCMS from RDC"/>
    <x v="1"/>
    <s v="N/A - From RDC"/>
    <s v="N/A"/>
    <m/>
    <d v="2007-09-04T00:00:00"/>
    <d v="2007-09-04T00:00:00"/>
    <d v="2007-09-04T00:00:00"/>
    <x v="36"/>
    <s v="Nevirapine"/>
    <s v="Generic"/>
    <s v="10mg/ml"/>
    <s v="Oral suspension"/>
    <n v="240"/>
    <n v="12512"/>
    <n v="77574.399999999994"/>
    <n v="6.2"/>
    <n v="0.03"/>
    <m/>
    <m/>
    <n v="1"/>
    <x v="1"/>
  </r>
  <r>
    <n v="12759"/>
    <s v="SO-1523"/>
    <x v="254"/>
    <x v="2"/>
    <s v="ARV"/>
    <s v="Adult"/>
    <s v="SCMS from RDC"/>
    <x v="1"/>
    <s v="N/A - From RDC"/>
    <s v="Air"/>
    <m/>
    <d v="2007-12-20T00:00:00"/>
    <d v="2007-12-20T00:00:00"/>
    <d v="2007-12-20T00:00:00"/>
    <x v="1"/>
    <s v="Lamivudine/Zidovudine"/>
    <s v="Generic"/>
    <s v="150/300mg"/>
    <s v="Tablet - FDC"/>
    <n v="60"/>
    <n v="9691"/>
    <n v="92064.5"/>
    <n v="9.5"/>
    <n v="0.16"/>
    <n v="899"/>
    <n v="6483"/>
    <n v="1"/>
    <x v="1"/>
  </r>
  <r>
    <n v="12761"/>
    <s v="SO-1820"/>
    <x v="255"/>
    <x v="3"/>
    <s v="ARV"/>
    <s v="Adult"/>
    <s v="SCMS from RDC"/>
    <x v="1"/>
    <s v="N/A - From RDC"/>
    <s v="N/A"/>
    <m/>
    <d v="2008-03-11T00:00:00"/>
    <d v="2008-03-11T00:00:00"/>
    <d v="2008-03-11T00:00:00"/>
    <x v="13"/>
    <s v="Lamivudine/Nevirapine/Stavudine"/>
    <s v="Generic"/>
    <s v="150/200/30mg"/>
    <s v="Tablet - FDC"/>
    <n v="60"/>
    <n v="1860"/>
    <n v="13764"/>
    <n v="7.4"/>
    <n v="0.12"/>
    <n v="192"/>
    <n v="1617.52"/>
    <n v="1"/>
    <x v="2"/>
  </r>
  <r>
    <n v="12770"/>
    <s v="SO-1542"/>
    <x v="256"/>
    <x v="2"/>
    <s v="ARV"/>
    <s v="Adult"/>
    <s v="SCMS from RDC"/>
    <x v="1"/>
    <s v="N/A - From RDC"/>
    <s v="Air"/>
    <m/>
    <d v="2007-12-20T00:00:00"/>
    <d v="2008-01-09T00:00:00"/>
    <d v="2008-01-09T00:00:00"/>
    <x v="16"/>
    <s v="Lamivudine"/>
    <s v="Generic"/>
    <s v="150mg"/>
    <s v="Tablet"/>
    <n v="60"/>
    <n v="29500"/>
    <n v="89680"/>
    <n v="3.04"/>
    <n v="0.05"/>
    <n v="1640"/>
    <n v="11273"/>
    <n v="0"/>
    <x v="2"/>
  </r>
  <r>
    <n v="12771"/>
    <s v="SO-1299"/>
    <x v="257"/>
    <x v="3"/>
    <s v="ARV"/>
    <s v="Adult"/>
    <s v="SCMS from RDC"/>
    <x v="1"/>
    <s v="N/A - From RDC"/>
    <s v="Air"/>
    <m/>
    <d v="2008-02-15T00:00:00"/>
    <d v="2008-02-15T00:00:00"/>
    <d v="2008-02-15T00:00:00"/>
    <x v="13"/>
    <s v="Lamivudine/Nevirapine/Stavudine"/>
    <s v="Generic"/>
    <s v="150/200/30mg"/>
    <s v="Tablet - FDC"/>
    <n v="60"/>
    <n v="6500"/>
    <n v="48100"/>
    <n v="7.4"/>
    <n v="0.12"/>
    <n v="667"/>
    <n v="3609.2"/>
    <n v="1"/>
    <x v="2"/>
  </r>
  <r>
    <n v="12774"/>
    <s v="SO-1082"/>
    <x v="55"/>
    <x v="3"/>
    <s v="ARV"/>
    <s v="Adult"/>
    <s v="SCMS from RDC"/>
    <x v="1"/>
    <s v="N/A - From RDC"/>
    <s v="N/A"/>
    <m/>
    <d v="2008-02-28T00:00:00"/>
    <d v="2008-02-28T00:00:00"/>
    <d v="2008-02-28T00:00:00"/>
    <x v="0"/>
    <s v="Nevirapine"/>
    <s v="Generic"/>
    <s v="200mg"/>
    <s v="Tablet"/>
    <n v="60"/>
    <n v="328"/>
    <n v="1115.2"/>
    <n v="3.4"/>
    <n v="0.06"/>
    <m/>
    <m/>
    <n v="1"/>
    <x v="2"/>
  </r>
  <r>
    <n v="12781"/>
    <s v="SO-2556"/>
    <x v="234"/>
    <x v="0"/>
    <s v="ARV"/>
    <s v="Adult"/>
    <s v="SCMS from RDC"/>
    <x v="1"/>
    <s v="N/A - From RDC"/>
    <s v="Truck"/>
    <m/>
    <d v="2008-06-30T00:00:00"/>
    <d v="2008-06-30T00:00:00"/>
    <d v="2008-06-30T00:00:00"/>
    <x v="16"/>
    <s v="Lamivudine"/>
    <s v="Generic"/>
    <s v="150mg"/>
    <s v="Tablet"/>
    <n v="60"/>
    <n v="8805"/>
    <n v="25622.55"/>
    <n v="2.91"/>
    <n v="0.05"/>
    <m/>
    <m/>
    <n v="1"/>
    <x v="2"/>
  </r>
  <r>
    <n v="12782"/>
    <s v="SO-2556"/>
    <x v="234"/>
    <x v="0"/>
    <s v="ARV"/>
    <s v="Adult"/>
    <s v="SCMS from RDC"/>
    <x v="1"/>
    <s v="N/A - From RDC"/>
    <s v="Truck"/>
    <m/>
    <d v="2008-06-30T00:00:00"/>
    <d v="2008-06-30T00:00:00"/>
    <d v="2008-06-30T00:00:00"/>
    <x v="0"/>
    <s v="Nevirapine"/>
    <s v="Generic"/>
    <s v="200mg"/>
    <s v="Tablet"/>
    <n v="60"/>
    <n v="87768"/>
    <n v="298411.2"/>
    <n v="3.4"/>
    <n v="0.06"/>
    <m/>
    <m/>
    <n v="1"/>
    <x v="2"/>
  </r>
  <r>
    <n v="12786"/>
    <s v="SO-10970"/>
    <x v="258"/>
    <x v="0"/>
    <s v="ARV"/>
    <s v="Adult"/>
    <s v="SCMS from RDC"/>
    <x v="1"/>
    <s v="N/A - From RDC"/>
    <s v="Air"/>
    <m/>
    <d v="2008-08-21T00:00:00"/>
    <d v="2008-08-21T00:00:00"/>
    <d v="2008-08-21T00:00:00"/>
    <x v="13"/>
    <s v="Lamivudine/Nevirapine/Stavudine"/>
    <s v="Generic"/>
    <s v="150/200/30mg"/>
    <s v="Tablet - FDC"/>
    <n v="60"/>
    <n v="40000"/>
    <n v="296000"/>
    <n v="7.4"/>
    <n v="0.12"/>
    <n v="4289"/>
    <n v="24594.29"/>
    <n v="1"/>
    <x v="2"/>
  </r>
  <r>
    <n v="12789"/>
    <s v="SO-1950"/>
    <x v="259"/>
    <x v="2"/>
    <s v="ARV"/>
    <s v="Adult"/>
    <s v="SCMS from RDC"/>
    <x v="1"/>
    <s v="N/A - From RDC"/>
    <s v="N/A"/>
    <m/>
    <d v="2008-03-27T00:00:00"/>
    <d v="2008-03-27T00:00:00"/>
    <d v="2008-03-27T00:00:00"/>
    <x v="3"/>
    <s v="Stavudine"/>
    <s v="Generic"/>
    <s v="30mg"/>
    <s v="Capsule"/>
    <n v="60"/>
    <n v="78460"/>
    <n v="119259.2"/>
    <n v="1.52"/>
    <n v="0.03"/>
    <n v="5184"/>
    <n v="17910"/>
    <n v="1"/>
    <x v="2"/>
  </r>
  <r>
    <n v="12808"/>
    <s v="SO-1995"/>
    <x v="260"/>
    <x v="3"/>
    <s v="ARV"/>
    <s v="Pediatric"/>
    <s v="SCMS from RDC"/>
    <x v="1"/>
    <s v="N/A - From RDC"/>
    <s v="Air"/>
    <m/>
    <d v="2008-04-17T00:00:00"/>
    <d v="2008-04-17T00:00:00"/>
    <d v="2008-04-17T00:00:00"/>
    <x v="36"/>
    <s v="Nevirapine"/>
    <s v="Generic"/>
    <s v="10mg/ml"/>
    <s v="Oral suspension"/>
    <n v="240"/>
    <n v="127"/>
    <n v="243.84"/>
    <n v="1.92"/>
    <n v="0.01"/>
    <n v="46"/>
    <n v="740.34"/>
    <n v="1"/>
    <x v="2"/>
  </r>
  <r>
    <n v="12809"/>
    <s v="SO-1536"/>
    <x v="261"/>
    <x v="2"/>
    <s v="ARV"/>
    <s v="Adult"/>
    <s v="SCMS from RDC"/>
    <x v="1"/>
    <s v="N/A - From RDC"/>
    <s v="Air"/>
    <m/>
    <d v="2008-02-01T00:00:00"/>
    <d v="2008-03-06T00:00:00"/>
    <d v="2008-03-06T00:00:00"/>
    <x v="16"/>
    <s v="Lamivudine"/>
    <s v="Generic"/>
    <s v="150mg"/>
    <s v="Tablet"/>
    <n v="60"/>
    <n v="30874"/>
    <n v="93856.960000000006"/>
    <n v="3.04"/>
    <n v="0.05"/>
    <n v="1822"/>
    <n v="9742"/>
    <n v="0"/>
    <x v="2"/>
  </r>
  <r>
    <n v="12812"/>
    <s v="SO-2621"/>
    <x v="262"/>
    <x v="3"/>
    <s v="ARV"/>
    <s v="Adult"/>
    <s v="SCMS from RDC"/>
    <x v="1"/>
    <s v="N/A - From RDC"/>
    <s v="Air"/>
    <m/>
    <d v="2008-08-21T00:00:00"/>
    <d v="2008-08-21T00:00:00"/>
    <d v="2008-08-21T00:00:00"/>
    <x v="11"/>
    <s v="Lamivudine/Nevirapine/Zidovudine"/>
    <s v="Generic"/>
    <s v="150/300/200mg"/>
    <s v="Tablet - FDC"/>
    <n v="60"/>
    <n v="1400"/>
    <n v="18900"/>
    <n v="13.5"/>
    <n v="0.22"/>
    <n v="156"/>
    <n v="1282.5999999999999"/>
    <n v="1"/>
    <x v="2"/>
  </r>
  <r>
    <n v="12819"/>
    <s v="SO-2561"/>
    <x v="263"/>
    <x v="0"/>
    <s v="ARV"/>
    <s v="Adult"/>
    <s v="SCMS from RDC"/>
    <x v="1"/>
    <s v="N/A - From RDC"/>
    <s v="Truck"/>
    <m/>
    <d v="2008-08-22T00:00:00"/>
    <d v="2008-08-22T00:00:00"/>
    <d v="2008-08-22T00:00:00"/>
    <x v="16"/>
    <s v="Lamivudine"/>
    <s v="Generic"/>
    <s v="150mg"/>
    <s v="Tablet"/>
    <n v="60"/>
    <n v="32544"/>
    <n v="94703.039999999994"/>
    <n v="2.91"/>
    <n v="0.05"/>
    <n v="1608"/>
    <n v="1700.32"/>
    <n v="1"/>
    <x v="2"/>
  </r>
  <r>
    <n v="12830"/>
    <s v="SO-21980"/>
    <x v="264"/>
    <x v="4"/>
    <s v="ARV"/>
    <s v="Adult"/>
    <s v="SCMS from RDC"/>
    <x v="1"/>
    <s v="N/A - From RDC"/>
    <s v="Air"/>
    <m/>
    <d v="2009-01-15T00:00:00"/>
    <d v="2009-01-15T00:00:00"/>
    <d v="2009-01-15T00:00:00"/>
    <x v="8"/>
    <s v="Efavirenz"/>
    <s v="Generic"/>
    <s v="600mg"/>
    <s v="Tablet"/>
    <n v="30"/>
    <n v="3770"/>
    <n v="37.700000000000003"/>
    <n v="0.01"/>
    <n v="0"/>
    <m/>
    <m/>
    <n v="1"/>
    <x v="3"/>
  </r>
  <r>
    <n v="12835"/>
    <s v="SO-1697"/>
    <x v="161"/>
    <x v="0"/>
    <s v="ARV"/>
    <s v="Adult"/>
    <s v="SCMS from RDC"/>
    <x v="1"/>
    <s v="N/A - From RDC"/>
    <s v="N/A"/>
    <m/>
    <d v="2008-09-15T00:00:00"/>
    <d v="2008-09-15T00:00:00"/>
    <d v="2008-09-15T00:00:00"/>
    <x v="9"/>
    <s v="Abacavir"/>
    <s v="Generic"/>
    <s v="300mg"/>
    <s v="Tablet"/>
    <n v="60"/>
    <n v="5730"/>
    <n v="157746.9"/>
    <n v="27.53"/>
    <n v="0.46"/>
    <m/>
    <m/>
    <n v="1"/>
    <x v="2"/>
  </r>
  <r>
    <n v="12839"/>
    <s v="SO-14230"/>
    <x v="265"/>
    <x v="2"/>
    <s v="ARV"/>
    <s v="Adult"/>
    <s v="SCMS from RDC"/>
    <x v="1"/>
    <s v="N/A - From RDC"/>
    <s v="Truck"/>
    <m/>
    <d v="2008-09-16T00:00:00"/>
    <d v="2008-09-16T00:00:00"/>
    <d v="2008-09-16T00:00:00"/>
    <x v="30"/>
    <s v="Ritonavir"/>
    <s v="Norvir"/>
    <s v="100mg"/>
    <s v="Capsule"/>
    <n v="336"/>
    <n v="14"/>
    <n v="537.04"/>
    <n v="38.36"/>
    <n v="0.11"/>
    <n v="25"/>
    <n v="505"/>
    <n v="1"/>
    <x v="2"/>
  </r>
  <r>
    <n v="12840"/>
    <s v="SO-14230"/>
    <x v="265"/>
    <x v="2"/>
    <s v="ARV"/>
    <s v="Adult"/>
    <s v="SCMS from RDC"/>
    <x v="1"/>
    <s v="N/A - From RDC"/>
    <s v="Truck"/>
    <m/>
    <d v="2008-09-16T00:00:00"/>
    <d v="2008-09-16T00:00:00"/>
    <d v="2008-09-16T00:00:00"/>
    <x v="38"/>
    <s v="Indinavir"/>
    <s v="Crixivan"/>
    <s v="400mg"/>
    <s v="Capsule"/>
    <n v="180"/>
    <n v="50"/>
    <n v="2500"/>
    <n v="50"/>
    <n v="0.28000000000000003"/>
    <m/>
    <m/>
    <n v="1"/>
    <x v="2"/>
  </r>
  <r>
    <n v="12841"/>
    <s v="SO-21350"/>
    <x v="266"/>
    <x v="2"/>
    <s v="ARV"/>
    <s v="Pediatric"/>
    <s v="SCMS from RDC"/>
    <x v="1"/>
    <s v="N/A - From RDC"/>
    <s v="Air"/>
    <m/>
    <d v="2008-12-19T00:00:00"/>
    <d v="2008-12-19T00:00:00"/>
    <d v="2008-12-19T00:00:00"/>
    <x v="25"/>
    <s v="Lamivudine"/>
    <s v="Generic"/>
    <s v="10mg/ml"/>
    <s v="Oral solution"/>
    <n v="240"/>
    <n v="2005"/>
    <n v="3809.5"/>
    <n v="1.9"/>
    <n v="0.01"/>
    <n v="692"/>
    <n v="4983.22"/>
    <n v="1"/>
    <x v="2"/>
  </r>
  <r>
    <n v="12842"/>
    <s v="SO-17751"/>
    <x v="267"/>
    <x v="3"/>
    <s v="ARV"/>
    <s v="Adult"/>
    <s v="SCMS from RDC"/>
    <x v="1"/>
    <s v="N/A - From RDC"/>
    <s v="Air"/>
    <m/>
    <d v="2009-02-19T00:00:00"/>
    <d v="2009-02-19T00:00:00"/>
    <d v="2009-02-19T00:00:00"/>
    <x v="11"/>
    <s v="Lamivudine/Nevirapine/Zidovudine"/>
    <s v="Generic"/>
    <s v="150/300/200mg"/>
    <s v="Tablet - FDC"/>
    <n v="60"/>
    <n v="14600"/>
    <n v="172280"/>
    <n v="11.8"/>
    <n v="0.2"/>
    <n v="1657"/>
    <n v="9995.5499999999993"/>
    <n v="1"/>
    <x v="3"/>
  </r>
  <r>
    <n v="12857"/>
    <s v="SO-11860"/>
    <x v="268"/>
    <x v="0"/>
    <s v="ARV"/>
    <s v="Adult"/>
    <s v="SCMS from RDC"/>
    <x v="1"/>
    <s v="N/A - From RDC"/>
    <s v="Air"/>
    <m/>
    <d v="2008-08-22T00:00:00"/>
    <d v="2008-08-22T00:00:00"/>
    <d v="2008-08-22T00:00:00"/>
    <x v="1"/>
    <s v="Lamivudine/Zidovudine"/>
    <s v="Generic"/>
    <s v="150/300mg"/>
    <s v="Tablet - FDC"/>
    <n v="60"/>
    <n v="76427"/>
    <n v="722235.15"/>
    <n v="9.4499999999999993"/>
    <n v="0.16"/>
    <n v="7017"/>
    <n v="5367.09"/>
    <n v="1"/>
    <x v="2"/>
  </r>
  <r>
    <n v="12858"/>
    <s v="SO-22000"/>
    <x v="166"/>
    <x v="2"/>
    <s v="ARV"/>
    <s v="Adult"/>
    <s v="SCMS from RDC"/>
    <x v="1"/>
    <s v="N/A - From RDC"/>
    <s v="Air"/>
    <m/>
    <d v="2009-02-18T00:00:00"/>
    <d v="2009-02-18T00:00:00"/>
    <d v="2009-02-18T00:00:00"/>
    <x v="8"/>
    <s v="Efavirenz"/>
    <s v="Generic"/>
    <s v="600mg"/>
    <s v="Tablet"/>
    <n v="30"/>
    <n v="27590"/>
    <n v="293005.8"/>
    <n v="10.62"/>
    <n v="0.35"/>
    <m/>
    <m/>
    <n v="1"/>
    <x v="3"/>
  </r>
  <r>
    <n v="12859"/>
    <s v="SO-22010"/>
    <x v="109"/>
    <x v="2"/>
    <s v="ARV"/>
    <s v="Adult"/>
    <s v="SCMS from RDC"/>
    <x v="1"/>
    <s v="N/A - From RDC"/>
    <s v="Air"/>
    <m/>
    <d v="2009-01-29T00:00:00"/>
    <d v="2009-01-29T00:00:00"/>
    <d v="2009-01-29T00:00:00"/>
    <x v="8"/>
    <s v="Efavirenz"/>
    <s v="Generic"/>
    <s v="600mg"/>
    <s v="Tablet"/>
    <n v="30"/>
    <n v="11549"/>
    <n v="122650.38"/>
    <n v="10.62"/>
    <n v="0.35"/>
    <m/>
    <m/>
    <n v="1"/>
    <x v="3"/>
  </r>
  <r>
    <n v="12860"/>
    <s v="SO-22030"/>
    <x v="217"/>
    <x v="2"/>
    <s v="ARV"/>
    <s v="Adult"/>
    <s v="SCMS from RDC"/>
    <x v="1"/>
    <s v="N/A - From RDC"/>
    <s v="Air"/>
    <m/>
    <d v="2009-03-04T00:00:00"/>
    <d v="2009-03-04T00:00:00"/>
    <d v="2009-03-04T00:00:00"/>
    <x v="8"/>
    <s v="Efavirenz"/>
    <s v="Generic"/>
    <s v="600mg"/>
    <s v="Tablet"/>
    <n v="30"/>
    <n v="35299"/>
    <n v="374875.38"/>
    <n v="10.62"/>
    <n v="0.35"/>
    <m/>
    <m/>
    <n v="1"/>
    <x v="3"/>
  </r>
  <r>
    <n v="12876"/>
    <s v="SO-18740"/>
    <x v="111"/>
    <x v="0"/>
    <s v="ARV"/>
    <s v="Pediatric"/>
    <s v="SCMS from RDC"/>
    <x v="1"/>
    <s v="N/A - From RDC"/>
    <s v="Truck"/>
    <m/>
    <d v="2009-05-11T00:00:00"/>
    <d v="2009-05-11T00:00:00"/>
    <d v="2009-05-11T00:00:00"/>
    <x v="24"/>
    <s v="Abacavir"/>
    <s v="Generic"/>
    <s v="20mg/ml"/>
    <s v="Oral solution"/>
    <n v="240"/>
    <n v="1977"/>
    <n v="31928.55"/>
    <n v="16.149999999999999"/>
    <n v="7.0000000000000007E-2"/>
    <m/>
    <m/>
    <n v="1"/>
    <x v="3"/>
  </r>
  <r>
    <n v="12887"/>
    <s v="SO-30070"/>
    <x v="269"/>
    <x v="3"/>
    <s v="ARV"/>
    <s v="Adult"/>
    <s v="SCMS from RDC"/>
    <x v="1"/>
    <s v="N/A - From RDC"/>
    <s v="Air"/>
    <m/>
    <d v="2009-06-01T00:00:00"/>
    <d v="2009-06-01T00:00:00"/>
    <d v="2009-06-01T00:00:00"/>
    <x v="13"/>
    <s v="Lamivudine/Nevirapine/Stavudine"/>
    <s v="Generic"/>
    <s v="150/200/30mg"/>
    <s v="Tablet - FDC"/>
    <n v="60"/>
    <n v="3895"/>
    <n v="27732.400000000001"/>
    <n v="7.12"/>
    <n v="0.12"/>
    <n v="289"/>
    <n v="2798.7"/>
    <n v="1"/>
    <x v="3"/>
  </r>
  <r>
    <n v="12908"/>
    <s v="SO-32920"/>
    <x v="174"/>
    <x v="3"/>
    <s v="ARV"/>
    <s v="Adult"/>
    <s v="SCMS from RDC"/>
    <x v="1"/>
    <s v="N/A - From RDC"/>
    <s v="Air"/>
    <m/>
    <d v="2009-08-24T00:00:00"/>
    <d v="2009-08-24T00:00:00"/>
    <d v="2009-08-24T00:00:00"/>
    <x v="16"/>
    <s v="Lamivudine"/>
    <s v="Generic"/>
    <s v="150mg"/>
    <s v="Tablet"/>
    <n v="60"/>
    <n v="2237"/>
    <n v="5458.28"/>
    <n v="2.44"/>
    <n v="0.04"/>
    <m/>
    <m/>
    <n v="1"/>
    <x v="3"/>
  </r>
  <r>
    <n v="12909"/>
    <s v="SO-31440"/>
    <x v="270"/>
    <x v="3"/>
    <s v="ARV"/>
    <s v="Adult"/>
    <s v="SCMS from RDC"/>
    <x v="1"/>
    <s v="N/A - From RDC"/>
    <s v="Ocean"/>
    <m/>
    <d v="2009-09-15T00:00:00"/>
    <d v="2009-09-15T00:00:00"/>
    <d v="2009-09-15T00:00:00"/>
    <x v="11"/>
    <s v="Lamivudine/Nevirapine/Zidovudine"/>
    <s v="Generic"/>
    <s v="150/300/200mg"/>
    <s v="Tablet - FDC"/>
    <n v="60"/>
    <n v="8784"/>
    <n v="99698.4"/>
    <n v="11.35"/>
    <n v="0.19"/>
    <n v="1118"/>
    <n v="7338.54"/>
    <n v="1"/>
    <x v="3"/>
  </r>
  <r>
    <n v="12912"/>
    <s v="SO-32940"/>
    <x v="271"/>
    <x v="3"/>
    <s v="ARV"/>
    <s v="Adult"/>
    <s v="SCMS from RDC"/>
    <x v="1"/>
    <s v="N/A - From RDC"/>
    <s v="Air"/>
    <m/>
    <d v="2009-10-07T00:00:00"/>
    <d v="2009-10-07T00:00:00"/>
    <d v="2009-10-07T00:00:00"/>
    <x v="8"/>
    <s v="Efavirenz"/>
    <s v="Generic"/>
    <s v="600mg"/>
    <s v="Tablet"/>
    <n v="30"/>
    <n v="29426"/>
    <n v="201568.1"/>
    <n v="6.85"/>
    <n v="0.23"/>
    <n v="2529"/>
    <n v="4031.3"/>
    <n v="1"/>
    <x v="3"/>
  </r>
  <r>
    <n v="12926"/>
    <s v="SO-34350"/>
    <x v="272"/>
    <x v="2"/>
    <s v="ARV"/>
    <s v="Adult"/>
    <s v="SCMS from RDC"/>
    <x v="1"/>
    <s v="N/A - From RDC"/>
    <s v="Air"/>
    <m/>
    <d v="2009-10-27T00:00:00"/>
    <d v="2009-10-27T00:00:00"/>
    <d v="2009-10-27T00:00:00"/>
    <x v="0"/>
    <s v="Nevirapine"/>
    <s v="Generic"/>
    <s v="200mg"/>
    <s v="Tablet"/>
    <n v="60"/>
    <n v="12873"/>
    <n v="37331.699999999997"/>
    <n v="2.9"/>
    <n v="0.05"/>
    <n v="1258"/>
    <n v="6027.68"/>
    <n v="1"/>
    <x v="3"/>
  </r>
  <r>
    <n v="13302"/>
    <s v="SCMS-84420"/>
    <x v="273"/>
    <x v="1"/>
    <s v="ARV"/>
    <s v="Adult"/>
    <s v="MYLAN LABORATORIES LTD (FORMERLY MATRIX LABORATORIES)"/>
    <x v="0"/>
    <s v="CIP"/>
    <s v="Air"/>
    <d v="2010-09-29T00:00:00"/>
    <d v="2010-11-02T00:00:00"/>
    <d v="2010-11-02T00:00:00"/>
    <d v="2010-11-02T00:00:00"/>
    <x v="39"/>
    <s v="Lamivudine/Tenofovir Disoproxil Fumarate"/>
    <s v="Generic"/>
    <s v="300/300mg"/>
    <s v="Tablet - FDC"/>
    <n v="30"/>
    <n v="138422"/>
    <n v="1211192.5"/>
    <n v="8.75"/>
    <n v="0.28999999999999998"/>
    <n v="13147"/>
    <n v="4781.8"/>
    <n v="1"/>
    <x v="4"/>
  </r>
  <r>
    <n v="13608"/>
    <s v="SCMS-143480"/>
    <x v="274"/>
    <x v="3"/>
    <s v="ARV"/>
    <s v="Adult"/>
    <s v="ASPEN PHARMACARE"/>
    <x v="0"/>
    <s v="DDP"/>
    <s v="Air"/>
    <d v="2012-04-17T00:00:00"/>
    <d v="2012-05-21T00:00:00"/>
    <d v="2012-05-21T00:00:00"/>
    <d v="2012-05-21T00:00:00"/>
    <x v="40"/>
    <s v="Etravirine"/>
    <s v="Intelence"/>
    <s v="100mg"/>
    <s v="Tablet"/>
    <n v="120"/>
    <n v="121"/>
    <n v="9075"/>
    <n v="75"/>
    <n v="0.62"/>
    <n v="43"/>
    <n v="199"/>
    <n v="1"/>
    <x v="5"/>
  </r>
  <r>
    <n v="13841"/>
    <s v="SCMS-50290"/>
    <x v="275"/>
    <x v="1"/>
    <s v="ARV"/>
    <s v="Adult"/>
    <s v="MYLAN LABORATORIES LTD (FORMERLY MATRIX LABORATORIES)"/>
    <x v="0"/>
    <s v="CIP"/>
    <s v="Air"/>
    <d v="2009-08-31T00:00:00"/>
    <d v="2010-04-16T00:00:00"/>
    <d v="2010-04-16T00:00:00"/>
    <d v="2010-04-16T00:00:00"/>
    <x v="39"/>
    <s v="Lamivudine/Tenofovir Disoproxil Fumarate"/>
    <s v="Generic"/>
    <s v="300/300mg"/>
    <s v="Tablet - FDC"/>
    <n v="30"/>
    <n v="62209"/>
    <n v="681188.55"/>
    <n v="10.95"/>
    <n v="0.36"/>
    <n v="5795"/>
    <n v="63600.4"/>
    <n v="1"/>
    <x v="4"/>
  </r>
  <r>
    <n v="13886"/>
    <s v="SCMS-192080"/>
    <x v="276"/>
    <x v="3"/>
    <s v="ARV"/>
    <s v="Adult"/>
    <s v="ASPEN PHARMACARE"/>
    <x v="0"/>
    <s v="CIP"/>
    <s v="Air"/>
    <d v="2013-07-03T00:00:00"/>
    <d v="2013-11-20T00:00:00"/>
    <d v="2013-11-20T00:00:00"/>
    <d v="2013-11-21T00:00:00"/>
    <x v="40"/>
    <s v="Etravirine"/>
    <s v="Intelence"/>
    <s v="100mg"/>
    <s v="Tablet"/>
    <n v="120"/>
    <n v="108"/>
    <n v="3888"/>
    <n v="36"/>
    <n v="0.3"/>
    <n v="22"/>
    <n v="265"/>
    <n v="1"/>
    <x v="6"/>
  </r>
  <r>
    <n v="13903"/>
    <s v="SCMS-200851"/>
    <x v="277"/>
    <x v="0"/>
    <s v="ARV"/>
    <s v="Pediatric"/>
    <s v="Aurobindo Pharma Limited"/>
    <x v="0"/>
    <s v="EXW"/>
    <s v="Air"/>
    <d v="2013-10-08T00:00:00"/>
    <d v="2014-03-22T00:00:00"/>
    <d v="2014-03-22T00:00:00"/>
    <d v="2014-03-22T00:00:00"/>
    <x v="41"/>
    <s v="Efavirenz"/>
    <s v="Generic"/>
    <s v="50mg"/>
    <s v="Capsule"/>
    <n v="30"/>
    <n v="5925"/>
    <n v="9243"/>
    <n v="1.56"/>
    <n v="0.05"/>
    <n v="394"/>
    <n v="3245.39"/>
    <n v="1"/>
    <x v="7"/>
  </r>
  <r>
    <n v="14230"/>
    <s v="SCMS-176980"/>
    <x v="278"/>
    <x v="1"/>
    <s v="ARV"/>
    <s v="Pediatric"/>
    <s v="ABBVIE LOGISTICS (FORMERLY ABBOTT LOGISTICS BV)"/>
    <x v="0"/>
    <s v="FCA"/>
    <s v="Air"/>
    <d v="2013-02-06T00:00:00"/>
    <d v="2013-05-17T00:00:00"/>
    <d v="2013-05-17T00:00:00"/>
    <d v="2013-05-17T00:00:00"/>
    <x v="6"/>
    <s v="Lopinavir/Ritonavir"/>
    <s v="Kaletra"/>
    <s v="80/20mg/ml"/>
    <s v="Oral solution"/>
    <n v="300"/>
    <n v="400"/>
    <n v="12328"/>
    <n v="30.82"/>
    <n v="0.1"/>
    <n v="454"/>
    <n v="7152.99"/>
    <n v="1"/>
    <x v="6"/>
  </r>
  <r>
    <n v="14252"/>
    <s v="SCMS-212350"/>
    <x v="279"/>
    <x v="3"/>
    <s v="ARV"/>
    <s v="Pediatric"/>
    <s v="CIPLA LIMITED"/>
    <x v="0"/>
    <s v="EXW"/>
    <s v="Air"/>
    <d v="2013-10-30T00:00:00"/>
    <d v="2014-03-21T00:00:00"/>
    <d v="2014-03-21T00:00:00"/>
    <d v="2014-03-21T00:00:00"/>
    <x v="42"/>
    <s v="Lamivudine/Zidovudine"/>
    <s v="Generic"/>
    <s v="30/60mg"/>
    <s v="Chewable/dispersible tablet - FDC"/>
    <n v="60"/>
    <n v="7445"/>
    <n v="16676.8"/>
    <n v="2.2400000000000002"/>
    <n v="0.04"/>
    <n v="574"/>
    <n v="3868.24"/>
    <n v="1"/>
    <x v="7"/>
  </r>
  <r>
    <n v="14278"/>
    <s v="SCMS-62830"/>
    <x v="280"/>
    <x v="2"/>
    <s v="ARV"/>
    <s v="Adult"/>
    <s v="Aurobindo Pharma Limited"/>
    <x v="0"/>
    <s v="EXW"/>
    <s v="Air"/>
    <d v="2010-01-13T00:00:00"/>
    <d v="2010-03-04T00:00:00"/>
    <d v="2010-03-04T00:00:00"/>
    <d v="2010-03-04T00:00:00"/>
    <x v="16"/>
    <s v="Lamivudine"/>
    <s v="Generic"/>
    <s v="150mg"/>
    <s v="Tablet"/>
    <n v="60"/>
    <n v="56000"/>
    <n v="133280"/>
    <n v="2.38"/>
    <n v="0.04"/>
    <n v="2996"/>
    <n v="10612.93"/>
    <n v="1"/>
    <x v="4"/>
  </r>
  <r>
    <n v="14279"/>
    <s v="SCMS-156530"/>
    <x v="281"/>
    <x v="0"/>
    <s v="ARV"/>
    <s v="Adult"/>
    <s v="HETERO LABS LIMITED"/>
    <x v="0"/>
    <s v="EXW"/>
    <s v="Air"/>
    <d v="2012-08-09T00:00:00"/>
    <d v="2012-11-01T00:00:00"/>
    <d v="2012-11-01T00:00:00"/>
    <d v="2012-11-01T00:00:00"/>
    <x v="8"/>
    <s v="Efavirenz"/>
    <s v="Generic"/>
    <s v="600mg"/>
    <s v="Tablet"/>
    <n v="30"/>
    <n v="100986"/>
    <n v="343352.4"/>
    <n v="3.4"/>
    <n v="0.11"/>
    <n v="10579"/>
    <n v="41585.93"/>
    <n v="1"/>
    <x v="5"/>
  </r>
  <r>
    <n v="14384"/>
    <s v="SCMS-210920"/>
    <x v="282"/>
    <x v="0"/>
    <s v="ARV"/>
    <s v="Pediatric"/>
    <s v="Aurobindo Pharma Limited"/>
    <x v="0"/>
    <s v="EXW"/>
    <s v="Air"/>
    <d v="2013-10-28T00:00:00"/>
    <d v="2014-03-22T00:00:00"/>
    <d v="2014-03-22T00:00:00"/>
    <d v="2014-03-22T00:00:00"/>
    <x v="41"/>
    <s v="Efavirenz"/>
    <s v="Generic"/>
    <s v="50mg"/>
    <s v="Capsule"/>
    <n v="30"/>
    <n v="20867"/>
    <n v="32552.52"/>
    <n v="1.56"/>
    <n v="0.05"/>
    <n v="1337"/>
    <n v="8403.67"/>
    <n v="1"/>
    <x v="7"/>
  </r>
  <r>
    <n v="14431"/>
    <s v="SCMS-126230"/>
    <x v="283"/>
    <x v="1"/>
    <s v="ARV"/>
    <s v="Adult"/>
    <s v="Hoffmann-La Roche ltd Basel"/>
    <x v="0"/>
    <s v="FCA"/>
    <s v="Air"/>
    <d v="2011-11-02T00:00:00"/>
    <d v="2012-07-05T00:00:00"/>
    <d v="2012-07-05T00:00:00"/>
    <d v="2012-07-05T00:00:00"/>
    <x v="23"/>
    <s v="Nelfinavir (as mesilate)"/>
    <s v="Viracept"/>
    <s v="250mg"/>
    <s v="Tablet"/>
    <n v="270"/>
    <n v="109"/>
    <n v="17410.04"/>
    <n v="159.72999999999999"/>
    <n v="0.59"/>
    <n v="27"/>
    <n v="2205.25"/>
    <n v="1"/>
    <x v="5"/>
  </r>
  <r>
    <n v="14803"/>
    <s v="SCMS-227720"/>
    <x v="284"/>
    <x v="1"/>
    <s v="ARV"/>
    <s v="Pediatric"/>
    <s v="Aurobindo Pharma Limited"/>
    <x v="0"/>
    <s v="EXW"/>
    <s v="Air"/>
    <d v="2014-02-28T00:00:00"/>
    <d v="2014-05-06T00:00:00"/>
    <d v="2014-05-06T00:00:00"/>
    <d v="2014-05-15T00:00:00"/>
    <x v="43"/>
    <s v="Nevirapine"/>
    <s v="Generic"/>
    <s v="10mg/ml"/>
    <s v="Oral suspension"/>
    <n v="240"/>
    <n v="9720"/>
    <n v="14677.2"/>
    <n v="1.51"/>
    <n v="0.01"/>
    <n v="4365"/>
    <m/>
    <n v="1"/>
    <x v="7"/>
  </r>
  <r>
    <n v="14931"/>
    <s v="SCMS-268601"/>
    <x v="285"/>
    <x v="1"/>
    <s v="ARV"/>
    <s v="Pediatric"/>
    <s v="SWORDS LABORATORIES"/>
    <x v="0"/>
    <s v="FCA"/>
    <s v="Air"/>
    <d v="2014-12-12T00:00:00"/>
    <d v="2015-05-12T00:00:00"/>
    <d v="2015-05-12T00:00:00"/>
    <d v="2015-05-12T00:00:00"/>
    <x v="44"/>
    <s v="Atazanavir"/>
    <s v="Reyataz"/>
    <s v="200mg"/>
    <s v="Capsule"/>
    <n v="60"/>
    <n v="1080"/>
    <n v="43869.599999999999"/>
    <n v="40.619999999999997"/>
    <n v="0.68"/>
    <n v="282"/>
    <n v="1028.0999999999999"/>
    <n v="1"/>
    <x v="8"/>
  </r>
  <r>
    <n v="14941"/>
    <s v="SCMS-82750"/>
    <x v="286"/>
    <x v="0"/>
    <s v="ARV"/>
    <s v="Adult"/>
    <s v="MYLAN LABORATORIES LTD (FORMERLY MATRIX LABORATORIES)"/>
    <x v="0"/>
    <s v="EXW"/>
    <s v="Air"/>
    <d v="2010-08-25T00:00:00"/>
    <d v="2010-10-22T00:00:00"/>
    <d v="2010-10-22T00:00:00"/>
    <d v="2010-10-22T00:00:00"/>
    <x v="45"/>
    <s v="Efavirenz/Emtricitabine/Tenofovir Disoproxil Fumarate"/>
    <s v="Generic"/>
    <s v="600/200/300mg"/>
    <s v="Tablet - FDC"/>
    <n v="30"/>
    <n v="9000"/>
    <n v="179100"/>
    <n v="19.899999999999999"/>
    <n v="0.66"/>
    <n v="1081"/>
    <n v="5834.1"/>
    <n v="1"/>
    <x v="4"/>
  </r>
  <r>
    <n v="14943"/>
    <s v="SCMS-58220"/>
    <x v="287"/>
    <x v="3"/>
    <s v="ARV"/>
    <s v="Adult"/>
    <s v="MERCK SHARP &amp; DOHME IDEA GMBH (FORMALLY MERCK SHARP &amp; DOHME B.V.)"/>
    <x v="0"/>
    <s v="CIP"/>
    <s v="Air"/>
    <d v="2009-12-02T00:00:00"/>
    <d v="2010-03-04T00:00:00"/>
    <d v="2010-03-04T00:00:00"/>
    <d v="2010-03-04T00:00:00"/>
    <x v="38"/>
    <s v="Indinavir"/>
    <s v="Crixivan"/>
    <s v="400mg"/>
    <s v="Capsule"/>
    <n v="180"/>
    <n v="75"/>
    <n v="3750"/>
    <n v="50"/>
    <n v="0.28000000000000003"/>
    <n v="19"/>
    <n v="435"/>
    <n v="1"/>
    <x v="4"/>
  </r>
  <r>
    <n v="15011"/>
    <s v="SCMS-83350"/>
    <x v="288"/>
    <x v="1"/>
    <s v="ARV"/>
    <s v="Adult"/>
    <s v="MYLAN LABORATORIES LTD (FORMERLY MATRIX LABORATORIES)"/>
    <x v="0"/>
    <s v="CIP"/>
    <s v="Air"/>
    <d v="2010-09-28T00:00:00"/>
    <d v="2010-12-12T00:00:00"/>
    <d v="2010-12-12T00:00:00"/>
    <d v="2010-12-12T00:00:00"/>
    <x v="46"/>
    <s v="Efavirenz/Lamivudine/Tenofovir Disoproxil Fumarate"/>
    <s v="Generic"/>
    <s v="600/300/300mg"/>
    <s v="Tablet - FDC"/>
    <n v="30"/>
    <n v="9653"/>
    <n v="168734.44"/>
    <n v="17.48"/>
    <n v="0.57999999999999996"/>
    <m/>
    <m/>
    <n v="1"/>
    <x v="4"/>
  </r>
  <r>
    <n v="15405"/>
    <s v="SCMS-83330"/>
    <x v="289"/>
    <x v="1"/>
    <s v="ARV"/>
    <s v="Adult"/>
    <s v="CIPLA LIMITED"/>
    <x v="0"/>
    <s v="CIP"/>
    <s v="Air"/>
    <d v="2010-09-27T00:00:00"/>
    <d v="2011-01-07T00:00:00"/>
    <d v="2011-01-07T00:00:00"/>
    <d v="2011-01-07T00:00:00"/>
    <x v="47"/>
    <s v="Lopinavir/Ritonavir"/>
    <s v="Generic"/>
    <s v="200/50mg"/>
    <s v="Tablet"/>
    <n v="120"/>
    <n v="1202"/>
    <n v="41228.6"/>
    <n v="34.299999999999997"/>
    <n v="0.28999999999999998"/>
    <m/>
    <m/>
    <n v="1"/>
    <x v="9"/>
  </r>
  <r>
    <n v="15642"/>
    <s v="SCMS-84411"/>
    <x v="290"/>
    <x v="1"/>
    <s v="ARV"/>
    <s v="Adult"/>
    <s v="CIPLA LIMITED"/>
    <x v="0"/>
    <s v="CIP"/>
    <s v="Air"/>
    <d v="2010-09-27T00:00:00"/>
    <d v="2011-02-09T00:00:00"/>
    <d v="2011-02-09T00:00:00"/>
    <d v="2011-02-09T00:00:00"/>
    <x v="47"/>
    <s v="Lopinavir/Ritonavir"/>
    <s v="Generic"/>
    <s v="200/50mg"/>
    <s v="Tablet"/>
    <n v="120"/>
    <n v="2486"/>
    <n v="85269.8"/>
    <n v="34.299999999999997"/>
    <n v="0.28999999999999998"/>
    <n v="4354"/>
    <m/>
    <n v="1"/>
    <x v="9"/>
  </r>
  <r>
    <n v="15695"/>
    <s v="SCMS-61200"/>
    <x v="291"/>
    <x v="2"/>
    <s v="ARV"/>
    <s v="Adult"/>
    <s v="STRIDES ARCOLAB LIMITED"/>
    <x v="0"/>
    <s v="EXW"/>
    <s v="Air"/>
    <d v="2009-12-29T00:00:00"/>
    <d v="2010-02-09T00:00:00"/>
    <d v="2010-02-09T00:00:00"/>
    <d v="2010-02-09T00:00:00"/>
    <x v="31"/>
    <s v="Lamivudine/Stavudine"/>
    <s v="Generic"/>
    <s v="150/30mg"/>
    <s v="Tablet - FDC"/>
    <n v="60"/>
    <n v="71596"/>
    <n v="241278.52"/>
    <n v="3.37"/>
    <n v="0.06"/>
    <n v="3652"/>
    <n v="15236.52"/>
    <n v="1"/>
    <x v="4"/>
  </r>
  <r>
    <n v="15726"/>
    <s v="SCMS-137552"/>
    <x v="292"/>
    <x v="1"/>
    <s v="ARV"/>
    <s v="Adult"/>
    <s v="MYLAN LABORATORIES LTD (FORMERLY MATRIX LABORATORIES)"/>
    <x v="0"/>
    <s v="EXW"/>
    <s v="Air"/>
    <d v="2012-05-31T00:00:00"/>
    <d v="2012-08-07T00:00:00"/>
    <d v="2012-08-07T00:00:00"/>
    <d v="2012-08-07T00:00:00"/>
    <x v="9"/>
    <s v="Abacavir"/>
    <s v="Generic"/>
    <s v="300mg"/>
    <s v="Tablet"/>
    <n v="60"/>
    <n v="46530"/>
    <n v="581159.69999999995"/>
    <n v="12.49"/>
    <n v="0.21"/>
    <n v="4810"/>
    <n v="27894.81"/>
    <n v="1"/>
    <x v="5"/>
  </r>
  <r>
    <n v="15867"/>
    <s v="SCMS-129870"/>
    <x v="293"/>
    <x v="1"/>
    <s v="ARV"/>
    <s v="Adult"/>
    <s v="Aurobindo Pharma Limited"/>
    <x v="0"/>
    <s v="EXW"/>
    <s v="Air"/>
    <d v="2011-12-13T00:00:00"/>
    <d v="2012-01-24T00:00:00"/>
    <d v="2012-01-26T00:00:00"/>
    <d v="2012-01-26T00:00:00"/>
    <x v="39"/>
    <s v="Lamivudine/Tenofovir Disoproxil Fumarate"/>
    <s v="Generic"/>
    <s v="300/300mg"/>
    <s v="Tablet - FDC"/>
    <n v="30"/>
    <n v="41286"/>
    <n v="220880.1"/>
    <n v="5.35"/>
    <n v="0.18"/>
    <n v="4027"/>
    <n v="28833.91"/>
    <n v="0"/>
    <x v="5"/>
  </r>
  <r>
    <n v="15879"/>
    <s v="SCMS-84940"/>
    <x v="294"/>
    <x v="1"/>
    <s v="ARV"/>
    <s v="Adult"/>
    <s v="MYLAN LABORATORIES LTD (FORMERLY MATRIX LABORATORIES)"/>
    <x v="0"/>
    <s v="EXW"/>
    <s v="Ocean"/>
    <d v="2010-09-29T00:00:00"/>
    <d v="2011-04-27T00:00:00"/>
    <d v="2011-04-27T00:00:00"/>
    <d v="2011-04-27T00:00:00"/>
    <x v="39"/>
    <s v="Lamivudine/Tenofovir Disoproxil Fumarate"/>
    <s v="Generic"/>
    <s v="300/300mg"/>
    <s v="Tablet - FDC"/>
    <n v="30"/>
    <n v="117359"/>
    <n v="997551.5"/>
    <n v="8.5"/>
    <n v="0.28000000000000003"/>
    <n v="10329"/>
    <n v="32530.22"/>
    <n v="1"/>
    <x v="9"/>
  </r>
  <r>
    <n v="15946"/>
    <s v="SCMS-72390"/>
    <x v="295"/>
    <x v="2"/>
    <s v="ARV"/>
    <s v="Adult"/>
    <s v="Aurobindo Pharma Limited"/>
    <x v="0"/>
    <s v="EXW"/>
    <s v="Air"/>
    <d v="2010-04-29T00:00:00"/>
    <d v="2011-02-14T00:00:00"/>
    <d v="2011-02-14T00:00:00"/>
    <d v="2011-02-14T00:00:00"/>
    <x v="48"/>
    <s v="Didanosine"/>
    <s v="Generic"/>
    <s v="250mg"/>
    <s v="Delayed-release capsules"/>
    <n v="30"/>
    <n v="2600"/>
    <n v="33800"/>
    <n v="13"/>
    <n v="0.43"/>
    <n v="236"/>
    <n v="1131.48"/>
    <n v="1"/>
    <x v="9"/>
  </r>
  <r>
    <n v="15999"/>
    <s v="SCMS-198780"/>
    <x v="296"/>
    <x v="0"/>
    <s v="ARV"/>
    <s v="Adult"/>
    <s v="Aurobindo Pharma Limited"/>
    <x v="0"/>
    <s v="EXW"/>
    <s v="Air"/>
    <d v="2013-07-16T00:00:00"/>
    <d v="2013-09-24T00:00:00"/>
    <d v="2013-09-24T00:00:00"/>
    <d v="2013-09-24T00:00:00"/>
    <x v="11"/>
    <s v="Lamivudine/Nevirapine/Zidovudine"/>
    <s v="Generic"/>
    <s v="150/300/200mg"/>
    <s v="Tablet - FDC"/>
    <n v="60"/>
    <n v="36426"/>
    <n v="296143.38"/>
    <n v="8.1300000000000008"/>
    <n v="0.14000000000000001"/>
    <n v="4609"/>
    <n v="17581.919999999998"/>
    <n v="1"/>
    <x v="6"/>
  </r>
  <r>
    <n v="16097"/>
    <s v="SCMS-47770"/>
    <x v="297"/>
    <x v="0"/>
    <s v="ARV"/>
    <s v="Adult"/>
    <s v="BRISTOL-MYERS SQUIBB"/>
    <x v="0"/>
    <s v="CIP"/>
    <s v="Air"/>
    <d v="2009-06-29T00:00:00"/>
    <d v="2009-11-27T00:00:00"/>
    <d v="2009-11-27T00:00:00"/>
    <d v="2009-11-27T00:00:00"/>
    <x v="12"/>
    <s v="Didanosine EC"/>
    <s v="Videx EC"/>
    <s v="250mg"/>
    <s v="Delayed-release capsules - blister"/>
    <n v="30"/>
    <n v="18544"/>
    <n v="340096.96"/>
    <n v="18.34"/>
    <n v="0.61"/>
    <n v="1478"/>
    <n v="1312.2"/>
    <n v="1"/>
    <x v="3"/>
  </r>
  <r>
    <n v="16104"/>
    <s v="SCMS-98320"/>
    <x v="298"/>
    <x v="2"/>
    <s v="ARV"/>
    <s v="Adult"/>
    <s v="Aurobindo Pharma Limited"/>
    <x v="0"/>
    <s v="EXW"/>
    <s v="Air"/>
    <d v="2011-02-01T00:00:00"/>
    <d v="2011-10-31T00:00:00"/>
    <d v="2011-10-31T00:00:00"/>
    <d v="2011-10-31T00:00:00"/>
    <x v="49"/>
    <s v="Didanosine"/>
    <s v="Generic"/>
    <s v="400mg"/>
    <s v="Delayed-release capsules"/>
    <n v="30"/>
    <n v="2225"/>
    <n v="44500"/>
    <n v="20"/>
    <n v="0.67"/>
    <n v="174"/>
    <n v="2052.9699999999998"/>
    <n v="1"/>
    <x v="9"/>
  </r>
  <r>
    <n v="16173"/>
    <s v="SCMS-117230"/>
    <x v="299"/>
    <x v="0"/>
    <s v="ARV"/>
    <s v="Pediatric"/>
    <s v="LAWRENCE LABORATORIES (SUBSIDIARY OF BRISTOL MYERS SQUIBB)"/>
    <x v="0"/>
    <s v="FCA"/>
    <s v="Air"/>
    <d v="2011-08-04T00:00:00"/>
    <d v="2012-03-29T00:00:00"/>
    <d v="2012-03-29T00:00:00"/>
    <d v="2012-03-29T00:00:00"/>
    <x v="50"/>
    <s v="Didanosine"/>
    <s v="Videx"/>
    <s v="100mg"/>
    <s v="Chewable/dispersible tablet"/>
    <n v="60"/>
    <n v="4132"/>
    <n v="52683"/>
    <n v="12.75"/>
    <n v="0.21"/>
    <n v="1598"/>
    <n v="12689.71"/>
    <n v="1"/>
    <x v="5"/>
  </r>
  <r>
    <n v="16398"/>
    <s v="SCMS-84930"/>
    <x v="300"/>
    <x v="1"/>
    <s v="ARV"/>
    <s v="Adult"/>
    <s v="CIPLA LIMITED"/>
    <x v="0"/>
    <s v="EXW"/>
    <s v="Ocean"/>
    <d v="2010-09-27T00:00:00"/>
    <d v="2011-12-13T00:00:00"/>
    <d v="2011-12-13T00:00:00"/>
    <d v="2011-12-13T00:00:00"/>
    <x v="47"/>
    <s v="Lopinavir/Ritonavir"/>
    <s v="Generic"/>
    <s v="200/50mg"/>
    <s v="Tablet"/>
    <n v="120"/>
    <n v="23240"/>
    <n v="776216"/>
    <n v="33.4"/>
    <n v="0.28000000000000003"/>
    <n v="6853"/>
    <n v="81246.12"/>
    <n v="1"/>
    <x v="9"/>
  </r>
  <r>
    <n v="16496"/>
    <s v="SCMS-219200"/>
    <x v="301"/>
    <x v="0"/>
    <s v="ARV"/>
    <s v="Adult"/>
    <s v="HETERO LABS LIMITED"/>
    <x v="0"/>
    <s v="EXW"/>
    <s v="Air"/>
    <d v="2013-12-27T00:00:00"/>
    <d v="2014-04-25T00:00:00"/>
    <d v="2014-04-25T00:00:00"/>
    <d v="2014-04-25T00:00:00"/>
    <x v="29"/>
    <s v="Zidovudine"/>
    <s v="Generic"/>
    <s v="300mg"/>
    <s v="Tablet"/>
    <n v="60"/>
    <n v="63200"/>
    <n v="347600"/>
    <n v="5.5"/>
    <n v="0.09"/>
    <n v="4007"/>
    <n v="23397.41"/>
    <n v="1"/>
    <x v="7"/>
  </r>
  <r>
    <n v="16556"/>
    <s v="SCMS-129500"/>
    <x v="302"/>
    <x v="1"/>
    <s v="ARV"/>
    <s v="Adult"/>
    <s v="CIPLA LIMITED"/>
    <x v="0"/>
    <s v="EXW"/>
    <s v="Air"/>
    <d v="2012-03-14T00:00:00"/>
    <d v="2012-06-29T00:00:00"/>
    <d v="2012-06-29T00:00:00"/>
    <d v="2012-06-29T00:00:00"/>
    <x v="47"/>
    <s v="Lopinavir/Ritonavir"/>
    <s v="Generic"/>
    <s v="200/50mg"/>
    <s v="Tablet"/>
    <n v="120"/>
    <n v="2074"/>
    <n v="74746.960000000006"/>
    <n v="36.04"/>
    <n v="0.3"/>
    <n v="627"/>
    <n v="6072.8"/>
    <n v="1"/>
    <x v="5"/>
  </r>
  <r>
    <n v="16766"/>
    <s v="SCMS-48840"/>
    <x v="303"/>
    <x v="1"/>
    <s v="ARV"/>
    <s v="Adult"/>
    <s v="HETERO LABS LIMITED"/>
    <x v="0"/>
    <s v="CIP"/>
    <s v="Air"/>
    <d v="2009-07-16T00:00:00"/>
    <d v="2009-11-23T00:00:00"/>
    <d v="2009-11-23T00:00:00"/>
    <d v="2009-11-23T00:00:00"/>
    <x v="0"/>
    <s v="Nevirapine"/>
    <s v="Generic"/>
    <s v="200mg"/>
    <s v="Tablet"/>
    <n v="60"/>
    <n v="29925"/>
    <n v="92468.25"/>
    <n v="3.09"/>
    <n v="0.05"/>
    <n v="1041"/>
    <n v="730.82"/>
    <n v="1"/>
    <x v="3"/>
  </r>
  <r>
    <n v="16794"/>
    <s v="SCMS-227720"/>
    <x v="304"/>
    <x v="1"/>
    <s v="ARV"/>
    <s v="Pediatric"/>
    <s v="Aurobindo Pharma Limited"/>
    <x v="0"/>
    <s v="EXW"/>
    <s v="Air"/>
    <d v="2014-02-28T00:00:00"/>
    <d v="2014-05-06T00:00:00"/>
    <d v="2014-05-06T00:00:00"/>
    <d v="2014-05-15T00:00:00"/>
    <x v="43"/>
    <s v="Nevirapine"/>
    <s v="Generic"/>
    <s v="10mg/ml"/>
    <s v="Oral suspension"/>
    <n v="240"/>
    <n v="9690"/>
    <n v="14631.9"/>
    <n v="1.51"/>
    <n v="0.01"/>
    <n v="3790"/>
    <n v="66260.33"/>
    <n v="1"/>
    <x v="7"/>
  </r>
  <r>
    <n v="16998"/>
    <s v="SCMS-76980"/>
    <x v="305"/>
    <x v="0"/>
    <s v="ARV"/>
    <s v="Adult"/>
    <s v="Aurobindo Pharma Limited"/>
    <x v="0"/>
    <s v="EXW"/>
    <s v="Air"/>
    <d v="2010-06-24T00:00:00"/>
    <d v="2010-08-07T00:00:00"/>
    <d v="2010-08-09T00:00:00"/>
    <d v="2010-08-09T00:00:00"/>
    <x v="0"/>
    <s v="Nevirapine"/>
    <s v="Generic"/>
    <s v="200mg"/>
    <s v="Tablet"/>
    <n v="60"/>
    <n v="28663"/>
    <n v="74523.8"/>
    <n v="2.6"/>
    <n v="0.04"/>
    <n v="3380"/>
    <n v="17603.580000000002"/>
    <n v="0"/>
    <x v="4"/>
  </r>
  <r>
    <n v="17207"/>
    <s v="SCMS-49090"/>
    <x v="306"/>
    <x v="1"/>
    <s v="ARV"/>
    <s v="Adult"/>
    <s v="HETERO LABS LIMITED"/>
    <x v="0"/>
    <s v="CIP"/>
    <s v="Air"/>
    <d v="2009-07-16T00:00:00"/>
    <d v="2010-07-01T00:00:00"/>
    <d v="2010-07-01T00:00:00"/>
    <d v="2010-07-01T00:00:00"/>
    <x v="0"/>
    <s v="Nevirapine"/>
    <s v="Generic"/>
    <s v="200mg"/>
    <s v="Tablet"/>
    <n v="60"/>
    <n v="66825"/>
    <n v="206489.25"/>
    <n v="3.09"/>
    <n v="0.05"/>
    <n v="3845"/>
    <n v="20194.78"/>
    <n v="1"/>
    <x v="4"/>
  </r>
  <r>
    <n v="17259"/>
    <s v="SCMS-103290"/>
    <x v="307"/>
    <x v="0"/>
    <s v="ARV"/>
    <s v="Adult"/>
    <s v="LAWRENCE LABORATORIES (SUBSIDIARY OF BRISTOL MYERS SQUIBB)"/>
    <x v="0"/>
    <s v="FCA"/>
    <s v="Air"/>
    <d v="2011-04-14T00:00:00"/>
    <d v="2011-06-27T00:00:00"/>
    <d v="2011-06-27T00:00:00"/>
    <d v="2011-06-27T00:00:00"/>
    <x v="12"/>
    <s v="Didanosine EC"/>
    <s v="Videx EC"/>
    <s v="250mg"/>
    <s v="Delayed-release capsules - blister"/>
    <n v="30"/>
    <n v="2098"/>
    <n v="38477.32"/>
    <n v="18.34"/>
    <n v="0.61"/>
    <n v="140"/>
    <n v="1870.73"/>
    <n v="1"/>
    <x v="9"/>
  </r>
  <r>
    <n v="18580"/>
    <s v="SCMS-236750"/>
    <x v="308"/>
    <x v="0"/>
    <s v="ARV"/>
    <s v="Pediatric"/>
    <s v="STRIDES ARCOLAB LIMITED"/>
    <x v="0"/>
    <s v="EXW"/>
    <s v="Air"/>
    <d v="2014-04-18T00:00:00"/>
    <d v="2014-06-24T00:00:00"/>
    <d v="2014-06-24T00:00:00"/>
    <d v="2014-06-24T00:00:00"/>
    <x v="51"/>
    <s v="Efavirenz"/>
    <s v="Generic"/>
    <s v="200mg"/>
    <s v="Tablet"/>
    <n v="90"/>
    <n v="15041"/>
    <n v="139881.29999999999"/>
    <n v="9.3000000000000007"/>
    <n v="0.1"/>
    <n v="949"/>
    <n v="4673.7700000000004"/>
    <n v="1"/>
    <x v="7"/>
  </r>
  <r>
    <n v="18694"/>
    <s v="SCMS-47760"/>
    <x v="309"/>
    <x v="0"/>
    <s v="ARV"/>
    <s v="Adult"/>
    <s v="BRISTOL-MYERS SQUIBB"/>
    <x v="0"/>
    <s v="CIP"/>
    <s v="Air"/>
    <d v="2009-06-29T00:00:00"/>
    <d v="2009-10-21T00:00:00"/>
    <d v="2009-10-21T00:00:00"/>
    <d v="2009-10-21T00:00:00"/>
    <x v="4"/>
    <s v="Didanosine EC"/>
    <s v="Videx EC"/>
    <s v="400mg"/>
    <s v="Delayed-release capsules - blister"/>
    <n v="30"/>
    <n v="1000"/>
    <n v="23670"/>
    <n v="23.67"/>
    <n v="0.79"/>
    <n v="335"/>
    <n v="888"/>
    <n v="1"/>
    <x v="3"/>
  </r>
  <r>
    <n v="18923"/>
    <s v="SCMS-71450"/>
    <x v="310"/>
    <x v="0"/>
    <s v="ARV"/>
    <s v="Pediatric"/>
    <s v="EMCURE PHARMACEUTICALS LTD"/>
    <x v="0"/>
    <s v="EXW"/>
    <s v="Air"/>
    <d v="2010-04-23T00:00:00"/>
    <d v="2010-12-01T00:00:00"/>
    <d v="2010-12-01T00:00:00"/>
    <d v="2010-12-01T00:00:00"/>
    <x v="52"/>
    <s v="Atazanavir"/>
    <s v="Generic"/>
    <s v="150mg"/>
    <s v="Capsule"/>
    <n v="60"/>
    <n v="426"/>
    <n v="11114.34"/>
    <n v="26.09"/>
    <n v="0.43"/>
    <n v="45"/>
    <n v="1013.19"/>
    <n v="1"/>
    <x v="4"/>
  </r>
  <r>
    <n v="19105"/>
    <s v="SCMS-129760"/>
    <x v="311"/>
    <x v="1"/>
    <s v="ARV"/>
    <s v="Pediatric"/>
    <s v="CIPLA LIMITED"/>
    <x v="0"/>
    <s v="EXW"/>
    <s v="Air"/>
    <d v="2012-03-09T00:00:00"/>
    <d v="2012-06-22T00:00:00"/>
    <d v="2012-06-22T00:00:00"/>
    <d v="2012-06-22T00:00:00"/>
    <x v="24"/>
    <s v="Abacavir"/>
    <s v="Generic"/>
    <s v="20mg/ml"/>
    <s v="Oral solution"/>
    <n v="240"/>
    <n v="4534"/>
    <n v="38539"/>
    <n v="8.5"/>
    <n v="0.04"/>
    <n v="1631"/>
    <n v="13116.57"/>
    <n v="1"/>
    <x v="5"/>
  </r>
  <r>
    <n v="19246"/>
    <s v="SCMS-186920"/>
    <x v="312"/>
    <x v="0"/>
    <s v="ARV"/>
    <s v="Adult"/>
    <s v="MYLAN LABORATORIES LTD (FORMERLY MATRIX LABORATORIES)"/>
    <x v="0"/>
    <s v="EXW"/>
    <s v="Air"/>
    <d v="2013-05-14T00:00:00"/>
    <d v="2013-09-05T00:00:00"/>
    <d v="2013-09-05T00:00:00"/>
    <d v="2013-09-05T00:00:00"/>
    <x v="53"/>
    <s v="Atazanavir/Ritonavir"/>
    <s v="Generic"/>
    <s v="300/100mg"/>
    <s v="Tablet"/>
    <n v="30"/>
    <n v="5175"/>
    <n v="116437.5"/>
    <n v="22.5"/>
    <n v="0.75"/>
    <n v="775"/>
    <n v="4136.58"/>
    <n v="1"/>
    <x v="6"/>
  </r>
  <r>
    <n v="19851"/>
    <s v="SCMS-202560"/>
    <x v="313"/>
    <x v="3"/>
    <s v="ARV"/>
    <s v="Pediatric"/>
    <s v="Aurobindo Pharma Limited"/>
    <x v="0"/>
    <s v="EXW"/>
    <s v="Air"/>
    <d v="2013-08-09T00:00:00"/>
    <d v="2013-12-10T00:00:00"/>
    <d v="2013-12-12T00:00:00"/>
    <d v="2013-12-13T00:00:00"/>
    <x v="54"/>
    <s v="Nevirapine"/>
    <s v="Generic"/>
    <s v="10mg/ml"/>
    <s v="Oral suspension"/>
    <n v="100"/>
    <n v="11310"/>
    <n v="14703"/>
    <n v="1.3"/>
    <n v="0.01"/>
    <n v="2454"/>
    <n v="10898.12"/>
    <n v="0"/>
    <x v="6"/>
  </r>
  <r>
    <n v="20133"/>
    <s v="SCMS-54140"/>
    <x v="314"/>
    <x v="3"/>
    <s v="ARV"/>
    <s v="Adult"/>
    <s v="ABBVIE LOGISTICS (FORMERLY ABBOTT LOGISTICS BV)"/>
    <x v="0"/>
    <s v="FCA"/>
    <s v="Air"/>
    <d v="2009-09-30T00:00:00"/>
    <d v="2009-11-04T00:00:00"/>
    <d v="2009-11-04T00:00:00"/>
    <d v="2009-11-04T00:00:00"/>
    <x v="14"/>
    <s v="Lopinavir/Ritonavir"/>
    <s v="Aluvia"/>
    <s v="200/50mg"/>
    <s v="Tablet"/>
    <n v="120"/>
    <n v="60"/>
    <n v="2169.6"/>
    <n v="36.159999999999997"/>
    <n v="0.3"/>
    <n v="36"/>
    <n v="814.04"/>
    <n v="1"/>
    <x v="3"/>
  </r>
  <r>
    <n v="20239"/>
    <s v="SCMS-137421"/>
    <x v="315"/>
    <x v="1"/>
    <s v="ARV"/>
    <s v="Adult"/>
    <s v="HETERO LABS LIMITED"/>
    <x v="0"/>
    <s v="EXW"/>
    <s v="Air"/>
    <d v="2012-06-14T00:00:00"/>
    <d v="2012-07-20T00:00:00"/>
    <d v="2012-07-20T00:00:00"/>
    <d v="2012-07-20T00:00:00"/>
    <x v="8"/>
    <s v="Efavirenz"/>
    <s v="Generic"/>
    <s v="600mg"/>
    <s v="Tablet"/>
    <n v="30"/>
    <n v="20370"/>
    <n v="72720.899999999994"/>
    <n v="3.57"/>
    <n v="0.12"/>
    <n v="1751"/>
    <n v="13244.8"/>
    <n v="1"/>
    <x v="5"/>
  </r>
  <r>
    <n v="20266"/>
    <s v="SCMS-142320"/>
    <x v="316"/>
    <x v="3"/>
    <s v="ARV"/>
    <s v="Adult"/>
    <s v="ASPEN PHARMACARE"/>
    <x v="0"/>
    <s v="DDP"/>
    <s v="Air"/>
    <d v="2012-04-17T00:00:00"/>
    <d v="2012-07-05T00:00:00"/>
    <d v="2012-07-05T00:00:00"/>
    <d v="2012-07-05T00:00:00"/>
    <x v="40"/>
    <s v="Etravirine"/>
    <s v="Intelence"/>
    <s v="100mg"/>
    <s v="Tablet"/>
    <n v="120"/>
    <n v="150"/>
    <n v="11250"/>
    <n v="75"/>
    <n v="0.62"/>
    <n v="49"/>
    <n v="475"/>
    <n v="1"/>
    <x v="5"/>
  </r>
  <r>
    <n v="20512"/>
    <s v="SCMS-235960"/>
    <x v="317"/>
    <x v="1"/>
    <s v="ARV"/>
    <s v="Pediatric"/>
    <s v="EMCURE PHARMACEUTICALS LTD"/>
    <x v="0"/>
    <s v="EXW"/>
    <s v="Air"/>
    <d v="2014-04-29T00:00:00"/>
    <d v="2014-08-22T00:00:00"/>
    <d v="2014-08-22T00:00:00"/>
    <d v="2014-08-26T00:00:00"/>
    <x v="55"/>
    <s v="Atazanavir"/>
    <s v="Generic"/>
    <s v="200mg"/>
    <s v="Capsule"/>
    <n v="60"/>
    <n v="1411"/>
    <n v="46563"/>
    <n v="33"/>
    <n v="0.55000000000000004"/>
    <n v="145"/>
    <n v="1950.74"/>
    <n v="1"/>
    <x v="7"/>
  </r>
  <r>
    <n v="20667"/>
    <s v="SCMS-202560"/>
    <x v="318"/>
    <x v="3"/>
    <s v="ARV"/>
    <s v="Pediatric"/>
    <s v="Aurobindo Pharma Limited"/>
    <x v="0"/>
    <s v="EXW"/>
    <s v="Air"/>
    <d v="2013-08-09T00:00:00"/>
    <d v="2013-12-10T00:00:00"/>
    <d v="2013-12-12T00:00:00"/>
    <d v="2013-12-13T00:00:00"/>
    <x v="54"/>
    <s v="Nevirapine"/>
    <s v="Generic"/>
    <s v="10mg/ml"/>
    <s v="Oral suspension"/>
    <n v="100"/>
    <n v="1503"/>
    <n v="1953.9"/>
    <n v="1.3"/>
    <n v="0.01"/>
    <m/>
    <m/>
    <n v="0"/>
    <x v="6"/>
  </r>
  <r>
    <n v="20735"/>
    <s v="SCMS-129780"/>
    <x v="319"/>
    <x v="1"/>
    <s v="ARV"/>
    <s v="Adult"/>
    <s v="Aurobindo Pharma Limited"/>
    <x v="0"/>
    <s v="EXW"/>
    <s v="Ocean"/>
    <d v="2011-12-13T00:00:00"/>
    <d v="2012-04-13T00:00:00"/>
    <d v="2012-04-13T00:00:00"/>
    <d v="2012-04-13T00:00:00"/>
    <x v="39"/>
    <s v="Lamivudine/Tenofovir Disoproxil Fumarate"/>
    <s v="Generic"/>
    <s v="300/300mg"/>
    <s v="Tablet - FDC"/>
    <n v="30"/>
    <n v="132000"/>
    <n v="706200"/>
    <n v="5.35"/>
    <n v="0.18"/>
    <n v="12886"/>
    <n v="102761.99"/>
    <n v="1"/>
    <x v="5"/>
  </r>
  <r>
    <n v="20761"/>
    <s v="SCMS-244400"/>
    <x v="320"/>
    <x v="3"/>
    <s v="ARV"/>
    <s v="Adult"/>
    <s v="MERCK SHARP &amp; DOHME IDEA GMBH (FORMALLY MERCK SHARP &amp; DOHME B.V.)"/>
    <x v="0"/>
    <s v="CIP"/>
    <s v="Air"/>
    <d v="2014-06-23T00:00:00"/>
    <d v="2014-10-28T00:00:00"/>
    <d v="2014-10-28T00:00:00"/>
    <d v="2014-10-28T00:00:00"/>
    <x v="56"/>
    <s v="Raltegravir"/>
    <s v="Isentress"/>
    <s v="400mg"/>
    <s v="Tablet"/>
    <n v="60"/>
    <n v="1299"/>
    <n v="72094.5"/>
    <n v="55.5"/>
    <n v="0.92"/>
    <n v="137"/>
    <n v="309.95"/>
    <n v="1"/>
    <x v="7"/>
  </r>
  <r>
    <n v="21037"/>
    <s v="SCMS-96930"/>
    <x v="321"/>
    <x v="3"/>
    <s v="ARV"/>
    <s v="Adult"/>
    <s v="MERCK SHARP &amp; DOHME IDEA GMBH (FORMALLY MERCK SHARP &amp; DOHME B.V.)"/>
    <x v="0"/>
    <s v="CIP"/>
    <s v="Air"/>
    <d v="2011-01-21T00:00:00"/>
    <d v="2011-04-19T00:00:00"/>
    <d v="2011-04-19T00:00:00"/>
    <d v="2011-04-19T00:00:00"/>
    <x v="56"/>
    <s v="Raltegravir"/>
    <s v="Isentress"/>
    <s v="400mg"/>
    <s v="Tablet"/>
    <n v="60"/>
    <n v="55"/>
    <n v="5032.5"/>
    <n v="91.5"/>
    <n v="1.52"/>
    <n v="6"/>
    <n v="99"/>
    <n v="1"/>
    <x v="9"/>
  </r>
  <r>
    <n v="21125"/>
    <s v="SCMS-94240"/>
    <x v="322"/>
    <x v="0"/>
    <s v="ARV"/>
    <s v="Pediatric"/>
    <s v="EMCURE PHARMACEUTICALS LTD"/>
    <x v="0"/>
    <s v="EXW"/>
    <s v="Air"/>
    <d v="2010-12-09T00:00:00"/>
    <d v="2011-03-10T00:00:00"/>
    <d v="2011-03-10T00:00:00"/>
    <d v="2011-03-10T00:00:00"/>
    <x v="52"/>
    <s v="Atazanavir"/>
    <s v="Generic"/>
    <s v="150mg"/>
    <s v="Capsule"/>
    <n v="60"/>
    <n v="1135"/>
    <n v="29612.15"/>
    <n v="26.09"/>
    <n v="0.43"/>
    <n v="103"/>
    <n v="1308.4000000000001"/>
    <n v="1"/>
    <x v="9"/>
  </r>
  <r>
    <n v="21217"/>
    <s v="SCMS-232850"/>
    <x v="323"/>
    <x v="0"/>
    <s v="ARV"/>
    <s v="Pediatric"/>
    <s v="MYLAN LABORATORIES LTD (FORMERLY MATRIX LABORATORIES)"/>
    <x v="0"/>
    <s v="EXW"/>
    <s v="Air"/>
    <d v="2014-03-27T00:00:00"/>
    <d v="2014-06-24T00:00:00"/>
    <d v="2014-06-24T00:00:00"/>
    <d v="2014-06-24T00:00:00"/>
    <x v="57"/>
    <s v="Lamivudine/Nevirapine/Zidovudine"/>
    <s v="Generic"/>
    <s v="30/50/60mg"/>
    <s v="Chewable/dispersible tablet - FDC"/>
    <n v="60"/>
    <n v="36000"/>
    <n v="129600"/>
    <n v="3.6"/>
    <n v="0.06"/>
    <n v="2205"/>
    <n v="9815.52"/>
    <n v="1"/>
    <x v="7"/>
  </r>
  <r>
    <n v="21230"/>
    <s v="SCMS-193860"/>
    <x v="324"/>
    <x v="0"/>
    <s v="ARV"/>
    <s v="Adult"/>
    <s v="HETERO LABS LIMITED"/>
    <x v="0"/>
    <s v="EXW"/>
    <s v="Air"/>
    <d v="2013-06-11T00:00:00"/>
    <d v="2013-11-21T00:00:00"/>
    <d v="2013-11-21T00:00:00"/>
    <d v="2013-11-21T00:00:00"/>
    <x v="46"/>
    <s v="Efavirenz/Lamivudine/Tenofovir Disoproxil Fumarate"/>
    <s v="Generic"/>
    <s v="600/300/300mg"/>
    <s v="Tablet - FDC"/>
    <n v="30"/>
    <n v="200000"/>
    <n v="2100000"/>
    <n v="10.5"/>
    <n v="0.35"/>
    <n v="28168"/>
    <n v="127285.48"/>
    <n v="1"/>
    <x v="6"/>
  </r>
  <r>
    <n v="21301"/>
    <s v="SCMS-71420"/>
    <x v="325"/>
    <x v="0"/>
    <s v="ARV"/>
    <s v="Pediatric"/>
    <s v="EMCURE PHARMACEUTICALS LTD"/>
    <x v="0"/>
    <s v="EXW"/>
    <s v="Air"/>
    <d v="2010-04-23T00:00:00"/>
    <d v="2010-08-02T00:00:00"/>
    <d v="2010-08-02T00:00:00"/>
    <d v="2010-08-02T00:00:00"/>
    <x v="52"/>
    <s v="Atazanavir"/>
    <s v="Generic"/>
    <s v="150mg"/>
    <s v="Capsule"/>
    <n v="60"/>
    <n v="1065"/>
    <n v="27785.85"/>
    <n v="26.09"/>
    <n v="0.43"/>
    <n v="112"/>
    <n v="1122.07"/>
    <n v="1"/>
    <x v="4"/>
  </r>
  <r>
    <n v="21378"/>
    <s v="SCMS-202560"/>
    <x v="326"/>
    <x v="3"/>
    <s v="ARV"/>
    <s v="Pediatric"/>
    <s v="Aurobindo Pharma Limited"/>
    <x v="0"/>
    <s v="EXW"/>
    <s v="Air"/>
    <d v="2013-08-09T00:00:00"/>
    <d v="2013-12-10T00:00:00"/>
    <d v="2013-12-12T00:00:00"/>
    <d v="2013-12-13T00:00:00"/>
    <x v="54"/>
    <s v="Nevirapine"/>
    <s v="Generic"/>
    <s v="10mg/ml"/>
    <s v="Oral suspension"/>
    <n v="100"/>
    <n v="10368"/>
    <n v="13478.4"/>
    <n v="1.3"/>
    <n v="0.01"/>
    <m/>
    <m/>
    <n v="0"/>
    <x v="6"/>
  </r>
  <r>
    <n v="21414"/>
    <s v="SCMS-198541"/>
    <x v="327"/>
    <x v="3"/>
    <s v="ARV"/>
    <s v="Adult"/>
    <s v="CIPLA LIMITED"/>
    <x v="0"/>
    <s v="EXW"/>
    <s v="Air"/>
    <d v="2013-09-10T00:00:00"/>
    <d v="2013-11-16T00:00:00"/>
    <d v="2013-11-16T00:00:00"/>
    <d v="2013-11-21T00:00:00"/>
    <x v="11"/>
    <s v="Lamivudine/Nevirapine/Zidovudine"/>
    <s v="Generic"/>
    <s v="150/300/200mg"/>
    <s v="Tablet - FDC"/>
    <n v="60"/>
    <n v="60929"/>
    <n v="493524.9"/>
    <n v="8.1"/>
    <n v="0.13"/>
    <n v="8638"/>
    <n v="30764.18"/>
    <n v="1"/>
    <x v="6"/>
  </r>
  <r>
    <n v="21563"/>
    <s v="SCMS-233190"/>
    <x v="328"/>
    <x v="0"/>
    <s v="ARV"/>
    <s v="Pediatric"/>
    <s v="MYLAN LABORATORIES LTD (FORMERLY MATRIX LABORATORIES)"/>
    <x v="0"/>
    <s v="EXW"/>
    <s v="Ocean"/>
    <d v="2014-03-31T00:00:00"/>
    <d v="2014-05-27T00:00:00"/>
    <d v="2014-05-27T00:00:00"/>
    <d v="2014-06-12T00:00:00"/>
    <x v="57"/>
    <s v="Lamivudine/Nevirapine/Zidovudine"/>
    <s v="Generic"/>
    <s v="30/50/60mg"/>
    <s v="Chewable/dispersible tablet - FDC"/>
    <n v="60"/>
    <n v="115000"/>
    <n v="414000"/>
    <n v="3.6"/>
    <n v="0.06"/>
    <n v="10504"/>
    <n v="28270.78"/>
    <n v="1"/>
    <x v="7"/>
  </r>
  <r>
    <n v="21825"/>
    <s v="SCMS-192060"/>
    <x v="329"/>
    <x v="3"/>
    <s v="ARV"/>
    <s v="Adult"/>
    <s v="ABBVIE LOGISTICS (FORMERLY ABBOTT LOGISTICS BV)"/>
    <x v="0"/>
    <s v="FCA"/>
    <s v="Air"/>
    <d v="2013-06-13T00:00:00"/>
    <d v="2013-11-15T00:00:00"/>
    <d v="2013-11-15T00:00:00"/>
    <d v="2013-11-15T00:00:00"/>
    <x v="58"/>
    <s v="Ritonavir"/>
    <s v="Norvir"/>
    <s v="100mg"/>
    <s v="Tablet"/>
    <n v="60"/>
    <n v="417"/>
    <n v="2856.45"/>
    <n v="6.85"/>
    <n v="0.11"/>
    <n v="65"/>
    <n v="887.67"/>
    <n v="1"/>
    <x v="6"/>
  </r>
  <r>
    <n v="21844"/>
    <s v="SCMS-236760"/>
    <x v="330"/>
    <x v="0"/>
    <s v="ARV"/>
    <s v="Pediatric"/>
    <s v="STRIDES ARCOLAB LIMITED"/>
    <x v="0"/>
    <s v="EXW"/>
    <s v="Air"/>
    <d v="2014-04-18T00:00:00"/>
    <d v="2014-06-24T00:00:00"/>
    <d v="2014-06-24T00:00:00"/>
    <d v="2014-06-24T00:00:00"/>
    <x v="51"/>
    <s v="Efavirenz"/>
    <s v="Generic"/>
    <s v="200mg"/>
    <s v="Tablet"/>
    <n v="90"/>
    <n v="9959"/>
    <n v="92618.7"/>
    <n v="9.3000000000000007"/>
    <n v="0.1"/>
    <n v="630"/>
    <n v="3416.2"/>
    <n v="1"/>
    <x v="7"/>
  </r>
  <r>
    <n v="22069"/>
    <s v="SCMS-198541"/>
    <x v="331"/>
    <x v="3"/>
    <s v="ARV"/>
    <s v="Adult"/>
    <s v="CIPLA LIMITED"/>
    <x v="0"/>
    <s v="EXW"/>
    <s v="Air"/>
    <d v="2013-09-10T00:00:00"/>
    <d v="2013-11-16T00:00:00"/>
    <d v="2013-11-16T00:00:00"/>
    <d v="2013-11-21T00:00:00"/>
    <x v="8"/>
    <s v="Efavirenz"/>
    <s v="Generic"/>
    <s v="600mg"/>
    <s v="Tablet"/>
    <n v="30"/>
    <n v="50000"/>
    <n v="162000"/>
    <n v="3.24"/>
    <n v="0.11"/>
    <n v="5593"/>
    <n v="19759.68"/>
    <n v="1"/>
    <x v="6"/>
  </r>
  <r>
    <n v="22658"/>
    <s v="SCMS-126490"/>
    <x v="332"/>
    <x v="1"/>
    <s v="ARV"/>
    <s v="Adult"/>
    <s v="Aurobindo Pharma Limited"/>
    <x v="0"/>
    <s v="EXW"/>
    <s v="Air"/>
    <d v="2011-11-09T00:00:00"/>
    <d v="2012-03-30T00:00:00"/>
    <d v="2012-03-30T00:00:00"/>
    <d v="2012-03-30T00:00:00"/>
    <x v="49"/>
    <s v="Didanosine"/>
    <s v="Generic"/>
    <s v="400mg"/>
    <s v="Delayed-release capsules"/>
    <n v="30"/>
    <n v="150"/>
    <n v="3000"/>
    <n v="20"/>
    <n v="0.67"/>
    <n v="197"/>
    <n v="5906.43"/>
    <n v="1"/>
    <x v="5"/>
  </r>
  <r>
    <n v="22684"/>
    <s v="SCMS-104120"/>
    <x v="333"/>
    <x v="3"/>
    <s v="ARV"/>
    <s v="Adult"/>
    <s v="ASPEN PHARMACARE"/>
    <x v="0"/>
    <s v="DDP"/>
    <s v="Air"/>
    <d v="2011-03-25T00:00:00"/>
    <d v="2011-05-31T00:00:00"/>
    <d v="2011-05-31T00:00:00"/>
    <d v="2011-05-31T00:00:00"/>
    <x v="59"/>
    <s v="Darunavir"/>
    <s v="Prezista"/>
    <s v="300mg"/>
    <s v="Tablet"/>
    <n v="120"/>
    <n v="259"/>
    <n v="24123.26"/>
    <n v="93.14"/>
    <n v="0.78"/>
    <n v="43"/>
    <n v="466"/>
    <n v="1"/>
    <x v="9"/>
  </r>
  <r>
    <n v="22817"/>
    <s v="SCMS-63650"/>
    <x v="334"/>
    <x v="1"/>
    <s v="ARV"/>
    <s v="Adult"/>
    <s v="Hoffmann-La Roche ltd Basel"/>
    <x v="0"/>
    <s v="FCA"/>
    <s v="Air"/>
    <d v="2010-01-20T00:00:00"/>
    <d v="2010-03-03T00:00:00"/>
    <d v="2010-03-03T00:00:00"/>
    <d v="2010-03-03T00:00:00"/>
    <x v="23"/>
    <s v="Nelfinavir (as mesilate)"/>
    <s v="Viracept"/>
    <s v="250mg"/>
    <s v="Tablet"/>
    <n v="270"/>
    <n v="40"/>
    <n v="5037.72"/>
    <n v="125.94"/>
    <n v="0.47"/>
    <n v="11"/>
    <n v="1049.3"/>
    <n v="1"/>
    <x v="4"/>
  </r>
  <r>
    <n v="22855"/>
    <s v="SCMS-162530"/>
    <x v="335"/>
    <x v="1"/>
    <s v="ARV"/>
    <s v="Adult"/>
    <s v="MYLAN LABORATORIES LTD (FORMERLY MATRIX LABORATORIES)"/>
    <x v="0"/>
    <s v="EXW"/>
    <s v="Ocean"/>
    <d v="2012-11-09T00:00:00"/>
    <d v="2013-04-22T00:00:00"/>
    <d v="2013-04-22T00:00:00"/>
    <d v="2013-04-22T00:00:00"/>
    <x v="9"/>
    <s v="Abacavir"/>
    <s v="Generic"/>
    <s v="300mg"/>
    <s v="Tablet"/>
    <n v="60"/>
    <n v="37350"/>
    <n v="438862.5"/>
    <n v="11.75"/>
    <n v="0.2"/>
    <n v="3860"/>
    <n v="59186.46"/>
    <n v="1"/>
    <x v="6"/>
  </r>
  <r>
    <n v="23051"/>
    <s v="SCMS-198771"/>
    <x v="336"/>
    <x v="0"/>
    <s v="ARV"/>
    <s v="Adult"/>
    <s v="CIPLA LIMITED"/>
    <x v="0"/>
    <s v="EXW"/>
    <s v="Air"/>
    <d v="2013-08-27T00:00:00"/>
    <d v="2013-12-27T00:00:00"/>
    <d v="2013-12-27T00:00:00"/>
    <d v="2013-12-27T00:00:00"/>
    <x v="11"/>
    <s v="Lamivudine/Nevirapine/Zidovudine"/>
    <s v="Generic"/>
    <s v="150/300/200mg"/>
    <s v="Tablet - FDC"/>
    <n v="60"/>
    <n v="16245"/>
    <n v="131584.5"/>
    <n v="8.1"/>
    <n v="0.13"/>
    <n v="2368"/>
    <n v="11363.07"/>
    <n v="1"/>
    <x v="6"/>
  </r>
  <r>
    <n v="23211"/>
    <s v="SCMS-233190"/>
    <x v="328"/>
    <x v="0"/>
    <s v="ARV"/>
    <s v="Adult"/>
    <s v="MYLAN LABORATORIES LTD (FORMERLY MATRIX LABORATORIES)"/>
    <x v="0"/>
    <s v="EXW"/>
    <s v="Ocean"/>
    <d v="2014-03-31T00:00:00"/>
    <d v="2014-05-27T00:00:00"/>
    <d v="2014-05-27T00:00:00"/>
    <d v="2014-06-12T00:00:00"/>
    <x v="45"/>
    <s v="Efavirenz/Emtricitabine/Tenofovir Disoproxil Fumarate"/>
    <s v="Generic"/>
    <s v="600/200/300mg"/>
    <s v="Tablet - FDC"/>
    <n v="30"/>
    <n v="35000"/>
    <n v="410900"/>
    <n v="11.74"/>
    <n v="0.39"/>
    <m/>
    <m/>
    <n v="1"/>
    <x v="7"/>
  </r>
  <r>
    <n v="23315"/>
    <s v="SCMS-272600"/>
    <x v="337"/>
    <x v="1"/>
    <s v="ARV"/>
    <s v="Pediatric"/>
    <s v="EMCURE PHARMACEUTICALS LTD"/>
    <x v="0"/>
    <s v="EXW"/>
    <s v="Air"/>
    <d v="2015-01-19T00:00:00"/>
    <d v="2015-02-17T00:00:00"/>
    <d v="2015-02-17T00:00:00"/>
    <d v="2015-02-17T00:00:00"/>
    <x v="52"/>
    <s v="Atazanavir"/>
    <s v="Generic"/>
    <s v="150mg"/>
    <s v="Capsule"/>
    <n v="60"/>
    <n v="912"/>
    <n v="18240"/>
    <n v="20"/>
    <n v="0.33"/>
    <n v="102"/>
    <n v="1600.98"/>
    <n v="1"/>
    <x v="8"/>
  </r>
  <r>
    <n v="23365"/>
    <s v="SCMS-48872"/>
    <x v="338"/>
    <x v="1"/>
    <s v="ARV"/>
    <s v="Adult"/>
    <s v="Aurobindo Pharma Limited"/>
    <x v="0"/>
    <s v="CIP"/>
    <s v="Air"/>
    <d v="2009-07-07T00:00:00"/>
    <d v="2010-04-15T00:00:00"/>
    <d v="2010-04-15T00:00:00"/>
    <d v="2010-04-15T00:00:00"/>
    <x v="48"/>
    <s v="Didanosine"/>
    <s v="Generic"/>
    <s v="250mg"/>
    <s v="Delayed-release capsules"/>
    <n v="30"/>
    <n v="558"/>
    <n v="8174.7"/>
    <n v="14.65"/>
    <n v="0.49"/>
    <n v="1297"/>
    <n v="23760.45"/>
    <n v="1"/>
    <x v="4"/>
  </r>
  <r>
    <n v="23466"/>
    <s v="SCMS-48890"/>
    <x v="339"/>
    <x v="1"/>
    <s v="ARV"/>
    <s v="Adult"/>
    <s v="Aurobindo Pharma Limited"/>
    <x v="0"/>
    <s v="CIP"/>
    <s v="Air"/>
    <d v="2009-07-16T00:00:00"/>
    <d v="2010-04-26T00:00:00"/>
    <d v="2010-04-26T00:00:00"/>
    <d v="2010-04-26T00:00:00"/>
    <x v="47"/>
    <s v="Lopinavir/Ritonavir"/>
    <s v="Generic"/>
    <s v="200/50mg"/>
    <s v="Tablet"/>
    <n v="120"/>
    <n v="2240"/>
    <n v="83686.399999999994"/>
    <n v="37.36"/>
    <n v="0.31"/>
    <n v="554"/>
    <n v="7531.78"/>
    <n v="1"/>
    <x v="4"/>
  </r>
  <r>
    <n v="23584"/>
    <s v="SCMS-52560"/>
    <x v="340"/>
    <x v="3"/>
    <s v="ARV"/>
    <s v="Adult"/>
    <s v="MERCK SHARP &amp; DOHME IDEA GMBH (FORMALLY MERCK SHARP &amp; DOHME B.V.)"/>
    <x v="0"/>
    <s v="CIP"/>
    <s v="Air"/>
    <d v="2009-09-14T00:00:00"/>
    <d v="2009-11-17T00:00:00"/>
    <d v="2009-11-17T00:00:00"/>
    <d v="2009-11-17T00:00:00"/>
    <x v="38"/>
    <s v="Indinavir"/>
    <s v="Crixivan"/>
    <s v="400mg"/>
    <s v="Capsule"/>
    <n v="180"/>
    <n v="48"/>
    <n v="2400"/>
    <n v="50"/>
    <n v="0.28000000000000003"/>
    <n v="11"/>
    <n v="48"/>
    <n v="1"/>
    <x v="3"/>
  </r>
  <r>
    <n v="24060"/>
    <s v="SCMS-50800"/>
    <x v="341"/>
    <x v="1"/>
    <s v="ARV"/>
    <s v="Adult"/>
    <s v="HETERO LABS LIMITED"/>
    <x v="0"/>
    <s v="CIP"/>
    <s v="Air"/>
    <d v="2009-08-18T00:00:00"/>
    <d v="2009-11-23T00:00:00"/>
    <d v="2009-11-23T00:00:00"/>
    <d v="2009-11-23T00:00:00"/>
    <x v="16"/>
    <s v="Lamivudine"/>
    <s v="Generic"/>
    <s v="150mg"/>
    <s v="Tablet"/>
    <n v="60"/>
    <n v="10620"/>
    <n v="27505.8"/>
    <n v="2.59"/>
    <n v="0.04"/>
    <n v="593"/>
    <n v="730.81"/>
    <n v="1"/>
    <x v="3"/>
  </r>
  <r>
    <n v="24246"/>
    <s v="SCMS-148080"/>
    <x v="342"/>
    <x v="2"/>
    <s v="ARV"/>
    <s v="Pediatric"/>
    <s v="ABBVIE LOGISTICS (FORMERLY ABBOTT LOGISTICS BV)"/>
    <x v="0"/>
    <s v="FCA"/>
    <s v="Air"/>
    <d v="2012-06-01T00:00:00"/>
    <d v="2012-06-27T00:00:00"/>
    <d v="2012-06-27T00:00:00"/>
    <d v="2012-06-27T00:00:00"/>
    <x v="6"/>
    <s v="Lopinavir/Ritonavir"/>
    <s v="Kaletra"/>
    <s v="80/20mg/ml"/>
    <s v="Oral solution"/>
    <n v="300"/>
    <n v="700"/>
    <n v="21574"/>
    <n v="30.82"/>
    <n v="0.1"/>
    <n v="1050"/>
    <n v="4672.7700000000004"/>
    <n v="1"/>
    <x v="5"/>
  </r>
  <r>
    <n v="24358"/>
    <s v="SCMS-239380"/>
    <x v="343"/>
    <x v="0"/>
    <s v="ARV"/>
    <s v="Pediatric"/>
    <s v="ABBVIE LOGISTICS (FORMERLY ABBOTT LOGISTICS BV)"/>
    <x v="0"/>
    <s v="FCA"/>
    <s v="Air"/>
    <d v="2014-05-16T00:00:00"/>
    <d v="2014-10-02T00:00:00"/>
    <d v="2014-10-02T00:00:00"/>
    <d v="2014-10-03T00:00:00"/>
    <x v="7"/>
    <s v="Lopinavir/Ritonavir"/>
    <s v="Generic"/>
    <s v="100/25mg"/>
    <s v="Tablet"/>
    <n v="60"/>
    <n v="5273"/>
    <n v="31321.62"/>
    <n v="5.94"/>
    <n v="0.1"/>
    <n v="668"/>
    <n v="4835.3900000000003"/>
    <n v="1"/>
    <x v="7"/>
  </r>
  <r>
    <n v="24374"/>
    <s v="SCMS-48920"/>
    <x v="344"/>
    <x v="1"/>
    <s v="ARV"/>
    <s v="Adult"/>
    <s v="Aurobindo Pharma Limited"/>
    <x v="0"/>
    <s v="CIP"/>
    <s v="Air"/>
    <d v="2009-07-17T00:00:00"/>
    <d v="2010-01-27T00:00:00"/>
    <d v="2010-01-27T00:00:00"/>
    <d v="2010-01-27T00:00:00"/>
    <x v="35"/>
    <s v="Tenofovir Disoproxil Fumarate"/>
    <s v="Generic"/>
    <s v="300mg"/>
    <s v="Tablet"/>
    <n v="30"/>
    <n v="5520"/>
    <n v="47251.199999999997"/>
    <n v="8.56"/>
    <n v="0.28999999999999998"/>
    <n v="516"/>
    <n v="2355.52"/>
    <n v="1"/>
    <x v="4"/>
  </r>
  <r>
    <n v="24384"/>
    <s v="SCMS-162740"/>
    <x v="345"/>
    <x v="3"/>
    <s v="ARV"/>
    <s v="Adult"/>
    <s v="ASPEN PHARMACARE"/>
    <x v="0"/>
    <s v="DAP"/>
    <s v="Air"/>
    <d v="2012-10-25T00:00:00"/>
    <d v="2012-12-14T00:00:00"/>
    <d v="2012-12-14T00:00:00"/>
    <d v="2012-12-14T00:00:00"/>
    <x v="59"/>
    <s v="Darunavir"/>
    <s v="Prezista"/>
    <s v="300mg"/>
    <s v="Tablet"/>
    <n v="120"/>
    <n v="288"/>
    <n v="19180.8"/>
    <n v="66.599999999999994"/>
    <n v="0.55000000000000004"/>
    <n v="94"/>
    <n v="1061"/>
    <n v="1"/>
    <x v="5"/>
  </r>
  <r>
    <n v="24473"/>
    <s v="SCMS-143500"/>
    <x v="346"/>
    <x v="3"/>
    <s v="ARV"/>
    <s v="Adult"/>
    <s v="ASPEN PHARMACARE"/>
    <x v="0"/>
    <s v="DDP"/>
    <s v="Air"/>
    <d v="2012-04-17T00:00:00"/>
    <d v="2012-07-05T00:00:00"/>
    <d v="2012-07-05T00:00:00"/>
    <d v="2012-07-05T00:00:00"/>
    <x v="40"/>
    <s v="Etravirine"/>
    <s v="Intelence"/>
    <s v="100mg"/>
    <s v="Tablet"/>
    <n v="120"/>
    <n v="144"/>
    <n v="10800"/>
    <n v="75"/>
    <n v="0.62"/>
    <n v="47"/>
    <n v="449"/>
    <n v="1"/>
    <x v="5"/>
  </r>
  <r>
    <n v="24905"/>
    <s v="SCMS-202560"/>
    <x v="347"/>
    <x v="3"/>
    <s v="ARV"/>
    <s v="Pediatric"/>
    <s v="Aurobindo Pharma Limited"/>
    <x v="0"/>
    <s v="EXW"/>
    <s v="Air"/>
    <d v="2013-08-09T00:00:00"/>
    <d v="2013-12-10T00:00:00"/>
    <d v="2013-12-10T00:00:00"/>
    <d v="2013-12-10T00:00:00"/>
    <x v="54"/>
    <s v="Nevirapine"/>
    <s v="Generic"/>
    <s v="10mg/ml"/>
    <s v="Oral suspension"/>
    <n v="100"/>
    <n v="10368"/>
    <n v="13478.4"/>
    <n v="1.3"/>
    <n v="0.01"/>
    <n v="2127"/>
    <n v="10898.13"/>
    <n v="1"/>
    <x v="6"/>
  </r>
  <r>
    <n v="24974"/>
    <s v="SCMS-84920"/>
    <x v="348"/>
    <x v="1"/>
    <s v="ARV"/>
    <s v="Adult"/>
    <s v="CIPLA LIMITED"/>
    <x v="0"/>
    <s v="EXW"/>
    <s v="Ocean"/>
    <d v="2010-09-27T00:00:00"/>
    <d v="2011-03-31T00:00:00"/>
    <d v="2011-03-31T00:00:00"/>
    <d v="2011-03-31T00:00:00"/>
    <x v="47"/>
    <s v="Lopinavir/Ritonavir"/>
    <s v="Generic"/>
    <s v="200/50mg"/>
    <s v="Tablet"/>
    <n v="120"/>
    <n v="17587"/>
    <n v="587405.80000000005"/>
    <n v="33.4"/>
    <n v="0.28000000000000003"/>
    <n v="5480"/>
    <n v="19123.349999999999"/>
    <n v="1"/>
    <x v="9"/>
  </r>
  <r>
    <n v="24999"/>
    <s v="SCMS-48871"/>
    <x v="349"/>
    <x v="1"/>
    <s v="ARV"/>
    <s v="Adult"/>
    <s v="Aurobindo Pharma Limited"/>
    <x v="0"/>
    <s v="CIP"/>
    <s v="Air"/>
    <d v="2009-12-08T00:00:00"/>
    <d v="2010-01-27T00:00:00"/>
    <d v="2010-01-27T00:00:00"/>
    <d v="2010-01-27T00:00:00"/>
    <x v="35"/>
    <s v="Tenofovir Disoproxil Fumarate"/>
    <s v="Generic"/>
    <s v="300mg"/>
    <s v="Tablet"/>
    <n v="30"/>
    <n v="1630"/>
    <n v="13952.8"/>
    <n v="8.56"/>
    <n v="0.28999999999999998"/>
    <n v="153"/>
    <n v="2483.4899999999998"/>
    <n v="1"/>
    <x v="4"/>
  </r>
  <r>
    <n v="25293"/>
    <s v="SCMS-43810"/>
    <x v="350"/>
    <x v="1"/>
    <s v="ARV"/>
    <s v="Adult"/>
    <s v="MYLAN LABORATORIES LTD (FORMERLY MATRIX LABORATORIES)"/>
    <x v="0"/>
    <s v="CIP"/>
    <s v="Air"/>
    <d v="2009-04-15T00:00:00"/>
    <d v="2010-02-03T00:00:00"/>
    <d v="2010-02-03T00:00:00"/>
    <d v="2010-02-03T00:00:00"/>
    <x v="1"/>
    <s v="Lamivudine/Zidovudine"/>
    <s v="Generic"/>
    <s v="150/300mg"/>
    <s v="Tablet - FDC"/>
    <n v="60"/>
    <n v="34464"/>
    <n v="310176"/>
    <n v="9"/>
    <n v="0.15"/>
    <n v="2768"/>
    <n v="29603.24"/>
    <n v="1"/>
    <x v="4"/>
  </r>
  <r>
    <n v="25423"/>
    <s v="SCMS-143490"/>
    <x v="351"/>
    <x v="3"/>
    <s v="ARV"/>
    <s v="Adult"/>
    <s v="ASPEN PHARMACARE"/>
    <x v="0"/>
    <s v="DDP"/>
    <s v="Air"/>
    <d v="2012-04-17T00:00:00"/>
    <d v="2012-05-18T00:00:00"/>
    <d v="2012-05-18T00:00:00"/>
    <d v="2012-05-18T00:00:00"/>
    <x v="59"/>
    <s v="Darunavir"/>
    <s v="Prezista"/>
    <s v="300mg"/>
    <s v="Tablet"/>
    <n v="120"/>
    <n v="63"/>
    <n v="4195.8"/>
    <n v="66.599999999999994"/>
    <n v="0.55000000000000004"/>
    <n v="57"/>
    <n v="548.20000000000005"/>
    <n v="1"/>
    <x v="5"/>
  </r>
  <r>
    <n v="25477"/>
    <s v="SCMS-104110"/>
    <x v="352"/>
    <x v="3"/>
    <s v="ARV"/>
    <s v="Adult"/>
    <s v="MERCK SHARP &amp; DOHME IDEA GMBH (FORMALLY MERCK SHARP &amp; DOHME B.V.)"/>
    <x v="0"/>
    <s v="CIP"/>
    <s v="Air"/>
    <d v="2011-03-25T00:00:00"/>
    <d v="2011-10-19T00:00:00"/>
    <d v="2011-10-19T00:00:00"/>
    <d v="2011-10-19T00:00:00"/>
    <x v="56"/>
    <s v="Raltegravir"/>
    <s v="Isentress"/>
    <s v="400mg"/>
    <s v="Tablet"/>
    <n v="60"/>
    <n v="274"/>
    <n v="25071"/>
    <n v="91.5"/>
    <n v="1.52"/>
    <n v="28"/>
    <n v="501"/>
    <n v="1"/>
    <x v="9"/>
  </r>
  <r>
    <n v="25587"/>
    <s v="SCMS-212350"/>
    <x v="353"/>
    <x v="3"/>
    <s v="ARV"/>
    <s v="Pediatric"/>
    <s v="CIPLA LIMITED"/>
    <x v="0"/>
    <s v="EXW"/>
    <s v="Air"/>
    <d v="2013-10-30T00:00:00"/>
    <d v="2014-03-21T00:00:00"/>
    <d v="2014-03-21T00:00:00"/>
    <d v="2014-03-21T00:00:00"/>
    <x v="57"/>
    <s v="Lamivudine/Nevirapine/Zidovudine"/>
    <s v="Generic"/>
    <s v="30/50/60mg"/>
    <s v="Chewable/dispersible tablet - FDC"/>
    <n v="60"/>
    <n v="15021"/>
    <n v="60084"/>
    <n v="4"/>
    <n v="7.0000000000000007E-2"/>
    <n v="1411"/>
    <n v="13983.98"/>
    <n v="1"/>
    <x v="7"/>
  </r>
  <r>
    <n v="25726"/>
    <s v="SCMS-64520"/>
    <x v="354"/>
    <x v="1"/>
    <s v="ARV"/>
    <s v="Adult"/>
    <s v="MYLAN LABORATORIES LTD (FORMERLY MATRIX LABORATORIES)"/>
    <x v="0"/>
    <s v="CIP"/>
    <s v="Air"/>
    <d v="2010-02-09T00:00:00"/>
    <d v="2010-06-30T00:00:00"/>
    <d v="2010-06-30T00:00:00"/>
    <d v="2010-06-30T00:00:00"/>
    <x v="9"/>
    <s v="Abacavir"/>
    <s v="Generic"/>
    <s v="300mg"/>
    <s v="Tablet"/>
    <n v="60"/>
    <n v="26100"/>
    <n v="424125"/>
    <n v="16.25"/>
    <n v="0.27"/>
    <n v="2586"/>
    <n v="1170.2"/>
    <n v="1"/>
    <x v="4"/>
  </r>
  <r>
    <n v="26019"/>
    <s v="SCMS-148040"/>
    <x v="355"/>
    <x v="1"/>
    <s v="ARV"/>
    <s v="Pediatric"/>
    <s v="ABBVIE LOGISTICS (FORMERLY ABBOTT LOGISTICS BV)"/>
    <x v="0"/>
    <s v="FCA"/>
    <s v="Air"/>
    <d v="2012-06-01T00:00:00"/>
    <d v="2012-06-29T00:00:00"/>
    <d v="2012-06-29T00:00:00"/>
    <d v="2012-06-29T00:00:00"/>
    <x v="6"/>
    <s v="Lopinavir/Ritonavir"/>
    <s v="Kaletra"/>
    <s v="80/20mg/ml"/>
    <s v="Oral solution"/>
    <n v="300"/>
    <n v="255"/>
    <n v="7859.1"/>
    <n v="30.82"/>
    <n v="0.1"/>
    <n v="253"/>
    <n v="2455.6999999999998"/>
    <n v="1"/>
    <x v="5"/>
  </r>
  <r>
    <n v="26082"/>
    <s v="SCMS-84440"/>
    <x v="356"/>
    <x v="1"/>
    <s v="ARV"/>
    <s v="Adult"/>
    <s v="HETERO LABS LIMITED"/>
    <x v="0"/>
    <s v="CIP"/>
    <s v="Air"/>
    <d v="2010-09-17T00:00:00"/>
    <d v="2010-12-09T00:00:00"/>
    <d v="2010-12-09T00:00:00"/>
    <d v="2010-12-09T00:00:00"/>
    <x v="0"/>
    <s v="Nevirapine"/>
    <s v="Generic"/>
    <s v="200mg"/>
    <s v="Tablet"/>
    <n v="60"/>
    <n v="62671"/>
    <n v="165451.44"/>
    <n v="2.64"/>
    <n v="0.04"/>
    <n v="3666"/>
    <n v="14890.63"/>
    <n v="1"/>
    <x v="4"/>
  </r>
  <r>
    <n v="26093"/>
    <s v="SCMS-152910"/>
    <x v="357"/>
    <x v="1"/>
    <s v="ARV"/>
    <s v="Adult"/>
    <s v="Aurobindo Pharma Limited"/>
    <x v="0"/>
    <s v="EXW"/>
    <s v="Air"/>
    <d v="2012-07-16T00:00:00"/>
    <d v="2012-09-09T00:00:00"/>
    <d v="2012-09-09T00:00:00"/>
    <d v="2012-09-09T00:00:00"/>
    <x v="0"/>
    <s v="Nevirapine"/>
    <s v="Generic"/>
    <s v="200mg"/>
    <s v="Tablet"/>
    <n v="60"/>
    <n v="57364"/>
    <n v="129069"/>
    <n v="2.25"/>
    <n v="0.04"/>
    <n v="5468"/>
    <n v="48501.5"/>
    <n v="1"/>
    <x v="5"/>
  </r>
  <r>
    <n v="26171"/>
    <s v="SCMS-48831"/>
    <x v="358"/>
    <x v="1"/>
    <s v="ARV"/>
    <s v="Adult"/>
    <s v="Aurobindo Pharma Limited"/>
    <x v="0"/>
    <s v="CIP"/>
    <s v="Air"/>
    <d v="2009-07-16T00:00:00"/>
    <d v="2010-01-27T00:00:00"/>
    <d v="2010-01-27T00:00:00"/>
    <d v="2010-01-27T00:00:00"/>
    <x v="35"/>
    <s v="Tenofovir Disoproxil Fumarate"/>
    <s v="Generic"/>
    <s v="300mg"/>
    <s v="Tablet"/>
    <n v="30"/>
    <n v="276"/>
    <n v="2362.56"/>
    <n v="8.56"/>
    <n v="0.28999999999999998"/>
    <n v="26"/>
    <n v="2187.0100000000002"/>
    <n v="1"/>
    <x v="4"/>
  </r>
  <r>
    <n v="26617"/>
    <s v="SCMS-142240"/>
    <x v="359"/>
    <x v="3"/>
    <s v="ARV"/>
    <s v="Adult"/>
    <s v="MERCK SHARP &amp; DOHME IDEA GMBH (FORMALLY MERCK SHARP &amp; DOHME B.V.)"/>
    <x v="0"/>
    <s v="CIP"/>
    <s v="Air"/>
    <d v="2012-04-04T00:00:00"/>
    <d v="2012-05-21T00:00:00"/>
    <d v="2012-05-21T00:00:00"/>
    <d v="2012-05-21T00:00:00"/>
    <x v="56"/>
    <s v="Raltegravir"/>
    <s v="Isentress"/>
    <s v="400mg"/>
    <s v="Tablet"/>
    <n v="60"/>
    <n v="189"/>
    <n v="10489.5"/>
    <n v="55.5"/>
    <n v="0.92"/>
    <n v="19"/>
    <n v="710"/>
    <n v="1"/>
    <x v="5"/>
  </r>
  <r>
    <n v="26965"/>
    <s v="SCMS-244370"/>
    <x v="360"/>
    <x v="3"/>
    <s v="ARV"/>
    <s v="Adult"/>
    <s v="ABBVIE LOGISTICS (FORMERLY ABBOTT LOGISTICS BV)"/>
    <x v="0"/>
    <s v="FCA"/>
    <s v="Air"/>
    <d v="2014-06-23T00:00:00"/>
    <d v="2014-11-08T00:00:00"/>
    <d v="2014-11-08T00:00:00"/>
    <d v="2014-11-12T00:00:00"/>
    <x v="58"/>
    <s v="Ritonavir"/>
    <s v="Norvir"/>
    <s v="100mg"/>
    <s v="Tablet"/>
    <n v="60"/>
    <n v="579"/>
    <n v="3966.15"/>
    <n v="6.85"/>
    <n v="0.11"/>
    <n v="83"/>
    <n v="800"/>
    <n v="1"/>
    <x v="7"/>
  </r>
  <r>
    <n v="27092"/>
    <s v="SCMS-173430"/>
    <x v="361"/>
    <x v="3"/>
    <s v="ARV"/>
    <s v="Pediatric"/>
    <s v="ABBVIE LOGISTICS (FORMERLY ABBOTT LOGISTICS BV)"/>
    <x v="0"/>
    <s v="FCA"/>
    <s v="Air"/>
    <d v="2013-02-04T00:00:00"/>
    <d v="2013-07-26T00:00:00"/>
    <d v="2013-07-26T00:00:00"/>
    <d v="2013-07-26T00:00:00"/>
    <x v="7"/>
    <s v="Lopinavir/Ritonavir"/>
    <s v="Generic"/>
    <s v="100/25mg"/>
    <s v="Tablet"/>
    <n v="60"/>
    <n v="2565"/>
    <n v="15236.1"/>
    <n v="5.94"/>
    <n v="0.1"/>
    <n v="304"/>
    <n v="2808.12"/>
    <n v="1"/>
    <x v="6"/>
  </r>
  <r>
    <n v="27234"/>
    <s v="SCMS-261770"/>
    <x v="362"/>
    <x v="1"/>
    <s v="ARV"/>
    <s v="Pediatric"/>
    <s v="Aurobindo Pharma Limited"/>
    <x v="0"/>
    <s v="EXW"/>
    <s v="Air"/>
    <d v="2014-12-15T00:00:00"/>
    <d v="2015-01-15T00:00:00"/>
    <d v="2015-01-15T00:00:00"/>
    <d v="2015-02-24T00:00:00"/>
    <x v="60"/>
    <s v="Lopinavir/Ritonavir"/>
    <s v="Generic"/>
    <s v="100/25mg"/>
    <s v="Tablet"/>
    <n v="60"/>
    <n v="607"/>
    <n v="4880.28"/>
    <n v="8.0399999999999991"/>
    <n v="0.13"/>
    <n v="66"/>
    <n v="1026.4000000000001"/>
    <n v="1"/>
    <x v="8"/>
  </r>
  <r>
    <n v="27269"/>
    <s v="SCMS-236481"/>
    <x v="363"/>
    <x v="1"/>
    <s v="ARV"/>
    <s v="Adult"/>
    <s v="ABBVIE LOGISTICS (FORMERLY ABBOTT LOGISTICS BV)"/>
    <x v="0"/>
    <s v="FCA"/>
    <s v="Air"/>
    <d v="2014-08-06T00:00:00"/>
    <d v="2014-09-16T00:00:00"/>
    <d v="2014-09-16T00:00:00"/>
    <d v="2014-09-25T00:00:00"/>
    <x v="58"/>
    <s v="Ritonavir"/>
    <s v="Norvir"/>
    <s v="100mg"/>
    <s v="Tablet"/>
    <n v="60"/>
    <n v="1514"/>
    <n v="10370.9"/>
    <n v="6.85"/>
    <n v="0.11"/>
    <n v="204"/>
    <n v="1949.64"/>
    <n v="1"/>
    <x v="7"/>
  </r>
  <r>
    <n v="27300"/>
    <s v="SCMS-84991"/>
    <x v="364"/>
    <x v="1"/>
    <s v="ARV"/>
    <s v="Adult"/>
    <s v="HETERO LABS LIMITED"/>
    <x v="0"/>
    <s v="EXW"/>
    <s v="Air"/>
    <d v="2010-09-28T00:00:00"/>
    <d v="2011-06-17T00:00:00"/>
    <d v="2011-06-17T00:00:00"/>
    <d v="2011-06-17T00:00:00"/>
    <x v="8"/>
    <s v="Efavirenz"/>
    <s v="Generic"/>
    <s v="600mg"/>
    <s v="Tablet"/>
    <n v="30"/>
    <n v="43657"/>
    <n v="180303.41"/>
    <n v="4.13"/>
    <n v="0.14000000000000001"/>
    <n v="3720"/>
    <n v="35499.58"/>
    <n v="1"/>
    <x v="9"/>
  </r>
  <r>
    <n v="27634"/>
    <s v="SCMS-239020"/>
    <x v="365"/>
    <x v="1"/>
    <s v="ARV"/>
    <s v="Adult"/>
    <s v="MYLAN LABORATORIES LTD (FORMERLY MATRIX LABORATORIES)"/>
    <x v="0"/>
    <s v="EXW"/>
    <s v="Air"/>
    <d v="2014-05-16T00:00:00"/>
    <d v="2014-08-22T00:00:00"/>
    <d v="2014-08-22T00:00:00"/>
    <d v="2014-08-26T00:00:00"/>
    <x v="53"/>
    <s v="Atazanavir/Ritonavir"/>
    <s v="Generic"/>
    <s v="300/100mg"/>
    <s v="Tablet"/>
    <n v="30"/>
    <n v="3000"/>
    <n v="60000"/>
    <n v="20"/>
    <n v="0.67"/>
    <n v="405"/>
    <n v="3484.48"/>
    <n v="1"/>
    <x v="7"/>
  </r>
  <r>
    <n v="27765"/>
    <s v="SCMS-244520"/>
    <x v="366"/>
    <x v="3"/>
    <s v="ARV"/>
    <s v="Adult"/>
    <s v="STRIDES ARCOLAB LIMITED"/>
    <x v="0"/>
    <s v="EXW"/>
    <s v="Air"/>
    <d v="2014-06-19T00:00:00"/>
    <d v="2014-08-01T00:00:00"/>
    <d v="2014-08-01T00:00:00"/>
    <d v="2014-08-04T00:00:00"/>
    <x v="8"/>
    <s v="Efavirenz"/>
    <s v="Generic"/>
    <s v="600mg"/>
    <s v="Tablet"/>
    <n v="30"/>
    <n v="61150"/>
    <n v="195068.5"/>
    <n v="3.19"/>
    <n v="0.11"/>
    <n v="3858"/>
    <n v="20553.849999999999"/>
    <n v="1"/>
    <x v="7"/>
  </r>
  <r>
    <n v="27798"/>
    <s v="SCMS-59590"/>
    <x v="367"/>
    <x v="2"/>
    <s v="ARV"/>
    <s v="Adult"/>
    <s v="MYLAN LABORATORIES LTD (FORMERLY MATRIX LABORATORIES)"/>
    <x v="0"/>
    <s v="EXW"/>
    <s v="Air"/>
    <d v="2009-12-18T00:00:00"/>
    <d v="2010-02-15T00:00:00"/>
    <d v="2010-02-15T00:00:00"/>
    <d v="2010-02-15T00:00:00"/>
    <x v="8"/>
    <s v="Efavirenz"/>
    <s v="Generic"/>
    <s v="600mg"/>
    <s v="Tablet"/>
    <n v="30"/>
    <n v="7197"/>
    <n v="32314.53"/>
    <n v="4.49"/>
    <n v="0.15"/>
    <n v="530"/>
    <n v="1860.69"/>
    <n v="1"/>
    <x v="4"/>
  </r>
  <r>
    <n v="27820"/>
    <s v="SCMS-109060"/>
    <x v="368"/>
    <x v="3"/>
    <s v="ARV"/>
    <s v="Adult"/>
    <s v="ASPEN PHARMACARE"/>
    <x v="0"/>
    <s v="DDP"/>
    <s v="Air"/>
    <d v="2011-05-12T00:00:00"/>
    <d v="2011-07-22T00:00:00"/>
    <d v="2011-07-22T00:00:00"/>
    <d v="2011-07-22T00:00:00"/>
    <x v="40"/>
    <s v="Etravirine"/>
    <s v="Intelence"/>
    <s v="100mg"/>
    <s v="Tablet"/>
    <n v="120"/>
    <n v="93"/>
    <n v="7839.9"/>
    <n v="84.3"/>
    <n v="0.7"/>
    <n v="22"/>
    <n v="140"/>
    <n v="1"/>
    <x v="9"/>
  </r>
  <r>
    <n v="27881"/>
    <s v="SCMS-103291"/>
    <x v="369"/>
    <x v="0"/>
    <s v="ARV"/>
    <s v="Adult"/>
    <s v="LAWRENCE LABORATORIES (SUBSIDIARY OF BRISTOL MYERS SQUIBB)"/>
    <x v="0"/>
    <s v="FCA"/>
    <s v="Air"/>
    <d v="2011-04-14T00:00:00"/>
    <d v="2011-07-14T00:00:00"/>
    <d v="2011-07-14T00:00:00"/>
    <d v="2011-07-14T00:00:00"/>
    <x v="12"/>
    <s v="Didanosine EC"/>
    <s v="Videx EC"/>
    <s v="250mg"/>
    <s v="Delayed-release capsules - blister"/>
    <n v="30"/>
    <n v="6357"/>
    <n v="116587.38"/>
    <n v="18.34"/>
    <n v="0.61"/>
    <n v="1272"/>
    <n v="10816.49"/>
    <n v="1"/>
    <x v="9"/>
  </r>
  <r>
    <n v="28192"/>
    <s v="SCMS-84411"/>
    <x v="290"/>
    <x v="1"/>
    <s v="ARV"/>
    <s v="Adult"/>
    <s v="CIPLA LIMITED"/>
    <x v="0"/>
    <s v="CIP"/>
    <s v="Air"/>
    <d v="2010-09-27T00:00:00"/>
    <d v="2011-02-09T00:00:00"/>
    <d v="2011-02-09T00:00:00"/>
    <d v="2011-02-09T00:00:00"/>
    <x v="47"/>
    <s v="Lopinavir/Ritonavir"/>
    <s v="Generic"/>
    <s v="200/50mg"/>
    <s v="Tablet"/>
    <n v="120"/>
    <n v="11440"/>
    <n v="392392"/>
    <n v="34.299999999999997"/>
    <n v="0.28999999999999998"/>
    <m/>
    <m/>
    <n v="1"/>
    <x v="9"/>
  </r>
  <r>
    <n v="28210"/>
    <s v="SCMS-156500"/>
    <x v="370"/>
    <x v="0"/>
    <s v="ARV"/>
    <s v="Adult"/>
    <s v="Aurobindo Pharma Limited"/>
    <x v="0"/>
    <s v="EXW"/>
    <s v="Air"/>
    <d v="2012-08-09T00:00:00"/>
    <d v="2012-10-09T00:00:00"/>
    <d v="2012-10-09T00:00:00"/>
    <d v="2012-10-09T00:00:00"/>
    <x v="8"/>
    <s v="Efavirenz"/>
    <s v="Generic"/>
    <s v="600mg"/>
    <s v="Tablet"/>
    <n v="30"/>
    <n v="64980"/>
    <n v="214434"/>
    <n v="3.3"/>
    <n v="0.11"/>
    <n v="5578"/>
    <n v="18826.62"/>
    <n v="1"/>
    <x v="5"/>
  </r>
  <r>
    <n v="28322"/>
    <s v="SCMS-198770"/>
    <x v="371"/>
    <x v="0"/>
    <s v="ARV"/>
    <s v="Adult"/>
    <s v="CIPLA LIMITED"/>
    <x v="0"/>
    <s v="EXW"/>
    <s v="Air"/>
    <d v="2013-07-16T00:00:00"/>
    <d v="2013-10-04T00:00:00"/>
    <d v="2013-10-04T00:00:00"/>
    <d v="2013-10-04T00:00:00"/>
    <x v="11"/>
    <s v="Lamivudine/Nevirapine/Zidovudine"/>
    <s v="Generic"/>
    <s v="150/300/200mg"/>
    <s v="Tablet - FDC"/>
    <n v="60"/>
    <n v="150000"/>
    <n v="1215000"/>
    <n v="8.1"/>
    <n v="0.13"/>
    <n v="21674"/>
    <n v="90677.04"/>
    <n v="1"/>
    <x v="6"/>
  </r>
  <r>
    <n v="28418"/>
    <s v="SCMS-156500"/>
    <x v="372"/>
    <x v="0"/>
    <s v="ARV"/>
    <s v="Adult"/>
    <s v="Aurobindo Pharma Limited"/>
    <x v="0"/>
    <s v="EXW"/>
    <s v="Air"/>
    <d v="2012-08-09T00:00:00"/>
    <d v="2012-10-09T00:00:00"/>
    <d v="2012-10-12T00:00:00"/>
    <d v="2012-10-12T00:00:00"/>
    <x v="8"/>
    <s v="Efavirenz"/>
    <s v="Generic"/>
    <s v="600mg"/>
    <s v="Tablet"/>
    <n v="30"/>
    <n v="25741"/>
    <n v="84945.3"/>
    <n v="3.3"/>
    <n v="0.11"/>
    <n v="2210"/>
    <n v="9452.02"/>
    <n v="0"/>
    <x v="5"/>
  </r>
  <r>
    <n v="28577"/>
    <s v="SCMS-82760"/>
    <x v="373"/>
    <x v="0"/>
    <s v="ARV"/>
    <s v="Adult"/>
    <s v="MYLAN LABORATORIES LTD (FORMERLY MATRIX LABORATORIES)"/>
    <x v="0"/>
    <s v="EXW"/>
    <s v="Air"/>
    <d v="2010-08-25T00:00:00"/>
    <d v="2010-12-06T00:00:00"/>
    <d v="2010-12-06T00:00:00"/>
    <d v="2010-12-06T00:00:00"/>
    <x v="45"/>
    <s v="Efavirenz/Emtricitabine/Tenofovir Disoproxil Fumarate"/>
    <s v="Generic"/>
    <s v="600/200/300mg"/>
    <s v="Tablet - FDC"/>
    <n v="30"/>
    <n v="53149"/>
    <n v="1057665.1000000001"/>
    <n v="19.899999999999999"/>
    <n v="0.66"/>
    <n v="5808"/>
    <n v="28514.49"/>
    <n v="1"/>
    <x v="4"/>
  </r>
  <r>
    <n v="28802"/>
    <s v="SCMS-59510"/>
    <x v="374"/>
    <x v="2"/>
    <s v="ARV"/>
    <s v="Adult"/>
    <s v="Aurobindo Pharma Limited"/>
    <x v="0"/>
    <s v="EXW"/>
    <s v="Air"/>
    <d v="2009-12-10T00:00:00"/>
    <d v="2009-12-24T00:00:00"/>
    <d v="2009-12-24T00:00:00"/>
    <d v="2009-12-24T00:00:00"/>
    <x v="16"/>
    <s v="Lamivudine"/>
    <s v="Generic"/>
    <s v="150mg"/>
    <s v="Tablet"/>
    <n v="60"/>
    <n v="15000"/>
    <n v="35700"/>
    <n v="2.38"/>
    <n v="0.04"/>
    <n v="780"/>
    <n v="2949.1"/>
    <n v="1"/>
    <x v="3"/>
  </r>
  <r>
    <n v="28825"/>
    <s v="SCMS-48851"/>
    <x v="375"/>
    <x v="1"/>
    <s v="ARV"/>
    <s v="Adult"/>
    <s v="HETERO LABS LIMITED"/>
    <x v="0"/>
    <s v="CIP"/>
    <s v="Air"/>
    <d v="2009-07-16T00:00:00"/>
    <d v="2009-09-08T00:00:00"/>
    <d v="2009-09-08T00:00:00"/>
    <d v="2009-09-08T00:00:00"/>
    <x v="0"/>
    <s v="Nevirapine"/>
    <s v="Generic"/>
    <s v="200mg"/>
    <s v="Tablet"/>
    <n v="60"/>
    <n v="12000"/>
    <n v="37080"/>
    <n v="3.09"/>
    <n v="0.05"/>
    <n v="708"/>
    <n v="3891.2"/>
    <n v="1"/>
    <x v="3"/>
  </r>
  <r>
    <n v="28913"/>
    <s v="SCMS-212360"/>
    <x v="376"/>
    <x v="3"/>
    <s v="ARV"/>
    <s v="Adult"/>
    <s v="MYLAN LABORATORIES LTD (FORMERLY MATRIX LABORATORIES)"/>
    <x v="0"/>
    <s v="EXW"/>
    <s v="Air"/>
    <d v="2013-10-30T00:00:00"/>
    <d v="2014-01-15T00:00:00"/>
    <d v="2014-01-15T00:00:00"/>
    <d v="2014-01-15T00:00:00"/>
    <x v="53"/>
    <s v="Atazanavir/Ritonavir"/>
    <s v="Generic"/>
    <s v="300/100mg"/>
    <s v="Tablet"/>
    <n v="30"/>
    <n v="6000"/>
    <n v="120000"/>
    <n v="20"/>
    <n v="0.67"/>
    <n v="811"/>
    <n v="4139.95"/>
    <n v="1"/>
    <x v="7"/>
  </r>
  <r>
    <n v="28923"/>
    <s v="SCMS-173470"/>
    <x v="377"/>
    <x v="3"/>
    <s v="ARV"/>
    <s v="Adult"/>
    <s v="EMCURE PHARMACEUTICALS LTD"/>
    <x v="0"/>
    <s v="EXW"/>
    <s v="Air"/>
    <d v="2013-02-04T00:00:00"/>
    <d v="2013-05-24T00:00:00"/>
    <d v="2013-05-24T00:00:00"/>
    <d v="2013-05-24T00:00:00"/>
    <x v="61"/>
    <s v="Atazanavir"/>
    <s v="Generic"/>
    <s v="300mg"/>
    <s v="Capsule"/>
    <n v="30"/>
    <n v="132"/>
    <n v="2640"/>
    <n v="20"/>
    <n v="0.67"/>
    <n v="12"/>
    <n v="1025.3699999999999"/>
    <n v="1"/>
    <x v="6"/>
  </r>
  <r>
    <n v="28992"/>
    <s v="SCMS-162520"/>
    <x v="378"/>
    <x v="1"/>
    <s v="ARV"/>
    <s v="Adult"/>
    <s v="Aurobindo Pharma Limited"/>
    <x v="0"/>
    <s v="EXW"/>
    <s v="Air"/>
    <d v="2012-10-16T00:00:00"/>
    <d v="2012-11-29T00:00:00"/>
    <d v="2012-11-29T00:00:00"/>
    <d v="2012-11-29T00:00:00"/>
    <x v="49"/>
    <s v="Didanosine"/>
    <s v="Generic"/>
    <s v="400mg"/>
    <s v="Delayed-release capsules"/>
    <n v="30"/>
    <n v="1680"/>
    <n v="33600"/>
    <n v="20"/>
    <n v="0.67"/>
    <n v="131"/>
    <n v="2004.44"/>
    <n v="1"/>
    <x v="5"/>
  </r>
  <r>
    <n v="29036"/>
    <s v="SCMS-79750"/>
    <x v="379"/>
    <x v="3"/>
    <s v="ARV"/>
    <s v="Adult"/>
    <s v="MERCK SHARP &amp; DOHME IDEA GMBH (FORMALLY MERCK SHARP &amp; DOHME B.V.)"/>
    <x v="0"/>
    <s v="CIP"/>
    <s v="Air"/>
    <d v="2010-07-20T00:00:00"/>
    <d v="2010-09-07T00:00:00"/>
    <d v="2010-09-07T00:00:00"/>
    <d v="2010-09-07T00:00:00"/>
    <x v="56"/>
    <s v="Raltegravir"/>
    <s v="Isentress"/>
    <s v="400mg"/>
    <s v="Tablet"/>
    <n v="60"/>
    <n v="63"/>
    <n v="5764.5"/>
    <n v="91.5"/>
    <n v="1.52"/>
    <n v="7"/>
    <n v="360"/>
    <n v="1"/>
    <x v="4"/>
  </r>
  <r>
    <n v="29125"/>
    <s v="SCMS-84410"/>
    <x v="380"/>
    <x v="1"/>
    <s v="ARV"/>
    <s v="Adult"/>
    <s v="CIPLA LIMITED"/>
    <x v="0"/>
    <s v="CIP"/>
    <s v="Air"/>
    <d v="2010-09-27T00:00:00"/>
    <d v="2010-12-23T00:00:00"/>
    <d v="2010-12-23T00:00:00"/>
    <d v="2010-12-23T00:00:00"/>
    <x v="47"/>
    <s v="Lopinavir/Ritonavir"/>
    <s v="Generic"/>
    <s v="200/50mg"/>
    <s v="Tablet"/>
    <n v="120"/>
    <n v="7634"/>
    <n v="261846.2"/>
    <n v="34.299999999999997"/>
    <n v="0.28999999999999998"/>
    <n v="2386"/>
    <n v="1398"/>
    <n v="1"/>
    <x v="4"/>
  </r>
  <r>
    <n v="29133"/>
    <s v="SCMS-198730"/>
    <x v="381"/>
    <x v="3"/>
    <s v="ARV"/>
    <s v="Adult"/>
    <s v="HETERO LABS LIMITED"/>
    <x v="0"/>
    <s v="EXW"/>
    <s v="Air"/>
    <d v="2013-07-24T00:00:00"/>
    <d v="2013-09-14T00:00:00"/>
    <d v="2013-09-14T00:00:00"/>
    <d v="2013-09-14T00:00:00"/>
    <x v="16"/>
    <s v="Lamivudine"/>
    <s v="Generic"/>
    <s v="150mg"/>
    <s v="Tablet"/>
    <n v="60"/>
    <n v="45359"/>
    <n v="83914.15"/>
    <n v="1.85"/>
    <n v="0.03"/>
    <n v="2773"/>
    <n v="8723.4599999999991"/>
    <n v="1"/>
    <x v="6"/>
  </r>
  <r>
    <n v="29282"/>
    <s v="SCMS-156530"/>
    <x v="281"/>
    <x v="0"/>
    <s v="ARV"/>
    <s v="Adult"/>
    <s v="HETERO LABS LIMITED"/>
    <x v="0"/>
    <s v="EXW"/>
    <s v="Air"/>
    <d v="2012-08-09T00:00:00"/>
    <d v="2012-11-01T00:00:00"/>
    <d v="2012-11-01T00:00:00"/>
    <d v="2012-11-01T00:00:00"/>
    <x v="1"/>
    <s v="Lamivudine/Zidovudine"/>
    <s v="Generic"/>
    <s v="150/300mg"/>
    <s v="Tablet - FDC"/>
    <n v="60"/>
    <n v="18456"/>
    <n v="130668.48"/>
    <n v="7.08"/>
    <n v="0.12"/>
    <m/>
    <m/>
    <n v="1"/>
    <x v="5"/>
  </r>
  <r>
    <n v="29596"/>
    <s v="SCMS-152930"/>
    <x v="382"/>
    <x v="1"/>
    <s v="ARV"/>
    <s v="Adult"/>
    <s v="MICRO LABS LIMITED"/>
    <x v="0"/>
    <s v="EXW"/>
    <s v="Ocean"/>
    <d v="2012-07-18T00:00:00"/>
    <d v="2012-12-10T00:00:00"/>
    <d v="2012-12-10T00:00:00"/>
    <d v="2012-12-10T00:00:00"/>
    <x v="0"/>
    <s v="Nevirapine"/>
    <s v="Generic"/>
    <s v="200mg"/>
    <s v="Tablet"/>
    <n v="60"/>
    <n v="171925"/>
    <n v="388550.5"/>
    <n v="2.2599999999999998"/>
    <n v="0.04"/>
    <n v="15683"/>
    <n v="36173.15"/>
    <n v="1"/>
    <x v="5"/>
  </r>
  <r>
    <n v="30022"/>
    <s v="SCMS-173460"/>
    <x v="383"/>
    <x v="3"/>
    <s v="ARV"/>
    <s v="Adult"/>
    <s v="Aurobindo Pharma Limited"/>
    <x v="0"/>
    <s v="EXW"/>
    <s v="Air"/>
    <d v="2013-02-05T00:00:00"/>
    <d v="2013-03-28T00:00:00"/>
    <d v="2013-03-28T00:00:00"/>
    <d v="2013-03-28T00:00:00"/>
    <x v="48"/>
    <s v="Didanosine"/>
    <s v="Generic"/>
    <s v="250mg"/>
    <s v="Delayed-release capsules"/>
    <n v="30"/>
    <n v="677"/>
    <n v="8801"/>
    <n v="13"/>
    <n v="0.43"/>
    <n v="46"/>
    <n v="1458.88"/>
    <n v="1"/>
    <x v="6"/>
  </r>
  <r>
    <n v="30119"/>
    <s v="SCMS-171910"/>
    <x v="384"/>
    <x v="3"/>
    <s v="ARV"/>
    <s v="Adult"/>
    <s v="ABBVIE LOGISTICS (FORMERLY ABBOTT LOGISTICS BV)"/>
    <x v="0"/>
    <s v="FCA"/>
    <s v="Air"/>
    <d v="2013-01-11T00:00:00"/>
    <d v="2013-03-12T00:00:00"/>
    <d v="2013-03-12T00:00:00"/>
    <d v="2013-03-12T00:00:00"/>
    <x v="58"/>
    <s v="Ritonavir"/>
    <s v="Norvir"/>
    <s v="100mg"/>
    <s v="Tablet"/>
    <n v="60"/>
    <n v="295"/>
    <n v="2020.75"/>
    <n v="6.85"/>
    <n v="0.11"/>
    <n v="36"/>
    <n v="876.99"/>
    <n v="1"/>
    <x v="6"/>
  </r>
  <r>
    <n v="30130"/>
    <s v="SCMS-239380"/>
    <x v="343"/>
    <x v="0"/>
    <s v="ARV"/>
    <s v="Pediatric"/>
    <s v="ABBVIE LOGISTICS (FORMERLY ABBOTT LOGISTICS BV)"/>
    <x v="0"/>
    <s v="FCA"/>
    <s v="Air"/>
    <d v="2014-05-16T00:00:00"/>
    <d v="2014-10-02T00:00:00"/>
    <d v="2014-10-02T00:00:00"/>
    <d v="2014-10-03T00:00:00"/>
    <x v="7"/>
    <s v="Lopinavir/Ritonavir"/>
    <s v="Generic"/>
    <s v="100/25mg"/>
    <s v="Tablet"/>
    <n v="60"/>
    <n v="546"/>
    <n v="3243.24"/>
    <n v="5.94"/>
    <n v="0.1"/>
    <m/>
    <m/>
    <n v="1"/>
    <x v="7"/>
  </r>
  <r>
    <n v="30211"/>
    <s v="SCMS-152020"/>
    <x v="385"/>
    <x v="1"/>
    <s v="ARV"/>
    <s v="Adult"/>
    <s v="Aurobindo Pharma Limited"/>
    <x v="0"/>
    <s v="EXW"/>
    <s v="Air"/>
    <d v="2012-07-04T00:00:00"/>
    <d v="2012-08-22T00:00:00"/>
    <d v="2012-08-22T00:00:00"/>
    <d v="2012-08-22T00:00:00"/>
    <x v="49"/>
    <s v="Didanosine"/>
    <s v="Generic"/>
    <s v="400mg"/>
    <s v="Delayed-release capsules"/>
    <n v="30"/>
    <n v="1008"/>
    <n v="20160"/>
    <n v="20"/>
    <n v="0.67"/>
    <n v="213"/>
    <n v="3024.36"/>
    <n v="1"/>
    <x v="5"/>
  </r>
  <r>
    <n v="30213"/>
    <s v="SCMS-84910"/>
    <x v="386"/>
    <x v="1"/>
    <s v="ARV"/>
    <s v="Pediatric"/>
    <s v="Aurobindo Pharma Limited"/>
    <x v="0"/>
    <s v="EXW"/>
    <s v="Air"/>
    <d v="2010-09-27T00:00:00"/>
    <d v="2011-04-08T00:00:00"/>
    <d v="2011-04-08T00:00:00"/>
    <d v="2011-04-08T00:00:00"/>
    <x v="20"/>
    <s v="Zidovudine"/>
    <s v="Generic"/>
    <s v="10mg/ml"/>
    <s v="Oral solution"/>
    <n v="240"/>
    <n v="1992"/>
    <n v="4183.2"/>
    <n v="2.1"/>
    <n v="0.01"/>
    <n v="777"/>
    <n v="6400.44"/>
    <n v="1"/>
    <x v="9"/>
  </r>
  <r>
    <n v="30223"/>
    <s v="SCMS-152910"/>
    <x v="387"/>
    <x v="1"/>
    <s v="ARV"/>
    <s v="Adult"/>
    <s v="Aurobindo Pharma Limited"/>
    <x v="0"/>
    <s v="EXW"/>
    <s v="Air"/>
    <d v="2012-07-16T00:00:00"/>
    <d v="2012-09-09T00:00:00"/>
    <d v="2012-09-09T00:00:00"/>
    <d v="2012-09-09T00:00:00"/>
    <x v="0"/>
    <s v="Nevirapine"/>
    <s v="Generic"/>
    <s v="200mg"/>
    <s v="Tablet"/>
    <n v="60"/>
    <n v="26441"/>
    <n v="59492.25"/>
    <n v="2.25"/>
    <n v="0.04"/>
    <n v="2520"/>
    <n v="25593.87"/>
    <n v="1"/>
    <x v="5"/>
  </r>
  <r>
    <n v="30915"/>
    <s v="SCMS-261782"/>
    <x v="388"/>
    <x v="1"/>
    <s v="ARV"/>
    <s v="Adult"/>
    <s v="EMCURE PHARMACEUTICALS LTD"/>
    <x v="0"/>
    <s v="EXW"/>
    <s v="Air"/>
    <d v="2014-12-15T00:00:00"/>
    <d v="2015-08-28T00:00:00"/>
    <d v="2015-08-28T00:00:00"/>
    <d v="2015-08-30T00:00:00"/>
    <x v="53"/>
    <s v="Atazanavir/Ritonavir"/>
    <s v="Generic"/>
    <s v="300/100mg"/>
    <s v="Tablet"/>
    <n v="30"/>
    <n v="16585"/>
    <n v="298530"/>
    <n v="18"/>
    <n v="0.6"/>
    <m/>
    <m/>
    <n v="1"/>
    <x v="8"/>
  </r>
  <r>
    <n v="31254"/>
    <s v="SCMS-236480"/>
    <x v="389"/>
    <x v="1"/>
    <s v="ARV"/>
    <s v="Adult"/>
    <s v="ABBVIE LOGISTICS (FORMERLY ABBOTT LOGISTICS BV)"/>
    <x v="0"/>
    <s v="FCA"/>
    <s v="Air"/>
    <d v="2014-04-24T00:00:00"/>
    <d v="2014-08-22T00:00:00"/>
    <d v="2014-08-22T00:00:00"/>
    <d v="2014-08-26T00:00:00"/>
    <x v="58"/>
    <s v="Ritonavir"/>
    <s v="Norvir"/>
    <s v="100mg"/>
    <s v="Tablet"/>
    <n v="60"/>
    <n v="3500"/>
    <n v="23975"/>
    <n v="6.85"/>
    <n v="0.11"/>
    <n v="442"/>
    <n v="6776.8"/>
    <n v="1"/>
    <x v="7"/>
  </r>
  <r>
    <n v="31462"/>
    <s v="SCMS-84390"/>
    <x v="390"/>
    <x v="1"/>
    <s v="ARV"/>
    <s v="Adult"/>
    <s v="Aurobindo Pharma Limited"/>
    <x v="0"/>
    <s v="CIP"/>
    <s v="Air"/>
    <d v="2010-09-27T00:00:00"/>
    <d v="2011-01-10T00:00:00"/>
    <d v="2011-01-10T00:00:00"/>
    <d v="2011-01-10T00:00:00"/>
    <x v="48"/>
    <s v="Didanosine"/>
    <s v="Generic"/>
    <s v="250mg"/>
    <s v="Delayed-release capsules"/>
    <n v="30"/>
    <n v="610"/>
    <n v="8082.5"/>
    <n v="13.25"/>
    <n v="0.44"/>
    <m/>
    <m/>
    <n v="1"/>
    <x v="9"/>
  </r>
  <r>
    <n v="31648"/>
    <s v="SCMS-49100"/>
    <x v="391"/>
    <x v="1"/>
    <s v="ARV"/>
    <s v="Adult"/>
    <s v="EMCURE PHARMACEUTICALS LTD"/>
    <x v="0"/>
    <s v="CIP"/>
    <s v="Air"/>
    <d v="2009-07-15T00:00:00"/>
    <d v="2010-05-29T00:00:00"/>
    <d v="2010-05-29T00:00:00"/>
    <d v="2010-05-29T00:00:00"/>
    <x v="8"/>
    <s v="Efavirenz"/>
    <s v="Generic"/>
    <s v="600mg"/>
    <s v="Tablet"/>
    <n v="30"/>
    <n v="59609"/>
    <n v="357057.91"/>
    <n v="5.99"/>
    <n v="0.2"/>
    <n v="4227"/>
    <n v="33008.050000000003"/>
    <n v="1"/>
    <x v="4"/>
  </r>
  <r>
    <n v="31694"/>
    <s v="SCMS-66060"/>
    <x v="392"/>
    <x v="1"/>
    <s v="ARV"/>
    <s v="Adult"/>
    <s v="MYLAN LABORATORIES LTD (FORMERLY MATRIX LABORATORIES)"/>
    <x v="0"/>
    <s v="CIP"/>
    <s v="Air"/>
    <d v="2010-03-30T00:00:00"/>
    <d v="2010-09-27T00:00:00"/>
    <d v="2010-09-27T00:00:00"/>
    <d v="2010-09-27T00:00:00"/>
    <x v="11"/>
    <s v="Lamivudine/Nevirapine/Zidovudine"/>
    <s v="Generic"/>
    <s v="150/300/200mg"/>
    <s v="Tablet - FDC"/>
    <n v="60"/>
    <n v="61290"/>
    <n v="698706"/>
    <n v="11.4"/>
    <n v="0.19"/>
    <n v="7965"/>
    <n v="65851.289999999994"/>
    <n v="1"/>
    <x v="4"/>
  </r>
  <r>
    <n v="31750"/>
    <s v="SCMS-244380"/>
    <x v="393"/>
    <x v="3"/>
    <s v="ARV"/>
    <s v="Adult"/>
    <s v="ASPEN PHARMACARE"/>
    <x v="0"/>
    <s v="CIP"/>
    <s v="Air"/>
    <d v="2014-07-09T00:00:00"/>
    <d v="2014-09-12T00:00:00"/>
    <d v="2014-09-12T00:00:00"/>
    <d v="2014-09-12T00:00:00"/>
    <x v="59"/>
    <s v="Darunavir"/>
    <s v="Prezista"/>
    <s v="300mg"/>
    <s v="Tablet"/>
    <n v="120"/>
    <n v="807"/>
    <n v="53746.2"/>
    <n v="66.599999999999994"/>
    <n v="0.55000000000000004"/>
    <n v="119"/>
    <n v="321.94"/>
    <n v="1"/>
    <x v="7"/>
  </r>
  <r>
    <n v="31892"/>
    <s v="SCMS-61150"/>
    <x v="394"/>
    <x v="2"/>
    <s v="ARV"/>
    <s v="Adult"/>
    <s v="STRIDES ARCOLAB LIMITED"/>
    <x v="0"/>
    <s v="EXW"/>
    <s v="Air"/>
    <d v="2009-12-29T00:00:00"/>
    <d v="2010-01-22T00:00:00"/>
    <d v="2010-01-22T00:00:00"/>
    <d v="2010-01-22T00:00:00"/>
    <x v="31"/>
    <s v="Lamivudine/Stavudine"/>
    <s v="Generic"/>
    <s v="150/30mg"/>
    <s v="Tablet - FDC"/>
    <n v="60"/>
    <n v="39939"/>
    <n v="134594.43"/>
    <n v="3.37"/>
    <n v="0.06"/>
    <n v="2038"/>
    <n v="11789.31"/>
    <n v="1"/>
    <x v="4"/>
  </r>
  <r>
    <n v="32313"/>
    <s v="SCMS-84400"/>
    <x v="395"/>
    <x v="1"/>
    <s v="ARV"/>
    <s v="Adult"/>
    <s v="Aurobindo Pharma Limited"/>
    <x v="0"/>
    <s v="CIP"/>
    <s v="Air"/>
    <d v="2010-09-27T00:00:00"/>
    <d v="2011-04-25T00:00:00"/>
    <d v="2011-04-25T00:00:00"/>
    <d v="2011-04-25T00:00:00"/>
    <x v="49"/>
    <s v="Didanosine"/>
    <s v="Generic"/>
    <s v="400mg"/>
    <s v="Delayed-release capsules"/>
    <n v="30"/>
    <n v="595"/>
    <n v="12048.75"/>
    <n v="20.25"/>
    <n v="0.68"/>
    <n v="87"/>
    <n v="255"/>
    <n v="1"/>
    <x v="9"/>
  </r>
  <r>
    <n v="32372"/>
    <s v="SCMS-171900"/>
    <x v="396"/>
    <x v="3"/>
    <s v="ARV"/>
    <s v="Pediatric"/>
    <s v="ABBVIE LOGISTICS (FORMERLY ABBOTT LOGISTICS BV)"/>
    <x v="0"/>
    <s v="FCA"/>
    <s v="Air"/>
    <d v="2013-01-11T00:00:00"/>
    <d v="2013-04-09T00:00:00"/>
    <d v="2013-04-09T00:00:00"/>
    <d v="2013-04-09T00:00:00"/>
    <x v="7"/>
    <s v="Lopinavir/Ritonavir"/>
    <s v="Generic"/>
    <s v="100/25mg"/>
    <s v="Tablet"/>
    <n v="60"/>
    <n v="6390"/>
    <n v="37956.6"/>
    <n v="5.94"/>
    <n v="0.1"/>
    <n v="733"/>
    <n v="6255.87"/>
    <n v="1"/>
    <x v="6"/>
  </r>
  <r>
    <n v="32471"/>
    <s v="SCMS-47770"/>
    <x v="297"/>
    <x v="0"/>
    <s v="ARV"/>
    <s v="Adult"/>
    <s v="BRISTOL-MYERS SQUIBB"/>
    <x v="0"/>
    <s v="CIP"/>
    <s v="Air"/>
    <d v="2009-06-29T00:00:00"/>
    <d v="2009-11-27T00:00:00"/>
    <d v="2009-11-27T00:00:00"/>
    <d v="2009-11-27T00:00:00"/>
    <x v="4"/>
    <s v="Didanosine EC"/>
    <s v="Videx EC"/>
    <s v="400mg"/>
    <s v="Delayed-release capsules - blister"/>
    <n v="30"/>
    <n v="15619"/>
    <n v="369701.73"/>
    <n v="23.67"/>
    <n v="0.79"/>
    <m/>
    <m/>
    <n v="1"/>
    <x v="3"/>
  </r>
  <r>
    <n v="32505"/>
    <s v="SCMS-173410"/>
    <x v="397"/>
    <x v="3"/>
    <s v="ARV"/>
    <s v="Pediatric"/>
    <s v="ABBVIE LOGISTICS (FORMERLY ABBOTT LOGISTICS BV)"/>
    <x v="0"/>
    <s v="FCA"/>
    <s v="Air"/>
    <d v="2013-02-04T00:00:00"/>
    <d v="2013-04-30T00:00:00"/>
    <d v="2013-04-30T00:00:00"/>
    <d v="2013-04-30T00:00:00"/>
    <x v="7"/>
    <s v="Lopinavir/Ritonavir"/>
    <s v="Generic"/>
    <s v="100/25mg"/>
    <s v="Tablet"/>
    <n v="60"/>
    <n v="2880"/>
    <n v="17107.2"/>
    <n v="5.94"/>
    <n v="0.1"/>
    <n v="335"/>
    <n v="3446.07"/>
    <n v="1"/>
    <x v="6"/>
  </r>
  <r>
    <n v="32738"/>
    <s v="SCMS-137530"/>
    <x v="398"/>
    <x v="1"/>
    <s v="ARV"/>
    <s v="Adult"/>
    <s v="MYLAN LABORATORIES LTD (FORMERLY MATRIX LABORATORIES)"/>
    <x v="0"/>
    <s v="EXW"/>
    <s v="Ocean"/>
    <d v="2012-04-20T00:00:00"/>
    <d v="2012-08-23T00:00:00"/>
    <d v="2012-08-23T00:00:00"/>
    <d v="2012-08-23T00:00:00"/>
    <x v="46"/>
    <s v="Efavirenz/Lamivudine/Tenofovir Disoproxil Fumarate"/>
    <s v="Generic"/>
    <s v="600/300/300mg"/>
    <s v="Tablet - FDC"/>
    <n v="30"/>
    <n v="46613"/>
    <n v="605969"/>
    <n v="13"/>
    <n v="0.43"/>
    <n v="5245"/>
    <n v="11186.24"/>
    <n v="1"/>
    <x v="5"/>
  </r>
  <r>
    <n v="32953"/>
    <s v="SCMS-205930"/>
    <x v="399"/>
    <x v="1"/>
    <s v="ARV"/>
    <s v="Adult"/>
    <s v="MYLAN LABORATORIES LTD (FORMERLY MATRIX LABORATORIES)"/>
    <x v="0"/>
    <s v="EXW"/>
    <s v="Air"/>
    <d v="2013-09-19T00:00:00"/>
    <d v="2014-01-31T00:00:00"/>
    <d v="2014-01-31T00:00:00"/>
    <d v="2014-03-04T00:00:00"/>
    <x v="62"/>
    <s v="Abacavir/Lamivudine"/>
    <s v="Generic"/>
    <s v="600/300mg"/>
    <s v="Tablet - FDC"/>
    <n v="30"/>
    <n v="40705"/>
    <n v="549110.44999999995"/>
    <n v="13.49"/>
    <n v="0.45"/>
    <n v="3948"/>
    <n v="24035.49"/>
    <n v="1"/>
    <x v="7"/>
  </r>
  <r>
    <n v="33116"/>
    <s v="SCMS-149431"/>
    <x v="400"/>
    <x v="1"/>
    <s v="ARV"/>
    <s v="Adult"/>
    <s v="HETERO LABS LIMITED"/>
    <x v="0"/>
    <s v="EXW"/>
    <s v="Air"/>
    <d v="2012-06-12T00:00:00"/>
    <d v="2012-08-04T00:00:00"/>
    <d v="2012-08-04T00:00:00"/>
    <d v="2012-08-04T00:00:00"/>
    <x v="39"/>
    <s v="Lamivudine/Tenofovir Disoproxil Fumarate"/>
    <s v="Generic"/>
    <s v="300/300mg"/>
    <s v="Tablet - FDC"/>
    <n v="30"/>
    <n v="61209"/>
    <n v="293191.11"/>
    <n v="4.79"/>
    <n v="0.16"/>
    <n v="9117"/>
    <n v="98763.02"/>
    <n v="1"/>
    <x v="5"/>
  </r>
  <r>
    <n v="33168"/>
    <s v="SCMS-175480"/>
    <x v="401"/>
    <x v="0"/>
    <s v="ARV"/>
    <s v="Adult"/>
    <s v="MYLAN LABORATORIES LTD (FORMERLY MATRIX LABORATORIES)"/>
    <x v="0"/>
    <s v="EXW"/>
    <s v="Air"/>
    <d v="2013-02-15T00:00:00"/>
    <d v="2013-06-18T00:00:00"/>
    <d v="2013-06-18T00:00:00"/>
    <d v="2013-06-18T00:00:00"/>
    <x v="53"/>
    <s v="Atazanavir/Ritonavir"/>
    <s v="Generic"/>
    <s v="300/100mg"/>
    <s v="Tablet"/>
    <n v="30"/>
    <n v="4779"/>
    <n v="107527.5"/>
    <n v="22.5"/>
    <n v="0.75"/>
    <n v="643"/>
    <n v="4142.07"/>
    <n v="1"/>
    <x v="6"/>
  </r>
  <r>
    <n v="33232"/>
    <s v="SCMS-231380"/>
    <x v="402"/>
    <x v="3"/>
    <s v="ARV"/>
    <s v="Adult"/>
    <s v="MYLAN LABORATORIES LTD (FORMERLY MATRIX LABORATORIES)"/>
    <x v="0"/>
    <s v="EXW"/>
    <s v="Air"/>
    <d v="2014-03-21T00:00:00"/>
    <d v="2014-06-26T00:00:00"/>
    <d v="2014-06-26T00:00:00"/>
    <d v="2014-06-27T00:00:00"/>
    <x v="53"/>
    <s v="Atazanavir/Ritonavir"/>
    <s v="Generic"/>
    <s v="300/100mg"/>
    <s v="Tablet"/>
    <n v="30"/>
    <n v="1801"/>
    <n v="36020"/>
    <n v="20"/>
    <n v="0.67"/>
    <n v="225"/>
    <n v="1726.75"/>
    <n v="1"/>
    <x v="7"/>
  </r>
  <r>
    <n v="33296"/>
    <s v="SCMS-96910"/>
    <x v="403"/>
    <x v="3"/>
    <s v="ARV"/>
    <s v="Adult"/>
    <s v="ASPEN PHARMACARE"/>
    <x v="0"/>
    <s v="DDP"/>
    <s v="Air"/>
    <d v="2011-01-21T00:00:00"/>
    <d v="2011-03-29T00:00:00"/>
    <d v="2011-03-29T00:00:00"/>
    <d v="2011-03-29T00:00:00"/>
    <x v="59"/>
    <s v="Darunavir"/>
    <s v="Prezista"/>
    <s v="300mg"/>
    <s v="Tablet"/>
    <n v="120"/>
    <n v="95"/>
    <n v="8780.85"/>
    <n v="92.43"/>
    <n v="0.77"/>
    <n v="14"/>
    <n v="171"/>
    <n v="1"/>
    <x v="9"/>
  </r>
  <r>
    <n v="33359"/>
    <s v="SCMS-250220"/>
    <x v="404"/>
    <x v="3"/>
    <s v="ARV"/>
    <s v="Adult"/>
    <s v="JANSSEN SCIENCES IRELAND UC (FORMERLY JANSSEN R&amp;D IRELAND)"/>
    <x v="0"/>
    <s v="CIP"/>
    <s v="Air"/>
    <d v="2014-08-25T00:00:00"/>
    <d v="2014-11-01T00:00:00"/>
    <d v="2014-11-01T00:00:00"/>
    <d v="2014-11-02T00:00:00"/>
    <x v="40"/>
    <s v="Etravirine"/>
    <s v="Intelence"/>
    <s v="100mg"/>
    <s v="Tablet"/>
    <n v="120"/>
    <n v="501"/>
    <n v="18036"/>
    <n v="36"/>
    <n v="0.3"/>
    <n v="151"/>
    <n v="297.25"/>
    <n v="1"/>
    <x v="7"/>
  </r>
  <r>
    <n v="33799"/>
    <s v="SCMS-210890"/>
    <x v="405"/>
    <x v="0"/>
    <s v="ARV"/>
    <s v="Pediatric"/>
    <s v="ABBVIE LOGISTICS (FORMERLY ABBOTT LOGISTICS BV)"/>
    <x v="0"/>
    <s v="FCA"/>
    <s v="Air"/>
    <d v="2013-10-31T00:00:00"/>
    <d v="2014-03-07T00:00:00"/>
    <d v="2014-03-07T00:00:00"/>
    <d v="2014-03-11T00:00:00"/>
    <x v="7"/>
    <s v="Lopinavir/Ritonavir"/>
    <s v="Generic"/>
    <s v="100/25mg"/>
    <s v="Tablet"/>
    <n v="60"/>
    <n v="1742"/>
    <n v="10347.48"/>
    <n v="5.94"/>
    <n v="0.1"/>
    <n v="208"/>
    <n v="2336.46"/>
    <n v="1"/>
    <x v="7"/>
  </r>
  <r>
    <n v="33969"/>
    <s v="SCMS-71300"/>
    <x v="406"/>
    <x v="0"/>
    <s v="ARV"/>
    <s v="Adult"/>
    <s v="MYLAN LABORATORIES LTD (FORMERLY MATRIX LABORATORIES)"/>
    <x v="0"/>
    <s v="EXW"/>
    <s v="Ocean"/>
    <d v="2010-04-23T00:00:00"/>
    <d v="2010-09-21T00:00:00"/>
    <d v="2010-09-21T00:00:00"/>
    <d v="2010-09-21T00:00:00"/>
    <x v="45"/>
    <s v="Efavirenz/Emtricitabine/Tenofovir Disoproxil Fumarate"/>
    <s v="Generic"/>
    <s v="600/200/300mg"/>
    <s v="Tablet - FDC"/>
    <n v="30"/>
    <n v="57727"/>
    <n v="1148767.3"/>
    <n v="19.899999999999999"/>
    <n v="0.66"/>
    <n v="6349"/>
    <n v="27797.599999999999"/>
    <n v="1"/>
    <x v="4"/>
  </r>
  <r>
    <n v="34010"/>
    <s v="SCMS-264961"/>
    <x v="407"/>
    <x v="3"/>
    <s v="ARV"/>
    <s v="Adult"/>
    <s v="EMCURE PHARMACEUTICALS LTD"/>
    <x v="0"/>
    <s v="EXW"/>
    <s v="Air"/>
    <d v="2014-11-25T00:00:00"/>
    <d v="2015-05-26T00:00:00"/>
    <d v="2015-05-26T00:00:00"/>
    <d v="2015-06-01T00:00:00"/>
    <x v="53"/>
    <s v="Atazanavir/Ritonavir"/>
    <s v="Generic"/>
    <s v="300/100mg"/>
    <s v="Tablet"/>
    <n v="30"/>
    <n v="1000"/>
    <n v="18000"/>
    <n v="18"/>
    <n v="0.6"/>
    <n v="132"/>
    <n v="1329.99"/>
    <n v="1"/>
    <x v="8"/>
  </r>
  <r>
    <n v="34028"/>
    <s v="SCMS-50840"/>
    <x v="408"/>
    <x v="1"/>
    <s v="ARV"/>
    <s v="Adult"/>
    <s v="HETERO LABS LIMITED"/>
    <x v="0"/>
    <s v="CIP"/>
    <s v="Air"/>
    <d v="2009-08-18T00:00:00"/>
    <d v="2010-06-13T00:00:00"/>
    <d v="2010-06-13T00:00:00"/>
    <d v="2010-06-13T00:00:00"/>
    <x v="16"/>
    <s v="Lamivudine"/>
    <s v="Generic"/>
    <s v="150mg"/>
    <s v="Tablet"/>
    <n v="60"/>
    <n v="4500"/>
    <n v="11655"/>
    <n v="2.59"/>
    <n v="0.04"/>
    <n v="277"/>
    <n v="1393.42"/>
    <n v="1"/>
    <x v="4"/>
  </r>
  <r>
    <n v="35065"/>
    <s v="SCMS-126390"/>
    <x v="409"/>
    <x v="3"/>
    <s v="ARV"/>
    <s v="Adult"/>
    <s v="ASPEN PHARMACARE"/>
    <x v="0"/>
    <s v="DDP"/>
    <s v="Air"/>
    <d v="2011-10-31T00:00:00"/>
    <d v="2012-01-04T00:00:00"/>
    <d v="2012-01-04T00:00:00"/>
    <d v="2012-01-04T00:00:00"/>
    <x v="59"/>
    <s v="Darunavir"/>
    <s v="Prezista"/>
    <s v="300mg"/>
    <s v="Tablet"/>
    <n v="120"/>
    <n v="165"/>
    <n v="15140.4"/>
    <n v="91.76"/>
    <n v="0.76"/>
    <n v="24"/>
    <n v="297"/>
    <n v="1"/>
    <x v="5"/>
  </r>
  <r>
    <n v="35146"/>
    <s v="SCMS-192190"/>
    <x v="410"/>
    <x v="3"/>
    <s v="ARV"/>
    <s v="Adult"/>
    <s v="ASPEN PHARMACARE"/>
    <x v="0"/>
    <s v="CIP"/>
    <s v="Air"/>
    <d v="2013-07-03T00:00:00"/>
    <d v="2013-11-20T00:00:00"/>
    <d v="2013-11-20T00:00:00"/>
    <d v="2013-11-21T00:00:00"/>
    <x v="40"/>
    <s v="Etravirine"/>
    <s v="Intelence"/>
    <s v="100mg"/>
    <s v="Tablet"/>
    <n v="120"/>
    <n v="217"/>
    <n v="7812"/>
    <n v="36"/>
    <n v="0.3"/>
    <n v="74"/>
    <n v="294.86"/>
    <n v="1"/>
    <x v="6"/>
  </r>
  <r>
    <n v="35352"/>
    <s v="SCMS-126490"/>
    <x v="332"/>
    <x v="1"/>
    <s v="ARV"/>
    <s v="Adult"/>
    <s v="Aurobindo Pharma Limited"/>
    <x v="0"/>
    <s v="EXW"/>
    <s v="Air"/>
    <d v="2011-11-09T00:00:00"/>
    <d v="2012-03-30T00:00:00"/>
    <d v="2012-03-30T00:00:00"/>
    <d v="2012-03-30T00:00:00"/>
    <x v="48"/>
    <s v="Didanosine"/>
    <s v="Generic"/>
    <s v="250mg"/>
    <s v="Delayed-release capsules"/>
    <n v="30"/>
    <n v="1185"/>
    <n v="15405"/>
    <n v="13"/>
    <n v="0.43"/>
    <m/>
    <m/>
    <n v="1"/>
    <x v="5"/>
  </r>
  <r>
    <n v="35444"/>
    <s v="SCMS-200840"/>
    <x v="411"/>
    <x v="0"/>
    <s v="ARV"/>
    <s v="Pediatric"/>
    <s v="ABBVIE LOGISTICS (FORMERLY ABBOTT LOGISTICS BV)"/>
    <x v="0"/>
    <s v="FCA"/>
    <s v="Air"/>
    <d v="2013-08-09T00:00:00"/>
    <d v="2013-12-31T00:00:00"/>
    <d v="2013-12-31T00:00:00"/>
    <d v="2014-01-03T00:00:00"/>
    <x v="7"/>
    <s v="Lopinavir/Ritonavir"/>
    <s v="Generic"/>
    <s v="100/25mg"/>
    <s v="Tablet"/>
    <n v="60"/>
    <n v="1764"/>
    <n v="10478.16"/>
    <n v="5.94"/>
    <n v="0.1"/>
    <n v="209"/>
    <n v="2177.56"/>
    <n v="1"/>
    <x v="7"/>
  </r>
  <r>
    <n v="35643"/>
    <s v="SCMS-261781"/>
    <x v="412"/>
    <x v="1"/>
    <s v="ARV"/>
    <s v="Adult"/>
    <s v="EMCURE PHARMACEUTICALS LTD"/>
    <x v="0"/>
    <s v="EXW"/>
    <s v="Air"/>
    <d v="2014-12-15T00:00:00"/>
    <d v="2015-05-04T00:00:00"/>
    <d v="2015-05-04T00:00:00"/>
    <d v="2015-05-05T00:00:00"/>
    <x v="53"/>
    <s v="Atazanavir/Ritonavir"/>
    <s v="Generic"/>
    <s v="300/100mg"/>
    <s v="Tablet"/>
    <n v="30"/>
    <n v="13823"/>
    <n v="248814"/>
    <n v="18"/>
    <n v="0.6"/>
    <n v="1805"/>
    <n v="10743.33"/>
    <n v="1"/>
    <x v="8"/>
  </r>
  <r>
    <n v="35717"/>
    <s v="SCMS-276390"/>
    <x v="413"/>
    <x v="1"/>
    <s v="ARV"/>
    <s v="Pediatric"/>
    <s v="SWORDS LABORATORIES"/>
    <x v="0"/>
    <s v="FCA"/>
    <s v="Air"/>
    <d v="2015-02-23T00:00:00"/>
    <d v="2015-05-08T00:00:00"/>
    <d v="2015-05-08T00:00:00"/>
    <d v="2015-05-11T00:00:00"/>
    <x v="44"/>
    <s v="Atazanavir"/>
    <s v="Reyataz"/>
    <s v="200mg"/>
    <s v="Capsule"/>
    <n v="60"/>
    <n v="466"/>
    <n v="18928.919999999998"/>
    <n v="40.619999999999997"/>
    <n v="0.68"/>
    <n v="69"/>
    <n v="802.85"/>
    <n v="1"/>
    <x v="8"/>
  </r>
  <r>
    <n v="35790"/>
    <s v="SCMS-198540"/>
    <x v="414"/>
    <x v="3"/>
    <s v="ARV"/>
    <s v="Adult"/>
    <s v="CIPLA LIMITED"/>
    <x v="0"/>
    <s v="EXW"/>
    <s v="Air"/>
    <d v="2013-07-31T00:00:00"/>
    <d v="2013-10-03T00:00:00"/>
    <d v="2013-10-03T00:00:00"/>
    <d v="2013-10-05T00:00:00"/>
    <x v="11"/>
    <s v="Lamivudine/Nevirapine/Zidovudine"/>
    <s v="Generic"/>
    <s v="150/300/200mg"/>
    <s v="Tablet - FDC"/>
    <n v="60"/>
    <n v="114996"/>
    <n v="931467.6"/>
    <n v="8.1"/>
    <n v="0.13"/>
    <n v="15435"/>
    <n v="56180.34"/>
    <n v="1"/>
    <x v="6"/>
  </r>
  <r>
    <n v="35870"/>
    <s v="SCMS-171950"/>
    <x v="415"/>
    <x v="3"/>
    <s v="ARV"/>
    <s v="Adult"/>
    <s v="ASPEN PHARMACARE"/>
    <x v="0"/>
    <s v="DDP"/>
    <s v="Air"/>
    <d v="2013-01-17T00:00:00"/>
    <d v="2013-03-14T00:00:00"/>
    <d v="2013-03-14T00:00:00"/>
    <d v="2013-03-14T00:00:00"/>
    <x v="59"/>
    <s v="Darunavir"/>
    <s v="Prezista"/>
    <s v="300mg"/>
    <s v="Tablet"/>
    <n v="120"/>
    <n v="388"/>
    <n v="25840.799999999999"/>
    <n v="66.599999999999994"/>
    <n v="0.55000000000000004"/>
    <n v="68"/>
    <n v="1571.76"/>
    <n v="1"/>
    <x v="6"/>
  </r>
  <r>
    <n v="35975"/>
    <s v="SCMS-152020"/>
    <x v="385"/>
    <x v="1"/>
    <s v="ARV"/>
    <s v="Adult"/>
    <s v="Aurobindo Pharma Limited"/>
    <x v="0"/>
    <s v="EXW"/>
    <s v="Air"/>
    <d v="2012-07-04T00:00:00"/>
    <d v="2012-08-22T00:00:00"/>
    <d v="2012-08-22T00:00:00"/>
    <d v="2012-08-22T00:00:00"/>
    <x v="49"/>
    <s v="Didanosine"/>
    <s v="Generic"/>
    <s v="400mg"/>
    <s v="Delayed-release capsules"/>
    <n v="30"/>
    <n v="1728"/>
    <n v="34560"/>
    <n v="20"/>
    <n v="0.67"/>
    <m/>
    <m/>
    <n v="1"/>
    <x v="5"/>
  </r>
  <r>
    <n v="36005"/>
    <s v="SCMS-261783"/>
    <x v="416"/>
    <x v="1"/>
    <s v="ARV"/>
    <s v="Adult"/>
    <s v="EMCURE PHARMACEUTICALS LTD"/>
    <x v="0"/>
    <s v="EXW"/>
    <s v="Air"/>
    <d v="2014-12-15T00:00:00"/>
    <d v="2015-08-27T00:00:00"/>
    <d v="2015-08-27T00:00:00"/>
    <d v="2015-08-27T00:00:00"/>
    <x v="53"/>
    <s v="Atazanavir/Ritonavir"/>
    <s v="Generic"/>
    <s v="300/100mg"/>
    <s v="Tablet"/>
    <n v="30"/>
    <n v="4011"/>
    <n v="72198"/>
    <n v="18"/>
    <n v="0.6"/>
    <m/>
    <m/>
    <n v="1"/>
    <x v="8"/>
  </r>
  <r>
    <n v="36539"/>
    <s v="SCMS-163460"/>
    <x v="417"/>
    <x v="3"/>
    <s v="ARV"/>
    <s v="Adult"/>
    <s v="MYLAN LABORATORIES LTD (FORMERLY MATRIX LABORATORIES)"/>
    <x v="0"/>
    <s v="EXW"/>
    <s v="Air"/>
    <d v="2012-10-25T00:00:00"/>
    <d v="2013-01-21T00:00:00"/>
    <d v="2013-01-21T00:00:00"/>
    <d v="2013-01-21T00:00:00"/>
    <x v="53"/>
    <s v="Atazanavir/Ritonavir"/>
    <s v="Generic"/>
    <s v="300/100mg"/>
    <s v="Tablet"/>
    <n v="30"/>
    <n v="1665"/>
    <n v="37462.5"/>
    <n v="22.5"/>
    <n v="0.75"/>
    <n v="420"/>
    <n v="3900.39"/>
    <n v="1"/>
    <x v="6"/>
  </r>
  <r>
    <n v="36654"/>
    <s v="SCMS-104120"/>
    <x v="418"/>
    <x v="3"/>
    <s v="ARV"/>
    <s v="Adult"/>
    <s v="ASPEN PHARMACARE"/>
    <x v="0"/>
    <s v="DDP"/>
    <s v="Air"/>
    <d v="2011-03-25T00:00:00"/>
    <d v="2011-06-02T00:00:00"/>
    <d v="2011-06-02T00:00:00"/>
    <d v="2011-06-02T00:00:00"/>
    <x v="40"/>
    <s v="Etravirine"/>
    <s v="Intelence"/>
    <s v="100mg"/>
    <s v="Tablet"/>
    <n v="120"/>
    <n v="27"/>
    <n v="2361.42"/>
    <n v="87.46"/>
    <n v="0.73"/>
    <n v="5"/>
    <n v="41"/>
    <n v="1"/>
    <x v="9"/>
  </r>
  <r>
    <n v="36758"/>
    <s v="SCMS-162540"/>
    <x v="419"/>
    <x v="1"/>
    <s v="ARV"/>
    <s v="Adult"/>
    <s v="HETERO LABS LIMITED"/>
    <x v="0"/>
    <s v="EXW"/>
    <s v="Air"/>
    <d v="2012-10-17T00:00:00"/>
    <d v="2013-01-30T00:00:00"/>
    <d v="2013-01-30T00:00:00"/>
    <d v="2013-01-30T00:00:00"/>
    <x v="35"/>
    <s v="Tenofovir Disoproxil Fumarate"/>
    <s v="Generic"/>
    <s v="300mg"/>
    <s v="Tablet"/>
    <n v="30"/>
    <n v="672"/>
    <n v="2520"/>
    <n v="3.75"/>
    <n v="0.12"/>
    <n v="55"/>
    <n v="1276.53"/>
    <n v="1"/>
    <x v="6"/>
  </r>
  <r>
    <n v="37152"/>
    <s v="SCMS-58160"/>
    <x v="420"/>
    <x v="3"/>
    <s v="ARV"/>
    <s v="Pediatric"/>
    <s v="EMCURE PHARMACEUTICALS LTD"/>
    <x v="0"/>
    <s v="EXW"/>
    <s v="Air"/>
    <d v="2009-11-25T00:00:00"/>
    <d v="2010-02-02T00:00:00"/>
    <d v="2010-02-02T00:00:00"/>
    <d v="2010-02-02T00:00:00"/>
    <x v="52"/>
    <s v="Atazanavir"/>
    <s v="Generic"/>
    <s v="150mg"/>
    <s v="Capsule"/>
    <n v="60"/>
    <n v="240"/>
    <n v="6261.6"/>
    <n v="26.09"/>
    <n v="0.43"/>
    <n v="25"/>
    <n v="915.09"/>
    <n v="1"/>
    <x v="4"/>
  </r>
  <r>
    <n v="37324"/>
    <s v="SCMS-153580"/>
    <x v="421"/>
    <x v="3"/>
    <s v="ARV"/>
    <s v="Adult"/>
    <s v="MYLAN LABORATORIES LTD (FORMERLY MATRIX LABORATORIES)"/>
    <x v="0"/>
    <s v="EXW"/>
    <s v="Air"/>
    <d v="2012-07-31T00:00:00"/>
    <d v="2012-08-29T00:00:00"/>
    <d v="2012-08-29T00:00:00"/>
    <d v="2012-08-29T00:00:00"/>
    <x v="46"/>
    <s v="Efavirenz/Lamivudine/Tenofovir Disoproxil Fumarate"/>
    <s v="Generic"/>
    <s v="600/300/300mg"/>
    <s v="Tablet - FDC"/>
    <n v="30"/>
    <n v="205042"/>
    <n v="2458453.58"/>
    <n v="11.99"/>
    <n v="0.4"/>
    <n v="24556"/>
    <n v="146850.66"/>
    <n v="1"/>
    <x v="5"/>
  </r>
  <r>
    <n v="38111"/>
    <s v="SCMS-277510"/>
    <x v="422"/>
    <x v="3"/>
    <s v="ARV"/>
    <s v="Adult"/>
    <s v="MYLAN LABORATORIES LTD (FORMERLY MATRIX LABORATORIES)"/>
    <x v="0"/>
    <s v="EXW"/>
    <s v="Air"/>
    <d v="2015-02-23T00:00:00"/>
    <d v="2015-06-20T00:00:00"/>
    <d v="2015-06-20T00:00:00"/>
    <d v="2015-06-23T00:00:00"/>
    <x v="53"/>
    <s v="Atazanavir/Ritonavir"/>
    <s v="Generic"/>
    <s v="300/100mg"/>
    <s v="Tablet"/>
    <n v="30"/>
    <n v="12370"/>
    <n v="241215"/>
    <n v="19.5"/>
    <n v="0.65"/>
    <n v="1652"/>
    <n v="7172.9"/>
    <n v="1"/>
    <x v="8"/>
  </r>
  <r>
    <n v="38120"/>
    <s v="SCMS-149420"/>
    <x v="423"/>
    <x v="1"/>
    <s v="ARV"/>
    <s v="Adult"/>
    <s v="Aurobindo Pharma Limited"/>
    <x v="0"/>
    <s v="EXW"/>
    <s v="Air"/>
    <d v="2012-06-12T00:00:00"/>
    <d v="2012-06-29T00:00:00"/>
    <d v="2012-06-29T00:00:00"/>
    <d v="2012-06-29T00:00:00"/>
    <x v="0"/>
    <s v="Nevirapine"/>
    <s v="Generic"/>
    <s v="200mg"/>
    <s v="Tablet"/>
    <n v="60"/>
    <n v="22500"/>
    <n v="52875"/>
    <n v="2.35"/>
    <n v="0.04"/>
    <n v="2145"/>
    <n v="17858.68"/>
    <n v="1"/>
    <x v="5"/>
  </r>
  <r>
    <n v="38312"/>
    <s v="SCMS-58230"/>
    <x v="424"/>
    <x v="3"/>
    <s v="ARV"/>
    <s v="Adult"/>
    <s v="ABBVIE LOGISTICS (FORMERLY ABBOTT LOGISTICS BV)"/>
    <x v="0"/>
    <s v="FCA"/>
    <s v="Air"/>
    <d v="2009-12-02T00:00:00"/>
    <d v="2010-03-10T00:00:00"/>
    <d v="2010-03-10T00:00:00"/>
    <d v="2010-03-10T00:00:00"/>
    <x v="30"/>
    <s v="Ritonavir"/>
    <s v="Norvir"/>
    <s v="100mg"/>
    <s v="Capsule"/>
    <n v="336"/>
    <n v="21"/>
    <n v="805.56"/>
    <n v="38.36"/>
    <n v="0.11"/>
    <n v="58"/>
    <n v="776.62"/>
    <n v="1"/>
    <x v="4"/>
  </r>
  <r>
    <n v="38318"/>
    <s v="SCMS-162720"/>
    <x v="425"/>
    <x v="3"/>
    <s v="ARV"/>
    <s v="Adult"/>
    <s v="MERCK SHARP &amp; DOHME IDEA GMBH (FORMALLY MERCK SHARP &amp; DOHME B.V.)"/>
    <x v="0"/>
    <s v="CIP"/>
    <s v="Air"/>
    <d v="2012-10-25T00:00:00"/>
    <d v="2013-04-11T00:00:00"/>
    <d v="2013-04-11T00:00:00"/>
    <d v="2013-04-11T00:00:00"/>
    <x v="56"/>
    <s v="Raltegravir"/>
    <s v="Isentress"/>
    <s v="400mg"/>
    <s v="Tablet"/>
    <n v="60"/>
    <n v="786"/>
    <n v="43623"/>
    <n v="55.5"/>
    <n v="0.92"/>
    <n v="79"/>
    <n v="2158.88"/>
    <n v="1"/>
    <x v="6"/>
  </r>
  <r>
    <n v="38590"/>
    <s v="SCMS-64480"/>
    <x v="426"/>
    <x v="1"/>
    <s v="ARV"/>
    <s v="Adult"/>
    <s v="Aurobindo Pharma Limited"/>
    <x v="0"/>
    <s v="CIP"/>
    <s v="Air"/>
    <d v="2010-02-09T00:00:00"/>
    <d v="2010-07-13T00:00:00"/>
    <d v="2010-07-13T00:00:00"/>
    <d v="2010-07-13T00:00:00"/>
    <x v="48"/>
    <s v="Didanosine"/>
    <s v="Generic"/>
    <s v="250mg"/>
    <s v="Delayed-release capsules"/>
    <n v="30"/>
    <n v="599"/>
    <n v="7966.7"/>
    <n v="13.3"/>
    <n v="0.44"/>
    <n v="41"/>
    <n v="717"/>
    <n v="1"/>
    <x v="4"/>
  </r>
  <r>
    <n v="39208"/>
    <s v="SCMS-49100"/>
    <x v="427"/>
    <x v="1"/>
    <s v="ARV"/>
    <s v="Adult"/>
    <s v="EMCURE PHARMACEUTICALS LTD"/>
    <x v="0"/>
    <s v="CIP"/>
    <s v="Air"/>
    <d v="2009-07-15T00:00:00"/>
    <d v="2010-05-29T00:00:00"/>
    <d v="2010-05-29T00:00:00"/>
    <d v="2010-05-29T00:00:00"/>
    <x v="8"/>
    <s v="Efavirenz"/>
    <s v="Generic"/>
    <s v="600mg"/>
    <s v="Tablet"/>
    <n v="30"/>
    <n v="31"/>
    <n v="185.69"/>
    <n v="5.99"/>
    <n v="0.2"/>
    <n v="4"/>
    <n v="889.55"/>
    <n v="1"/>
    <x v="4"/>
  </r>
  <r>
    <n v="39291"/>
    <s v="SCMS-244440"/>
    <x v="428"/>
    <x v="3"/>
    <s v="ARV"/>
    <s v="Pediatric"/>
    <s v="ABBVIE LOGISTICS (FORMERLY ABBOTT LOGISTICS BV)"/>
    <x v="0"/>
    <s v="FCA"/>
    <s v="Air"/>
    <d v="2014-06-23T00:00:00"/>
    <d v="2014-09-23T00:00:00"/>
    <d v="2014-09-23T00:00:00"/>
    <d v="2014-09-23T00:00:00"/>
    <x v="6"/>
    <s v="Lopinavir/Ritonavir"/>
    <s v="Kaletra"/>
    <s v="80/20mg/ml"/>
    <s v="Oral solution"/>
    <n v="300"/>
    <n v="75"/>
    <n v="2311.5"/>
    <n v="30.82"/>
    <n v="0.1"/>
    <n v="120"/>
    <n v="1487.76"/>
    <n v="1"/>
    <x v="7"/>
  </r>
  <r>
    <n v="39661"/>
    <s v="SCMS-253160"/>
    <x v="429"/>
    <x v="1"/>
    <s v="ARV"/>
    <s v="Adult"/>
    <s v="Aurobindo Pharma Limited"/>
    <x v="0"/>
    <s v="EXW"/>
    <s v="Ocean"/>
    <d v="2014-08-19T00:00:00"/>
    <d v="2014-11-12T00:00:00"/>
    <d v="2014-11-12T00:00:00"/>
    <d v="2014-11-24T00:00:00"/>
    <x v="39"/>
    <s v="Lamivudine/Tenofovir Disoproxil Fumarate"/>
    <s v="Generic"/>
    <s v="300/300mg"/>
    <s v="Tablet - FDC"/>
    <n v="30"/>
    <n v="104000"/>
    <n v="483600"/>
    <n v="4.6500000000000004"/>
    <n v="0.16"/>
    <n v="9684"/>
    <n v="7898.15"/>
    <n v="1"/>
    <x v="7"/>
  </r>
  <r>
    <n v="39799"/>
    <s v="SCMS-198710"/>
    <x v="430"/>
    <x v="3"/>
    <s v="ARV"/>
    <s v="Adult"/>
    <s v="MYLAN LABORATORIES LTD (FORMERLY MATRIX LABORATORIES)"/>
    <x v="0"/>
    <s v="EXW"/>
    <s v="Air"/>
    <d v="2013-07-31T00:00:00"/>
    <d v="2013-08-29T00:00:00"/>
    <d v="2013-08-29T00:00:00"/>
    <d v="2013-08-29T00:00:00"/>
    <x v="11"/>
    <s v="Lamivudine/Nevirapine/Zidovudine"/>
    <s v="Generic"/>
    <s v="150/300/200mg"/>
    <s v="Tablet - FDC"/>
    <n v="60"/>
    <n v="50000"/>
    <n v="405000"/>
    <n v="8.1"/>
    <n v="0.13"/>
    <n v="6918"/>
    <n v="22886.81"/>
    <n v="1"/>
    <x v="6"/>
  </r>
  <r>
    <n v="40033"/>
    <s v="SCMS-264940"/>
    <x v="431"/>
    <x v="3"/>
    <s v="ARV"/>
    <s v="Pediatric"/>
    <s v="Aurobindo Pharma Limited"/>
    <x v="0"/>
    <s v="EXW"/>
    <s v="Air"/>
    <d v="2014-11-25T00:00:00"/>
    <d v="2015-04-08T00:00:00"/>
    <d v="2015-04-08T00:00:00"/>
    <d v="2015-04-08T00:00:00"/>
    <x v="60"/>
    <s v="Lopinavir/Ritonavir"/>
    <s v="Generic"/>
    <s v="100/25mg"/>
    <s v="Tablet"/>
    <n v="60"/>
    <n v="4250"/>
    <n v="34170"/>
    <n v="8.0399999999999991"/>
    <n v="0.13"/>
    <n v="424"/>
    <n v="1488.99"/>
    <n v="1"/>
    <x v="8"/>
  </r>
  <r>
    <n v="40214"/>
    <s v="SCMS-239030"/>
    <x v="432"/>
    <x v="1"/>
    <s v="ARV"/>
    <s v="Adult"/>
    <s v="MYLAN LABORATORIES LTD (FORMERLY MATRIX LABORATORIES)"/>
    <x v="0"/>
    <s v="EXW"/>
    <s v="Ocean"/>
    <d v="2014-05-16T00:00:00"/>
    <d v="2014-12-19T00:00:00"/>
    <d v="2014-12-19T00:00:00"/>
    <d v="2014-12-19T00:00:00"/>
    <x v="53"/>
    <s v="Atazanavir/Ritonavir"/>
    <s v="Generic"/>
    <s v="300/100mg"/>
    <s v="Tablet"/>
    <n v="30"/>
    <n v="28869"/>
    <n v="577380"/>
    <n v="20"/>
    <n v="0.67"/>
    <n v="3865"/>
    <n v="5678.36"/>
    <n v="1"/>
    <x v="7"/>
  </r>
  <r>
    <n v="40286"/>
    <s v="SCMS-215450"/>
    <x v="433"/>
    <x v="1"/>
    <s v="ARV"/>
    <s v="Pediatric"/>
    <s v="ABBVIE LOGISTICS (FORMERLY ABBOTT LOGISTICS BV)"/>
    <x v="0"/>
    <s v="FCA"/>
    <s v="Air"/>
    <d v="2013-12-02T00:00:00"/>
    <d v="2014-01-22T00:00:00"/>
    <d v="2014-01-22T00:00:00"/>
    <d v="2014-01-24T00:00:00"/>
    <x v="7"/>
    <s v="Lopinavir/Ritonavir"/>
    <s v="Generic"/>
    <s v="100/25mg"/>
    <s v="Tablet"/>
    <n v="60"/>
    <n v="500"/>
    <n v="2970"/>
    <n v="5.94"/>
    <n v="0.1"/>
    <n v="65"/>
    <n v="985.26"/>
    <n v="1"/>
    <x v="7"/>
  </r>
  <r>
    <n v="40479"/>
    <s v="SCMS-239390"/>
    <x v="434"/>
    <x v="0"/>
    <s v="ARV"/>
    <s v="Pediatric"/>
    <s v="ABBVIE LOGISTICS (FORMERLY ABBOTT LOGISTICS BV)"/>
    <x v="0"/>
    <s v="FCA"/>
    <s v="Air"/>
    <d v="2014-05-16T00:00:00"/>
    <d v="2014-09-30T00:00:00"/>
    <d v="2014-09-30T00:00:00"/>
    <d v="2014-10-07T00:00:00"/>
    <x v="6"/>
    <s v="Lopinavir/Ritonavir"/>
    <s v="Kaletra"/>
    <s v="80/20mg/ml"/>
    <s v="Oral solution"/>
    <n v="300"/>
    <n v="304"/>
    <n v="9369.2800000000007"/>
    <n v="30.82"/>
    <n v="0.1"/>
    <n v="278"/>
    <n v="5656.74"/>
    <n v="1"/>
    <x v="7"/>
  </r>
  <r>
    <n v="40555"/>
    <s v="SCMS-66910"/>
    <x v="435"/>
    <x v="0"/>
    <s v="ARV"/>
    <s v="Adult"/>
    <s v="ABBVIE LOGISTICS (FORMERLY ABBOTT LOGISTICS BV)"/>
    <x v="0"/>
    <s v="FCA"/>
    <s v="Air"/>
    <d v="2010-03-12T00:00:00"/>
    <d v="2010-06-11T00:00:00"/>
    <d v="2010-06-04T00:00:00"/>
    <d v="2010-06-04T00:00:00"/>
    <x v="14"/>
    <s v="Lopinavir/Ritonavir"/>
    <s v="Aluvia"/>
    <s v="200/50mg"/>
    <s v="Tablet"/>
    <n v="120"/>
    <n v="2855"/>
    <n v="103236.8"/>
    <n v="36.159999999999997"/>
    <n v="0.3"/>
    <m/>
    <m/>
    <n v="1"/>
    <x v="4"/>
  </r>
  <r>
    <n v="40608"/>
    <s v="SCMS-58170"/>
    <x v="436"/>
    <x v="3"/>
    <s v="ARV"/>
    <s v="Adult"/>
    <s v="ASPEN PHARMACARE"/>
    <x v="0"/>
    <s v="EXW"/>
    <s v="Air"/>
    <d v="2009-11-24T00:00:00"/>
    <d v="2010-01-19T00:00:00"/>
    <d v="2010-01-19T00:00:00"/>
    <d v="2010-01-19T00:00:00"/>
    <x v="59"/>
    <s v="Darunavir"/>
    <s v="Prezista"/>
    <s v="300mg"/>
    <s v="Tablet"/>
    <n v="120"/>
    <n v="120"/>
    <n v="10800"/>
    <n v="90"/>
    <n v="0.75"/>
    <n v="18"/>
    <n v="1190.02"/>
    <n v="1"/>
    <x v="4"/>
  </r>
  <r>
    <n v="40762"/>
    <s v="SCMS-149400"/>
    <x v="437"/>
    <x v="3"/>
    <s v="ARV"/>
    <s v="Adult"/>
    <s v="Aurobindo Pharma Limited"/>
    <x v="0"/>
    <s v="EXW"/>
    <s v="Air"/>
    <d v="2012-06-12T00:00:00"/>
    <d v="2012-07-18T00:00:00"/>
    <d v="2012-07-23T00:00:00"/>
    <d v="2012-07-23T00:00:00"/>
    <x v="47"/>
    <s v="Lopinavir/Ritonavir"/>
    <s v="Generic"/>
    <s v="200/50mg"/>
    <s v="Tablet"/>
    <n v="120"/>
    <n v="10679"/>
    <n v="272314.5"/>
    <n v="25.5"/>
    <n v="0.21"/>
    <n v="2709"/>
    <n v="11409.29"/>
    <n v="0"/>
    <x v="5"/>
  </r>
  <r>
    <n v="40812"/>
    <s v="SCMS-49110"/>
    <x v="438"/>
    <x v="1"/>
    <s v="ARV"/>
    <s v="Adult"/>
    <s v="EMCURE PHARMACEUTICALS LTD"/>
    <x v="0"/>
    <s v="CIP"/>
    <s v="Air"/>
    <d v="2009-07-15T00:00:00"/>
    <d v="2010-04-29T00:00:00"/>
    <d v="2010-04-29T00:00:00"/>
    <d v="2010-04-29T00:00:00"/>
    <x v="8"/>
    <s v="Efavirenz"/>
    <s v="Generic"/>
    <s v="600mg"/>
    <s v="Tablet"/>
    <n v="30"/>
    <n v="54684"/>
    <n v="327557.15999999997"/>
    <n v="5.99"/>
    <n v="0.2"/>
    <n v="3889"/>
    <n v="31784.09"/>
    <n v="1"/>
    <x v="4"/>
  </r>
  <r>
    <n v="41045"/>
    <s v="SCMS-49080"/>
    <x v="439"/>
    <x v="1"/>
    <s v="ARV"/>
    <s v="Adult"/>
    <s v="HETERO LABS LIMITED"/>
    <x v="0"/>
    <s v="CIP"/>
    <s v="Air"/>
    <d v="2009-07-16T00:00:00"/>
    <d v="2009-12-15T00:00:00"/>
    <d v="2009-12-15T00:00:00"/>
    <d v="2009-12-15T00:00:00"/>
    <x v="0"/>
    <s v="Nevirapine"/>
    <s v="Generic"/>
    <s v="200mg"/>
    <s v="Tablet"/>
    <n v="60"/>
    <n v="34500"/>
    <n v="106605"/>
    <n v="3.09"/>
    <n v="0.05"/>
    <n v="2044"/>
    <n v="10883.65"/>
    <n v="1"/>
    <x v="3"/>
  </r>
  <r>
    <n v="41214"/>
    <s v="SCMS-198800"/>
    <x v="440"/>
    <x v="0"/>
    <s v="ARV"/>
    <s v="Adult"/>
    <s v="MYLAN LABORATORIES LTD (FORMERLY MATRIX LABORATORIES)"/>
    <x v="0"/>
    <s v="EXW"/>
    <s v="Air"/>
    <d v="2013-07-16T00:00:00"/>
    <d v="2013-10-04T00:00:00"/>
    <d v="2013-10-04T00:00:00"/>
    <d v="2013-10-04T00:00:00"/>
    <x v="45"/>
    <s v="Efavirenz/Emtricitabine/Tenofovir Disoproxil Fumarate"/>
    <s v="Generic"/>
    <s v="600/200/300mg"/>
    <s v="Tablet - FDC"/>
    <n v="30"/>
    <n v="216755"/>
    <n v="2653081.2000000002"/>
    <n v="12.24"/>
    <n v="0.41"/>
    <n v="28678"/>
    <n v="118541.26"/>
    <n v="1"/>
    <x v="6"/>
  </r>
  <r>
    <n v="41723"/>
    <s v="SCMS-231520"/>
    <x v="441"/>
    <x v="3"/>
    <s v="ARV"/>
    <s v="Pediatric"/>
    <s v="ABBVIE LOGISTICS (FORMERLY ABBOTT LOGISTICS BV)"/>
    <x v="0"/>
    <s v="FCA"/>
    <s v="Air"/>
    <d v="2014-03-21T00:00:00"/>
    <d v="2014-04-25T00:00:00"/>
    <d v="2014-04-25T00:00:00"/>
    <d v="2014-04-28T00:00:00"/>
    <x v="7"/>
    <s v="Lopinavir/Ritonavir"/>
    <s v="Generic"/>
    <s v="100/25mg"/>
    <s v="Tablet"/>
    <n v="60"/>
    <n v="1000"/>
    <n v="5940"/>
    <n v="5.94"/>
    <n v="0.1"/>
    <n v="116"/>
    <n v="1105.5999999999999"/>
    <n v="1"/>
    <x v="7"/>
  </r>
  <r>
    <n v="41838"/>
    <s v="SCMS-149410"/>
    <x v="442"/>
    <x v="3"/>
    <s v="ARV"/>
    <s v="Adult"/>
    <s v="HETERO LABS LIMITED"/>
    <x v="0"/>
    <s v="EXW"/>
    <s v="Air"/>
    <d v="2012-06-12T00:00:00"/>
    <d v="2012-07-27T00:00:00"/>
    <d v="2012-07-27T00:00:00"/>
    <d v="2012-07-27T00:00:00"/>
    <x v="0"/>
    <s v="Nevirapine"/>
    <s v="Generic"/>
    <s v="200mg"/>
    <s v="Tablet"/>
    <n v="60"/>
    <n v="61290"/>
    <n v="143418.6"/>
    <n v="2.34"/>
    <n v="0.04"/>
    <n v="3528"/>
    <n v="16938.13"/>
    <n v="1"/>
    <x v="5"/>
  </r>
  <r>
    <n v="41905"/>
    <s v="SCMS-264930"/>
    <x v="443"/>
    <x v="3"/>
    <s v="ARV"/>
    <s v="Pediatric"/>
    <s v="Aurobindo Pharma Limited"/>
    <x v="0"/>
    <s v="EXW"/>
    <s v="Air"/>
    <d v="2014-11-25T00:00:00"/>
    <d v="2015-04-08T00:00:00"/>
    <d v="2015-04-08T00:00:00"/>
    <d v="2015-04-08T00:00:00"/>
    <x v="60"/>
    <s v="Lopinavir/Ritonavir"/>
    <s v="Generic"/>
    <s v="100/25mg"/>
    <s v="Tablet"/>
    <n v="60"/>
    <n v="2335"/>
    <n v="18773.400000000001"/>
    <n v="8.0399999999999991"/>
    <n v="0.13"/>
    <n v="237"/>
    <n v="1488.99"/>
    <n v="1"/>
    <x v="8"/>
  </r>
  <r>
    <n v="42159"/>
    <s v="SCMS-225710"/>
    <x v="444"/>
    <x v="3"/>
    <s v="ARV"/>
    <s v="Adult"/>
    <s v="MERCK SHARP &amp; DOHME IDEA GMBH (FORMALLY MERCK SHARP &amp; DOHME B.V.)"/>
    <x v="0"/>
    <s v="CIP"/>
    <s v="Air"/>
    <d v="2014-02-04T00:00:00"/>
    <d v="2014-07-30T00:00:00"/>
    <d v="2014-07-30T00:00:00"/>
    <d v="2014-08-06T00:00:00"/>
    <x v="56"/>
    <s v="Raltegravir"/>
    <s v="Isentress"/>
    <s v="400mg"/>
    <s v="Tablet"/>
    <n v="60"/>
    <n v="1300"/>
    <n v="72150"/>
    <n v="55.5"/>
    <n v="0.92"/>
    <m/>
    <m/>
    <n v="1"/>
    <x v="7"/>
  </r>
  <r>
    <n v="42499"/>
    <s v="SCMS-50830"/>
    <x v="445"/>
    <x v="1"/>
    <s v="ARV"/>
    <s v="Adult"/>
    <s v="HETERO LABS LIMITED"/>
    <x v="0"/>
    <s v="CIP"/>
    <s v="Air"/>
    <d v="2009-08-18T00:00:00"/>
    <d v="2010-06-13T00:00:00"/>
    <d v="2010-06-13T00:00:00"/>
    <d v="2010-06-13T00:00:00"/>
    <x v="16"/>
    <s v="Lamivudine"/>
    <s v="Generic"/>
    <s v="150mg"/>
    <s v="Tablet"/>
    <n v="60"/>
    <n v="15030"/>
    <n v="38927.699999999997"/>
    <n v="2.59"/>
    <n v="0.04"/>
    <n v="933"/>
    <n v="3847.96"/>
    <n v="1"/>
    <x v="4"/>
  </r>
  <r>
    <n v="42506"/>
    <s v="SCMS-149412"/>
    <x v="446"/>
    <x v="3"/>
    <s v="ARV"/>
    <s v="Adult"/>
    <s v="HETERO LABS LIMITED"/>
    <x v="0"/>
    <s v="EXW"/>
    <s v="Air"/>
    <d v="2012-06-12T00:00:00"/>
    <d v="2012-08-03T00:00:00"/>
    <d v="2012-08-03T00:00:00"/>
    <d v="2012-08-03T00:00:00"/>
    <x v="39"/>
    <s v="Lamivudine/Tenofovir Disoproxil Fumarate"/>
    <s v="Generic"/>
    <s v="300/300mg"/>
    <s v="Tablet - FDC"/>
    <n v="30"/>
    <n v="66960"/>
    <n v="320738.40000000002"/>
    <n v="4.79"/>
    <n v="0.16"/>
    <n v="7549"/>
    <n v="26095.99"/>
    <n v="1"/>
    <x v="5"/>
  </r>
  <r>
    <n v="42848"/>
    <s v="SCMS-121380"/>
    <x v="447"/>
    <x v="0"/>
    <s v="ARV"/>
    <s v="Pediatric"/>
    <s v="ABBVIE LOGISTICS (FORMERLY ABBOTT LOGISTICS BV)"/>
    <x v="0"/>
    <s v="FCA"/>
    <s v="Air"/>
    <d v="2011-09-09T00:00:00"/>
    <d v="2012-01-19T00:00:00"/>
    <d v="2012-01-19T00:00:00"/>
    <d v="2012-01-19T00:00:00"/>
    <x v="7"/>
    <s v="Lopinavir/Ritonavir"/>
    <s v="Generic"/>
    <s v="100/25mg"/>
    <s v="Tablet"/>
    <n v="60"/>
    <n v="405"/>
    <n v="3122.55"/>
    <n v="7.71"/>
    <n v="0.13"/>
    <n v="75"/>
    <n v="1262.3599999999999"/>
    <n v="1"/>
    <x v="5"/>
  </r>
  <r>
    <n v="42858"/>
    <s v="SCMS-48872"/>
    <x v="338"/>
    <x v="1"/>
    <s v="ARV"/>
    <s v="Adult"/>
    <s v="Aurobindo Pharma Limited"/>
    <x v="0"/>
    <s v="CIP"/>
    <s v="Air"/>
    <d v="2009-07-07T00:00:00"/>
    <d v="2010-04-15T00:00:00"/>
    <d v="2010-04-15T00:00:00"/>
    <d v="2010-04-15T00:00:00"/>
    <x v="9"/>
    <s v="Abacavir"/>
    <s v="Generic"/>
    <s v="300mg"/>
    <s v="Tablet"/>
    <n v="60"/>
    <n v="12730"/>
    <n v="246070.9"/>
    <n v="19.329999999999998"/>
    <n v="0.32"/>
    <m/>
    <m/>
    <n v="1"/>
    <x v="4"/>
  </r>
  <r>
    <n v="43140"/>
    <s v="SCMS-219190"/>
    <x v="448"/>
    <x v="0"/>
    <s v="ARV"/>
    <s v="Adult"/>
    <s v="HETERO LABS LIMITED"/>
    <x v="0"/>
    <s v="EXW"/>
    <s v="Air"/>
    <d v="2013-12-27T00:00:00"/>
    <d v="2014-05-19T00:00:00"/>
    <d v="2014-05-19T00:00:00"/>
    <d v="2014-05-19T00:00:00"/>
    <x v="0"/>
    <s v="Nevirapine"/>
    <s v="Generic"/>
    <s v="200mg"/>
    <s v="Tablet"/>
    <n v="60"/>
    <n v="96200"/>
    <n v="209716"/>
    <n v="2.1800000000000002"/>
    <n v="0.04"/>
    <n v="6320"/>
    <n v="33343.629999999997"/>
    <n v="1"/>
    <x v="7"/>
  </r>
  <r>
    <n v="43383"/>
    <s v="SCMS-68330"/>
    <x v="449"/>
    <x v="3"/>
    <s v="ARV"/>
    <s v="Adult"/>
    <s v="Aurobindo Pharma Limited"/>
    <x v="0"/>
    <s v="EXW"/>
    <s v="Air"/>
    <d v="2010-03-18T00:00:00"/>
    <d v="2010-04-28T00:00:00"/>
    <d v="2010-04-28T00:00:00"/>
    <d v="2010-04-28T00:00:00"/>
    <x v="48"/>
    <s v="Didanosine"/>
    <s v="Generic"/>
    <s v="250mg"/>
    <s v="Delayed-release capsules"/>
    <n v="30"/>
    <n v="60"/>
    <n v="780"/>
    <n v="13"/>
    <n v="0.43"/>
    <n v="4"/>
    <n v="1045.04"/>
    <n v="1"/>
    <x v="4"/>
  </r>
  <r>
    <n v="43812"/>
    <s v="SCMS-48930"/>
    <x v="450"/>
    <x v="1"/>
    <s v="ARV"/>
    <s v="Adult"/>
    <s v="Aurobindo Pharma Limited"/>
    <x v="0"/>
    <s v="CIP"/>
    <s v="Air"/>
    <d v="2009-07-17T00:00:00"/>
    <d v="2010-04-13T00:00:00"/>
    <d v="2010-04-13T00:00:00"/>
    <d v="2010-04-13T00:00:00"/>
    <x v="9"/>
    <s v="Abacavir"/>
    <s v="Generic"/>
    <s v="300mg"/>
    <s v="Tablet"/>
    <n v="60"/>
    <n v="10620"/>
    <n v="205284.6"/>
    <n v="19.329999999999998"/>
    <n v="0.32"/>
    <n v="1050"/>
    <n v="18475.61"/>
    <n v="1"/>
    <x v="4"/>
  </r>
  <r>
    <n v="43929"/>
    <s v="SCMS-124980"/>
    <x v="451"/>
    <x v="3"/>
    <s v="ARV"/>
    <s v="Adult"/>
    <s v="Hoffmann-La Roche ltd Basel"/>
    <x v="0"/>
    <s v="FCA"/>
    <s v="Air"/>
    <d v="2011-10-21T00:00:00"/>
    <d v="2012-01-14T00:00:00"/>
    <d v="2012-01-14T00:00:00"/>
    <d v="2012-01-14T00:00:00"/>
    <x v="63"/>
    <s v="Saquinavir"/>
    <s v="Invirase"/>
    <s v="500mg"/>
    <s v="Tablet"/>
    <n v="120"/>
    <n v="98"/>
    <n v="12362.16"/>
    <n v="126.14"/>
    <n v="1.05"/>
    <n v="18"/>
    <n v="586.16"/>
    <n v="1"/>
    <x v="5"/>
  </r>
  <r>
    <n v="43970"/>
    <s v="SCMS-82770"/>
    <x v="452"/>
    <x v="0"/>
    <s v="ARV"/>
    <s v="Adult"/>
    <s v="MYLAN LABORATORIES LTD (FORMERLY MATRIX LABORATORIES)"/>
    <x v="0"/>
    <s v="EXW"/>
    <s v="Ocean"/>
    <d v="2010-08-25T00:00:00"/>
    <d v="2010-12-29T00:00:00"/>
    <d v="2010-12-29T00:00:00"/>
    <d v="2010-12-29T00:00:00"/>
    <x v="45"/>
    <s v="Efavirenz/Emtricitabine/Tenofovir Disoproxil Fumarate"/>
    <s v="Generic"/>
    <s v="600/200/300mg"/>
    <s v="Tablet - FDC"/>
    <n v="30"/>
    <n v="53149"/>
    <n v="1057665.1000000001"/>
    <n v="19.899999999999999"/>
    <n v="0.66"/>
    <n v="5803"/>
    <n v="27478.63"/>
    <n v="1"/>
    <x v="4"/>
  </r>
  <r>
    <n v="43989"/>
    <s v="SCMS-47730"/>
    <x v="453"/>
    <x v="0"/>
    <s v="ARV"/>
    <s v="Adult"/>
    <s v="BRISTOL-MYERS SQUIBB"/>
    <x v="0"/>
    <s v="CIP"/>
    <s v="Air"/>
    <d v="2009-06-29T00:00:00"/>
    <d v="2009-08-11T00:00:00"/>
    <d v="2009-08-11T00:00:00"/>
    <d v="2009-08-11T00:00:00"/>
    <x v="4"/>
    <s v="Didanosine EC"/>
    <s v="Videx EC"/>
    <s v="400mg"/>
    <s v="Delayed-release capsules - blister"/>
    <n v="30"/>
    <n v="3000"/>
    <n v="71010"/>
    <n v="23.67"/>
    <n v="0.79"/>
    <n v="363"/>
    <n v="777"/>
    <n v="1"/>
    <x v="3"/>
  </r>
  <r>
    <n v="44045"/>
    <s v="SCMS-52580"/>
    <x v="454"/>
    <x v="3"/>
    <s v="ARV"/>
    <s v="Pediatric"/>
    <s v="EMCURE PHARMACEUTICALS LTD"/>
    <x v="0"/>
    <s v="EXW"/>
    <s v="Air"/>
    <d v="2009-09-14T00:00:00"/>
    <d v="2009-11-11T00:00:00"/>
    <d v="2009-11-11T00:00:00"/>
    <d v="2009-11-11T00:00:00"/>
    <x v="52"/>
    <s v="Atazanavir"/>
    <s v="Generic"/>
    <s v="150mg"/>
    <s v="Capsule"/>
    <n v="60"/>
    <n v="46"/>
    <n v="1200.1400000000001"/>
    <n v="26.09"/>
    <n v="0.43"/>
    <n v="3"/>
    <n v="986.79"/>
    <n v="1"/>
    <x v="3"/>
  </r>
  <r>
    <n v="44209"/>
    <s v="SCMS-210901"/>
    <x v="455"/>
    <x v="0"/>
    <s v="ARV"/>
    <s v="Adult"/>
    <s v="Aurobindo Pharma Limited"/>
    <x v="0"/>
    <s v="EXW"/>
    <s v="Air"/>
    <d v="2014-01-08T00:00:00"/>
    <d v="2014-04-11T00:00:00"/>
    <d v="2014-04-11T00:00:00"/>
    <d v="2014-04-11T00:00:00"/>
    <x v="29"/>
    <s v="Zidovudine"/>
    <s v="Generic"/>
    <s v="300mg"/>
    <s v="Tablet"/>
    <n v="60"/>
    <n v="31528"/>
    <n v="171197.04"/>
    <n v="5.43"/>
    <n v="0.09"/>
    <n v="1899"/>
    <n v="10879.44"/>
    <n v="1"/>
    <x v="7"/>
  </r>
  <r>
    <n v="44265"/>
    <s v="SCMS-48873"/>
    <x v="456"/>
    <x v="1"/>
    <s v="ARV"/>
    <s v="Adult"/>
    <s v="Aurobindo Pharma Limited"/>
    <x v="0"/>
    <s v="CIP"/>
    <s v="Air"/>
    <d v="2009-07-07T00:00:00"/>
    <d v="2011-02-08T00:00:00"/>
    <d v="2011-02-08T00:00:00"/>
    <d v="2011-02-08T00:00:00"/>
    <x v="49"/>
    <s v="Didanosine"/>
    <s v="Generic"/>
    <s v="400mg"/>
    <s v="Delayed-release capsules"/>
    <n v="30"/>
    <n v="276"/>
    <n v="6187.92"/>
    <n v="22.42"/>
    <n v="0.75"/>
    <m/>
    <m/>
    <n v="1"/>
    <x v="9"/>
  </r>
  <r>
    <n v="44567"/>
    <s v="SCMS-152910"/>
    <x v="457"/>
    <x v="1"/>
    <s v="ARV"/>
    <s v="Adult"/>
    <s v="Aurobindo Pharma Limited"/>
    <x v="0"/>
    <s v="EXW"/>
    <s v="Air"/>
    <d v="2012-07-16T00:00:00"/>
    <d v="2012-09-09T00:00:00"/>
    <d v="2012-09-09T00:00:00"/>
    <d v="2012-09-09T00:00:00"/>
    <x v="0"/>
    <s v="Nevirapine"/>
    <s v="Generic"/>
    <s v="200mg"/>
    <s v="Tablet"/>
    <n v="60"/>
    <n v="57961"/>
    <n v="130412.25"/>
    <n v="2.25"/>
    <n v="0.04"/>
    <n v="5525"/>
    <n v="43237.33"/>
    <n v="1"/>
    <x v="5"/>
  </r>
  <r>
    <n v="44962"/>
    <s v="SCMS-142260"/>
    <x v="458"/>
    <x v="3"/>
    <s v="ARV"/>
    <s v="Pediatric"/>
    <s v="ABBVIE LOGISTICS (FORMERLY ABBOTT LOGISTICS BV)"/>
    <x v="0"/>
    <s v="FCA"/>
    <s v="Air"/>
    <d v="2012-04-04T00:00:00"/>
    <d v="2012-05-04T00:00:00"/>
    <d v="2012-05-04T00:00:00"/>
    <d v="2012-05-04T00:00:00"/>
    <x v="7"/>
    <s v="Lopinavir/Ritonavir"/>
    <s v="Generic"/>
    <s v="100/25mg"/>
    <s v="Tablet"/>
    <n v="60"/>
    <n v="210"/>
    <n v="1554"/>
    <n v="7.4"/>
    <n v="0.12"/>
    <n v="36"/>
    <n v="677.4"/>
    <n v="1"/>
    <x v="5"/>
  </r>
  <r>
    <n v="45147"/>
    <s v="SCMS-264980"/>
    <x v="459"/>
    <x v="3"/>
    <s v="ARV"/>
    <s v="Adult"/>
    <s v="EMCURE PHARMACEUTICALS LTD"/>
    <x v="0"/>
    <s v="EXW"/>
    <s v="Air"/>
    <d v="2014-11-25T00:00:00"/>
    <d v="2015-07-27T00:00:00"/>
    <d v="2015-07-27T00:00:00"/>
    <d v="2015-07-28T00:00:00"/>
    <x v="53"/>
    <s v="Atazanavir/Ritonavir"/>
    <s v="Generic"/>
    <s v="300/100mg"/>
    <s v="Tablet"/>
    <n v="30"/>
    <n v="6907"/>
    <n v="124326"/>
    <n v="18"/>
    <n v="0.6"/>
    <m/>
    <m/>
    <n v="1"/>
    <x v="8"/>
  </r>
  <r>
    <n v="45440"/>
    <s v="SCMS-227720"/>
    <x v="460"/>
    <x v="1"/>
    <s v="ARV"/>
    <s v="Pediatric"/>
    <s v="Aurobindo Pharma Limited"/>
    <x v="0"/>
    <s v="EXW"/>
    <s v="Air"/>
    <d v="2014-02-28T00:00:00"/>
    <d v="2014-05-06T00:00:00"/>
    <d v="2014-05-06T00:00:00"/>
    <d v="2014-05-15T00:00:00"/>
    <x v="43"/>
    <s v="Nevirapine"/>
    <s v="Generic"/>
    <s v="10mg/ml"/>
    <s v="Oral suspension"/>
    <n v="240"/>
    <n v="6821"/>
    <n v="10299.709999999999"/>
    <n v="1.51"/>
    <n v="0.01"/>
    <n v="2686"/>
    <m/>
    <n v="1"/>
    <x v="7"/>
  </r>
  <r>
    <n v="45977"/>
    <s v="SCMS-210900"/>
    <x v="461"/>
    <x v="0"/>
    <s v="ARV"/>
    <s v="Adult"/>
    <s v="Aurobindo Pharma Limited"/>
    <x v="0"/>
    <s v="EXW"/>
    <s v="Air"/>
    <d v="2013-10-28T00:00:00"/>
    <d v="2014-03-07T00:00:00"/>
    <d v="2014-03-07T00:00:00"/>
    <d v="2014-03-15T00:00:00"/>
    <x v="29"/>
    <s v="Zidovudine"/>
    <s v="Generic"/>
    <s v="300mg"/>
    <s v="Tablet"/>
    <n v="60"/>
    <n v="20172"/>
    <n v="109533.96"/>
    <n v="5.43"/>
    <n v="0.09"/>
    <n v="1104"/>
    <n v="5765.11"/>
    <n v="1"/>
    <x v="7"/>
  </r>
  <r>
    <n v="46005"/>
    <s v="SCMS-129510"/>
    <x v="462"/>
    <x v="1"/>
    <s v="ARV"/>
    <s v="Pediatric"/>
    <s v="CIPLA LIMITED"/>
    <x v="0"/>
    <s v="CIP"/>
    <s v="Air"/>
    <d v="2012-03-09T00:00:00"/>
    <d v="2012-06-28T00:00:00"/>
    <d v="2012-06-28T00:00:00"/>
    <d v="2012-06-28T00:00:00"/>
    <x v="25"/>
    <s v="Lamivudine"/>
    <s v="Generic"/>
    <s v="10mg/ml"/>
    <s v="Oral solution"/>
    <n v="240"/>
    <n v="9565"/>
    <n v="18651.75"/>
    <n v="1.95"/>
    <n v="0.01"/>
    <n v="6490"/>
    <n v="3010.89"/>
    <n v="1"/>
    <x v="5"/>
  </r>
  <r>
    <n v="46010"/>
    <s v="SCMS-84440"/>
    <x v="463"/>
    <x v="1"/>
    <s v="ARV"/>
    <s v="Adult"/>
    <s v="HETERO LABS LIMITED"/>
    <x v="0"/>
    <s v="CIP"/>
    <s v="Air"/>
    <d v="2010-09-17T00:00:00"/>
    <d v="2010-12-09T00:00:00"/>
    <d v="2010-12-09T00:00:00"/>
    <d v="2010-12-09T00:00:00"/>
    <x v="0"/>
    <s v="Nevirapine"/>
    <s v="Generic"/>
    <s v="200mg"/>
    <s v="Tablet"/>
    <n v="60"/>
    <n v="63254"/>
    <n v="166990.56"/>
    <n v="2.64"/>
    <n v="0.04"/>
    <n v="3700"/>
    <m/>
    <n v="1"/>
    <x v="4"/>
  </r>
  <r>
    <n v="46067"/>
    <s v="SCMS-103291"/>
    <x v="369"/>
    <x v="0"/>
    <s v="ARV"/>
    <s v="Adult"/>
    <s v="LAWRENCE LABORATORIES (SUBSIDIARY OF BRISTOL MYERS SQUIBB)"/>
    <x v="0"/>
    <s v="FCA"/>
    <s v="Air"/>
    <d v="2011-04-14T00:00:00"/>
    <d v="2011-07-14T00:00:00"/>
    <d v="2011-07-14T00:00:00"/>
    <d v="2011-07-14T00:00:00"/>
    <x v="4"/>
    <s v="Didanosine EC"/>
    <s v="Videx EC"/>
    <s v="400mg"/>
    <s v="Delayed-release capsules - blister"/>
    <n v="30"/>
    <n v="18311"/>
    <n v="433421.37"/>
    <n v="23.67"/>
    <n v="0.79"/>
    <m/>
    <m/>
    <n v="1"/>
    <x v="9"/>
  </r>
  <r>
    <n v="46127"/>
    <s v="SCMS-84990"/>
    <x v="464"/>
    <x v="1"/>
    <s v="ARV"/>
    <s v="Adult"/>
    <s v="HETERO LABS LIMITED"/>
    <x v="0"/>
    <s v="EXW"/>
    <s v="Ocean"/>
    <d v="2010-09-28T00:00:00"/>
    <d v="2011-10-17T00:00:00"/>
    <d v="2011-10-17T00:00:00"/>
    <d v="2011-10-17T00:00:00"/>
    <x v="0"/>
    <s v="Nevirapine"/>
    <s v="Generic"/>
    <s v="200mg"/>
    <s v="Tablet"/>
    <n v="60"/>
    <n v="236925"/>
    <n v="575727.75"/>
    <n v="2.4300000000000002"/>
    <n v="0.04"/>
    <n v="13622"/>
    <n v="82095.850000000006"/>
    <n v="1"/>
    <x v="9"/>
  </r>
  <r>
    <n v="46447"/>
    <s v="SCMS-192170"/>
    <x v="465"/>
    <x v="3"/>
    <s v="ARV"/>
    <s v="Adult"/>
    <s v="ASPEN PHARMACARE"/>
    <x v="0"/>
    <s v="CIP"/>
    <s v="Air"/>
    <d v="2013-07-03T00:00:00"/>
    <d v="2013-11-20T00:00:00"/>
    <d v="2013-11-20T00:00:00"/>
    <d v="2013-11-21T00:00:00"/>
    <x v="59"/>
    <s v="Darunavir"/>
    <s v="Prezista"/>
    <s v="300mg"/>
    <s v="Tablet"/>
    <n v="120"/>
    <n v="841"/>
    <n v="56010.6"/>
    <n v="66.599999999999994"/>
    <n v="0.55000000000000004"/>
    <n v="169"/>
    <n v="359.53"/>
    <n v="1"/>
    <x v="6"/>
  </r>
  <r>
    <n v="46460"/>
    <s v="SCMS-264950"/>
    <x v="466"/>
    <x v="3"/>
    <s v="ARV"/>
    <s v="Pediatric"/>
    <s v="Aurobindo Pharma Limited"/>
    <x v="0"/>
    <s v="EXW"/>
    <s v="Air"/>
    <d v="2014-11-25T00:00:00"/>
    <d v="2015-04-08T00:00:00"/>
    <d v="2015-04-08T00:00:00"/>
    <d v="2015-04-08T00:00:00"/>
    <x v="60"/>
    <s v="Lopinavir/Ritonavir"/>
    <s v="Generic"/>
    <s v="100/25mg"/>
    <s v="Tablet"/>
    <n v="60"/>
    <n v="1560"/>
    <n v="12542.4"/>
    <n v="8.0399999999999991"/>
    <n v="0.13"/>
    <n v="166"/>
    <n v="1488.99"/>
    <n v="1"/>
    <x v="8"/>
  </r>
  <r>
    <n v="46574"/>
    <s v="SCMS-129530"/>
    <x v="467"/>
    <x v="1"/>
    <s v="ARV"/>
    <s v="Pediatric"/>
    <s v="CIPLA LIMITED"/>
    <x v="0"/>
    <s v="CIP"/>
    <s v="Air"/>
    <d v="2012-03-09T00:00:00"/>
    <d v="2012-06-15T00:00:00"/>
    <d v="2012-06-15T00:00:00"/>
    <d v="2012-06-15T00:00:00"/>
    <x v="64"/>
    <s v="Lamivudine/Stavudine"/>
    <s v="Generic"/>
    <s v="60/12mg"/>
    <s v="Chewable/dispersible tablet - FDC"/>
    <n v="60"/>
    <n v="672"/>
    <n v="2466.2399999999998"/>
    <n v="3.67"/>
    <n v="0.06"/>
    <n v="49"/>
    <n v="221.96"/>
    <n v="1"/>
    <x v="5"/>
  </r>
  <r>
    <n v="46726"/>
    <s v="SCMS-126390"/>
    <x v="468"/>
    <x v="3"/>
    <s v="ARV"/>
    <s v="Adult"/>
    <s v="ASPEN PHARMACARE"/>
    <x v="0"/>
    <s v="DDP"/>
    <s v="Air"/>
    <d v="2011-10-31T00:00:00"/>
    <d v="2012-01-06T00:00:00"/>
    <d v="2012-01-06T00:00:00"/>
    <d v="2012-01-06T00:00:00"/>
    <x v="40"/>
    <s v="Etravirine"/>
    <s v="Intelence"/>
    <s v="100mg"/>
    <s v="Tablet"/>
    <n v="120"/>
    <n v="83"/>
    <n v="6811.81"/>
    <n v="82.07"/>
    <n v="0.68"/>
    <n v="16"/>
    <n v="375"/>
    <n v="1"/>
    <x v="5"/>
  </r>
  <r>
    <n v="47077"/>
    <s v="SCMS-264962"/>
    <x v="469"/>
    <x v="3"/>
    <s v="ARV"/>
    <s v="Adult"/>
    <s v="EMCURE PHARMACEUTICALS LTD"/>
    <x v="0"/>
    <s v="EXW"/>
    <s v="Air"/>
    <d v="2014-11-25T00:00:00"/>
    <d v="2015-06-15T00:00:00"/>
    <d v="2015-06-15T00:00:00"/>
    <d v="2015-06-15T00:00:00"/>
    <x v="53"/>
    <s v="Atazanavir/Ritonavir"/>
    <s v="Generic"/>
    <s v="300/100mg"/>
    <s v="Tablet"/>
    <n v="30"/>
    <n v="9235"/>
    <n v="166230"/>
    <n v="18"/>
    <n v="0.6"/>
    <n v="1197"/>
    <n v="5375.13"/>
    <n v="1"/>
    <x v="8"/>
  </r>
  <r>
    <n v="47212"/>
    <s v="SCMS-244420"/>
    <x v="470"/>
    <x v="3"/>
    <s v="ARV"/>
    <s v="Pediatric"/>
    <s v="ABBVIE LOGISTICS (FORMERLY ABBOTT LOGISTICS BV)"/>
    <x v="0"/>
    <s v="FCA"/>
    <s v="Air"/>
    <d v="2014-06-23T00:00:00"/>
    <d v="2014-11-14T00:00:00"/>
    <d v="2014-11-14T00:00:00"/>
    <d v="2014-11-16T00:00:00"/>
    <x v="6"/>
    <s v="Lopinavir/Ritonavir"/>
    <s v="Kaletra"/>
    <s v="80/20mg/ml"/>
    <s v="Oral solution"/>
    <n v="300"/>
    <n v="80"/>
    <n v="2465.6"/>
    <n v="30.82"/>
    <n v="0.1"/>
    <n v="136"/>
    <n v="2077.87"/>
    <n v="1"/>
    <x v="7"/>
  </r>
  <r>
    <n v="47411"/>
    <s v="SCMS-202561"/>
    <x v="471"/>
    <x v="3"/>
    <s v="ARV"/>
    <s v="Pediatric"/>
    <s v="Aurobindo Pharma Limited"/>
    <x v="0"/>
    <s v="EXW"/>
    <s v="Air"/>
    <d v="2013-10-28T00:00:00"/>
    <d v="2013-12-12T00:00:00"/>
    <d v="2013-12-12T00:00:00"/>
    <d v="2013-12-13T00:00:00"/>
    <x v="54"/>
    <s v="Nevirapine"/>
    <s v="Generic"/>
    <s v="10mg/ml"/>
    <s v="Oral suspension"/>
    <n v="100"/>
    <n v="700"/>
    <n v="910"/>
    <n v="1.3"/>
    <n v="0.01"/>
    <m/>
    <m/>
    <n v="1"/>
    <x v="6"/>
  </r>
  <r>
    <n v="47443"/>
    <s v="SCMS-53080"/>
    <x v="472"/>
    <x v="3"/>
    <s v="ARV"/>
    <s v="Adult"/>
    <s v="ABBVIE LOGISTICS (FORMERLY ABBOTT LOGISTICS BV)"/>
    <x v="0"/>
    <s v="FCA"/>
    <s v="Air"/>
    <d v="2009-09-10T00:00:00"/>
    <d v="2009-10-20T00:00:00"/>
    <d v="2009-10-20T00:00:00"/>
    <d v="2009-10-20T00:00:00"/>
    <x v="14"/>
    <s v="Lopinavir/Ritonavir"/>
    <s v="Aluvia"/>
    <s v="200/50mg"/>
    <s v="Tablet"/>
    <n v="120"/>
    <n v="120"/>
    <n v="4339.2"/>
    <n v="36.159999999999997"/>
    <n v="0.3"/>
    <n v="36"/>
    <n v="1025.69"/>
    <n v="1"/>
    <x v="3"/>
  </r>
  <r>
    <n v="47541"/>
    <s v="SCMS-149431"/>
    <x v="400"/>
    <x v="1"/>
    <s v="ARV"/>
    <s v="Adult"/>
    <s v="HETERO LABS LIMITED"/>
    <x v="0"/>
    <s v="EXW"/>
    <s v="Air"/>
    <d v="2012-06-12T00:00:00"/>
    <d v="2012-08-04T00:00:00"/>
    <d v="2012-08-04T00:00:00"/>
    <d v="2012-08-04T00:00:00"/>
    <x v="0"/>
    <s v="Nevirapine"/>
    <s v="Generic"/>
    <s v="200mg"/>
    <s v="Tablet"/>
    <n v="60"/>
    <n v="37140"/>
    <n v="86907.6"/>
    <n v="2.34"/>
    <n v="0.04"/>
    <m/>
    <m/>
    <n v="1"/>
    <x v="5"/>
  </r>
  <r>
    <n v="47837"/>
    <s v="SCMS-48850"/>
    <x v="473"/>
    <x v="1"/>
    <s v="ARV"/>
    <s v="Adult"/>
    <s v="HETERO LABS LIMITED"/>
    <x v="0"/>
    <s v="CIP"/>
    <s v="Air"/>
    <d v="2009-07-16T00:00:00"/>
    <d v="2009-08-10T00:00:00"/>
    <d v="2009-08-10T00:00:00"/>
    <d v="2009-08-10T00:00:00"/>
    <x v="0"/>
    <s v="Nevirapine"/>
    <s v="Generic"/>
    <s v="200mg"/>
    <s v="Tablet"/>
    <n v="60"/>
    <n v="9300"/>
    <n v="28737"/>
    <n v="3.09"/>
    <n v="0.05"/>
    <n v="550"/>
    <n v="3054.13"/>
    <n v="1"/>
    <x v="3"/>
  </r>
  <r>
    <n v="48151"/>
    <s v="SCMS-129870"/>
    <x v="474"/>
    <x v="1"/>
    <s v="ARV"/>
    <s v="Adult"/>
    <s v="Aurobindo Pharma Limited"/>
    <x v="0"/>
    <s v="EXW"/>
    <s v="Air"/>
    <d v="2011-12-13T00:00:00"/>
    <d v="2012-01-24T00:00:00"/>
    <d v="2012-01-24T00:00:00"/>
    <d v="2012-01-24T00:00:00"/>
    <x v="39"/>
    <s v="Lamivudine/Tenofovir Disoproxil Fumarate"/>
    <s v="Generic"/>
    <s v="300/300mg"/>
    <s v="Tablet - FDC"/>
    <n v="30"/>
    <n v="42074"/>
    <n v="225095.9"/>
    <n v="5.35"/>
    <n v="0.18"/>
    <n v="4105"/>
    <n v="25382.52"/>
    <n v="1"/>
    <x v="5"/>
  </r>
  <r>
    <n v="48184"/>
    <s v="SCMS-261760"/>
    <x v="475"/>
    <x v="1"/>
    <s v="ARV"/>
    <s v="Pediatric"/>
    <s v="Aurobindo Pharma Limited"/>
    <x v="0"/>
    <s v="EXW"/>
    <s v="Air"/>
    <d v="2014-12-15T00:00:00"/>
    <d v="2015-01-15T00:00:00"/>
    <d v="2015-01-15T00:00:00"/>
    <d v="2015-02-24T00:00:00"/>
    <x v="60"/>
    <s v="Lopinavir/Ritonavir"/>
    <s v="Generic"/>
    <s v="100/25mg"/>
    <s v="Tablet"/>
    <n v="60"/>
    <n v="1592"/>
    <n v="12799.68"/>
    <n v="8.0399999999999991"/>
    <n v="0.13"/>
    <n v="167"/>
    <n v="1923.14"/>
    <n v="1"/>
    <x v="8"/>
  </r>
  <r>
    <n v="48261"/>
    <s v="SCMS-294120"/>
    <x v="476"/>
    <x v="1"/>
    <s v="ARV"/>
    <s v="Pediatric"/>
    <s v="ABBVIE LOGISTICS (FORMERLY ABBOTT LOGISTICS BV)"/>
    <x v="0"/>
    <s v="FCA"/>
    <s v="Air"/>
    <d v="2015-07-07T00:00:00"/>
    <d v="2015-08-21T00:00:00"/>
    <d v="2015-08-21T00:00:00"/>
    <d v="2015-08-24T00:00:00"/>
    <x v="6"/>
    <s v="Lopinavir/Ritonavir"/>
    <s v="Kaletra"/>
    <s v="80/20mg/ml"/>
    <s v="Oral solution"/>
    <n v="300"/>
    <n v="350"/>
    <n v="10787"/>
    <n v="30.82"/>
    <n v="0.1"/>
    <m/>
    <m/>
    <n v="1"/>
    <x v="8"/>
  </r>
  <r>
    <n v="48438"/>
    <s v="SCMS-91710"/>
    <x v="477"/>
    <x v="3"/>
    <s v="ARV"/>
    <s v="Adult"/>
    <s v="MERCK SHARP &amp; DOHME IDEA GMBH (FORMALLY MERCK SHARP &amp; DOHME B.V.)"/>
    <x v="0"/>
    <s v="CIP"/>
    <s v="Air"/>
    <d v="2010-11-18T00:00:00"/>
    <d v="2011-01-27T00:00:00"/>
    <d v="2011-01-27T00:00:00"/>
    <d v="2011-01-27T00:00:00"/>
    <x v="56"/>
    <s v="Raltegravir"/>
    <s v="Isentress"/>
    <s v="400mg"/>
    <s v="Tablet"/>
    <n v="60"/>
    <n v="223"/>
    <n v="20404.5"/>
    <n v="91.5"/>
    <n v="1.52"/>
    <n v="21"/>
    <n v="761"/>
    <n v="1"/>
    <x v="9"/>
  </r>
  <r>
    <n v="48500"/>
    <s v="SCMS-84980"/>
    <x v="478"/>
    <x v="1"/>
    <s v="ARV"/>
    <s v="Adult"/>
    <s v="HETERO LABS LIMITED"/>
    <x v="0"/>
    <s v="EXW"/>
    <s v="Ocean"/>
    <d v="2010-09-28T00:00:00"/>
    <d v="2011-03-01T00:00:00"/>
    <d v="2011-03-01T00:00:00"/>
    <d v="2011-03-01T00:00:00"/>
    <x v="0"/>
    <s v="Nevirapine"/>
    <s v="Generic"/>
    <s v="200mg"/>
    <s v="Tablet"/>
    <n v="60"/>
    <n v="176100"/>
    <n v="427923"/>
    <n v="2.4300000000000002"/>
    <n v="0.04"/>
    <n v="24219"/>
    <n v="23736.39"/>
    <n v="1"/>
    <x v="9"/>
  </r>
  <r>
    <n v="48623"/>
    <s v="SCMS-149970"/>
    <x v="479"/>
    <x v="3"/>
    <s v="ARV"/>
    <s v="Adult"/>
    <s v="MYLAN LABORATORIES LTD (FORMERLY MATRIX LABORATORIES)"/>
    <x v="0"/>
    <s v="EXW"/>
    <s v="Air"/>
    <d v="2012-06-26T00:00:00"/>
    <d v="2012-09-21T00:00:00"/>
    <d v="2012-09-21T00:00:00"/>
    <d v="2012-09-21T00:00:00"/>
    <x v="53"/>
    <s v="Atazanavir/Ritonavir"/>
    <s v="Generic"/>
    <s v="300/100mg"/>
    <s v="Tablet"/>
    <n v="30"/>
    <n v="1558"/>
    <n v="35055"/>
    <n v="22.5"/>
    <n v="0.75"/>
    <n v="195"/>
    <n v="3387.72"/>
    <n v="1"/>
    <x v="5"/>
  </r>
  <r>
    <n v="48706"/>
    <s v="SCMS-84950"/>
    <x v="480"/>
    <x v="1"/>
    <s v="ARV"/>
    <s v="Adult"/>
    <s v="HETERO LABS LIMITED"/>
    <x v="0"/>
    <s v="EXW"/>
    <s v="Ocean"/>
    <d v="2010-09-28T00:00:00"/>
    <d v="2011-03-01T00:00:00"/>
    <d v="2011-03-01T00:00:00"/>
    <d v="2011-03-01T00:00:00"/>
    <x v="8"/>
    <s v="Efavirenz"/>
    <s v="Generic"/>
    <s v="600mg"/>
    <s v="Tablet"/>
    <n v="30"/>
    <n v="38113"/>
    <n v="157406.69"/>
    <n v="4.13"/>
    <n v="0.14000000000000001"/>
    <n v="3077"/>
    <n v="6499.25"/>
    <n v="1"/>
    <x v="9"/>
  </r>
  <r>
    <n v="48945"/>
    <s v="SCMS-198720"/>
    <x v="481"/>
    <x v="3"/>
    <s v="ARV"/>
    <s v="Adult"/>
    <s v="MYLAN LABORATORIES LTD (FORMERLY MATRIX LABORATORIES)"/>
    <x v="0"/>
    <s v="EXW"/>
    <s v="Ocean"/>
    <d v="2013-07-31T00:00:00"/>
    <d v="2013-11-06T00:00:00"/>
    <d v="2013-11-06T00:00:00"/>
    <d v="2013-11-13T00:00:00"/>
    <x v="1"/>
    <s v="Lamivudine/Zidovudine"/>
    <s v="Generic"/>
    <s v="150/300mg"/>
    <s v="Tablet - FDC"/>
    <n v="60"/>
    <n v="165179"/>
    <n v="1072011.71"/>
    <n v="6.49"/>
    <n v="0.11"/>
    <n v="37127"/>
    <n v="33981.11"/>
    <n v="1"/>
    <x v="6"/>
  </r>
  <r>
    <n v="49003"/>
    <s v="SCMS-111640"/>
    <x v="482"/>
    <x v="0"/>
    <s v="ARV"/>
    <s v="Adult"/>
    <s v="ABBVIE LOGISTICS (FORMERLY ABBOTT LOGISTICS BV)"/>
    <x v="0"/>
    <s v="FCA"/>
    <s v="Air"/>
    <d v="2011-06-22T00:00:00"/>
    <d v="2011-10-24T00:00:00"/>
    <d v="2011-10-24T00:00:00"/>
    <d v="2011-10-24T00:00:00"/>
    <x v="14"/>
    <s v="Lopinavir/Ritonavir"/>
    <s v="Aluvia"/>
    <s v="200/50mg"/>
    <s v="Tablet"/>
    <n v="120"/>
    <n v="20000"/>
    <n v="674000"/>
    <n v="33.700000000000003"/>
    <n v="0.28000000000000003"/>
    <n v="4727"/>
    <n v="21584.02"/>
    <n v="1"/>
    <x v="9"/>
  </r>
  <r>
    <n v="49116"/>
    <s v="SCMS-225810"/>
    <x v="483"/>
    <x v="0"/>
    <s v="ARV"/>
    <s v="Pediatric"/>
    <s v="ABBVIE LOGISTICS (FORMERLY ABBOTT LOGISTICS BV)"/>
    <x v="0"/>
    <s v="FCA"/>
    <s v="Air"/>
    <d v="2014-02-14T00:00:00"/>
    <d v="2014-08-26T00:00:00"/>
    <d v="2014-08-26T00:00:00"/>
    <d v="2014-09-04T00:00:00"/>
    <x v="6"/>
    <s v="Lopinavir/Ritonavir"/>
    <s v="Kaletra"/>
    <s v="80/20mg/ml"/>
    <s v="Oral solution"/>
    <n v="300"/>
    <n v="268"/>
    <n v="8259.76"/>
    <n v="30.82"/>
    <n v="0.1"/>
    <n v="261"/>
    <n v="2569.33"/>
    <n v="1"/>
    <x v="7"/>
  </r>
  <r>
    <n v="49169"/>
    <s v="SCMS-137520"/>
    <x v="484"/>
    <x v="1"/>
    <s v="ARV"/>
    <s v="Adult"/>
    <s v="MYLAN LABORATORIES LTD (FORMERLY MATRIX LABORATORIES)"/>
    <x v="0"/>
    <s v="CIP"/>
    <s v="Air"/>
    <d v="2012-04-03T00:00:00"/>
    <d v="2012-04-26T00:00:00"/>
    <d v="2012-04-26T00:00:00"/>
    <d v="2012-04-26T00:00:00"/>
    <x v="46"/>
    <s v="Efavirenz/Lamivudine/Tenofovir Disoproxil Fumarate"/>
    <s v="Generic"/>
    <s v="600/300/300mg"/>
    <s v="Tablet - FDC"/>
    <n v="30"/>
    <n v="4560"/>
    <n v="62335.199999999997"/>
    <n v="13.67"/>
    <n v="0.46"/>
    <n v="561"/>
    <n v="5610.17"/>
    <n v="1"/>
    <x v="5"/>
  </r>
  <r>
    <n v="49214"/>
    <s v="SCMS-48940"/>
    <x v="485"/>
    <x v="1"/>
    <s v="ARV"/>
    <s v="Adult"/>
    <s v="HETERO LABS LIMITED"/>
    <x v="0"/>
    <s v="CIP"/>
    <s v="Air"/>
    <d v="2009-07-16T00:00:00"/>
    <d v="2010-04-09T00:00:00"/>
    <d v="2010-04-09T00:00:00"/>
    <d v="2010-04-09T00:00:00"/>
    <x v="0"/>
    <s v="Nevirapine"/>
    <s v="Generic"/>
    <s v="200mg"/>
    <s v="Tablet"/>
    <n v="60"/>
    <n v="60300"/>
    <n v="186327"/>
    <n v="3.09"/>
    <n v="0.05"/>
    <n v="3539"/>
    <n v="16769.43"/>
    <n v="1"/>
    <x v="4"/>
  </r>
  <r>
    <n v="49320"/>
    <s v="SCMS-142250"/>
    <x v="486"/>
    <x v="3"/>
    <s v="ARV"/>
    <s v="Adult"/>
    <s v="ABBVIE LOGISTICS (FORMERLY ABBOTT LOGISTICS BV)"/>
    <x v="0"/>
    <s v="FCA"/>
    <s v="Air"/>
    <d v="2012-04-04T00:00:00"/>
    <d v="2012-05-04T00:00:00"/>
    <d v="2012-05-04T00:00:00"/>
    <d v="2012-05-04T00:00:00"/>
    <x v="58"/>
    <s v="Ritonavir"/>
    <s v="Norvir"/>
    <s v="100mg"/>
    <s v="Tablet"/>
    <n v="60"/>
    <n v="429"/>
    <n v="2938.65"/>
    <n v="6.85"/>
    <n v="0.11"/>
    <n v="62"/>
    <n v="1060.22"/>
    <n v="1"/>
    <x v="5"/>
  </r>
  <r>
    <n v="49498"/>
    <s v="SCMS-159290"/>
    <x v="487"/>
    <x v="3"/>
    <s v="ARV"/>
    <s v="Adult"/>
    <s v="MERCK SHARP &amp; DOHME IDEA GMBH (FORMALLY MERCK SHARP &amp; DOHME B.V.)"/>
    <x v="0"/>
    <s v="CIP"/>
    <s v="Air"/>
    <d v="2012-09-07T00:00:00"/>
    <d v="2012-10-05T00:00:00"/>
    <d v="2012-10-05T00:00:00"/>
    <d v="2012-10-05T00:00:00"/>
    <x v="56"/>
    <s v="Raltegravir"/>
    <s v="Isentress"/>
    <s v="400mg"/>
    <s v="Tablet"/>
    <n v="60"/>
    <n v="390"/>
    <n v="21645"/>
    <n v="55.5"/>
    <n v="0.92"/>
    <n v="39"/>
    <n v="433"/>
    <n v="1"/>
    <x v="5"/>
  </r>
  <r>
    <n v="49540"/>
    <s v="SCMS-176740"/>
    <x v="488"/>
    <x v="5"/>
    <s v="ARV"/>
    <s v="Pediatric"/>
    <s v="Aurobindo Pharma Limited"/>
    <x v="0"/>
    <s v="EXW"/>
    <s v="Air"/>
    <d v="2013-02-08T00:00:00"/>
    <d v="2013-05-23T00:00:00"/>
    <d v="2013-05-23T00:00:00"/>
    <d v="2013-05-23T00:00:00"/>
    <x v="65"/>
    <s v="Nevirapine"/>
    <s v="Generic"/>
    <s v="50mg"/>
    <s v="Chewable/dispersible tablet"/>
    <n v="30"/>
    <n v="625"/>
    <n v="781.25"/>
    <n v="1.25"/>
    <n v="0.04"/>
    <n v="34"/>
    <n v="1191.93"/>
    <n v="1"/>
    <x v="6"/>
  </r>
  <r>
    <n v="49653"/>
    <s v="SCMS-192170"/>
    <x v="465"/>
    <x v="3"/>
    <s v="ARV"/>
    <s v="Adult"/>
    <s v="ASPEN PHARMACARE"/>
    <x v="0"/>
    <s v="CIP"/>
    <s v="Air"/>
    <d v="2013-07-03T00:00:00"/>
    <d v="2013-11-20T00:00:00"/>
    <d v="2013-11-20T00:00:00"/>
    <d v="2013-11-21T00:00:00"/>
    <x v="59"/>
    <s v="Darunavir"/>
    <s v="Prezista"/>
    <s v="300mg"/>
    <s v="Tablet"/>
    <n v="120"/>
    <n v="287"/>
    <n v="19114.2"/>
    <n v="66.599999999999994"/>
    <n v="0.55000000000000004"/>
    <m/>
    <m/>
    <n v="1"/>
    <x v="6"/>
  </r>
  <r>
    <n v="49837"/>
    <s v="SCMS-126450"/>
    <x v="489"/>
    <x v="1"/>
    <s v="ARV"/>
    <s v="Adult"/>
    <s v="ABBVIE LOGISTICS (FORMERLY ABBOTT LOGISTICS BV)"/>
    <x v="0"/>
    <s v="FCA"/>
    <s v="Air"/>
    <d v="2011-11-11T00:00:00"/>
    <d v="2012-02-27T00:00:00"/>
    <d v="2012-02-27T00:00:00"/>
    <d v="2012-02-27T00:00:00"/>
    <x v="58"/>
    <s v="Ritonavir"/>
    <s v="Norvir"/>
    <s v="100mg"/>
    <s v="Tablet"/>
    <n v="60"/>
    <n v="110"/>
    <n v="753.5"/>
    <n v="6.85"/>
    <n v="0.11"/>
    <n v="43"/>
    <n v="1046.02"/>
    <n v="1"/>
    <x v="5"/>
  </r>
  <r>
    <n v="50309"/>
    <s v="SCMS-177120"/>
    <x v="490"/>
    <x v="3"/>
    <s v="ARV"/>
    <s v="Pediatric"/>
    <s v="MICRO LABS LIMITED"/>
    <x v="0"/>
    <s v="EXW"/>
    <s v="Air"/>
    <d v="2013-02-07T00:00:00"/>
    <d v="2013-04-10T00:00:00"/>
    <d v="2013-04-10T00:00:00"/>
    <d v="2013-04-10T00:00:00"/>
    <x v="41"/>
    <s v="Efavirenz"/>
    <s v="Generic"/>
    <s v="50mg"/>
    <s v="Capsule"/>
    <n v="30"/>
    <n v="168"/>
    <n v="336"/>
    <n v="2"/>
    <n v="7.0000000000000007E-2"/>
    <n v="8"/>
    <n v="1021.34"/>
    <n v="1"/>
    <x v="6"/>
  </r>
  <r>
    <n v="50383"/>
    <s v="SCMS-117230"/>
    <x v="299"/>
    <x v="0"/>
    <s v="ARV"/>
    <s v="Pediatric"/>
    <s v="LAWRENCE LABORATORIES (SUBSIDIARY OF BRISTOL MYERS SQUIBB)"/>
    <x v="0"/>
    <s v="FCA"/>
    <s v="Air"/>
    <d v="2011-08-04T00:00:00"/>
    <d v="2012-03-29T00:00:00"/>
    <d v="2012-03-29T00:00:00"/>
    <d v="2012-03-29T00:00:00"/>
    <x v="66"/>
    <s v="Didanosine"/>
    <s v="Videx"/>
    <s v="25mg"/>
    <s v="Chewable/dispersible tablet"/>
    <n v="60"/>
    <n v="3000"/>
    <n v="21000"/>
    <n v="7"/>
    <n v="0.12"/>
    <m/>
    <m/>
    <n v="1"/>
    <x v="5"/>
  </r>
  <r>
    <n v="50483"/>
    <s v="SCMS-48830"/>
    <x v="491"/>
    <x v="1"/>
    <s v="ARV"/>
    <s v="Adult"/>
    <s v="Aurobindo Pharma Limited"/>
    <x v="0"/>
    <s v="CIP"/>
    <s v="Air"/>
    <d v="2009-07-16T00:00:00"/>
    <d v="2009-11-19T00:00:00"/>
    <d v="2009-11-19T00:00:00"/>
    <d v="2009-11-19T00:00:00"/>
    <x v="35"/>
    <s v="Tenofovir Disoproxil Fumarate"/>
    <s v="Generic"/>
    <s v="300mg"/>
    <s v="Tablet"/>
    <n v="30"/>
    <n v="250"/>
    <n v="2.5"/>
    <n v="0.01"/>
    <n v="0"/>
    <n v="24"/>
    <n v="280.23"/>
    <n v="1"/>
    <x v="3"/>
  </r>
  <r>
    <n v="50802"/>
    <s v="SCMS-212160"/>
    <x v="492"/>
    <x v="0"/>
    <s v="ARV"/>
    <s v="Adult"/>
    <s v="Aurobindo Pharma Limited"/>
    <x v="0"/>
    <s v="EXW"/>
    <s v="Air"/>
    <d v="2013-10-28T00:00:00"/>
    <d v="2013-12-31T00:00:00"/>
    <d v="2013-12-31T00:00:00"/>
    <d v="2014-01-03T00:00:00"/>
    <x v="29"/>
    <s v="Zidovudine"/>
    <s v="Generic"/>
    <s v="300mg"/>
    <s v="Tablet"/>
    <n v="60"/>
    <n v="11500"/>
    <n v="62445"/>
    <n v="5.43"/>
    <n v="0.09"/>
    <n v="632"/>
    <n v="4168.1899999999996"/>
    <n v="1"/>
    <x v="7"/>
  </r>
  <r>
    <n v="50876"/>
    <s v="SCMS-152980"/>
    <x v="493"/>
    <x v="1"/>
    <s v="ARV"/>
    <s v="Adult"/>
    <s v="HETERO LABS LIMITED"/>
    <x v="0"/>
    <s v="EXW"/>
    <s v="Ocean"/>
    <d v="2012-07-16T00:00:00"/>
    <d v="2013-01-11T00:00:00"/>
    <d v="2013-01-11T00:00:00"/>
    <d v="2013-01-11T00:00:00"/>
    <x v="13"/>
    <s v="Lamivudine/Nevirapine/Stavudine"/>
    <s v="Generic"/>
    <s v="150/200/30mg"/>
    <s v="Tablet - FDC"/>
    <n v="60"/>
    <n v="63410"/>
    <n v="278369.90000000002"/>
    <n v="4.3899999999999997"/>
    <n v="7.0000000000000007E-2"/>
    <n v="6589"/>
    <n v="17075.43"/>
    <n v="1"/>
    <x v="6"/>
  </r>
  <r>
    <n v="50918"/>
    <s v="SCMS-84960"/>
    <x v="494"/>
    <x v="1"/>
    <s v="ARV"/>
    <s v="Adult"/>
    <s v="HETERO LABS LIMITED"/>
    <x v="0"/>
    <s v="EXW"/>
    <s v="Ocean"/>
    <d v="2010-09-28T00:00:00"/>
    <d v="2011-03-01T00:00:00"/>
    <d v="2011-03-01T00:00:00"/>
    <d v="2011-03-01T00:00:00"/>
    <x v="0"/>
    <s v="Nevirapine"/>
    <s v="Generic"/>
    <s v="200mg"/>
    <s v="Tablet"/>
    <n v="60"/>
    <n v="206475"/>
    <n v="501734.25"/>
    <n v="2.4300000000000002"/>
    <n v="0.04"/>
    <n v="12077"/>
    <n v="19328.36"/>
    <n v="1"/>
    <x v="9"/>
  </r>
  <r>
    <n v="50976"/>
    <s v="SCMS-83351"/>
    <x v="495"/>
    <x v="1"/>
    <s v="ARV"/>
    <s v="Adult"/>
    <s v="MYLAN LABORATORIES LTD (FORMERLY MATRIX LABORATORIES)"/>
    <x v="0"/>
    <s v="CIP"/>
    <s v="Air"/>
    <d v="2010-09-28T00:00:00"/>
    <d v="2011-01-28T00:00:00"/>
    <d v="2011-01-28T00:00:00"/>
    <d v="2011-01-28T00:00:00"/>
    <x v="46"/>
    <s v="Efavirenz/Lamivudine/Tenofovir Disoproxil Fumarate"/>
    <s v="Generic"/>
    <s v="600/300/300mg"/>
    <s v="Tablet - FDC"/>
    <n v="30"/>
    <n v="5244"/>
    <n v="91665.12"/>
    <n v="17.48"/>
    <n v="0.57999999999999996"/>
    <m/>
    <m/>
    <n v="1"/>
    <x v="9"/>
  </r>
  <r>
    <n v="51928"/>
    <s v="SCMS-58060"/>
    <x v="496"/>
    <x v="2"/>
    <s v="ARV"/>
    <s v="Adult"/>
    <s v="MYLAN LABORATORIES LTD (FORMERLY MATRIX LABORATORIES)"/>
    <x v="0"/>
    <s v="EXW"/>
    <s v="Air"/>
    <d v="2009-11-25T00:00:00"/>
    <d v="2009-12-30T00:00:00"/>
    <d v="2009-12-30T00:00:00"/>
    <d v="2009-12-30T00:00:00"/>
    <x v="16"/>
    <s v="Lamivudine"/>
    <s v="Generic"/>
    <s v="150mg"/>
    <s v="Tablet"/>
    <n v="60"/>
    <n v="50000"/>
    <n v="130000"/>
    <n v="2.6"/>
    <n v="0.04"/>
    <n v="2504"/>
    <n v="7354.24"/>
    <n v="1"/>
    <x v="3"/>
  </r>
  <r>
    <n v="51990"/>
    <s v="SCMS-84970"/>
    <x v="497"/>
    <x v="1"/>
    <s v="ARV"/>
    <s v="Adult"/>
    <s v="HETERO LABS LIMITED"/>
    <x v="0"/>
    <s v="EXW"/>
    <s v="Ocean"/>
    <d v="2010-09-28T00:00:00"/>
    <d v="2011-05-31T00:00:00"/>
    <d v="2011-05-31T00:00:00"/>
    <d v="2011-05-31T00:00:00"/>
    <x v="39"/>
    <s v="Lamivudine/Tenofovir Disoproxil Fumarate"/>
    <s v="Generic"/>
    <s v="300/300mg"/>
    <s v="Tablet - FDC"/>
    <n v="30"/>
    <n v="82981"/>
    <n v="776702.16"/>
    <n v="9.36"/>
    <n v="0.31"/>
    <n v="6683"/>
    <n v="14760.6"/>
    <n v="1"/>
    <x v="9"/>
  </r>
  <r>
    <n v="52093"/>
    <s v="SCMS-43860"/>
    <x v="498"/>
    <x v="1"/>
    <s v="ARV"/>
    <s v="Adult"/>
    <s v="MYLAN LABORATORIES LTD (FORMERLY MATRIX LABORATORIES)"/>
    <x v="0"/>
    <s v="CIP"/>
    <s v="Air"/>
    <d v="2010-04-15T00:00:00"/>
    <d v="2010-10-10T00:00:00"/>
    <d v="2010-10-10T00:00:00"/>
    <d v="2010-10-10T00:00:00"/>
    <x v="1"/>
    <s v="Lamivudine/Zidovudine"/>
    <s v="Generic"/>
    <s v="150/300mg"/>
    <s v="Tablet - FDC"/>
    <n v="60"/>
    <n v="21080"/>
    <n v="189720"/>
    <n v="9"/>
    <n v="0.15"/>
    <n v="1716"/>
    <n v="17074.8"/>
    <n v="1"/>
    <x v="4"/>
  </r>
  <r>
    <n v="52228"/>
    <s v="SCMS-193930"/>
    <x v="499"/>
    <x v="1"/>
    <s v="ARV"/>
    <s v="Adult"/>
    <s v="MERCK SHARP &amp; DOHME IDEA GMBH (FORMALLY MERCK SHARP &amp; DOHME B.V.)"/>
    <x v="0"/>
    <s v="CIP"/>
    <s v="Air"/>
    <d v="2013-06-13T00:00:00"/>
    <d v="2013-10-19T00:00:00"/>
    <d v="2013-10-19T00:00:00"/>
    <d v="2013-10-22T00:00:00"/>
    <x v="38"/>
    <s v="Indinavir"/>
    <s v="Crixivan"/>
    <s v="400mg"/>
    <s v="Capsule"/>
    <n v="180"/>
    <n v="36"/>
    <n v="1800"/>
    <n v="50"/>
    <n v="0.28000000000000003"/>
    <m/>
    <m/>
    <n v="1"/>
    <x v="6"/>
  </r>
  <r>
    <n v="52244"/>
    <s v="SCMS-129750"/>
    <x v="500"/>
    <x v="1"/>
    <s v="ARV"/>
    <s v="Adult"/>
    <s v="CIPLA LIMITED"/>
    <x v="0"/>
    <s v="CIP"/>
    <s v="Air"/>
    <d v="2012-03-13T00:00:00"/>
    <d v="2012-05-23T00:00:00"/>
    <d v="2012-05-23T00:00:00"/>
    <d v="2012-05-23T00:00:00"/>
    <x v="35"/>
    <s v="Tenofovir Disoproxil Fumarate"/>
    <s v="Generic"/>
    <s v="300mg"/>
    <s v="Tablet"/>
    <n v="30"/>
    <n v="768"/>
    <n v="4369.92"/>
    <n v="5.69"/>
    <n v="0.19"/>
    <n v="55"/>
    <n v="393.29"/>
    <n v="1"/>
    <x v="5"/>
  </r>
  <r>
    <n v="52364"/>
    <s v="SCMS-244450"/>
    <x v="501"/>
    <x v="3"/>
    <s v="ARV"/>
    <s v="Pediatric"/>
    <s v="ABBVIE LOGISTICS (FORMERLY ABBOTT LOGISTICS BV)"/>
    <x v="0"/>
    <s v="FCA"/>
    <s v="Air"/>
    <d v="2014-06-23T00:00:00"/>
    <d v="2014-11-06T00:00:00"/>
    <d v="2014-11-06T00:00:00"/>
    <d v="2014-11-07T00:00:00"/>
    <x v="7"/>
    <s v="Lopinavir/Ritonavir"/>
    <s v="Generic"/>
    <s v="100/25mg"/>
    <s v="Tablet"/>
    <n v="60"/>
    <n v="724"/>
    <n v="4300.5600000000004"/>
    <n v="5.94"/>
    <n v="0.1"/>
    <n v="82"/>
    <n v="1042.3599999999999"/>
    <n v="1"/>
    <x v="7"/>
  </r>
  <r>
    <n v="52398"/>
    <s v="SCMS-198700"/>
    <x v="502"/>
    <x v="3"/>
    <s v="ARV"/>
    <s v="Adult"/>
    <s v="STRIDES ARCOLAB LIMITED"/>
    <x v="0"/>
    <s v="EXW"/>
    <s v="Ocean"/>
    <d v="2013-07-30T00:00:00"/>
    <d v="2013-11-08T00:00:00"/>
    <d v="2013-11-08T00:00:00"/>
    <d v="2013-11-13T00:00:00"/>
    <x v="8"/>
    <s v="Efavirenz"/>
    <s v="Generic"/>
    <s v="600mg"/>
    <s v="Tablet"/>
    <n v="30"/>
    <n v="71348"/>
    <n v="227600.12"/>
    <n v="3.19"/>
    <n v="0.11"/>
    <n v="4334"/>
    <n v="8144.11"/>
    <n v="1"/>
    <x v="6"/>
  </r>
  <r>
    <n v="52460"/>
    <s v="SCMS-126470"/>
    <x v="503"/>
    <x v="1"/>
    <s v="ARV"/>
    <s v="Pediatric"/>
    <s v="ABBVIE LOGISTICS (FORMERLY ABBOTT LOGISTICS BV)"/>
    <x v="0"/>
    <s v="FCA"/>
    <s v="Air"/>
    <d v="2011-11-11T00:00:00"/>
    <d v="2012-01-27T00:00:00"/>
    <d v="2012-01-27T00:00:00"/>
    <d v="2012-01-27T00:00:00"/>
    <x v="7"/>
    <s v="Lopinavir/Ritonavir"/>
    <s v="Generic"/>
    <s v="100/25mg"/>
    <s v="Tablet"/>
    <n v="60"/>
    <n v="1395"/>
    <n v="10755.45"/>
    <n v="7.71"/>
    <n v="0.13"/>
    <n v="188"/>
    <n v="3035.87"/>
    <n v="1"/>
    <x v="5"/>
  </r>
  <r>
    <n v="52465"/>
    <s v="SCMS-192030"/>
    <x v="504"/>
    <x v="3"/>
    <s v="ARV"/>
    <s v="Adult"/>
    <s v="MYLAN LABORATORIES LTD (FORMERLY MATRIX LABORATORIES)"/>
    <x v="0"/>
    <s v="EXW"/>
    <s v="Air"/>
    <d v="2013-06-14T00:00:00"/>
    <d v="2013-08-16T00:00:00"/>
    <d v="2013-08-16T00:00:00"/>
    <d v="2013-08-16T00:00:00"/>
    <x v="11"/>
    <s v="Lamivudine/Nevirapine/Zidovudine"/>
    <s v="Generic"/>
    <s v="150/300/200mg"/>
    <s v="Tablet - FDC"/>
    <n v="60"/>
    <n v="60678"/>
    <n v="491491.8"/>
    <n v="8.1"/>
    <n v="0.13"/>
    <n v="8402"/>
    <n v="28304.85"/>
    <n v="1"/>
    <x v="6"/>
  </r>
  <r>
    <n v="52540"/>
    <s v="SCMS-98310"/>
    <x v="505"/>
    <x v="2"/>
    <s v="ARV"/>
    <s v="Adult"/>
    <s v="Aurobindo Pharma Limited"/>
    <x v="0"/>
    <s v="EXW"/>
    <s v="Air"/>
    <d v="2011-02-01T00:00:00"/>
    <d v="2011-05-04T00:00:00"/>
    <d v="2011-05-04T00:00:00"/>
    <d v="2011-05-04T00:00:00"/>
    <x v="48"/>
    <s v="Didanosine"/>
    <s v="Generic"/>
    <s v="250mg"/>
    <s v="Delayed-release capsules"/>
    <n v="30"/>
    <n v="1625"/>
    <n v="21125"/>
    <n v="13"/>
    <n v="0.43"/>
    <n v="111"/>
    <n v="1206.6199999999999"/>
    <n v="1"/>
    <x v="9"/>
  </r>
  <r>
    <n v="52617"/>
    <s v="SCMS-129870"/>
    <x v="506"/>
    <x v="1"/>
    <s v="ARV"/>
    <s v="Adult"/>
    <s v="Aurobindo Pharma Limited"/>
    <x v="0"/>
    <s v="EXW"/>
    <s v="Air"/>
    <d v="2011-12-13T00:00:00"/>
    <d v="2012-01-24T00:00:00"/>
    <d v="2012-01-24T00:00:00"/>
    <d v="2012-01-24T00:00:00"/>
    <x v="39"/>
    <s v="Lamivudine/Tenofovir Disoproxil Fumarate"/>
    <s v="Generic"/>
    <s v="300/300mg"/>
    <s v="Tablet - FDC"/>
    <n v="30"/>
    <n v="2800"/>
    <n v="14980"/>
    <n v="5.35"/>
    <n v="0.18"/>
    <n v="273"/>
    <n v="2964.49"/>
    <n v="1"/>
    <x v="5"/>
  </r>
  <r>
    <n v="52677"/>
    <s v="SCMS-212630"/>
    <x v="507"/>
    <x v="3"/>
    <s v="ARV"/>
    <s v="Pediatric"/>
    <s v="ABBVIE LOGISTICS (FORMERLY ABBOTT LOGISTICS BV)"/>
    <x v="0"/>
    <s v="EXW"/>
    <s v="Air"/>
    <d v="2013-10-30T00:00:00"/>
    <d v="2014-03-04T00:00:00"/>
    <d v="2014-03-04T00:00:00"/>
    <d v="2014-03-05T00:00:00"/>
    <x v="6"/>
    <s v="Lopinavir/Ritonavir"/>
    <s v="Kaletra"/>
    <s v="80/20mg/ml"/>
    <s v="Oral solution"/>
    <n v="300"/>
    <n v="188"/>
    <n v="5794.16"/>
    <n v="30.82"/>
    <n v="0.1"/>
    <n v="221"/>
    <n v="2553.06"/>
    <n v="1"/>
    <x v="7"/>
  </r>
  <r>
    <n v="52704"/>
    <s v="SCMS-58250"/>
    <x v="508"/>
    <x v="3"/>
    <s v="ARV"/>
    <s v="Pediatric"/>
    <s v="EMCURE PHARMACEUTICALS LTD"/>
    <x v="0"/>
    <s v="EXW"/>
    <s v="Air"/>
    <d v="2009-12-02T00:00:00"/>
    <d v="2010-03-09T00:00:00"/>
    <d v="2010-03-09T00:00:00"/>
    <d v="2010-03-09T00:00:00"/>
    <x v="52"/>
    <s v="Atazanavir"/>
    <s v="Generic"/>
    <s v="150mg"/>
    <s v="Capsule"/>
    <n v="60"/>
    <n v="384"/>
    <n v="10018.56"/>
    <n v="26.09"/>
    <n v="0.43"/>
    <n v="40"/>
    <n v="990.07"/>
    <n v="1"/>
    <x v="4"/>
  </r>
  <r>
    <n v="53002"/>
    <s v="SCMS-147040"/>
    <x v="509"/>
    <x v="1"/>
    <s v="ARV"/>
    <s v="Adult"/>
    <s v="Aurobindo Pharma Limited"/>
    <x v="0"/>
    <s v="EXW"/>
    <s v="Air"/>
    <d v="2012-06-01T00:00:00"/>
    <d v="2012-06-29T00:00:00"/>
    <d v="2012-06-29T00:00:00"/>
    <d v="2012-06-29T00:00:00"/>
    <x v="49"/>
    <s v="Didanosine"/>
    <s v="Generic"/>
    <s v="400mg"/>
    <s v="Delayed-release capsules"/>
    <n v="30"/>
    <n v="1467"/>
    <n v="29340"/>
    <n v="20"/>
    <n v="0.67"/>
    <n v="114"/>
    <n v="4822.01"/>
    <n v="1"/>
    <x v="5"/>
  </r>
  <r>
    <n v="53108"/>
    <s v="SCMS-227730"/>
    <x v="510"/>
    <x v="1"/>
    <s v="ARV"/>
    <s v="Pediatric"/>
    <s v="MICRO LABS LIMITED"/>
    <x v="0"/>
    <s v="EXW"/>
    <s v="Air"/>
    <d v="2014-02-28T00:00:00"/>
    <d v="2014-04-04T00:00:00"/>
    <d v="2014-04-04T00:00:00"/>
    <d v="2014-04-22T00:00:00"/>
    <x v="41"/>
    <s v="Efavirenz"/>
    <s v="Generic"/>
    <s v="50mg"/>
    <s v="Capsule"/>
    <n v="30"/>
    <n v="924"/>
    <n v="1755.6"/>
    <n v="1.9"/>
    <n v="0.06"/>
    <n v="45"/>
    <n v="1411.52"/>
    <n v="1"/>
    <x v="7"/>
  </r>
  <r>
    <n v="53556"/>
    <s v="SCMS-205680"/>
    <x v="511"/>
    <x v="0"/>
    <s v="ARV"/>
    <s v="Adult"/>
    <s v="Aurobindo Pharma Limited"/>
    <x v="0"/>
    <s v="EXW"/>
    <s v="Air"/>
    <d v="2013-09-09T00:00:00"/>
    <d v="2013-11-21T00:00:00"/>
    <d v="2013-11-21T00:00:00"/>
    <d v="2013-11-21T00:00:00"/>
    <x v="9"/>
    <s v="Abacavir"/>
    <s v="Generic"/>
    <s v="300mg"/>
    <s v="Tablet"/>
    <n v="60"/>
    <n v="19000"/>
    <n v="216600"/>
    <n v="11.4"/>
    <n v="0.19"/>
    <n v="1909"/>
    <n v="9612.49"/>
    <n v="1"/>
    <x v="6"/>
  </r>
  <r>
    <n v="53625"/>
    <s v="SCMS-126380"/>
    <x v="512"/>
    <x v="3"/>
    <s v="ARV"/>
    <s v="Adult"/>
    <s v="MERCK SHARP &amp; DOHME IDEA GMBH (FORMALLY MERCK SHARP &amp; DOHME B.V.)"/>
    <x v="0"/>
    <s v="CIP"/>
    <s v="Air"/>
    <d v="2011-11-02T00:00:00"/>
    <d v="2012-02-14T00:00:00"/>
    <d v="2012-02-14T00:00:00"/>
    <d v="2012-02-14T00:00:00"/>
    <x v="56"/>
    <s v="Raltegravir"/>
    <s v="Isentress"/>
    <s v="400mg"/>
    <s v="Tablet"/>
    <n v="60"/>
    <n v="231"/>
    <n v="21136.5"/>
    <n v="91.5"/>
    <n v="1.52"/>
    <n v="23"/>
    <n v="250"/>
    <n v="1"/>
    <x v="5"/>
  </r>
  <r>
    <n v="53877"/>
    <s v="SCMS-98700"/>
    <x v="513"/>
    <x v="2"/>
    <s v="ARV"/>
    <s v="Adult"/>
    <s v="Aurobindo Pharma Limited"/>
    <x v="0"/>
    <s v="EXW"/>
    <s v="Ocean"/>
    <d v="2011-02-15T00:00:00"/>
    <d v="2011-09-21T00:00:00"/>
    <d v="2011-09-21T00:00:00"/>
    <d v="2011-09-21T00:00:00"/>
    <x v="47"/>
    <s v="Lopinavir/Ritonavir"/>
    <s v="Generic"/>
    <s v="200/50mg"/>
    <s v="Tablet"/>
    <n v="120"/>
    <n v="13703"/>
    <n v="460420.8"/>
    <n v="33.6"/>
    <n v="0.28000000000000003"/>
    <n v="3476"/>
    <n v="11729.82"/>
    <n v="1"/>
    <x v="9"/>
  </r>
  <r>
    <n v="54265"/>
    <s v="SCMS-103290"/>
    <x v="307"/>
    <x v="0"/>
    <s v="ARV"/>
    <s v="Adult"/>
    <s v="LAWRENCE LABORATORIES (SUBSIDIARY OF BRISTOL MYERS SQUIBB)"/>
    <x v="0"/>
    <s v="FCA"/>
    <s v="Air"/>
    <d v="2011-04-14T00:00:00"/>
    <d v="2011-06-27T00:00:00"/>
    <d v="2011-06-27T00:00:00"/>
    <d v="2011-06-27T00:00:00"/>
    <x v="4"/>
    <s v="Didanosine EC"/>
    <s v="Videx EC"/>
    <s v="400mg"/>
    <s v="Delayed-release capsules - blister"/>
    <n v="30"/>
    <n v="772"/>
    <n v="18273.240000000002"/>
    <n v="23.67"/>
    <n v="0.79"/>
    <m/>
    <m/>
    <n v="1"/>
    <x v="9"/>
  </r>
  <r>
    <n v="54461"/>
    <s v="SCMS-126490"/>
    <x v="332"/>
    <x v="1"/>
    <s v="ARV"/>
    <s v="Adult"/>
    <s v="Aurobindo Pharma Limited"/>
    <x v="0"/>
    <s v="EXW"/>
    <s v="Air"/>
    <d v="2011-11-09T00:00:00"/>
    <d v="2012-03-30T00:00:00"/>
    <d v="2012-03-30T00:00:00"/>
    <d v="2012-03-30T00:00:00"/>
    <x v="48"/>
    <s v="Didanosine"/>
    <s v="Generic"/>
    <s v="250mg"/>
    <s v="Delayed-release capsules"/>
    <n v="30"/>
    <n v="754"/>
    <n v="9802"/>
    <n v="13"/>
    <n v="0.43"/>
    <m/>
    <m/>
    <n v="1"/>
    <x v="5"/>
  </r>
  <r>
    <n v="54666"/>
    <s v="SCMS-203960"/>
    <x v="514"/>
    <x v="3"/>
    <s v="ARV"/>
    <s v="Adult"/>
    <s v="MYLAN LABORATORIES LTD (FORMERLY MATRIX LABORATORIES)"/>
    <x v="0"/>
    <s v="CIP"/>
    <s v="Air"/>
    <d v="2013-08-22T00:00:00"/>
    <d v="2014-01-22T00:00:00"/>
    <d v="2014-01-22T00:00:00"/>
    <d v="2014-02-21T00:00:00"/>
    <x v="62"/>
    <s v="Abacavir/Lamivudine"/>
    <s v="Generic"/>
    <s v="600/300mg"/>
    <s v="Tablet - FDC"/>
    <n v="30"/>
    <n v="8215"/>
    <n v="110820.35"/>
    <n v="13.49"/>
    <n v="0.45"/>
    <n v="805"/>
    <n v="1003.18"/>
    <n v="1"/>
    <x v="7"/>
  </r>
  <r>
    <n v="54828"/>
    <s v="SCMS-137551"/>
    <x v="515"/>
    <x v="1"/>
    <s v="ARV"/>
    <s v="Adult"/>
    <s v="MYLAN LABORATORIES LTD (FORMERLY MATRIX LABORATORIES)"/>
    <x v="0"/>
    <s v="EXW"/>
    <s v="Air"/>
    <d v="2012-05-31T00:00:00"/>
    <d v="2012-08-16T00:00:00"/>
    <d v="2012-08-16T00:00:00"/>
    <d v="2012-08-16T00:00:00"/>
    <x v="39"/>
    <s v="Lamivudine/Tenofovir Disoproxil Fumarate"/>
    <s v="Generic"/>
    <s v="300/300mg"/>
    <s v="Tablet - FDC"/>
    <n v="30"/>
    <n v="131704"/>
    <n v="683543.76"/>
    <n v="5.19"/>
    <n v="0.17"/>
    <n v="10818"/>
    <n v="119695.66"/>
    <n v="1"/>
    <x v="5"/>
  </r>
  <r>
    <n v="54952"/>
    <s v="SCMS-72370"/>
    <x v="516"/>
    <x v="2"/>
    <s v="ARV"/>
    <s v="Adult"/>
    <s v="Aurobindo Pharma Limited"/>
    <x v="0"/>
    <s v="EXW"/>
    <s v="Air"/>
    <d v="2010-04-29T00:00:00"/>
    <d v="2010-05-21T00:00:00"/>
    <d v="2010-05-21T00:00:00"/>
    <d v="2010-05-21T00:00:00"/>
    <x v="48"/>
    <s v="Didanosine"/>
    <s v="Generic"/>
    <s v="250mg"/>
    <s v="Delayed-release capsules"/>
    <n v="30"/>
    <n v="3000"/>
    <n v="39000"/>
    <n v="13"/>
    <n v="0.43"/>
    <n v="201"/>
    <n v="1120.57"/>
    <n v="1"/>
    <x v="4"/>
  </r>
  <r>
    <n v="54984"/>
    <s v="SCMS-202300"/>
    <x v="517"/>
    <x v="0"/>
    <s v="ARV"/>
    <s v="Pediatric"/>
    <s v="ABBVIE LOGISTICS (FORMERLY ABBOTT LOGISTICS BV)"/>
    <x v="0"/>
    <s v="FCA"/>
    <s v="Air"/>
    <d v="2013-08-09T00:00:00"/>
    <d v="2013-11-21T00:00:00"/>
    <d v="2013-11-21T00:00:00"/>
    <d v="2013-11-21T00:00:00"/>
    <x v="7"/>
    <s v="Lopinavir/Ritonavir"/>
    <s v="Generic"/>
    <s v="100/25mg"/>
    <s v="Tablet"/>
    <n v="60"/>
    <n v="2736"/>
    <n v="16251.84"/>
    <n v="5.94"/>
    <n v="0.1"/>
    <n v="328"/>
    <n v="3940.54"/>
    <n v="1"/>
    <x v="6"/>
  </r>
  <r>
    <n v="55017"/>
    <s v="SCMS-198801"/>
    <x v="518"/>
    <x v="0"/>
    <s v="ARV"/>
    <s v="Adult"/>
    <s v="MYLAN LABORATORIES LTD (FORMERLY MATRIX LABORATORIES)"/>
    <x v="0"/>
    <s v="EXW"/>
    <s v="Ocean"/>
    <d v="2013-08-27T00:00:00"/>
    <d v="2013-10-23T00:00:00"/>
    <d v="2013-10-23T00:00:00"/>
    <d v="2013-10-23T00:00:00"/>
    <x v="45"/>
    <s v="Efavirenz/Emtricitabine/Tenofovir Disoproxil Fumarate"/>
    <s v="Generic"/>
    <s v="600/200/300mg"/>
    <s v="Tablet - FDC"/>
    <n v="30"/>
    <n v="163929"/>
    <n v="2047473.21"/>
    <n v="12.49"/>
    <n v="0.42"/>
    <n v="21675"/>
    <n v="20312.64"/>
    <n v="1"/>
    <x v="6"/>
  </r>
  <r>
    <n v="55018"/>
    <s v="SCMS-162740"/>
    <x v="345"/>
    <x v="3"/>
    <s v="ARV"/>
    <s v="Adult"/>
    <s v="ASPEN PHARMACARE"/>
    <x v="0"/>
    <s v="DAP"/>
    <s v="Air"/>
    <d v="2012-10-25T00:00:00"/>
    <d v="2012-12-14T00:00:00"/>
    <d v="2012-12-14T00:00:00"/>
    <d v="2012-12-14T00:00:00"/>
    <x v="59"/>
    <s v="Darunavir"/>
    <s v="Prezista"/>
    <s v="300mg"/>
    <s v="Tablet"/>
    <n v="120"/>
    <n v="312"/>
    <n v="20779.2"/>
    <n v="66.599999999999994"/>
    <n v="0.55000000000000004"/>
    <m/>
    <m/>
    <n v="1"/>
    <x v="5"/>
  </r>
  <r>
    <n v="55049"/>
    <s v="SCMS-149400"/>
    <x v="519"/>
    <x v="3"/>
    <s v="ARV"/>
    <s v="Adult"/>
    <s v="Aurobindo Pharma Limited"/>
    <x v="0"/>
    <s v="EXW"/>
    <s v="Air"/>
    <d v="2012-06-12T00:00:00"/>
    <d v="2012-07-23T00:00:00"/>
    <d v="2012-07-18T00:00:00"/>
    <d v="2012-07-18T00:00:00"/>
    <x v="8"/>
    <s v="Efavirenz"/>
    <s v="Generic"/>
    <s v="600mg"/>
    <s v="Tablet"/>
    <n v="30"/>
    <n v="54383"/>
    <n v="184902.2"/>
    <n v="3.4"/>
    <n v="0.11"/>
    <n v="4668"/>
    <n v="20869.599999999999"/>
    <n v="1"/>
    <x v="5"/>
  </r>
  <r>
    <n v="55050"/>
    <s v="SCMS-83360"/>
    <x v="520"/>
    <x v="1"/>
    <s v="ARV"/>
    <s v="Adult"/>
    <s v="HETERO LABS LIMITED"/>
    <x v="0"/>
    <s v="CIP"/>
    <s v="Air"/>
    <d v="2010-09-27T00:00:00"/>
    <d v="2011-01-11T00:00:00"/>
    <d v="2011-01-11T00:00:00"/>
    <d v="2011-01-11T00:00:00"/>
    <x v="8"/>
    <s v="Efavirenz"/>
    <s v="Generic"/>
    <s v="600mg"/>
    <s v="Tablet"/>
    <n v="30"/>
    <n v="2094"/>
    <n v="9067.02"/>
    <n v="4.33"/>
    <n v="0.14000000000000001"/>
    <m/>
    <m/>
    <n v="1"/>
    <x v="9"/>
  </r>
  <r>
    <n v="55085"/>
    <s v="SCMS-129520"/>
    <x v="521"/>
    <x v="1"/>
    <s v="ARV"/>
    <s v="Pediatric"/>
    <s v="CIPLA LIMITED"/>
    <x v="0"/>
    <s v="EXW"/>
    <s v="Ocean"/>
    <d v="2012-03-09T00:00:00"/>
    <d v="2012-08-27T00:00:00"/>
    <d v="2012-08-27T00:00:00"/>
    <d v="2012-08-27T00:00:00"/>
    <x v="25"/>
    <s v="Lamivudine"/>
    <s v="Generic"/>
    <s v="10mg/ml"/>
    <s v="Oral solution"/>
    <n v="240"/>
    <n v="7840"/>
    <n v="13720"/>
    <n v="1.75"/>
    <n v="0.01"/>
    <n v="2995"/>
    <n v="20193.21"/>
    <n v="1"/>
    <x v="5"/>
  </r>
  <r>
    <n v="55180"/>
    <s v="SCMS-68290"/>
    <x v="522"/>
    <x v="3"/>
    <s v="ARV"/>
    <s v="Adult"/>
    <s v="ABBVIE LOGISTICS (FORMERLY ABBOTT LOGISTICS BV)"/>
    <x v="0"/>
    <s v="FCA"/>
    <s v="Air"/>
    <d v="2010-03-18T00:00:00"/>
    <d v="2010-05-04T00:00:00"/>
    <d v="2010-05-04T00:00:00"/>
    <d v="2010-05-04T00:00:00"/>
    <x v="14"/>
    <s v="Lopinavir/Ritonavir"/>
    <s v="Aluvia"/>
    <s v="200/50mg"/>
    <s v="Tablet"/>
    <n v="120"/>
    <n v="100"/>
    <n v="3616"/>
    <n v="36.159999999999997"/>
    <n v="0.3"/>
    <n v="36"/>
    <n v="1084.27"/>
    <n v="1"/>
    <x v="4"/>
  </r>
  <r>
    <n v="55401"/>
    <s v="SCMS-202310"/>
    <x v="523"/>
    <x v="0"/>
    <s v="ARV"/>
    <s v="Pediatric"/>
    <s v="ABBVIE LOGISTICS (FORMERLY ABBOTT LOGISTICS BV)"/>
    <x v="0"/>
    <s v="FCA"/>
    <s v="Air"/>
    <d v="2013-08-09T00:00:00"/>
    <d v="2013-11-21T00:00:00"/>
    <d v="2013-11-21T00:00:00"/>
    <d v="2013-11-21T00:00:00"/>
    <x v="6"/>
    <s v="Lopinavir/Ritonavir"/>
    <s v="Kaletra"/>
    <s v="80/20mg/ml"/>
    <s v="Oral solution"/>
    <n v="300"/>
    <n v="264"/>
    <n v="8136.48"/>
    <n v="30.82"/>
    <n v="0.1"/>
    <n v="257"/>
    <n v="2160.36"/>
    <n v="1"/>
    <x v="6"/>
  </r>
  <r>
    <n v="55737"/>
    <s v="SCMS-76980"/>
    <x v="524"/>
    <x v="0"/>
    <s v="ARV"/>
    <s v="Adult"/>
    <s v="Aurobindo Pharma Limited"/>
    <x v="0"/>
    <s v="EXW"/>
    <s v="Air"/>
    <d v="2010-06-24T00:00:00"/>
    <d v="2010-08-07T00:00:00"/>
    <d v="2010-08-07T00:00:00"/>
    <d v="2010-08-07T00:00:00"/>
    <x v="0"/>
    <s v="Nevirapine"/>
    <s v="Generic"/>
    <s v="200mg"/>
    <s v="Tablet"/>
    <n v="60"/>
    <n v="28755"/>
    <n v="74763"/>
    <n v="2.6"/>
    <n v="0.04"/>
    <n v="3392"/>
    <n v="20294.849999999999"/>
    <n v="1"/>
    <x v="4"/>
  </r>
  <r>
    <n v="55783"/>
    <s v="SCMS-48910"/>
    <x v="525"/>
    <x v="1"/>
    <s v="ARV"/>
    <s v="Adult"/>
    <s v="Aurobindo Pharma Limited"/>
    <x v="0"/>
    <s v="CIP"/>
    <s v="Air"/>
    <d v="2009-07-17T00:00:00"/>
    <d v="2010-01-27T00:00:00"/>
    <d v="2010-01-27T00:00:00"/>
    <d v="2010-01-27T00:00:00"/>
    <x v="9"/>
    <s v="Abacavir"/>
    <s v="Generic"/>
    <s v="300mg"/>
    <s v="Tablet"/>
    <n v="60"/>
    <n v="9270"/>
    <n v="179189.1"/>
    <n v="19.329999999999998"/>
    <n v="0.32"/>
    <n v="1010"/>
    <n v="16847.52"/>
    <n v="1"/>
    <x v="4"/>
  </r>
  <r>
    <n v="56416"/>
    <s v="SCMS-149400"/>
    <x v="526"/>
    <x v="3"/>
    <s v="ARV"/>
    <s v="Adult"/>
    <s v="Aurobindo Pharma Limited"/>
    <x v="0"/>
    <s v="EXW"/>
    <s v="Air"/>
    <d v="2012-06-12T00:00:00"/>
    <d v="2012-07-23T00:00:00"/>
    <d v="2012-07-23T00:00:00"/>
    <d v="2012-07-23T00:00:00"/>
    <x v="8"/>
    <s v="Efavirenz"/>
    <s v="Generic"/>
    <s v="600mg"/>
    <s v="Tablet"/>
    <n v="30"/>
    <n v="20617"/>
    <n v="70097.8"/>
    <n v="3.4"/>
    <n v="0.11"/>
    <n v="1770"/>
    <n v="7651.56"/>
    <n v="1"/>
    <x v="5"/>
  </r>
  <r>
    <n v="56550"/>
    <s v="SCMS-47741"/>
    <x v="527"/>
    <x v="0"/>
    <s v="ARV"/>
    <s v="Adult"/>
    <s v="ABBVIE LOGISTICS (FORMERLY ABBOTT LOGISTICS BV)"/>
    <x v="0"/>
    <s v="FCA"/>
    <s v="Air"/>
    <d v="2009-06-23T00:00:00"/>
    <d v="2009-11-17T00:00:00"/>
    <d v="2009-11-17T00:00:00"/>
    <d v="2009-11-17T00:00:00"/>
    <x v="30"/>
    <s v="Ritonavir"/>
    <s v="Norvir"/>
    <s v="100mg"/>
    <s v="Capsule"/>
    <n v="336"/>
    <n v="645"/>
    <n v="24742.2"/>
    <n v="38.36"/>
    <n v="0.11"/>
    <n v="1210"/>
    <n v="7015.04"/>
    <n v="1"/>
    <x v="3"/>
  </r>
  <r>
    <n v="56748"/>
    <s v="SCMS-177120"/>
    <x v="490"/>
    <x v="3"/>
    <s v="ARV"/>
    <s v="Pediatric"/>
    <s v="MICRO LABS LIMITED"/>
    <x v="0"/>
    <s v="EXW"/>
    <s v="Air"/>
    <d v="2013-02-07T00:00:00"/>
    <d v="2013-04-10T00:00:00"/>
    <d v="2013-04-10T00:00:00"/>
    <d v="2013-04-10T00:00:00"/>
    <x v="41"/>
    <s v="Efavirenz"/>
    <s v="Generic"/>
    <s v="50mg"/>
    <s v="Capsule"/>
    <n v="30"/>
    <n v="56"/>
    <n v="112"/>
    <n v="2"/>
    <n v="7.0000000000000007E-2"/>
    <m/>
    <m/>
    <n v="1"/>
    <x v="6"/>
  </r>
  <r>
    <n v="56906"/>
    <s v="SCMS-192360"/>
    <x v="528"/>
    <x v="3"/>
    <s v="ARV"/>
    <s v="Adult"/>
    <s v="MYLAN LABORATORIES LTD (FORMERLY MATRIX LABORATORIES)"/>
    <x v="0"/>
    <s v="EXW"/>
    <s v="Air"/>
    <d v="2013-06-24T00:00:00"/>
    <d v="2013-11-21T00:00:00"/>
    <d v="2013-11-21T00:00:00"/>
    <d v="2013-11-22T00:00:00"/>
    <x v="61"/>
    <s v="Atazanavir"/>
    <s v="Generic"/>
    <s v="300mg"/>
    <s v="Capsule"/>
    <n v="30"/>
    <n v="7035"/>
    <n v="105525"/>
    <n v="15"/>
    <n v="0.5"/>
    <n v="440"/>
    <n v="2242.71"/>
    <n v="1"/>
    <x v="6"/>
  </r>
  <r>
    <n v="56940"/>
    <s v="SCMS-198530"/>
    <x v="529"/>
    <x v="3"/>
    <s v="ARV"/>
    <s v="Adult"/>
    <s v="CIPLA LIMITED"/>
    <x v="0"/>
    <s v="EXW"/>
    <s v="Air"/>
    <d v="2013-07-31T00:00:00"/>
    <d v="2013-10-30T00:00:00"/>
    <d v="2013-10-30T00:00:00"/>
    <d v="2013-10-30T00:00:00"/>
    <x v="39"/>
    <s v="Lamivudine/Tenofovir Disoproxil Fumarate"/>
    <s v="Generic"/>
    <s v="300/300mg"/>
    <s v="Tablet - FDC"/>
    <n v="30"/>
    <n v="16716"/>
    <n v="76893.600000000006"/>
    <n v="4.5999999999999996"/>
    <n v="0.15"/>
    <n v="1874"/>
    <n v="7487.81"/>
    <n v="1"/>
    <x v="6"/>
  </r>
  <r>
    <n v="57087"/>
    <s v="SCMS-244540"/>
    <x v="530"/>
    <x v="3"/>
    <s v="ARV"/>
    <s v="Adult"/>
    <s v="MYLAN LABORATORIES LTD (FORMERLY MATRIX LABORATORIES)"/>
    <x v="0"/>
    <s v="EXW"/>
    <s v="Air"/>
    <d v="2014-06-20T00:00:00"/>
    <d v="2014-10-28T00:00:00"/>
    <d v="2014-10-28T00:00:00"/>
    <d v="2014-10-29T00:00:00"/>
    <x v="53"/>
    <s v="Atazanavir/Ritonavir"/>
    <s v="Generic"/>
    <s v="300/100mg"/>
    <s v="Tablet"/>
    <n v="30"/>
    <n v="3115"/>
    <n v="62300"/>
    <n v="20"/>
    <n v="0.67"/>
    <n v="420"/>
    <n v="2335.73"/>
    <n v="1"/>
    <x v="7"/>
  </r>
  <r>
    <n v="57392"/>
    <s v="SCMS-149411"/>
    <x v="531"/>
    <x v="3"/>
    <s v="ARV"/>
    <s v="Adult"/>
    <s v="HETERO LABS LIMITED"/>
    <x v="0"/>
    <s v="EXW"/>
    <s v="Air"/>
    <d v="2012-06-12T00:00:00"/>
    <d v="2012-07-27T00:00:00"/>
    <d v="2012-07-27T00:00:00"/>
    <d v="2012-07-27T00:00:00"/>
    <x v="0"/>
    <s v="Nevirapine"/>
    <s v="Generic"/>
    <s v="200mg"/>
    <s v="Tablet"/>
    <n v="60"/>
    <n v="40860"/>
    <n v="95612.4"/>
    <n v="2.34"/>
    <n v="0.04"/>
    <n v="12945"/>
    <n v="48653.36"/>
    <n v="1"/>
    <x v="5"/>
  </r>
  <r>
    <n v="57590"/>
    <s v="SCMS-198541"/>
    <x v="532"/>
    <x v="3"/>
    <s v="ARV"/>
    <s v="Adult"/>
    <s v="CIPLA LIMITED"/>
    <x v="0"/>
    <s v="EXW"/>
    <s v="Air"/>
    <d v="2013-09-10T00:00:00"/>
    <d v="2013-11-16T00:00:00"/>
    <d v="2013-11-16T00:00:00"/>
    <d v="2013-11-26T00:00:00"/>
    <x v="39"/>
    <s v="Lamivudine/Tenofovir Disoproxil Fumarate"/>
    <s v="Generic"/>
    <s v="300/300mg"/>
    <s v="Tablet - FDC"/>
    <n v="30"/>
    <n v="40000"/>
    <n v="184000"/>
    <n v="4.5999999999999996"/>
    <n v="0.15"/>
    <n v="4620"/>
    <n v="18550.93"/>
    <n v="1"/>
    <x v="6"/>
  </r>
  <r>
    <n v="57866"/>
    <s v="SCMS-192210"/>
    <x v="533"/>
    <x v="3"/>
    <s v="ARV"/>
    <s v="Adult"/>
    <s v="MYLAN LABORATORIES LTD (FORMERLY MATRIX LABORATORIES)"/>
    <x v="0"/>
    <s v="EXW"/>
    <s v="Air"/>
    <d v="2013-06-24T00:00:00"/>
    <d v="2013-11-21T00:00:00"/>
    <d v="2013-11-21T00:00:00"/>
    <d v="2013-11-22T00:00:00"/>
    <x v="61"/>
    <s v="Atazanavir"/>
    <s v="Generic"/>
    <s v="300mg"/>
    <s v="Capsule"/>
    <n v="30"/>
    <n v="1946"/>
    <n v="29190"/>
    <n v="15"/>
    <n v="0.5"/>
    <n v="122"/>
    <n v="1249.78"/>
    <n v="1"/>
    <x v="6"/>
  </r>
  <r>
    <n v="58494"/>
    <s v="SCMS-163460"/>
    <x v="417"/>
    <x v="3"/>
    <s v="ARV"/>
    <s v="Adult"/>
    <s v="MYLAN LABORATORIES LTD (FORMERLY MATRIX LABORATORIES)"/>
    <x v="0"/>
    <s v="EXW"/>
    <s v="Air"/>
    <d v="2012-10-25T00:00:00"/>
    <d v="2013-01-21T00:00:00"/>
    <d v="2013-01-21T00:00:00"/>
    <d v="2013-01-21T00:00:00"/>
    <x v="53"/>
    <s v="Atazanavir/Ritonavir"/>
    <s v="Generic"/>
    <s v="300/100mg"/>
    <s v="Tablet"/>
    <n v="30"/>
    <n v="1455"/>
    <n v="32737.5"/>
    <n v="22.5"/>
    <n v="0.75"/>
    <m/>
    <m/>
    <n v="1"/>
    <x v="6"/>
  </r>
  <r>
    <n v="58716"/>
    <s v="SCMS-142470"/>
    <x v="534"/>
    <x v="3"/>
    <s v="ARV"/>
    <s v="Adult"/>
    <s v="ASPEN PHARMACARE"/>
    <x v="0"/>
    <s v="DDP"/>
    <s v="Air"/>
    <d v="2012-04-17T00:00:00"/>
    <d v="2012-06-21T00:00:00"/>
    <d v="2012-06-21T00:00:00"/>
    <d v="2012-06-21T00:00:00"/>
    <x v="59"/>
    <s v="Darunavir"/>
    <s v="Prezista"/>
    <s v="300mg"/>
    <s v="Tablet"/>
    <n v="120"/>
    <n v="173"/>
    <n v="11521.8"/>
    <n v="66.599999999999994"/>
    <n v="0.55000000000000004"/>
    <n v="35"/>
    <n v="251.52"/>
    <n v="1"/>
    <x v="5"/>
  </r>
  <r>
    <n v="58958"/>
    <s v="SCMS-159620"/>
    <x v="535"/>
    <x v="0"/>
    <s v="ARV"/>
    <s v="Pediatric"/>
    <s v="ABBVIE LOGISTICS (FORMERLY ABBOTT LOGISTICS BV)"/>
    <x v="0"/>
    <s v="FCA"/>
    <s v="Air"/>
    <d v="2012-09-12T00:00:00"/>
    <d v="2013-01-16T00:00:00"/>
    <d v="2013-01-16T00:00:00"/>
    <d v="2013-01-16T00:00:00"/>
    <x v="6"/>
    <s v="Lopinavir/Ritonavir"/>
    <s v="Kaletra"/>
    <s v="80/20mg/ml"/>
    <s v="Oral solution"/>
    <n v="300"/>
    <n v="68"/>
    <n v="2095.7600000000002"/>
    <n v="30.82"/>
    <n v="0.1"/>
    <n v="116"/>
    <n v="1818.56"/>
    <n v="1"/>
    <x v="6"/>
  </r>
  <r>
    <n v="59442"/>
    <s v="SCMS-152840"/>
    <x v="536"/>
    <x v="1"/>
    <s v="ARV"/>
    <s v="Adult"/>
    <s v="Aurobindo Pharma Limited"/>
    <x v="0"/>
    <s v="EXW"/>
    <s v="Air"/>
    <d v="2012-07-16T00:00:00"/>
    <d v="2012-08-06T00:00:00"/>
    <d v="2012-08-06T00:00:00"/>
    <d v="2012-08-06T00:00:00"/>
    <x v="1"/>
    <s v="Lamivudine/Zidovudine"/>
    <s v="Generic"/>
    <s v="150/300mg"/>
    <s v="Tablet - FDC"/>
    <n v="60"/>
    <n v="35820"/>
    <n v="256113"/>
    <n v="7.15"/>
    <n v="0.12"/>
    <n v="3114"/>
    <n v="18779.990000000002"/>
    <n v="1"/>
    <x v="5"/>
  </r>
  <r>
    <n v="59896"/>
    <s v="SCMS-198540"/>
    <x v="537"/>
    <x v="3"/>
    <s v="ARV"/>
    <s v="Adult"/>
    <s v="CIPLA LIMITED"/>
    <x v="0"/>
    <s v="EXW"/>
    <s v="Air"/>
    <d v="2013-07-31T00:00:00"/>
    <d v="2013-10-03T00:00:00"/>
    <d v="2013-10-03T00:00:00"/>
    <d v="2013-11-06T00:00:00"/>
    <x v="1"/>
    <s v="Lamivudine/Zidovudine"/>
    <s v="Generic"/>
    <s v="150/300mg"/>
    <s v="Tablet - FDC"/>
    <n v="60"/>
    <n v="97380"/>
    <n v="641734.19999999995"/>
    <n v="6.59"/>
    <n v="0.11"/>
    <n v="8722"/>
    <n v="32208.32"/>
    <n v="1"/>
    <x v="6"/>
  </r>
  <r>
    <n v="60005"/>
    <s v="SCMS-198780"/>
    <x v="538"/>
    <x v="0"/>
    <s v="ARV"/>
    <s v="Adult"/>
    <s v="Aurobindo Pharma Limited"/>
    <x v="0"/>
    <s v="EXW"/>
    <s v="Air"/>
    <d v="2013-07-16T00:00:00"/>
    <d v="2013-09-24T00:00:00"/>
    <d v="2013-09-24T00:00:00"/>
    <d v="2013-09-24T00:00:00"/>
    <x v="11"/>
    <s v="Lamivudine/Nevirapine/Zidovudine"/>
    <s v="Generic"/>
    <s v="150/300/200mg"/>
    <s v="Tablet - FDC"/>
    <n v="60"/>
    <n v="33022"/>
    <n v="268468.86"/>
    <n v="8.1300000000000008"/>
    <n v="0.14000000000000001"/>
    <n v="4190"/>
    <n v="16066.92"/>
    <n v="1"/>
    <x v="6"/>
  </r>
  <r>
    <n v="60112"/>
    <s v="SCMS-216720"/>
    <x v="539"/>
    <x v="3"/>
    <s v="ARV"/>
    <s v="Adult"/>
    <s v="Aurobindo Pharma Limited"/>
    <x v="0"/>
    <s v="EXW"/>
    <s v="Air"/>
    <d v="2013-12-17T00:00:00"/>
    <d v="2014-02-22T00:00:00"/>
    <d v="2014-02-22T00:00:00"/>
    <d v="2014-03-24T00:00:00"/>
    <x v="0"/>
    <s v="Nevirapine"/>
    <s v="Generic"/>
    <s v="200mg"/>
    <s v="Tablet"/>
    <n v="60"/>
    <n v="18216"/>
    <n v="40986"/>
    <n v="2.25"/>
    <n v="0.04"/>
    <n v="1863"/>
    <n v="6757.18"/>
    <n v="1"/>
    <x v="7"/>
  </r>
  <r>
    <n v="60778"/>
    <s v="SCMS-205690"/>
    <x v="540"/>
    <x v="0"/>
    <s v="ARV"/>
    <s v="Adult"/>
    <s v="MYLAN LABORATORIES LTD (FORMERLY MATRIX LABORATORIES)"/>
    <x v="0"/>
    <s v="EXW"/>
    <s v="Air"/>
    <d v="2013-09-09T00:00:00"/>
    <d v="2014-01-28T00:00:00"/>
    <d v="2014-01-28T00:00:00"/>
    <d v="2014-01-28T00:00:00"/>
    <x v="9"/>
    <s v="Abacavir"/>
    <s v="Generic"/>
    <s v="300mg"/>
    <s v="Tablet"/>
    <n v="60"/>
    <n v="20000"/>
    <n v="223800"/>
    <n v="11.19"/>
    <n v="0.19"/>
    <n v="2039"/>
    <n v="9182.4500000000007"/>
    <n v="1"/>
    <x v="7"/>
  </r>
  <r>
    <n v="60811"/>
    <s v="SCMS-75280"/>
    <x v="541"/>
    <x v="3"/>
    <s v="ARV"/>
    <s v="Adult"/>
    <s v="ABBVIE LOGISTICS (FORMERLY ABBOTT LOGISTICS BV)"/>
    <x v="0"/>
    <s v="FCA"/>
    <s v="Air"/>
    <d v="2010-06-07T00:00:00"/>
    <d v="2010-07-19T00:00:00"/>
    <d v="2010-07-19T00:00:00"/>
    <d v="2010-07-19T00:00:00"/>
    <x v="30"/>
    <s v="Ritonavir"/>
    <s v="Norvir"/>
    <s v="100mg"/>
    <s v="Capsule"/>
    <n v="336"/>
    <n v="15"/>
    <n v="575.4"/>
    <n v="38.36"/>
    <n v="0.11"/>
    <n v="53"/>
    <n v="708.2"/>
    <n v="1"/>
    <x v="4"/>
  </r>
  <r>
    <n v="60818"/>
    <s v="SCMS-111650"/>
    <x v="542"/>
    <x v="0"/>
    <s v="ARV"/>
    <s v="Adult"/>
    <s v="ABBVIE LOGISTICS (FORMERLY ABBOTT LOGISTICS BV)"/>
    <x v="0"/>
    <s v="FCA"/>
    <s v="Air"/>
    <d v="2011-06-22T00:00:00"/>
    <d v="2012-03-09T00:00:00"/>
    <d v="2012-03-09T00:00:00"/>
    <d v="2012-03-09T00:00:00"/>
    <x v="58"/>
    <s v="Ritonavir"/>
    <s v="Norvir"/>
    <s v="100mg"/>
    <s v="Tablet"/>
    <n v="60"/>
    <n v="2145"/>
    <n v="14693.25"/>
    <n v="6.85"/>
    <n v="0.11"/>
    <n v="309"/>
    <n v="2383.65"/>
    <n v="1"/>
    <x v="5"/>
  </r>
  <r>
    <n v="60841"/>
    <s v="SCMS-126490"/>
    <x v="332"/>
    <x v="1"/>
    <s v="ARV"/>
    <s v="Adult"/>
    <s v="Aurobindo Pharma Limited"/>
    <x v="0"/>
    <s v="EXW"/>
    <s v="Air"/>
    <d v="2011-11-09T00:00:00"/>
    <d v="2012-03-30T00:00:00"/>
    <d v="2012-03-30T00:00:00"/>
    <d v="2012-03-30T00:00:00"/>
    <x v="48"/>
    <s v="Didanosine"/>
    <s v="Generic"/>
    <s v="250mg"/>
    <s v="Delayed-release capsules"/>
    <n v="30"/>
    <n v="784"/>
    <n v="10192"/>
    <n v="13"/>
    <n v="0.43"/>
    <m/>
    <m/>
    <n v="1"/>
    <x v="5"/>
  </r>
  <r>
    <n v="61111"/>
    <s v="SCMS-225770"/>
    <x v="543"/>
    <x v="3"/>
    <s v="ARV"/>
    <s v="Adult"/>
    <s v="B&amp;C GROUP S.A."/>
    <x v="0"/>
    <s v="EXW"/>
    <s v="Air"/>
    <d v="2014-02-04T00:00:00"/>
    <d v="2014-07-16T00:00:00"/>
    <d v="2014-07-16T00:00:00"/>
    <d v="2014-07-18T00:00:00"/>
    <x v="40"/>
    <s v="Etravirine"/>
    <s v="Intelence"/>
    <s v="100mg"/>
    <s v="Tablet"/>
    <n v="120"/>
    <n v="502"/>
    <n v="18072"/>
    <n v="36"/>
    <n v="0.3"/>
    <n v="119"/>
    <n v="923.18"/>
    <n v="1"/>
    <x v="7"/>
  </r>
  <r>
    <n v="61271"/>
    <s v="SCMS-202560"/>
    <x v="544"/>
    <x v="3"/>
    <s v="ARV"/>
    <s v="Pediatric"/>
    <s v="Aurobindo Pharma Limited"/>
    <x v="0"/>
    <s v="EXW"/>
    <s v="Air"/>
    <d v="2013-08-09T00:00:00"/>
    <d v="2013-12-10T00:00:00"/>
    <d v="2013-12-12T00:00:00"/>
    <d v="2013-12-13T00:00:00"/>
    <x v="54"/>
    <s v="Nevirapine"/>
    <s v="Generic"/>
    <s v="10mg/ml"/>
    <s v="Oral suspension"/>
    <n v="100"/>
    <n v="11036"/>
    <n v="14346.8"/>
    <n v="1.3"/>
    <n v="0.01"/>
    <n v="2385"/>
    <n v="10898.12"/>
    <n v="0"/>
    <x v="6"/>
  </r>
  <r>
    <n v="61281"/>
    <s v="SCMS-84980"/>
    <x v="478"/>
    <x v="1"/>
    <s v="ARV"/>
    <s v="Adult"/>
    <s v="HETERO LABS LIMITED"/>
    <x v="0"/>
    <s v="EXW"/>
    <s v="Ocean"/>
    <d v="2010-09-28T00:00:00"/>
    <d v="2011-03-01T00:00:00"/>
    <d v="2011-03-01T00:00:00"/>
    <d v="2011-03-01T00:00:00"/>
    <x v="39"/>
    <s v="Lamivudine/Tenofovir Disoproxil Fumarate"/>
    <s v="Generic"/>
    <s v="300/300mg"/>
    <s v="Tablet - FDC"/>
    <n v="30"/>
    <n v="172800"/>
    <n v="1617408"/>
    <n v="9.36"/>
    <n v="0.31"/>
    <m/>
    <m/>
    <n v="1"/>
    <x v="9"/>
  </r>
  <r>
    <n v="61418"/>
    <s v="SCMS-142260"/>
    <x v="545"/>
    <x v="3"/>
    <s v="ARV"/>
    <s v="Adult"/>
    <s v="ABBVIE LOGISTICS (FORMERLY ABBOTT LOGISTICS BV)"/>
    <x v="0"/>
    <s v="FCA"/>
    <s v="Air"/>
    <d v="2012-04-04T00:00:00"/>
    <d v="2012-05-04T00:00:00"/>
    <d v="2012-05-04T00:00:00"/>
    <d v="2012-05-04T00:00:00"/>
    <x v="58"/>
    <s v="Ritonavir"/>
    <s v="Norvir"/>
    <s v="100mg"/>
    <s v="Tablet"/>
    <n v="60"/>
    <n v="625"/>
    <n v="4281.25"/>
    <n v="6.85"/>
    <n v="0.11"/>
    <n v="86"/>
    <n v="86"/>
    <n v="1"/>
    <x v="5"/>
  </r>
  <r>
    <n v="61436"/>
    <s v="SCMS-295010"/>
    <x v="546"/>
    <x v="3"/>
    <s v="ARV"/>
    <s v="Adult"/>
    <s v="STRIDES ARCOLAB LIMITED"/>
    <x v="0"/>
    <s v="EXW"/>
    <s v="Air"/>
    <d v="2015-07-28T00:00:00"/>
    <d v="2015-08-28T00:00:00"/>
    <d v="2015-08-28T00:00:00"/>
    <d v="2015-08-31T00:00:00"/>
    <x v="8"/>
    <s v="Efavirenz"/>
    <s v="Generic"/>
    <s v="600mg"/>
    <s v="Tablet"/>
    <n v="30"/>
    <n v="61751"/>
    <n v="194515.65"/>
    <n v="3.15"/>
    <n v="0.1"/>
    <m/>
    <m/>
    <n v="1"/>
    <x v="8"/>
  </r>
  <r>
    <n v="61520"/>
    <s v="SCMS-84380"/>
    <x v="547"/>
    <x v="1"/>
    <s v="ARV"/>
    <s v="Pediatric"/>
    <s v="Aurobindo Pharma Limited"/>
    <x v="0"/>
    <s v="CIP"/>
    <s v="Air"/>
    <d v="2010-09-27T00:00:00"/>
    <d v="2011-09-27T00:00:00"/>
    <d v="2011-09-27T00:00:00"/>
    <d v="2011-09-27T00:00:00"/>
    <x v="67"/>
    <s v="Lamivudine"/>
    <s v="Generic"/>
    <s v="10mg/ml"/>
    <s v="Oral solution"/>
    <n v="240"/>
    <n v="2468"/>
    <n v="7231.24"/>
    <n v="2.93"/>
    <n v="0.01"/>
    <n v="907"/>
    <n v="650.80999999999995"/>
    <n v="1"/>
    <x v="9"/>
  </r>
  <r>
    <n v="61715"/>
    <s v="SCMS-129500"/>
    <x v="548"/>
    <x v="1"/>
    <s v="ARV"/>
    <s v="Pediatric"/>
    <s v="CIPLA LIMITED"/>
    <x v="0"/>
    <s v="EXW"/>
    <s v="Air"/>
    <d v="2012-03-14T00:00:00"/>
    <d v="2012-06-29T00:00:00"/>
    <d v="2012-06-29T00:00:00"/>
    <d v="2012-06-29T00:00:00"/>
    <x v="24"/>
    <s v="Abacavir"/>
    <s v="Generic"/>
    <s v="20mg/ml"/>
    <s v="Oral solution"/>
    <n v="240"/>
    <n v="4192"/>
    <n v="35632"/>
    <n v="8.5"/>
    <n v="0.04"/>
    <n v="1514"/>
    <n v="6072.8"/>
    <n v="1"/>
    <x v="5"/>
  </r>
  <r>
    <n v="61783"/>
    <s v="SCMS-198801"/>
    <x v="549"/>
    <x v="0"/>
    <s v="ARV"/>
    <s v="Adult"/>
    <s v="MYLAN LABORATORIES LTD (FORMERLY MATRIX LABORATORIES)"/>
    <x v="0"/>
    <s v="EXW"/>
    <s v="Ocean"/>
    <d v="2013-08-27T00:00:00"/>
    <d v="2013-10-23T00:00:00"/>
    <d v="2013-10-23T00:00:00"/>
    <d v="2013-10-23T00:00:00"/>
    <x v="45"/>
    <s v="Efavirenz/Emtricitabine/Tenofovir Disoproxil Fumarate"/>
    <s v="Generic"/>
    <s v="600/200/300mg"/>
    <s v="Tablet - FDC"/>
    <n v="30"/>
    <n v="65763"/>
    <n v="821379.87"/>
    <n v="12.49"/>
    <n v="0.42"/>
    <n v="8182"/>
    <n v="7814.59"/>
    <n v="1"/>
    <x v="6"/>
  </r>
  <r>
    <n v="61959"/>
    <s v="SCMS-198690"/>
    <x v="550"/>
    <x v="3"/>
    <s v="ARV"/>
    <s v="Adult"/>
    <s v="STRIDES ARCOLAB LIMITED"/>
    <x v="0"/>
    <s v="EXW"/>
    <s v="Air"/>
    <d v="2013-07-30T00:00:00"/>
    <d v="2013-09-14T00:00:00"/>
    <d v="2013-09-14T00:00:00"/>
    <d v="2013-09-14T00:00:00"/>
    <x v="8"/>
    <s v="Efavirenz"/>
    <s v="Generic"/>
    <s v="600mg"/>
    <s v="Tablet"/>
    <n v="30"/>
    <n v="111348"/>
    <n v="355200.12"/>
    <n v="3.19"/>
    <n v="0.11"/>
    <n v="6953"/>
    <n v="30711.919999999998"/>
    <n v="1"/>
    <x v="6"/>
  </r>
  <r>
    <n v="62319"/>
    <s v="SCMS-65110"/>
    <x v="551"/>
    <x v="3"/>
    <s v="ARV"/>
    <s v="Adult"/>
    <s v="ABBVIE LOGISTICS (FORMERLY ABBOTT LOGISTICS BV)"/>
    <x v="0"/>
    <s v="FCA"/>
    <s v="Air"/>
    <d v="2010-02-10T00:00:00"/>
    <d v="2010-03-24T00:00:00"/>
    <d v="2010-03-24T00:00:00"/>
    <d v="2010-03-24T00:00:00"/>
    <x v="14"/>
    <s v="Lopinavir/Ritonavir"/>
    <s v="Aluvia"/>
    <s v="200/50mg"/>
    <s v="Tablet"/>
    <n v="120"/>
    <n v="480"/>
    <n v="17356.8"/>
    <n v="36.159999999999997"/>
    <n v="0.3"/>
    <n v="127"/>
    <n v="1400.91"/>
    <n v="1"/>
    <x v="4"/>
  </r>
  <r>
    <n v="62400"/>
    <s v="SCMS-48860"/>
    <x v="552"/>
    <x v="1"/>
    <s v="ARV"/>
    <s v="Adult"/>
    <s v="Aurobindo Pharma Limited"/>
    <x v="0"/>
    <s v="CIP"/>
    <s v="Air"/>
    <d v="2009-07-16T00:00:00"/>
    <d v="2010-08-04T00:00:00"/>
    <d v="2010-08-04T00:00:00"/>
    <d v="2010-08-04T00:00:00"/>
    <x v="49"/>
    <s v="Didanosine"/>
    <s v="Generic"/>
    <s v="400mg"/>
    <s v="Delayed-release capsules"/>
    <n v="30"/>
    <n v="559"/>
    <n v="12532.78"/>
    <n v="22.42"/>
    <n v="0.75"/>
    <n v="46"/>
    <n v="1127.95"/>
    <n v="1"/>
    <x v="4"/>
  </r>
  <r>
    <n v="62586"/>
    <s v="SCMS-159280"/>
    <x v="553"/>
    <x v="3"/>
    <s v="ARV"/>
    <s v="Adult"/>
    <s v="ASPEN PHARMACARE"/>
    <x v="0"/>
    <s v="DAP"/>
    <s v="Air"/>
    <d v="2012-09-06T00:00:00"/>
    <d v="2012-10-25T00:00:00"/>
    <d v="2012-10-25T00:00:00"/>
    <d v="2012-10-25T00:00:00"/>
    <x v="40"/>
    <s v="Etravirine"/>
    <s v="Intelence"/>
    <s v="100mg"/>
    <s v="Tablet"/>
    <n v="120"/>
    <n v="111"/>
    <n v="3996"/>
    <n v="36"/>
    <n v="0.3"/>
    <n v="24"/>
    <n v="330"/>
    <n v="1"/>
    <x v="5"/>
  </r>
  <r>
    <n v="62712"/>
    <s v="SCMS-264920"/>
    <x v="554"/>
    <x v="3"/>
    <s v="ARV"/>
    <s v="Pediatric"/>
    <s v="ABBVIE LOGISTICS (FORMERLY ABBOTT LOGISTICS BV)"/>
    <x v="0"/>
    <s v="FCA"/>
    <s v="Air"/>
    <d v="2014-11-25T00:00:00"/>
    <d v="2015-03-20T00:00:00"/>
    <d v="2015-03-20T00:00:00"/>
    <d v="2015-03-20T00:00:00"/>
    <x v="6"/>
    <s v="Lopinavir/Ritonavir"/>
    <s v="Kaletra"/>
    <s v="80/20mg/ml"/>
    <s v="Oral solution"/>
    <n v="300"/>
    <n v="150"/>
    <n v="4623"/>
    <n v="30.82"/>
    <n v="0.1"/>
    <n v="170"/>
    <n v="2265.89"/>
    <n v="1"/>
    <x v="8"/>
  </r>
  <r>
    <n v="62935"/>
    <s v="SCMS-272570"/>
    <x v="555"/>
    <x v="1"/>
    <s v="ARV"/>
    <s v="Pediatric"/>
    <s v="ABBVIE LOGISTICS (FORMERLY ABBOTT LOGISTICS BV)"/>
    <x v="0"/>
    <s v="FCA"/>
    <s v="Air"/>
    <d v="2015-01-19T00:00:00"/>
    <d v="2015-04-02T00:00:00"/>
    <d v="2015-04-02T00:00:00"/>
    <d v="2015-04-02T00:00:00"/>
    <x v="6"/>
    <s v="Lopinavir/Ritonavir"/>
    <s v="Kaletra"/>
    <s v="80/20mg/ml"/>
    <s v="Oral solution"/>
    <n v="300"/>
    <n v="252"/>
    <n v="7766.64"/>
    <n v="30.82"/>
    <n v="0.1"/>
    <n v="316"/>
    <n v="2905.84"/>
    <n v="1"/>
    <x v="8"/>
  </r>
  <r>
    <n v="63186"/>
    <s v="SCMS-48810"/>
    <x v="556"/>
    <x v="1"/>
    <s v="ARV"/>
    <s v="Adult"/>
    <s v="Aurobindo Pharma Limited"/>
    <x v="0"/>
    <s v="CIP"/>
    <s v="Air"/>
    <d v="2009-07-16T00:00:00"/>
    <d v="2009-10-19T00:00:00"/>
    <d v="2009-10-19T00:00:00"/>
    <d v="2009-10-19T00:00:00"/>
    <x v="9"/>
    <s v="Abacavir"/>
    <s v="Generic"/>
    <s v="300mg"/>
    <s v="Tablet"/>
    <n v="60"/>
    <n v="427"/>
    <n v="8253.91"/>
    <n v="19.329999999999998"/>
    <n v="0.32"/>
    <n v="62"/>
    <n v="1060.3499999999999"/>
    <n v="1"/>
    <x v="3"/>
  </r>
  <r>
    <n v="63401"/>
    <s v="SCMS-192180"/>
    <x v="557"/>
    <x v="3"/>
    <s v="ARV"/>
    <s v="Adult"/>
    <s v="ASPEN PHARMACARE"/>
    <x v="0"/>
    <s v="CIP"/>
    <s v="Air"/>
    <d v="2013-07-03T00:00:00"/>
    <d v="2014-02-14T00:00:00"/>
    <d v="2014-02-14T00:00:00"/>
    <d v="2014-02-19T00:00:00"/>
    <x v="59"/>
    <s v="Darunavir"/>
    <s v="Prezista"/>
    <s v="300mg"/>
    <s v="Tablet"/>
    <n v="120"/>
    <n v="454"/>
    <n v="30236.400000000001"/>
    <n v="66.599999999999994"/>
    <n v="0.55000000000000004"/>
    <n v="79"/>
    <n v="281.94"/>
    <n v="1"/>
    <x v="7"/>
  </r>
  <r>
    <n v="63438"/>
    <s v="SCMS-198771"/>
    <x v="558"/>
    <x v="0"/>
    <s v="ARV"/>
    <s v="Adult"/>
    <s v="CIPLA LIMITED"/>
    <x v="0"/>
    <s v="EXW"/>
    <s v="Air"/>
    <d v="2013-08-27T00:00:00"/>
    <d v="2013-12-27T00:00:00"/>
    <d v="2013-12-27T00:00:00"/>
    <d v="2013-12-27T00:00:00"/>
    <x v="11"/>
    <s v="Lamivudine/Nevirapine/Zidovudine"/>
    <s v="Generic"/>
    <s v="150/300/200mg"/>
    <s v="Tablet - FDC"/>
    <n v="60"/>
    <n v="80516"/>
    <n v="652179.6"/>
    <n v="8.1"/>
    <n v="0.13"/>
    <n v="11646"/>
    <n v="50445.73"/>
    <n v="1"/>
    <x v="6"/>
  </r>
  <r>
    <n v="64553"/>
    <s v="SCMS-205920"/>
    <x v="559"/>
    <x v="1"/>
    <s v="ARV"/>
    <s v="Adult"/>
    <s v="Aurobindo Pharma Limited"/>
    <x v="0"/>
    <s v="EXW"/>
    <s v="Air"/>
    <d v="2013-09-19T00:00:00"/>
    <d v="2013-12-13T00:00:00"/>
    <d v="2013-12-13T00:00:00"/>
    <d v="2013-12-17T00:00:00"/>
    <x v="62"/>
    <s v="Abacavir/Lamivudine"/>
    <s v="Generic"/>
    <s v="600/300mg"/>
    <s v="Tablet - FDC"/>
    <n v="30"/>
    <n v="14000"/>
    <n v="203000"/>
    <n v="14.5"/>
    <n v="0.48"/>
    <n v="1428"/>
    <n v="9061.84"/>
    <n v="1"/>
    <x v="6"/>
  </r>
  <r>
    <n v="64558"/>
    <s v="SCMS-198541"/>
    <x v="560"/>
    <x v="3"/>
    <s v="ARV"/>
    <s v="Adult"/>
    <s v="CIPLA LIMITED"/>
    <x v="0"/>
    <s v="EXW"/>
    <s v="Air"/>
    <d v="2013-09-10T00:00:00"/>
    <d v="2013-11-16T00:00:00"/>
    <d v="2013-11-16T00:00:00"/>
    <d v="2013-11-21T00:00:00"/>
    <x v="11"/>
    <s v="Lamivudine/Nevirapine/Zidovudine"/>
    <s v="Generic"/>
    <s v="150/300/200mg"/>
    <s v="Tablet - FDC"/>
    <n v="60"/>
    <n v="39449"/>
    <n v="319536.90000000002"/>
    <n v="8.1"/>
    <n v="0.13"/>
    <n v="5714"/>
    <n v="20416.03"/>
    <n v="1"/>
    <x v="6"/>
  </r>
  <r>
    <n v="64589"/>
    <s v="SCMS-176730"/>
    <x v="561"/>
    <x v="3"/>
    <s v="ARV"/>
    <s v="Pediatric"/>
    <s v="MICRO LABS LIMITED"/>
    <x v="0"/>
    <s v="EXW"/>
    <s v="Air"/>
    <d v="2013-02-07T00:00:00"/>
    <d v="2013-05-08T00:00:00"/>
    <d v="2013-05-08T00:00:00"/>
    <d v="2013-05-08T00:00:00"/>
    <x v="41"/>
    <s v="Efavirenz"/>
    <s v="Generic"/>
    <s v="50mg"/>
    <s v="Capsule"/>
    <n v="30"/>
    <n v="252"/>
    <n v="504"/>
    <n v="2"/>
    <n v="7.0000000000000007E-2"/>
    <n v="9"/>
    <n v="1026.1500000000001"/>
    <n v="1"/>
    <x v="6"/>
  </r>
  <r>
    <n v="64615"/>
    <s v="SCMS-225720"/>
    <x v="562"/>
    <x v="3"/>
    <s v="ARV"/>
    <s v="Adult"/>
    <s v="ABBVIE LOGISTICS (FORMERLY ABBOTT LOGISTICS BV)"/>
    <x v="0"/>
    <s v="FCA"/>
    <s v="Air"/>
    <d v="2014-02-04T00:00:00"/>
    <d v="2014-08-26T00:00:00"/>
    <d v="2014-08-26T00:00:00"/>
    <d v="2014-08-26T00:00:00"/>
    <x v="58"/>
    <s v="Ritonavir"/>
    <s v="Norvir"/>
    <s v="100mg"/>
    <s v="Tablet"/>
    <n v="60"/>
    <n v="579"/>
    <n v="3966.15"/>
    <n v="6.85"/>
    <n v="0.11"/>
    <n v="103"/>
    <n v="1393.29"/>
    <n v="1"/>
    <x v="7"/>
  </r>
  <r>
    <n v="65005"/>
    <s v="SCMS-126460"/>
    <x v="563"/>
    <x v="1"/>
    <s v="ARV"/>
    <s v="Pediatric"/>
    <s v="ABBVIE LOGISTICS (FORMERLY ABBOTT LOGISTICS BV)"/>
    <x v="0"/>
    <s v="FCA"/>
    <s v="Air"/>
    <d v="2011-11-11T00:00:00"/>
    <d v="2012-02-02T00:00:00"/>
    <d v="2012-02-02T00:00:00"/>
    <d v="2012-02-02T00:00:00"/>
    <x v="7"/>
    <s v="Lopinavir/Ritonavir"/>
    <s v="Generic"/>
    <s v="100/25mg"/>
    <s v="Tablet"/>
    <n v="60"/>
    <n v="1305"/>
    <n v="10061.549999999999"/>
    <n v="7.71"/>
    <n v="0.13"/>
    <n v="150"/>
    <n v="2682.48"/>
    <n v="1"/>
    <x v="5"/>
  </r>
  <r>
    <n v="65323"/>
    <s v="SCMS-198771"/>
    <x v="564"/>
    <x v="0"/>
    <s v="ARV"/>
    <s v="Adult"/>
    <s v="CIPLA LIMITED"/>
    <x v="0"/>
    <s v="EXW"/>
    <s v="Air"/>
    <d v="2013-08-27T00:00:00"/>
    <d v="2013-12-27T00:00:00"/>
    <d v="2013-12-27T00:00:00"/>
    <d v="2013-12-27T00:00:00"/>
    <x v="11"/>
    <s v="Lamivudine/Nevirapine/Zidovudine"/>
    <s v="Generic"/>
    <s v="150/300/200mg"/>
    <s v="Tablet - FDC"/>
    <n v="60"/>
    <n v="53239"/>
    <n v="431235.9"/>
    <n v="8.1"/>
    <n v="0.13"/>
    <n v="7696"/>
    <n v="33442.629999999997"/>
    <n v="1"/>
    <x v="6"/>
  </r>
  <r>
    <n v="65363"/>
    <s v="SCMS-72390"/>
    <x v="295"/>
    <x v="2"/>
    <s v="ARV"/>
    <s v="Adult"/>
    <s v="Aurobindo Pharma Limited"/>
    <x v="0"/>
    <s v="EXW"/>
    <s v="Air"/>
    <d v="2010-04-29T00:00:00"/>
    <d v="2011-02-14T00:00:00"/>
    <d v="2011-02-14T00:00:00"/>
    <d v="2011-02-14T00:00:00"/>
    <x v="49"/>
    <s v="Didanosine"/>
    <s v="Generic"/>
    <s v="400mg"/>
    <s v="Delayed-release capsules"/>
    <n v="30"/>
    <n v="750"/>
    <n v="15000"/>
    <n v="20"/>
    <n v="0.67"/>
    <m/>
    <m/>
    <n v="1"/>
    <x v="9"/>
  </r>
  <r>
    <n v="65579"/>
    <s v="SCMS-66920"/>
    <x v="565"/>
    <x v="0"/>
    <s v="ARV"/>
    <s v="Adult"/>
    <s v="ABBVIE LOGISTICS (FORMERLY ABBOTT LOGISTICS BV)"/>
    <x v="0"/>
    <s v="FCA"/>
    <s v="Air"/>
    <d v="2010-03-12T00:00:00"/>
    <d v="2010-07-28T00:00:00"/>
    <d v="2010-07-28T00:00:00"/>
    <d v="2010-07-28T00:00:00"/>
    <x v="14"/>
    <s v="Lopinavir/Ritonavir"/>
    <s v="Aluvia"/>
    <s v="200/50mg"/>
    <s v="Tablet"/>
    <n v="120"/>
    <n v="9007"/>
    <n v="325693.12"/>
    <n v="36.159999999999997"/>
    <n v="0.3"/>
    <n v="2020"/>
    <n v="9169.6299999999992"/>
    <n v="1"/>
    <x v="4"/>
  </r>
  <r>
    <n v="65617"/>
    <s v="SCMS-76980"/>
    <x v="566"/>
    <x v="0"/>
    <s v="ARV"/>
    <s v="Adult"/>
    <s v="Aurobindo Pharma Limited"/>
    <x v="0"/>
    <s v="EXW"/>
    <s v="Air"/>
    <d v="2010-06-24T00:00:00"/>
    <d v="2010-08-07T00:00:00"/>
    <d v="2010-08-07T00:00:00"/>
    <d v="2010-08-07T00:00:00"/>
    <x v="0"/>
    <s v="Nevirapine"/>
    <s v="Generic"/>
    <s v="200mg"/>
    <s v="Tablet"/>
    <n v="60"/>
    <n v="28800"/>
    <n v="74880"/>
    <n v="2.6"/>
    <n v="0.04"/>
    <n v="3396"/>
    <n v="16416.580000000002"/>
    <n v="1"/>
    <x v="4"/>
  </r>
  <r>
    <n v="65675"/>
    <s v="SCMS-231090"/>
    <x v="567"/>
    <x v="0"/>
    <s v="ARV"/>
    <s v="Adult"/>
    <s v="MYLAN LABORATORIES LTD (FORMERLY MATRIX LABORATORIES)"/>
    <x v="0"/>
    <s v="EXW"/>
    <s v="Air"/>
    <d v="2014-03-07T00:00:00"/>
    <d v="2014-06-24T00:00:00"/>
    <d v="2014-06-24T00:00:00"/>
    <d v="2014-06-24T00:00:00"/>
    <x v="9"/>
    <s v="Abacavir"/>
    <s v="Generic"/>
    <s v="300mg"/>
    <s v="Tablet"/>
    <n v="60"/>
    <n v="20000"/>
    <n v="221800"/>
    <n v="11.09"/>
    <n v="0.18"/>
    <n v="2069"/>
    <n v="9716.76"/>
    <n v="1"/>
    <x v="7"/>
  </r>
  <r>
    <n v="65709"/>
    <s v="SCMS-149411"/>
    <x v="531"/>
    <x v="3"/>
    <s v="ARV"/>
    <s v="Adult"/>
    <s v="HETERO LABS LIMITED"/>
    <x v="0"/>
    <s v="EXW"/>
    <s v="Air"/>
    <d v="2012-06-12T00:00:00"/>
    <d v="2012-07-27T00:00:00"/>
    <d v="2012-07-27T00:00:00"/>
    <d v="2012-07-27T00:00:00"/>
    <x v="39"/>
    <s v="Lamivudine/Tenofovir Disoproxil Fumarate"/>
    <s v="Generic"/>
    <s v="300/300mg"/>
    <s v="Tablet - FDC"/>
    <n v="30"/>
    <n v="100440"/>
    <n v="481107.6"/>
    <n v="4.79"/>
    <n v="0.16"/>
    <m/>
    <m/>
    <n v="1"/>
    <x v="5"/>
  </r>
  <r>
    <n v="65732"/>
    <s v="SCMS-47740"/>
    <x v="568"/>
    <x v="0"/>
    <s v="ARV"/>
    <s v="Adult"/>
    <s v="ABBVIE LOGISTICS (FORMERLY ABBOTT LOGISTICS BV)"/>
    <x v="0"/>
    <s v="FCA"/>
    <s v="Air"/>
    <d v="2009-06-23T00:00:00"/>
    <d v="2009-09-09T00:00:00"/>
    <d v="2009-09-09T00:00:00"/>
    <d v="2009-09-09T00:00:00"/>
    <x v="30"/>
    <s v="Ritonavir"/>
    <s v="Norvir"/>
    <s v="100mg"/>
    <s v="Capsule"/>
    <n v="336"/>
    <n v="160"/>
    <n v="6137.6"/>
    <n v="38.36"/>
    <n v="0.11"/>
    <n v="325"/>
    <n v="2278.11"/>
    <n v="1"/>
    <x v="3"/>
  </r>
  <r>
    <n v="65780"/>
    <s v="SCMS-149430"/>
    <x v="569"/>
    <x v="1"/>
    <s v="ARV"/>
    <s v="Adult"/>
    <s v="HETERO LABS LIMITED"/>
    <x v="0"/>
    <s v="EXW"/>
    <s v="Air"/>
    <d v="2012-06-12T00:00:00"/>
    <d v="2012-07-20T00:00:00"/>
    <d v="2012-07-20T00:00:00"/>
    <d v="2012-07-20T00:00:00"/>
    <x v="0"/>
    <s v="Nevirapine"/>
    <s v="Generic"/>
    <s v="200mg"/>
    <s v="Tablet"/>
    <n v="60"/>
    <n v="55710"/>
    <n v="130361.4"/>
    <n v="2.34"/>
    <n v="0.04"/>
    <n v="3204"/>
    <n v="19625.64"/>
    <n v="1"/>
    <x v="5"/>
  </r>
  <r>
    <n v="66000"/>
    <s v="SCMS-238800"/>
    <x v="570"/>
    <x v="1"/>
    <s v="ARV"/>
    <s v="Pediatric"/>
    <s v="ABBVIE LOGISTICS (FORMERLY ABBOTT LOGISTICS BV)"/>
    <x v="0"/>
    <s v="FCA"/>
    <s v="Air"/>
    <d v="2014-06-02T00:00:00"/>
    <d v="2014-07-16T00:00:00"/>
    <d v="2014-07-16T00:00:00"/>
    <d v="2014-07-22T00:00:00"/>
    <x v="6"/>
    <s v="Lopinavir/Ritonavir"/>
    <s v="Kaletra"/>
    <s v="80/20mg/ml"/>
    <s v="Oral solution"/>
    <n v="300"/>
    <n v="316"/>
    <n v="9739.1200000000008"/>
    <n v="30.82"/>
    <n v="0.1"/>
    <n v="415"/>
    <n v="4399.6499999999996"/>
    <n v="1"/>
    <x v="7"/>
  </r>
  <r>
    <n v="66207"/>
    <s v="SCMS-58240"/>
    <x v="571"/>
    <x v="3"/>
    <s v="ARV"/>
    <s v="Adult"/>
    <s v="ASPEN PHARMACARE"/>
    <x v="0"/>
    <s v="EXW"/>
    <s v="Air"/>
    <d v="2009-12-02T00:00:00"/>
    <d v="2010-04-21T00:00:00"/>
    <d v="2010-04-21T00:00:00"/>
    <d v="2010-04-21T00:00:00"/>
    <x v="59"/>
    <s v="Darunavir"/>
    <s v="Prezista"/>
    <s v="300mg"/>
    <s v="Tablet"/>
    <n v="120"/>
    <n v="102"/>
    <n v="9180"/>
    <n v="90"/>
    <n v="0.75"/>
    <n v="15"/>
    <n v="845.1"/>
    <n v="1"/>
    <x v="4"/>
  </r>
  <r>
    <n v="66277"/>
    <s v="SCMS-142300"/>
    <x v="572"/>
    <x v="3"/>
    <s v="ARV"/>
    <s v="Adult"/>
    <s v="ASPEN PHARMACARE"/>
    <x v="0"/>
    <s v="DDP"/>
    <s v="Air"/>
    <d v="2012-04-17T00:00:00"/>
    <d v="2012-05-10T00:00:00"/>
    <d v="2012-05-10T00:00:00"/>
    <d v="2012-05-10T00:00:00"/>
    <x v="59"/>
    <s v="Darunavir"/>
    <s v="Prezista"/>
    <s v="300mg"/>
    <s v="Tablet"/>
    <n v="120"/>
    <n v="100"/>
    <n v="6660"/>
    <n v="66.599999999999994"/>
    <n v="0.55000000000000004"/>
    <n v="14"/>
    <n v="527"/>
    <n v="1"/>
    <x v="5"/>
  </r>
  <r>
    <n v="66371"/>
    <s v="SCMS-198780"/>
    <x v="573"/>
    <x v="0"/>
    <s v="ARV"/>
    <s v="Adult"/>
    <s v="Aurobindo Pharma Limited"/>
    <x v="0"/>
    <s v="EXW"/>
    <s v="Air"/>
    <d v="2013-07-16T00:00:00"/>
    <d v="2013-09-24T00:00:00"/>
    <d v="2013-09-24T00:00:00"/>
    <d v="2013-09-24T00:00:00"/>
    <x v="11"/>
    <s v="Lamivudine/Nevirapine/Zidovudine"/>
    <s v="Generic"/>
    <s v="150/300/200mg"/>
    <s v="Tablet - FDC"/>
    <n v="60"/>
    <n v="37012"/>
    <n v="300907.56"/>
    <n v="8.1300000000000008"/>
    <n v="0.14000000000000001"/>
    <n v="4699"/>
    <n v="17907.7"/>
    <n v="1"/>
    <x v="6"/>
  </r>
  <r>
    <n v="66383"/>
    <s v="SCMS-173450"/>
    <x v="574"/>
    <x v="3"/>
    <s v="ARV"/>
    <s v="Pediatric"/>
    <s v="Aurobindo Pharma Limited"/>
    <x v="0"/>
    <s v="EXW"/>
    <s v="Air"/>
    <d v="2013-02-05T00:00:00"/>
    <d v="2013-04-22T00:00:00"/>
    <d v="2013-04-22T00:00:00"/>
    <d v="2013-04-22T00:00:00"/>
    <x v="65"/>
    <s v="Nevirapine"/>
    <s v="Generic"/>
    <s v="50mg"/>
    <s v="Chewable/dispersible tablet"/>
    <n v="30"/>
    <n v="961"/>
    <n v="1201.25"/>
    <n v="1.25"/>
    <n v="0.04"/>
    <n v="53"/>
    <n v="1203.4000000000001"/>
    <n v="1"/>
    <x v="6"/>
  </r>
  <r>
    <n v="66431"/>
    <s v="SCMS-52570"/>
    <x v="575"/>
    <x v="3"/>
    <s v="ARV"/>
    <s v="Adult"/>
    <s v="Hoffmann-La Roche ltd Basel"/>
    <x v="0"/>
    <s v="FCA"/>
    <s v="Air"/>
    <d v="2009-09-14T00:00:00"/>
    <d v="2009-12-03T00:00:00"/>
    <d v="2009-12-03T00:00:00"/>
    <d v="2009-12-03T00:00:00"/>
    <x v="63"/>
    <s v="Saquinavir"/>
    <s v="Invirase"/>
    <s v="500mg"/>
    <s v="Tablet"/>
    <n v="120"/>
    <n v="161"/>
    <n v="16125.1"/>
    <n v="100.16"/>
    <n v="0.83"/>
    <n v="30"/>
    <n v="1072.3499999999999"/>
    <n v="1"/>
    <x v="3"/>
  </r>
  <r>
    <n v="66768"/>
    <s v="SCMS-162750"/>
    <x v="576"/>
    <x v="3"/>
    <s v="ARV"/>
    <s v="Adult"/>
    <s v="ASPEN PHARMACARE"/>
    <x v="0"/>
    <s v="DAP"/>
    <s v="Air"/>
    <d v="2012-10-25T00:00:00"/>
    <d v="2013-02-13T00:00:00"/>
    <d v="2013-02-13T00:00:00"/>
    <d v="2013-02-13T00:00:00"/>
    <x v="40"/>
    <s v="Etravirine"/>
    <s v="Intelence"/>
    <s v="100mg"/>
    <s v="Tablet"/>
    <n v="120"/>
    <n v="178"/>
    <n v="6408"/>
    <n v="36"/>
    <n v="0.3"/>
    <n v="90"/>
    <n v="989"/>
    <n v="1"/>
    <x v="6"/>
  </r>
  <r>
    <n v="67153"/>
    <s v="SCMS-198720"/>
    <x v="481"/>
    <x v="3"/>
    <s v="ARV"/>
    <s v="Adult"/>
    <s v="MYLAN LABORATORIES LTD (FORMERLY MATRIX LABORATORIES)"/>
    <x v="0"/>
    <s v="EXW"/>
    <s v="Ocean"/>
    <d v="2013-07-31T00:00:00"/>
    <d v="2013-11-06T00:00:00"/>
    <d v="2013-11-06T00:00:00"/>
    <d v="2013-11-13T00:00:00"/>
    <x v="11"/>
    <s v="Lamivudine/Nevirapine/Zidovudine"/>
    <s v="Generic"/>
    <s v="150/300/200mg"/>
    <s v="Tablet - FDC"/>
    <n v="60"/>
    <n v="165374"/>
    <n v="1339529.3999999999"/>
    <n v="8.1"/>
    <n v="0.13"/>
    <m/>
    <m/>
    <n v="1"/>
    <x v="6"/>
  </r>
  <r>
    <n v="67191"/>
    <s v="SCMS-58130"/>
    <x v="577"/>
    <x v="3"/>
    <s v="ARV"/>
    <s v="Adult"/>
    <s v="ABBVIE LOGISTICS (FORMERLY ABBOTT LOGISTICS BV)"/>
    <x v="0"/>
    <s v="FCA"/>
    <s v="Air"/>
    <d v="2009-11-26T00:00:00"/>
    <d v="2010-03-10T00:00:00"/>
    <d v="2010-03-10T00:00:00"/>
    <d v="2010-03-10T00:00:00"/>
    <x v="30"/>
    <s v="Ritonavir"/>
    <s v="Norvir"/>
    <s v="100mg"/>
    <s v="Capsule"/>
    <n v="336"/>
    <n v="44"/>
    <n v="1687.84"/>
    <n v="38.36"/>
    <n v="0.11"/>
    <n v="116"/>
    <n v="985.78"/>
    <n v="1"/>
    <x v="4"/>
  </r>
  <r>
    <n v="67308"/>
    <s v="SCMS-276400"/>
    <x v="578"/>
    <x v="1"/>
    <s v="ARV"/>
    <s v="Pediatric"/>
    <s v="ABBVIE LOGISTICS (FORMERLY ABBOTT LOGISTICS BV)"/>
    <x v="0"/>
    <s v="FCA"/>
    <s v="Air"/>
    <d v="2015-02-23T00:00:00"/>
    <d v="2015-05-11T00:00:00"/>
    <d v="2015-05-11T00:00:00"/>
    <d v="2015-05-11T00:00:00"/>
    <x v="7"/>
    <s v="Lopinavir/Ritonavir"/>
    <s v="Generic"/>
    <s v="100/25mg"/>
    <s v="Tablet"/>
    <n v="60"/>
    <n v="642"/>
    <n v="3813.48"/>
    <n v="5.94"/>
    <n v="0.1"/>
    <n v="83"/>
    <n v="929.85"/>
    <n v="1"/>
    <x v="8"/>
  </r>
  <r>
    <n v="67501"/>
    <s v="SCMS-98701"/>
    <x v="579"/>
    <x v="2"/>
    <s v="ARV"/>
    <s v="Adult"/>
    <s v="Aurobindo Pharma Limited"/>
    <x v="0"/>
    <s v="EXW"/>
    <s v="Air"/>
    <d v="2011-02-15T00:00:00"/>
    <d v="2011-06-28T00:00:00"/>
    <d v="2011-06-28T00:00:00"/>
    <d v="2011-06-28T00:00:00"/>
    <x v="47"/>
    <s v="Lopinavir/Ritonavir"/>
    <s v="Generic"/>
    <s v="200/50mg"/>
    <s v="Tablet"/>
    <n v="120"/>
    <n v="14498"/>
    <n v="487132.8"/>
    <n v="33.6"/>
    <n v="0.28000000000000003"/>
    <n v="3685"/>
    <n v="16359.2"/>
    <n v="1"/>
    <x v="9"/>
  </r>
  <r>
    <n v="67509"/>
    <s v="SCMS-193850"/>
    <x v="580"/>
    <x v="0"/>
    <s v="ARV"/>
    <s v="Adult"/>
    <s v="Aurobindo Pharma Limited"/>
    <x v="0"/>
    <s v="EXW"/>
    <s v="Air"/>
    <d v="2013-06-11T00:00:00"/>
    <d v="2013-08-24T00:00:00"/>
    <d v="2013-08-24T00:00:00"/>
    <d v="2013-08-24T00:00:00"/>
    <x v="11"/>
    <s v="Lamivudine/Nevirapine/Zidovudine"/>
    <s v="Generic"/>
    <s v="150/300/200mg"/>
    <s v="Tablet - FDC"/>
    <n v="60"/>
    <n v="32002"/>
    <n v="260816.3"/>
    <n v="8.15"/>
    <n v="0.14000000000000001"/>
    <n v="4059"/>
    <n v="17997.84"/>
    <n v="1"/>
    <x v="6"/>
  </r>
  <r>
    <n v="67562"/>
    <s v="SCMS-156520"/>
    <x v="581"/>
    <x v="0"/>
    <s v="ARV"/>
    <s v="Adult"/>
    <s v="Aurobindo Pharma Limited"/>
    <x v="0"/>
    <s v="EXW"/>
    <s v="Air"/>
    <d v="2012-08-09T00:00:00"/>
    <d v="2012-09-27T00:00:00"/>
    <d v="2012-09-27T00:00:00"/>
    <d v="2012-09-27T00:00:00"/>
    <x v="1"/>
    <s v="Lamivudine/Zidovudine"/>
    <s v="Generic"/>
    <s v="150/300mg"/>
    <s v="Tablet - FDC"/>
    <n v="60"/>
    <n v="37589"/>
    <n v="268761.34999999998"/>
    <n v="7.15"/>
    <n v="0.12"/>
    <n v="3267"/>
    <n v="13180.76"/>
    <n v="1"/>
    <x v="5"/>
  </r>
  <r>
    <n v="67753"/>
    <s v="SCMS-111660"/>
    <x v="582"/>
    <x v="0"/>
    <s v="ARV"/>
    <s v="Pediatric"/>
    <s v="EMCURE PHARMACEUTICALS LTD"/>
    <x v="0"/>
    <s v="EXW"/>
    <s v="Air"/>
    <d v="2011-06-22T00:00:00"/>
    <d v="2011-09-29T00:00:00"/>
    <d v="2011-09-29T00:00:00"/>
    <d v="2011-09-29T00:00:00"/>
    <x v="52"/>
    <s v="Atazanavir"/>
    <s v="Generic"/>
    <s v="150mg"/>
    <s v="Capsule"/>
    <n v="60"/>
    <n v="1028"/>
    <n v="22616"/>
    <n v="22"/>
    <n v="0.37"/>
    <n v="107"/>
    <n v="1794.89"/>
    <n v="1"/>
    <x v="9"/>
  </r>
  <r>
    <n v="67806"/>
    <s v="SCMS-137410"/>
    <x v="583"/>
    <x v="1"/>
    <s v="ARV"/>
    <s v="Adult"/>
    <s v="HETERO LABS LIMITED"/>
    <x v="0"/>
    <s v="EXW"/>
    <s v="Air"/>
    <d v="2012-05-18T00:00:00"/>
    <d v="2012-07-20T00:00:00"/>
    <d v="2012-07-20T00:00:00"/>
    <d v="2012-07-20T00:00:00"/>
    <x v="8"/>
    <s v="Efavirenz"/>
    <s v="Generic"/>
    <s v="600mg"/>
    <s v="Tablet"/>
    <n v="30"/>
    <n v="3007"/>
    <n v="10734.99"/>
    <n v="3.57"/>
    <n v="0.12"/>
    <n v="262"/>
    <n v="3840.85"/>
    <n v="1"/>
    <x v="5"/>
  </r>
  <r>
    <n v="68186"/>
    <s v="SCMS-200850"/>
    <x v="584"/>
    <x v="0"/>
    <s v="ARV"/>
    <s v="Pediatric"/>
    <s v="Aurobindo Pharma Limited"/>
    <x v="0"/>
    <s v="EXW"/>
    <s v="Air"/>
    <d v="2013-08-02T00:00:00"/>
    <d v="2013-11-13T00:00:00"/>
    <d v="2013-11-13T00:00:00"/>
    <d v="2013-11-14T00:00:00"/>
    <x v="41"/>
    <s v="Efavirenz"/>
    <s v="Generic"/>
    <s v="50mg"/>
    <s v="Capsule"/>
    <n v="30"/>
    <n v="3550"/>
    <n v="5538"/>
    <n v="1.56"/>
    <n v="0.05"/>
    <n v="255"/>
    <n v="2454.46"/>
    <n v="1"/>
    <x v="6"/>
  </r>
  <r>
    <n v="68241"/>
    <s v="SCMS-129870"/>
    <x v="585"/>
    <x v="1"/>
    <s v="ARV"/>
    <s v="Adult"/>
    <s v="Aurobindo Pharma Limited"/>
    <x v="0"/>
    <s v="EXW"/>
    <s v="Air"/>
    <d v="2011-12-13T00:00:00"/>
    <d v="2012-01-24T00:00:00"/>
    <d v="2012-01-25T00:00:00"/>
    <d v="2012-01-25T00:00:00"/>
    <x v="39"/>
    <s v="Lamivudine/Tenofovir Disoproxil Fumarate"/>
    <s v="Generic"/>
    <s v="300/300mg"/>
    <s v="Tablet - FDC"/>
    <n v="30"/>
    <n v="48640"/>
    <n v="260224"/>
    <n v="5.35"/>
    <n v="0.18"/>
    <n v="4746"/>
    <n v="98521.56"/>
    <n v="0"/>
    <x v="5"/>
  </r>
  <r>
    <n v="68268"/>
    <s v="SCMS-135780"/>
    <x v="586"/>
    <x v="2"/>
    <s v="ARV"/>
    <s v="Pediatric"/>
    <s v="ABBVIE LOGISTICS (FORMERLY ABBOTT LOGISTICS BV)"/>
    <x v="0"/>
    <s v="FCA"/>
    <s v="Air"/>
    <d v="2012-01-30T00:00:00"/>
    <d v="2012-02-20T00:00:00"/>
    <d v="2012-02-20T00:00:00"/>
    <d v="2012-02-20T00:00:00"/>
    <x v="6"/>
    <s v="Lopinavir/Ritonavir"/>
    <s v="Kaletra"/>
    <s v="80/20mg/ml"/>
    <s v="Oral solution"/>
    <n v="300"/>
    <n v="699"/>
    <n v="21543.18"/>
    <n v="30.82"/>
    <n v="0.1"/>
    <n v="728"/>
    <n v="6941.12"/>
    <n v="1"/>
    <x v="5"/>
  </r>
  <r>
    <n v="68367"/>
    <s v="SCMS-137550"/>
    <x v="587"/>
    <x v="1"/>
    <s v="ARV"/>
    <s v="Adult"/>
    <s v="MYLAN LABORATORIES LTD (FORMERLY MATRIX LABORATORIES)"/>
    <x v="0"/>
    <s v="EXW"/>
    <s v="Ocean"/>
    <d v="2012-05-31T00:00:00"/>
    <d v="2012-10-08T00:00:00"/>
    <d v="2012-10-08T00:00:00"/>
    <d v="2012-10-08T00:00:00"/>
    <x v="39"/>
    <s v="Lamivudine/Tenofovir Disoproxil Fumarate"/>
    <s v="Generic"/>
    <s v="300/300mg"/>
    <s v="Tablet - FDC"/>
    <n v="30"/>
    <n v="131704"/>
    <n v="683543.76"/>
    <n v="5.19"/>
    <n v="0.17"/>
    <n v="10116"/>
    <n v="24250.15"/>
    <n v="1"/>
    <x v="5"/>
  </r>
  <r>
    <n v="68397"/>
    <s v="SCMS-205040"/>
    <x v="588"/>
    <x v="3"/>
    <s v="ARV"/>
    <s v="Pediatric"/>
    <s v="Aurobindo Pharma Limited"/>
    <x v="0"/>
    <s v="EXW"/>
    <s v="Air"/>
    <d v="2013-09-02T00:00:00"/>
    <d v="2014-01-17T00:00:00"/>
    <d v="2014-01-17T00:00:00"/>
    <d v="2014-01-21T00:00:00"/>
    <x v="65"/>
    <s v="Nevirapine"/>
    <s v="Generic"/>
    <s v="50mg"/>
    <s v="Chewable/dispersible tablet"/>
    <n v="30"/>
    <n v="9051"/>
    <n v="11313.75"/>
    <n v="1.25"/>
    <n v="0.04"/>
    <n v="575"/>
    <n v="3231.11"/>
    <n v="1"/>
    <x v="7"/>
  </r>
  <r>
    <n v="68401"/>
    <s v="SCMS-58120"/>
    <x v="589"/>
    <x v="3"/>
    <s v="ARV"/>
    <s v="Adult"/>
    <s v="MERCK SHARP &amp; DOHME IDEA GMBH (FORMALLY MERCK SHARP &amp; DOHME B.V.)"/>
    <x v="0"/>
    <s v="CIP"/>
    <s v="Air"/>
    <d v="2009-11-25T00:00:00"/>
    <d v="2010-02-18T00:00:00"/>
    <d v="2010-02-18T00:00:00"/>
    <d v="2010-02-18T00:00:00"/>
    <x v="38"/>
    <s v="Indinavir"/>
    <s v="Crixivan"/>
    <s v="400mg"/>
    <s v="Capsule"/>
    <n v="180"/>
    <n v="153"/>
    <n v="7650"/>
    <n v="50"/>
    <n v="0.28000000000000003"/>
    <n v="34"/>
    <n v="395"/>
    <n v="1"/>
    <x v="4"/>
  </r>
  <r>
    <n v="68462"/>
    <s v="SCMS-63640"/>
    <x v="590"/>
    <x v="1"/>
    <s v="ARV"/>
    <s v="Adult"/>
    <s v="ABBVIE LOGISTICS (FORMERLY ABBOTT LOGISTICS BV)"/>
    <x v="0"/>
    <s v="FCA"/>
    <s v="Air"/>
    <d v="2010-01-20T00:00:00"/>
    <d v="2010-03-03T00:00:00"/>
    <d v="2010-03-03T00:00:00"/>
    <d v="2010-03-03T00:00:00"/>
    <x v="30"/>
    <s v="Ritonavir"/>
    <s v="Norvir"/>
    <s v="100mg"/>
    <s v="Capsule"/>
    <n v="336"/>
    <n v="120"/>
    <n v="4603.2"/>
    <n v="38.36"/>
    <n v="0.11"/>
    <n v="298"/>
    <n v="2204.08"/>
    <n v="1"/>
    <x v="4"/>
  </r>
  <r>
    <n v="68572"/>
    <s v="SCMS-225820"/>
    <x v="591"/>
    <x v="0"/>
    <s v="ARV"/>
    <s v="Adult"/>
    <s v="MYLAN LABORATORIES LTD (FORMERLY MATRIX LABORATORIES)"/>
    <x v="0"/>
    <s v="EXW"/>
    <s v="Air"/>
    <d v="2014-02-14T00:00:00"/>
    <d v="2014-05-27T00:00:00"/>
    <d v="2014-05-27T00:00:00"/>
    <d v="2014-05-28T00:00:00"/>
    <x v="53"/>
    <s v="Atazanavir/Ritonavir"/>
    <s v="Generic"/>
    <s v="300/100mg"/>
    <s v="Tablet"/>
    <n v="30"/>
    <n v="10565"/>
    <n v="211300"/>
    <n v="20"/>
    <n v="0.67"/>
    <n v="1412"/>
    <n v="6758.01"/>
    <n v="1"/>
    <x v="7"/>
  </r>
  <r>
    <n v="68820"/>
    <s v="SCMS-83340"/>
    <x v="592"/>
    <x v="1"/>
    <s v="ARV"/>
    <s v="Adult"/>
    <s v="MYLAN LABORATORIES LTD (FORMERLY MATRIX LABORATORIES)"/>
    <x v="0"/>
    <s v="CIP"/>
    <s v="Air"/>
    <d v="2010-09-28T00:00:00"/>
    <d v="2010-12-12T00:00:00"/>
    <d v="2010-12-12T00:00:00"/>
    <d v="2010-12-12T00:00:00"/>
    <x v="46"/>
    <s v="Efavirenz/Lamivudine/Tenofovir Disoproxil Fumarate"/>
    <s v="Generic"/>
    <s v="600/300/300mg"/>
    <s v="Tablet - FDC"/>
    <n v="30"/>
    <n v="22347"/>
    <n v="390625.56"/>
    <n v="17.48"/>
    <n v="0.57999999999999996"/>
    <m/>
    <m/>
    <n v="1"/>
    <x v="4"/>
  </r>
  <r>
    <n v="68846"/>
    <s v="SCMS-52630"/>
    <x v="593"/>
    <x v="3"/>
    <s v="ARV"/>
    <s v="Adult"/>
    <s v="ASPEN PHARMACARE"/>
    <x v="0"/>
    <s v="EXW"/>
    <s v="Air"/>
    <d v="2009-09-14T00:00:00"/>
    <d v="2009-10-26T00:00:00"/>
    <d v="2009-10-26T00:00:00"/>
    <d v="2009-10-26T00:00:00"/>
    <x v="59"/>
    <s v="Darunavir"/>
    <s v="Prezista"/>
    <s v="300mg"/>
    <s v="Tablet"/>
    <n v="120"/>
    <n v="112"/>
    <n v="10080"/>
    <n v="90"/>
    <n v="0.75"/>
    <n v="16"/>
    <n v="1000.94"/>
    <n v="1"/>
    <x v="3"/>
  </r>
  <r>
    <n v="68872"/>
    <s v="SCMS-149960"/>
    <x v="594"/>
    <x v="3"/>
    <s v="ARV"/>
    <s v="Adult"/>
    <s v="MYLAN LABORATORIES LTD (FORMERLY MATRIX LABORATORIES)"/>
    <x v="0"/>
    <s v="EXW"/>
    <s v="Air"/>
    <d v="2012-06-26T00:00:00"/>
    <d v="2012-09-21T00:00:00"/>
    <d v="2012-09-21T00:00:00"/>
    <d v="2012-09-21T00:00:00"/>
    <x v="53"/>
    <s v="Atazanavir/Ritonavir"/>
    <s v="Generic"/>
    <s v="300/100mg"/>
    <s v="Tablet"/>
    <n v="30"/>
    <n v="1262"/>
    <n v="28395"/>
    <n v="22.5"/>
    <n v="0.75"/>
    <n v="173"/>
    <n v="935.89"/>
    <n v="1"/>
    <x v="5"/>
  </r>
  <r>
    <n v="68937"/>
    <s v="SCMS-163440"/>
    <x v="595"/>
    <x v="3"/>
    <s v="ARV"/>
    <s v="Adult"/>
    <s v="ABBVIE LOGISTICS (FORMERLY ABBOTT LOGISTICS BV)"/>
    <x v="0"/>
    <s v="FCA"/>
    <s v="Air"/>
    <d v="2012-10-25T00:00:00"/>
    <d v="2013-02-08T00:00:00"/>
    <d v="2013-02-08T00:00:00"/>
    <d v="2013-02-08T00:00:00"/>
    <x v="58"/>
    <s v="Ritonavir"/>
    <s v="Norvir"/>
    <s v="100mg"/>
    <s v="Tablet"/>
    <n v="60"/>
    <n v="587"/>
    <n v="4020.95"/>
    <n v="6.85"/>
    <n v="0.11"/>
    <n v="85"/>
    <n v="1253.45"/>
    <n v="1"/>
    <x v="6"/>
  </r>
  <r>
    <n v="69148"/>
    <s v="SCMS-76980"/>
    <x v="596"/>
    <x v="0"/>
    <s v="ARV"/>
    <s v="Adult"/>
    <s v="Aurobindo Pharma Limited"/>
    <x v="0"/>
    <s v="EXW"/>
    <s v="Air"/>
    <d v="2010-06-24T00:00:00"/>
    <d v="2010-08-07T00:00:00"/>
    <d v="2010-08-07T00:00:00"/>
    <d v="2010-08-07T00:00:00"/>
    <x v="0"/>
    <s v="Nevirapine"/>
    <s v="Generic"/>
    <s v="200mg"/>
    <s v="Tablet"/>
    <n v="60"/>
    <n v="6934"/>
    <n v="18028.400000000001"/>
    <n v="2.6"/>
    <n v="0.04"/>
    <n v="820"/>
    <n v="18044.490000000002"/>
    <n v="1"/>
    <x v="4"/>
  </r>
  <r>
    <n v="69366"/>
    <s v="SCMS-72350"/>
    <x v="597"/>
    <x v="2"/>
    <s v="ARV"/>
    <s v="Adult"/>
    <s v="Aurobindo Pharma Limited"/>
    <x v="0"/>
    <s v="EXW"/>
    <s v="Air"/>
    <d v="2010-04-29T00:00:00"/>
    <d v="2010-05-21T00:00:00"/>
    <d v="2010-05-21T00:00:00"/>
    <d v="2010-05-21T00:00:00"/>
    <x v="49"/>
    <s v="Didanosine"/>
    <s v="Generic"/>
    <s v="400mg"/>
    <s v="Delayed-release capsules"/>
    <n v="30"/>
    <n v="500"/>
    <n v="10000"/>
    <n v="20"/>
    <n v="0.67"/>
    <n v="39"/>
    <n v="516.35"/>
    <n v="1"/>
    <x v="4"/>
  </r>
  <r>
    <n v="69647"/>
    <s v="SCMS-162750"/>
    <x v="576"/>
    <x v="3"/>
    <s v="ARV"/>
    <s v="Adult"/>
    <s v="ASPEN PHARMACARE"/>
    <x v="0"/>
    <s v="DAP"/>
    <s v="Air"/>
    <d v="2012-10-25T00:00:00"/>
    <d v="2013-02-13T00:00:00"/>
    <d v="2013-02-13T00:00:00"/>
    <d v="2013-02-13T00:00:00"/>
    <x v="40"/>
    <s v="Etravirine"/>
    <s v="Intelence"/>
    <s v="100mg"/>
    <s v="Tablet"/>
    <n v="120"/>
    <n v="194"/>
    <n v="6984"/>
    <n v="36"/>
    <n v="0.3"/>
    <m/>
    <m/>
    <n v="1"/>
    <x v="6"/>
  </r>
  <r>
    <n v="69790"/>
    <s v="SCMS-162670"/>
    <x v="598"/>
    <x v="3"/>
    <s v="ARV"/>
    <s v="Adult"/>
    <s v="MERCK SHARP &amp; DOHME IDEA GMBH (FORMALLY MERCK SHARP &amp; DOHME B.V.)"/>
    <x v="0"/>
    <s v="CIP"/>
    <s v="Air"/>
    <d v="2012-10-25T00:00:00"/>
    <d v="2012-12-12T00:00:00"/>
    <d v="2012-12-12T00:00:00"/>
    <d v="2012-12-12T00:00:00"/>
    <x v="56"/>
    <s v="Raltegravir"/>
    <s v="Isentress"/>
    <s v="400mg"/>
    <s v="Tablet"/>
    <n v="60"/>
    <n v="774"/>
    <n v="42957"/>
    <n v="55.5"/>
    <n v="0.92"/>
    <n v="92"/>
    <n v="1114"/>
    <n v="1"/>
    <x v="5"/>
  </r>
  <r>
    <n v="70041"/>
    <s v="SCMS-261780"/>
    <x v="599"/>
    <x v="1"/>
    <s v="ARV"/>
    <s v="Adult"/>
    <s v="EMCURE PHARMACEUTICALS LTD"/>
    <x v="0"/>
    <s v="EXW"/>
    <s v="Air"/>
    <d v="2014-12-15T00:00:00"/>
    <d v="2015-05-27T00:00:00"/>
    <d v="2015-05-27T00:00:00"/>
    <d v="2015-05-28T00:00:00"/>
    <x v="53"/>
    <s v="Atazanavir/Ritonavir"/>
    <s v="Generic"/>
    <s v="300/100mg"/>
    <s v="Tablet"/>
    <n v="30"/>
    <n v="8000"/>
    <n v="144000"/>
    <n v="18"/>
    <n v="0.6"/>
    <n v="1045"/>
    <n v="6949.93"/>
    <n v="1"/>
    <x v="8"/>
  </r>
  <r>
    <n v="70461"/>
    <s v="SCMS-83320"/>
    <x v="600"/>
    <x v="1"/>
    <s v="ARV"/>
    <s v="Adult"/>
    <s v="CIPLA LIMITED"/>
    <x v="0"/>
    <s v="CIP"/>
    <s v="Air"/>
    <d v="2010-09-27T00:00:00"/>
    <d v="2011-01-07T00:00:00"/>
    <d v="2011-01-07T00:00:00"/>
    <d v="2011-01-07T00:00:00"/>
    <x v="47"/>
    <s v="Lopinavir/Ritonavir"/>
    <s v="Generic"/>
    <s v="200/50mg"/>
    <s v="Tablet"/>
    <n v="120"/>
    <n v="1802"/>
    <n v="61808.6"/>
    <n v="34.299999999999997"/>
    <n v="0.28999999999999998"/>
    <m/>
    <m/>
    <n v="1"/>
    <x v="9"/>
  </r>
  <r>
    <n v="70505"/>
    <s v="SCMS-198700"/>
    <x v="601"/>
    <x v="3"/>
    <s v="ARV"/>
    <s v="Adult"/>
    <s v="STRIDES ARCOLAB LIMITED"/>
    <x v="0"/>
    <s v="EXW"/>
    <s v="Ocean"/>
    <d v="2013-07-30T00:00:00"/>
    <d v="2013-11-08T00:00:00"/>
    <d v="2013-11-08T00:00:00"/>
    <d v="2013-11-13T00:00:00"/>
    <x v="8"/>
    <s v="Efavirenz"/>
    <s v="Generic"/>
    <s v="600mg"/>
    <s v="Tablet"/>
    <n v="30"/>
    <n v="63652"/>
    <n v="203049.88"/>
    <n v="3.19"/>
    <n v="0.11"/>
    <n v="3914"/>
    <n v="7769.41"/>
    <n v="1"/>
    <x v="6"/>
  </r>
  <r>
    <n v="70795"/>
    <s v="SCMS-156520"/>
    <x v="602"/>
    <x v="0"/>
    <s v="ARV"/>
    <s v="Adult"/>
    <s v="Aurobindo Pharma Limited"/>
    <x v="0"/>
    <s v="EXW"/>
    <s v="Air"/>
    <d v="2012-08-09T00:00:00"/>
    <d v="2012-09-27T00:00:00"/>
    <d v="2012-10-04T00:00:00"/>
    <d v="2012-10-04T00:00:00"/>
    <x v="1"/>
    <s v="Lamivudine/Zidovudine"/>
    <s v="Generic"/>
    <s v="150/300mg"/>
    <s v="Tablet - FDC"/>
    <n v="60"/>
    <n v="53051"/>
    <n v="379314.65"/>
    <n v="7.15"/>
    <n v="0.12"/>
    <n v="4611"/>
    <n v="21225.33"/>
    <n v="0"/>
    <x v="5"/>
  </r>
  <r>
    <n v="70812"/>
    <s v="SCMS-159630"/>
    <x v="603"/>
    <x v="0"/>
    <s v="ARV"/>
    <s v="Pediatric"/>
    <s v="ABBVIE LOGISTICS (FORMERLY ABBOTT LOGISTICS BV)"/>
    <x v="0"/>
    <s v="FCA"/>
    <s v="Air"/>
    <d v="2012-09-12T00:00:00"/>
    <d v="2013-03-15T00:00:00"/>
    <d v="2013-03-15T00:00:00"/>
    <d v="2013-03-15T00:00:00"/>
    <x v="7"/>
    <s v="Lopinavir/Ritonavir"/>
    <s v="Generic"/>
    <s v="100/25mg"/>
    <s v="Tablet"/>
    <n v="60"/>
    <n v="407"/>
    <n v="2592.59"/>
    <n v="6.37"/>
    <n v="0.11"/>
    <n v="68"/>
    <n v="1264.1600000000001"/>
    <n v="1"/>
    <x v="6"/>
  </r>
  <r>
    <n v="70823"/>
    <s v="SCMS-171970"/>
    <x v="604"/>
    <x v="3"/>
    <s v="ARV"/>
    <s v="Adult"/>
    <s v="ABBVIE LOGISTICS (FORMERLY ABBOTT LOGISTICS BV)"/>
    <x v="0"/>
    <s v="FCA"/>
    <s v="Air"/>
    <d v="2013-01-11T00:00:00"/>
    <d v="2013-07-05T00:00:00"/>
    <d v="2013-07-05T00:00:00"/>
    <d v="2013-07-05T00:00:00"/>
    <x v="58"/>
    <s v="Ritonavir"/>
    <s v="Norvir"/>
    <s v="100mg"/>
    <s v="Tablet"/>
    <n v="60"/>
    <n v="337"/>
    <n v="2308.4499999999998"/>
    <n v="6.85"/>
    <n v="0.11"/>
    <n v="55"/>
    <n v="1013.7"/>
    <n v="1"/>
    <x v="6"/>
  </r>
  <r>
    <n v="70978"/>
    <s v="SCMS-192020"/>
    <x v="605"/>
    <x v="3"/>
    <s v="ARV"/>
    <s v="Pediatric"/>
    <s v="MICRO LABS LIMITED"/>
    <x v="0"/>
    <s v="EXW"/>
    <s v="Air"/>
    <d v="2013-06-07T00:00:00"/>
    <d v="2013-08-19T00:00:00"/>
    <d v="2013-08-19T00:00:00"/>
    <d v="2013-08-19T00:00:00"/>
    <x v="41"/>
    <s v="Efavirenz"/>
    <s v="Generic"/>
    <s v="50mg"/>
    <s v="Capsule"/>
    <n v="30"/>
    <n v="252"/>
    <n v="509.04"/>
    <n v="2.02"/>
    <n v="7.0000000000000007E-2"/>
    <n v="9"/>
    <n v="1678.53"/>
    <n v="1"/>
    <x v="6"/>
  </r>
  <r>
    <n v="70979"/>
    <s v="SCMS-152910"/>
    <x v="606"/>
    <x v="1"/>
    <s v="ARV"/>
    <s v="Adult"/>
    <s v="Aurobindo Pharma Limited"/>
    <x v="0"/>
    <s v="EXW"/>
    <s v="Air"/>
    <d v="2012-07-16T00:00:00"/>
    <d v="2012-09-09T00:00:00"/>
    <d v="2012-09-09T00:00:00"/>
    <d v="2012-09-09T00:00:00"/>
    <x v="0"/>
    <s v="Nevirapine"/>
    <s v="Generic"/>
    <s v="200mg"/>
    <s v="Tablet"/>
    <n v="60"/>
    <n v="58234"/>
    <n v="131026.5"/>
    <n v="2.25"/>
    <n v="0.04"/>
    <n v="5551"/>
    <n v="49069.74"/>
    <n v="1"/>
    <x v="5"/>
  </r>
  <r>
    <n v="71064"/>
    <s v="SCMS-149432"/>
    <x v="607"/>
    <x v="1"/>
    <s v="ARV"/>
    <s v="Adult"/>
    <s v="HETERO LABS LIMITED"/>
    <x v="0"/>
    <s v="EXW"/>
    <s v="Air"/>
    <d v="2012-06-12T00:00:00"/>
    <d v="2012-08-04T00:00:00"/>
    <d v="2012-08-04T00:00:00"/>
    <d v="2012-08-04T00:00:00"/>
    <x v="39"/>
    <s v="Lamivudine/Tenofovir Disoproxil Fumarate"/>
    <s v="Generic"/>
    <s v="300/300mg"/>
    <s v="Tablet - FDC"/>
    <n v="30"/>
    <n v="40805"/>
    <n v="195455.95"/>
    <n v="4.79"/>
    <n v="0.16"/>
    <n v="4574"/>
    <n v="45060.6"/>
    <n v="1"/>
    <x v="5"/>
  </r>
  <r>
    <n v="71150"/>
    <s v="SCMS-210880"/>
    <x v="608"/>
    <x v="0"/>
    <s v="ARV"/>
    <s v="Pediatric"/>
    <s v="ABBVIE LOGISTICS (FORMERLY ABBOTT LOGISTICS BV)"/>
    <x v="0"/>
    <s v="FCA"/>
    <s v="Air"/>
    <d v="2013-10-31T00:00:00"/>
    <d v="2014-06-24T00:00:00"/>
    <d v="2014-06-24T00:00:00"/>
    <d v="2014-06-24T00:00:00"/>
    <x v="7"/>
    <s v="Lopinavir/Ritonavir"/>
    <s v="Generic"/>
    <s v="100/25mg"/>
    <s v="Tablet"/>
    <n v="60"/>
    <n v="1956"/>
    <n v="11618.64"/>
    <n v="5.94"/>
    <n v="0.1"/>
    <n v="230"/>
    <n v="2215.81"/>
    <n v="1"/>
    <x v="7"/>
  </r>
  <r>
    <n v="71293"/>
    <s v="SCMS-244220"/>
    <x v="609"/>
    <x v="1"/>
    <s v="ARV"/>
    <s v="Pediatric"/>
    <s v="LAWRENCE LABORATORIES (SUBSIDIARY OF BRISTOL MYERS SQUIBB)"/>
    <x v="0"/>
    <s v="FCA"/>
    <s v="Air"/>
    <d v="2014-06-30T00:00:00"/>
    <d v="2014-08-22T00:00:00"/>
    <d v="2014-08-22T00:00:00"/>
    <d v="2014-08-26T00:00:00"/>
    <x v="68"/>
    <s v="Atazanavir"/>
    <s v="Reyataz"/>
    <s v="150mg"/>
    <s v="Capsule"/>
    <n v="60"/>
    <n v="216"/>
    <n v="7311.6"/>
    <n v="33.85"/>
    <n v="0.56000000000000005"/>
    <n v="17"/>
    <n v="733.64"/>
    <n v="1"/>
    <x v="7"/>
  </r>
  <r>
    <n v="71469"/>
    <s v="SCMS-129510"/>
    <x v="610"/>
    <x v="1"/>
    <s v="ARV"/>
    <s v="Pediatric"/>
    <s v="CIPLA LIMITED"/>
    <x v="0"/>
    <s v="CIP"/>
    <s v="Air"/>
    <d v="2012-03-09T00:00:00"/>
    <d v="2012-06-28T00:00:00"/>
    <d v="2012-06-28T00:00:00"/>
    <d v="2012-06-28T00:00:00"/>
    <x v="64"/>
    <s v="Lamivudine/Stavudine"/>
    <s v="Generic"/>
    <s v="60/12mg"/>
    <s v="Chewable/dispersible tablet - FDC"/>
    <n v="60"/>
    <n v="672"/>
    <n v="2466.2399999999998"/>
    <n v="3.67"/>
    <n v="0.06"/>
    <n v="50"/>
    <n v="3011.72"/>
    <n v="1"/>
    <x v="5"/>
  </r>
  <r>
    <n v="72049"/>
    <s v="SCMS-149400"/>
    <x v="611"/>
    <x v="3"/>
    <s v="ARV"/>
    <s v="Adult"/>
    <s v="Aurobindo Pharma Limited"/>
    <x v="0"/>
    <s v="EXW"/>
    <s v="Air"/>
    <d v="2012-06-12T00:00:00"/>
    <d v="2012-07-12T00:00:00"/>
    <d v="2012-07-12T00:00:00"/>
    <d v="2012-07-12T00:00:00"/>
    <x v="0"/>
    <s v="Nevirapine"/>
    <s v="Generic"/>
    <s v="200mg"/>
    <s v="Tablet"/>
    <n v="60"/>
    <n v="22500"/>
    <n v="52875"/>
    <n v="2.35"/>
    <n v="0.04"/>
    <n v="2145"/>
    <n v="8143.97"/>
    <n v="1"/>
    <x v="5"/>
  </r>
  <r>
    <n v="72085"/>
    <s v="SCMS-137420"/>
    <x v="612"/>
    <x v="1"/>
    <s v="ARV"/>
    <s v="Adult"/>
    <s v="HETERO LABS LIMITED"/>
    <x v="0"/>
    <s v="EXW"/>
    <s v="Ocean"/>
    <d v="2012-05-18T00:00:00"/>
    <d v="2012-08-02T00:00:00"/>
    <d v="2012-08-02T00:00:00"/>
    <d v="2012-08-02T00:00:00"/>
    <x v="8"/>
    <s v="Efavirenz"/>
    <s v="Generic"/>
    <s v="600mg"/>
    <s v="Tablet"/>
    <n v="30"/>
    <n v="20370"/>
    <n v="72720.899999999994"/>
    <n v="3.57"/>
    <n v="0.12"/>
    <n v="1619"/>
    <n v="9054.61"/>
    <n v="1"/>
    <x v="5"/>
  </r>
  <r>
    <n v="72142"/>
    <s v="SCMS-126480"/>
    <x v="613"/>
    <x v="1"/>
    <s v="ARV"/>
    <s v="Pediatric"/>
    <s v="ABBVIE LOGISTICS (FORMERLY ABBOTT LOGISTICS BV)"/>
    <x v="0"/>
    <s v="FCA"/>
    <s v="Air"/>
    <d v="2011-11-11T00:00:00"/>
    <d v="2012-06-29T00:00:00"/>
    <d v="2012-06-29T00:00:00"/>
    <d v="2012-06-29T00:00:00"/>
    <x v="7"/>
    <s v="Lopinavir/Ritonavir"/>
    <s v="Generic"/>
    <s v="100/25mg"/>
    <s v="Tablet"/>
    <n v="60"/>
    <n v="1575"/>
    <n v="12143.25"/>
    <n v="7.71"/>
    <n v="0.13"/>
    <n v="186"/>
    <n v="2874.03"/>
    <n v="1"/>
    <x v="5"/>
  </r>
  <r>
    <n v="72158"/>
    <s v="SCMS-66910"/>
    <x v="614"/>
    <x v="0"/>
    <s v="ARV"/>
    <s v="Adult"/>
    <s v="ABBVIE LOGISTICS (FORMERLY ABBOTT LOGISTICS BV)"/>
    <x v="0"/>
    <s v="FCA"/>
    <s v="Air"/>
    <d v="2010-03-12T00:00:00"/>
    <d v="2010-06-11T00:00:00"/>
    <d v="2010-06-11T00:00:00"/>
    <d v="2010-06-11T00:00:00"/>
    <x v="14"/>
    <s v="Lopinavir/Ritonavir"/>
    <s v="Aluvia"/>
    <s v="200/50mg"/>
    <s v="Tablet"/>
    <n v="120"/>
    <n v="7145"/>
    <n v="258363.2"/>
    <n v="36.159999999999997"/>
    <n v="0.3"/>
    <n v="1604"/>
    <n v="9915.56"/>
    <n v="1"/>
    <x v="4"/>
  </r>
  <r>
    <n v="72291"/>
    <s v="SCMS-50820"/>
    <x v="615"/>
    <x v="1"/>
    <s v="ARV"/>
    <s v="Adult"/>
    <s v="HETERO LABS LIMITED"/>
    <x v="0"/>
    <s v="CIP"/>
    <s v="Air"/>
    <d v="2009-08-18T00:00:00"/>
    <d v="2010-06-13T00:00:00"/>
    <d v="2010-06-13T00:00:00"/>
    <d v="2010-06-13T00:00:00"/>
    <x v="16"/>
    <s v="Lamivudine"/>
    <s v="Generic"/>
    <s v="150mg"/>
    <s v="Tablet"/>
    <n v="60"/>
    <n v="15750"/>
    <n v="40792.5"/>
    <n v="2.59"/>
    <n v="0.04"/>
    <n v="986"/>
    <n v="4015.82"/>
    <n v="1"/>
    <x v="4"/>
  </r>
  <r>
    <n v="72695"/>
    <s v="SCMS-84400"/>
    <x v="395"/>
    <x v="1"/>
    <s v="ARV"/>
    <s v="Adult"/>
    <s v="Aurobindo Pharma Limited"/>
    <x v="0"/>
    <s v="CIP"/>
    <s v="Air"/>
    <d v="2010-09-27T00:00:00"/>
    <d v="2011-04-25T00:00:00"/>
    <d v="2011-04-25T00:00:00"/>
    <d v="2011-04-25T00:00:00"/>
    <x v="48"/>
    <s v="Didanosine"/>
    <s v="Generic"/>
    <s v="250mg"/>
    <s v="Delayed-release capsules"/>
    <n v="30"/>
    <n v="570"/>
    <n v="7552.5"/>
    <n v="13.25"/>
    <n v="0.44"/>
    <m/>
    <m/>
    <n v="1"/>
    <x v="9"/>
  </r>
  <r>
    <n v="73079"/>
    <s v="SCMS-156520"/>
    <x v="616"/>
    <x v="0"/>
    <s v="ARV"/>
    <s v="Adult"/>
    <s v="Aurobindo Pharma Limited"/>
    <x v="0"/>
    <s v="EXW"/>
    <s v="Air"/>
    <d v="2012-08-09T00:00:00"/>
    <d v="2012-09-27T00:00:00"/>
    <d v="2012-10-04T00:00:00"/>
    <d v="2012-10-04T00:00:00"/>
    <x v="1"/>
    <s v="Lamivudine/Zidovudine"/>
    <s v="Generic"/>
    <s v="150/300mg"/>
    <s v="Tablet - FDC"/>
    <n v="60"/>
    <n v="39360"/>
    <n v="281424"/>
    <n v="7.15"/>
    <n v="0.12"/>
    <n v="3421"/>
    <n v="15241.75"/>
    <n v="0"/>
    <x v="5"/>
  </r>
  <r>
    <n v="73211"/>
    <s v="SCMS-192070"/>
    <x v="617"/>
    <x v="3"/>
    <s v="ARV"/>
    <s v="Adult"/>
    <s v="ABBVIE LOGISTICS (FORMERLY ABBOTT LOGISTICS BV)"/>
    <x v="0"/>
    <s v="FCA"/>
    <s v="Air"/>
    <d v="2013-06-13T00:00:00"/>
    <d v="2013-09-23T00:00:00"/>
    <d v="2013-09-23T00:00:00"/>
    <d v="2013-09-23T00:00:00"/>
    <x v="58"/>
    <s v="Ritonavir"/>
    <s v="Norvir"/>
    <s v="100mg"/>
    <s v="Tablet"/>
    <n v="60"/>
    <n v="210"/>
    <n v="1438.5"/>
    <n v="6.85"/>
    <n v="0.11"/>
    <n v="32"/>
    <n v="852.02"/>
    <n v="1"/>
    <x v="6"/>
  </r>
  <r>
    <n v="73301"/>
    <s v="SCMS-91740"/>
    <x v="618"/>
    <x v="3"/>
    <s v="ARV"/>
    <s v="Adult"/>
    <s v="Hoffmann-La Roche ltd Basel"/>
    <x v="0"/>
    <s v="FCA"/>
    <s v="Air"/>
    <d v="2010-11-17T00:00:00"/>
    <d v="2010-12-21T00:00:00"/>
    <d v="2010-12-21T00:00:00"/>
    <d v="2010-12-21T00:00:00"/>
    <x v="63"/>
    <s v="Saquinavir"/>
    <s v="Invirase"/>
    <s v="500mg"/>
    <s v="Tablet"/>
    <n v="120"/>
    <n v="98"/>
    <n v="10150.19"/>
    <n v="103.57"/>
    <n v="0.86"/>
    <n v="18"/>
    <n v="968.25"/>
    <n v="1"/>
    <x v="4"/>
  </r>
  <r>
    <n v="73727"/>
    <s v="SCMS-264960"/>
    <x v="619"/>
    <x v="3"/>
    <s v="ARV"/>
    <s v="Adult"/>
    <s v="EMCURE PHARMACEUTICALS LTD"/>
    <x v="0"/>
    <s v="EXW"/>
    <s v="Air"/>
    <d v="2014-11-25T00:00:00"/>
    <d v="2015-04-08T00:00:00"/>
    <d v="2015-04-08T00:00:00"/>
    <d v="2015-04-08T00:00:00"/>
    <x v="53"/>
    <s v="Atazanavir/Ritonavir"/>
    <s v="Generic"/>
    <s v="300/100mg"/>
    <s v="Tablet"/>
    <n v="30"/>
    <n v="1776"/>
    <n v="31968"/>
    <n v="18"/>
    <n v="0.6"/>
    <n v="237"/>
    <n v="1794.89"/>
    <n v="1"/>
    <x v="8"/>
  </r>
  <r>
    <n v="73748"/>
    <s v="SCMS-193850"/>
    <x v="620"/>
    <x v="0"/>
    <s v="ARV"/>
    <s v="Adult"/>
    <s v="Aurobindo Pharma Limited"/>
    <x v="0"/>
    <s v="EXW"/>
    <s v="Air"/>
    <d v="2013-06-11T00:00:00"/>
    <d v="2013-08-24T00:00:00"/>
    <d v="2013-08-24T00:00:00"/>
    <d v="2013-08-24T00:00:00"/>
    <x v="11"/>
    <s v="Lamivudine/Nevirapine/Zidovudine"/>
    <s v="Generic"/>
    <s v="150/300/200mg"/>
    <s v="Tablet - FDC"/>
    <n v="60"/>
    <n v="36451"/>
    <n v="297075.65000000002"/>
    <n v="8.15"/>
    <n v="0.14000000000000001"/>
    <n v="4611"/>
    <n v="20618.55"/>
    <n v="1"/>
    <x v="6"/>
  </r>
  <r>
    <n v="73961"/>
    <s v="SCMS-53050"/>
    <x v="621"/>
    <x v="3"/>
    <s v="ARV"/>
    <s v="Adult"/>
    <s v="ABBVIE LOGISTICS (FORMERLY ABBOTT LOGISTICS BV)"/>
    <x v="0"/>
    <s v="FCA"/>
    <s v="Air"/>
    <d v="2009-09-10T00:00:00"/>
    <d v="2009-10-20T00:00:00"/>
    <d v="2009-10-20T00:00:00"/>
    <d v="2009-10-20T00:00:00"/>
    <x v="14"/>
    <s v="Lopinavir/Ritonavir"/>
    <s v="Aluvia"/>
    <s v="200/50mg"/>
    <s v="Tablet"/>
    <n v="120"/>
    <n v="480"/>
    <n v="17356.8"/>
    <n v="36.159999999999997"/>
    <n v="0.3"/>
    <n v="126"/>
    <n v="1360.34"/>
    <n v="1"/>
    <x v="3"/>
  </r>
  <r>
    <n v="74178"/>
    <s v="SCMS-192040"/>
    <x v="622"/>
    <x v="3"/>
    <s v="ARV"/>
    <s v="Pediatric"/>
    <s v="MYLAN LABORATORIES LTD (FORMERLY MATRIX LABORATORIES)"/>
    <x v="0"/>
    <s v="EXW"/>
    <s v="Air"/>
    <d v="2013-06-14T00:00:00"/>
    <d v="2013-10-28T00:00:00"/>
    <d v="2013-10-28T00:00:00"/>
    <d v="2013-10-30T00:00:00"/>
    <x v="69"/>
    <s v="Efavirenz"/>
    <s v="Generic"/>
    <s v="200mg"/>
    <s v="Tablet"/>
    <n v="30"/>
    <n v="61386"/>
    <n v="92079"/>
    <n v="1.5"/>
    <n v="0.05"/>
    <n v="3262"/>
    <n v="12034.96"/>
    <n v="1"/>
    <x v="6"/>
  </r>
  <r>
    <n v="74260"/>
    <s v="SCMS-111210"/>
    <x v="623"/>
    <x v="3"/>
    <s v="ARV"/>
    <s v="Adult"/>
    <s v="MERCK SHARP &amp; DOHME IDEA GMBH (FORMALLY MERCK SHARP &amp; DOHME B.V.)"/>
    <x v="0"/>
    <s v="CIP"/>
    <s v="Air"/>
    <d v="2011-06-14T00:00:00"/>
    <d v="2012-01-04T00:00:00"/>
    <d v="2012-01-04T00:00:00"/>
    <d v="2012-01-04T00:00:00"/>
    <x v="38"/>
    <s v="Indinavir"/>
    <s v="Crixivan"/>
    <s v="400mg"/>
    <s v="Capsule"/>
    <n v="180"/>
    <n v="36"/>
    <n v="1800"/>
    <n v="50"/>
    <n v="0.28000000000000003"/>
    <n v="9"/>
    <n v="286"/>
    <n v="1"/>
    <x v="5"/>
  </r>
  <r>
    <n v="74492"/>
    <s v="SCMS-137540"/>
    <x v="624"/>
    <x v="1"/>
    <s v="ARV"/>
    <s v="Adult"/>
    <s v="MYLAN LABORATORIES LTD (FORMERLY MATRIX LABORATORIES)"/>
    <x v="0"/>
    <s v="EXW"/>
    <s v="Ocean"/>
    <d v="2012-04-03T00:00:00"/>
    <d v="2012-07-16T00:00:00"/>
    <d v="2012-07-16T00:00:00"/>
    <d v="2012-07-16T00:00:00"/>
    <x v="46"/>
    <s v="Efavirenz/Lamivudine/Tenofovir Disoproxil Fumarate"/>
    <s v="Generic"/>
    <s v="600/300/300mg"/>
    <s v="Tablet - FDC"/>
    <n v="30"/>
    <n v="39330"/>
    <n v="511290"/>
    <n v="13"/>
    <n v="0.43"/>
    <n v="4426"/>
    <n v="66916.5"/>
    <n v="1"/>
    <x v="5"/>
  </r>
  <r>
    <n v="74660"/>
    <s v="SCMS-83370"/>
    <x v="625"/>
    <x v="1"/>
    <s v="ARV"/>
    <s v="Adult"/>
    <s v="HETERO LABS LIMITED"/>
    <x v="0"/>
    <s v="CIP"/>
    <s v="Air"/>
    <d v="2010-09-27T00:00:00"/>
    <d v="2011-01-11T00:00:00"/>
    <d v="2011-01-11T00:00:00"/>
    <d v="2011-01-11T00:00:00"/>
    <x v="8"/>
    <s v="Efavirenz"/>
    <s v="Generic"/>
    <s v="600mg"/>
    <s v="Tablet"/>
    <n v="30"/>
    <n v="1396"/>
    <n v="6044.68"/>
    <n v="4.33"/>
    <n v="0.14000000000000001"/>
    <m/>
    <m/>
    <n v="1"/>
    <x v="9"/>
  </r>
  <r>
    <n v="74965"/>
    <s v="SCMS-66940"/>
    <x v="626"/>
    <x v="0"/>
    <s v="ARV"/>
    <s v="Adult"/>
    <s v="ABBVIE LOGISTICS (FORMERLY ABBOTT LOGISTICS BV)"/>
    <x v="0"/>
    <s v="FCA"/>
    <s v="Air"/>
    <d v="2010-03-12T00:00:00"/>
    <d v="2011-03-31T00:00:00"/>
    <d v="2011-03-31T00:00:00"/>
    <d v="2011-03-31T00:00:00"/>
    <x v="30"/>
    <s v="Ritonavir"/>
    <s v="Norvir"/>
    <s v="100mg"/>
    <s v="Capsule"/>
    <n v="336"/>
    <n v="335"/>
    <n v="12850.6"/>
    <n v="38.36"/>
    <n v="0.11"/>
    <n v="146"/>
    <n v="4701.1000000000004"/>
    <n v="1"/>
    <x v="9"/>
  </r>
  <r>
    <n v="75043"/>
    <s v="SCMS-268600"/>
    <x v="627"/>
    <x v="1"/>
    <s v="ARV"/>
    <s v="Pediatric"/>
    <s v="SWORDS LABORATORIES"/>
    <x v="0"/>
    <s v="FCA"/>
    <s v="Air"/>
    <d v="2014-12-12T00:00:00"/>
    <d v="2015-04-27T00:00:00"/>
    <d v="2015-04-27T00:00:00"/>
    <d v="2015-04-27T00:00:00"/>
    <x v="68"/>
    <s v="Atazanavir"/>
    <s v="Reyataz"/>
    <s v="150mg"/>
    <s v="Capsule"/>
    <n v="60"/>
    <n v="132"/>
    <n v="4468.2"/>
    <n v="33.85"/>
    <n v="0.56000000000000005"/>
    <n v="11"/>
    <n v="663.77"/>
    <n v="1"/>
    <x v="8"/>
  </r>
  <r>
    <n v="75502"/>
    <s v="SCMS-210910"/>
    <x v="628"/>
    <x v="0"/>
    <s v="ARV"/>
    <s v="Pediatric"/>
    <s v="Aurobindo Pharma Limited"/>
    <x v="0"/>
    <s v="EXW"/>
    <s v="Air"/>
    <d v="2013-10-28T00:00:00"/>
    <d v="2014-01-28T00:00:00"/>
    <d v="2014-01-28T00:00:00"/>
    <d v="2014-01-28T00:00:00"/>
    <x v="41"/>
    <s v="Efavirenz"/>
    <s v="Generic"/>
    <s v="50mg"/>
    <s v="Capsule"/>
    <n v="30"/>
    <n v="11912"/>
    <n v="18582.72"/>
    <n v="1.56"/>
    <n v="0.05"/>
    <n v="802"/>
    <n v="5740.54"/>
    <n v="1"/>
    <x v="7"/>
  </r>
  <r>
    <n v="75534"/>
    <s v="SCMS-239010"/>
    <x v="629"/>
    <x v="1"/>
    <s v="ARV"/>
    <s v="Adult"/>
    <s v="MYLAN LABORATORIES LTD (FORMERLY MATRIX LABORATORIES)"/>
    <x v="0"/>
    <s v="CIP"/>
    <s v="Air"/>
    <d v="2014-05-16T00:00:00"/>
    <d v="2014-07-24T00:00:00"/>
    <d v="2014-07-24T00:00:00"/>
    <d v="2014-07-25T00:00:00"/>
    <x v="53"/>
    <s v="Atazanavir/Ritonavir"/>
    <s v="Generic"/>
    <s v="300/100mg"/>
    <s v="Tablet"/>
    <n v="30"/>
    <n v="18000"/>
    <n v="360000"/>
    <n v="20"/>
    <n v="0.67"/>
    <n v="2402"/>
    <n v="1832.54"/>
    <n v="1"/>
    <x v="7"/>
  </r>
  <r>
    <n v="75641"/>
    <s v="SCMS-156500"/>
    <x v="630"/>
    <x v="0"/>
    <s v="ARV"/>
    <s v="Adult"/>
    <s v="Aurobindo Pharma Limited"/>
    <x v="0"/>
    <s v="EXW"/>
    <s v="Air"/>
    <d v="2012-08-09T00:00:00"/>
    <d v="2012-10-09T00:00:00"/>
    <d v="2012-10-09T00:00:00"/>
    <d v="2012-10-09T00:00:00"/>
    <x v="8"/>
    <s v="Efavirenz"/>
    <s v="Generic"/>
    <s v="600mg"/>
    <s v="Tablet"/>
    <n v="30"/>
    <n v="60757"/>
    <n v="200498.1"/>
    <n v="3.3"/>
    <n v="0.11"/>
    <n v="5215"/>
    <n v="20136.28"/>
    <n v="1"/>
    <x v="5"/>
  </r>
  <r>
    <n v="75682"/>
    <s v="SCMS-143490"/>
    <x v="351"/>
    <x v="3"/>
    <s v="ARV"/>
    <s v="Adult"/>
    <s v="ASPEN PHARMACARE"/>
    <x v="0"/>
    <s v="DDP"/>
    <s v="Air"/>
    <d v="2012-04-17T00:00:00"/>
    <d v="2012-05-18T00:00:00"/>
    <d v="2012-05-18T00:00:00"/>
    <d v="2012-05-18T00:00:00"/>
    <x v="59"/>
    <s v="Darunavir"/>
    <s v="Prezista"/>
    <s v="300mg"/>
    <s v="Tablet"/>
    <n v="120"/>
    <n v="252"/>
    <n v="16783.2"/>
    <n v="66.599999999999994"/>
    <n v="0.55000000000000004"/>
    <m/>
    <m/>
    <n v="1"/>
    <x v="5"/>
  </r>
  <r>
    <n v="75733"/>
    <s v="SCMS-249920"/>
    <x v="631"/>
    <x v="5"/>
    <s v="ARV"/>
    <s v="Pediatric"/>
    <s v="CIPLA LIMITED"/>
    <x v="0"/>
    <s v="EXW"/>
    <s v="Air"/>
    <d v="2014-07-31T00:00:00"/>
    <d v="2014-12-11T00:00:00"/>
    <d v="2014-12-11T00:00:00"/>
    <d v="2014-12-16T00:00:00"/>
    <x v="42"/>
    <s v="Lamivudine/Zidovudine"/>
    <s v="Generic"/>
    <s v="30/60mg"/>
    <s v="Chewable/dispersible tablet - FDC"/>
    <n v="60"/>
    <n v="635"/>
    <n v="1206.5"/>
    <n v="1.9"/>
    <n v="0.03"/>
    <n v="59"/>
    <n v="1944.99"/>
    <n v="1"/>
    <x v="7"/>
  </r>
  <r>
    <n v="76112"/>
    <s v="SCMS-50280"/>
    <x v="632"/>
    <x v="1"/>
    <s v="ARV"/>
    <s v="Adult"/>
    <s v="MYLAN LABORATORIES LTD (FORMERLY MATRIX LABORATORIES)"/>
    <x v="0"/>
    <s v="CIP"/>
    <s v="Air"/>
    <d v="2009-08-31T00:00:00"/>
    <d v="2010-06-01T00:00:00"/>
    <d v="2010-06-01T00:00:00"/>
    <d v="2010-06-01T00:00:00"/>
    <x v="39"/>
    <s v="Lamivudine/Tenofovir Disoproxil Fumarate"/>
    <s v="Generic"/>
    <s v="300/300mg"/>
    <s v="Tablet - FDC"/>
    <n v="30"/>
    <n v="20700"/>
    <n v="226665"/>
    <n v="10.95"/>
    <n v="0.36"/>
    <n v="1795"/>
    <n v="21340.35"/>
    <n v="1"/>
    <x v="4"/>
  </r>
  <r>
    <n v="76142"/>
    <s v="SCMS-175500"/>
    <x v="633"/>
    <x v="0"/>
    <s v="ARV"/>
    <s v="Pediatric"/>
    <s v="ABBVIE LOGISTICS (FORMERLY ABBOTT LOGISTICS BV)"/>
    <x v="0"/>
    <s v="FCA"/>
    <s v="Air"/>
    <d v="2013-02-04T00:00:00"/>
    <d v="2013-06-06T00:00:00"/>
    <d v="2013-06-06T00:00:00"/>
    <d v="2013-06-06T00:00:00"/>
    <x v="6"/>
    <s v="Lopinavir/Ritonavir"/>
    <s v="Kaletra"/>
    <s v="80/20mg/ml"/>
    <s v="Oral solution"/>
    <n v="300"/>
    <n v="237"/>
    <n v="7304.34"/>
    <n v="30.82"/>
    <n v="0.1"/>
    <n v="244"/>
    <n v="3269.9"/>
    <n v="1"/>
    <x v="6"/>
  </r>
  <r>
    <n v="76325"/>
    <s v="SCMS-47730"/>
    <x v="453"/>
    <x v="0"/>
    <s v="ARV"/>
    <s v="Adult"/>
    <s v="BRISTOL-MYERS SQUIBB"/>
    <x v="0"/>
    <s v="CIP"/>
    <s v="Air"/>
    <d v="2009-06-29T00:00:00"/>
    <d v="2009-08-11T00:00:00"/>
    <d v="2009-08-11T00:00:00"/>
    <d v="2009-08-11T00:00:00"/>
    <x v="12"/>
    <s v="Didanosine EC"/>
    <s v="Videx EC"/>
    <s v="250mg"/>
    <s v="Delayed-release capsules - blister"/>
    <n v="30"/>
    <n v="7000"/>
    <n v="128380"/>
    <n v="18.34"/>
    <n v="0.61"/>
    <m/>
    <m/>
    <n v="1"/>
    <x v="3"/>
  </r>
  <r>
    <n v="76712"/>
    <s v="SCMS-55240"/>
    <x v="634"/>
    <x v="3"/>
    <s v="ARV"/>
    <s v="Adult"/>
    <s v="ABBVIE LOGISTICS (FORMERLY ABBOTT LOGISTICS BV)"/>
    <x v="0"/>
    <s v="FCA"/>
    <s v="Air"/>
    <d v="2009-11-03T00:00:00"/>
    <d v="2009-12-19T00:00:00"/>
    <d v="2009-12-19T00:00:00"/>
    <d v="2009-12-19T00:00:00"/>
    <x v="14"/>
    <s v="Lopinavir/Ritonavir"/>
    <s v="Aluvia"/>
    <s v="200/50mg"/>
    <s v="Tablet"/>
    <n v="120"/>
    <n v="110"/>
    <n v="3977.6"/>
    <n v="36.159999999999997"/>
    <n v="0.3"/>
    <n v="33"/>
    <n v="995.22"/>
    <n v="1"/>
    <x v="3"/>
  </r>
  <r>
    <n v="77136"/>
    <s v="SCMS-186900"/>
    <x v="635"/>
    <x v="0"/>
    <s v="ARV"/>
    <s v="Pediatric"/>
    <s v="ABBVIE LOGISTICS (FORMERLY ABBOTT LOGISTICS BV)"/>
    <x v="0"/>
    <s v="FCA"/>
    <s v="Air"/>
    <d v="2013-05-08T00:00:00"/>
    <d v="2013-08-01T00:00:00"/>
    <d v="2013-08-01T00:00:00"/>
    <d v="2013-08-01T00:00:00"/>
    <x v="6"/>
    <s v="Lopinavir/Ritonavir"/>
    <s v="Kaletra"/>
    <s v="80/20mg/ml"/>
    <s v="Oral solution"/>
    <n v="300"/>
    <n v="435"/>
    <n v="13406.7"/>
    <n v="30.82"/>
    <n v="0.1"/>
    <n v="470"/>
    <n v="4267.13"/>
    <n v="1"/>
    <x v="6"/>
  </r>
  <r>
    <n v="77181"/>
    <s v="SCMS-171920"/>
    <x v="636"/>
    <x v="3"/>
    <s v="ARV"/>
    <s v="Pediatric"/>
    <s v="Aurobindo Pharma Limited"/>
    <x v="0"/>
    <s v="EXW"/>
    <s v="Air"/>
    <d v="2013-01-11T00:00:00"/>
    <d v="2013-03-05T00:00:00"/>
    <d v="2013-03-05T00:00:00"/>
    <d v="2013-03-05T00:00:00"/>
    <x v="41"/>
    <s v="Efavirenz"/>
    <s v="Generic"/>
    <s v="50mg"/>
    <s v="Capsule"/>
    <n v="30"/>
    <n v="196"/>
    <n v="439.04"/>
    <n v="2.2400000000000002"/>
    <n v="7.0000000000000007E-2"/>
    <n v="12"/>
    <n v="917.35"/>
    <n v="1"/>
    <x v="6"/>
  </r>
  <r>
    <n v="77296"/>
    <s v="SCMS-48931"/>
    <x v="637"/>
    <x v="1"/>
    <s v="ARV"/>
    <s v="Adult"/>
    <s v="Aurobindo Pharma Limited"/>
    <x v="0"/>
    <s v="CIP"/>
    <s v="Air"/>
    <d v="2010-03-07T00:00:00"/>
    <d v="2010-04-29T00:00:00"/>
    <d v="2010-04-29T00:00:00"/>
    <d v="2010-04-29T00:00:00"/>
    <x v="47"/>
    <s v="Lopinavir/Ritonavir"/>
    <s v="Generic"/>
    <s v="200/50mg"/>
    <s v="Tablet"/>
    <n v="120"/>
    <n v="4240"/>
    <n v="158406.39999999999"/>
    <n v="37.36"/>
    <n v="0.31"/>
    <n v="1048"/>
    <n v="14256.58"/>
    <n v="1"/>
    <x v="4"/>
  </r>
  <r>
    <n v="77324"/>
    <s v="SCMS-50810"/>
    <x v="638"/>
    <x v="1"/>
    <s v="ARV"/>
    <s v="Adult"/>
    <s v="HETERO LABS LIMITED"/>
    <x v="0"/>
    <s v="CIP"/>
    <s v="Air"/>
    <d v="2009-08-18T00:00:00"/>
    <d v="2010-01-04T00:00:00"/>
    <d v="2010-01-04T00:00:00"/>
    <d v="2010-01-04T00:00:00"/>
    <x v="16"/>
    <s v="Lamivudine"/>
    <s v="Generic"/>
    <s v="150mg"/>
    <s v="Tablet"/>
    <n v="60"/>
    <n v="10350"/>
    <n v="26806.5"/>
    <n v="2.59"/>
    <n v="0.04"/>
    <n v="582"/>
    <n v="2990.64"/>
    <n v="1"/>
    <x v="4"/>
  </r>
  <r>
    <n v="77494"/>
    <s v="SCMS-198721"/>
    <x v="639"/>
    <x v="3"/>
    <s v="ARV"/>
    <s v="Adult"/>
    <s v="MYLAN LABORATORIES LTD (FORMERLY MATRIX LABORATORIES)"/>
    <x v="0"/>
    <s v="EXW"/>
    <s v="Ocean"/>
    <d v="2013-08-27T00:00:00"/>
    <d v="2013-12-18T00:00:00"/>
    <d v="2013-12-18T00:00:00"/>
    <d v="2013-12-20T00:00:00"/>
    <x v="1"/>
    <s v="Lamivudine/Zidovudine"/>
    <s v="Generic"/>
    <s v="150/300mg"/>
    <s v="Tablet - FDC"/>
    <n v="60"/>
    <n v="9888"/>
    <n v="64173.120000000003"/>
    <n v="6.49"/>
    <n v="0.11"/>
    <n v="858"/>
    <n v="10833.06"/>
    <n v="1"/>
    <x v="6"/>
  </r>
  <r>
    <n v="77677"/>
    <s v="SCMS-231060"/>
    <x v="640"/>
    <x v="0"/>
    <s v="ARV"/>
    <s v="Adult"/>
    <s v="MYLAN LABORATORIES LTD (FORMERLY MATRIX LABORATORIES)"/>
    <x v="0"/>
    <s v="EXW"/>
    <s v="Air"/>
    <d v="2014-03-07T00:00:00"/>
    <d v="2014-06-24T00:00:00"/>
    <d v="2014-06-24T00:00:00"/>
    <d v="2014-06-24T00:00:00"/>
    <x v="70"/>
    <s v="Emtricitabine/Tenofovir Disoproxil Fumarate"/>
    <s v="Generic"/>
    <s v="200/300mg"/>
    <s v="Tablet - FDC"/>
    <n v="30"/>
    <n v="5000"/>
    <n v="28700"/>
    <n v="5.74"/>
    <n v="0.19"/>
    <n v="449"/>
    <n v="2865.22"/>
    <n v="1"/>
    <x v="7"/>
  </r>
  <r>
    <n v="77751"/>
    <s v="SCMS-244550"/>
    <x v="641"/>
    <x v="5"/>
    <s v="ARV"/>
    <s v="Pediatric"/>
    <s v="Aurobindo Pharma Limited"/>
    <x v="0"/>
    <s v="EXW"/>
    <s v="Air"/>
    <d v="2014-06-19T00:00:00"/>
    <d v="2014-09-29T00:00:00"/>
    <d v="2014-09-29T00:00:00"/>
    <d v="2014-10-03T00:00:00"/>
    <x v="65"/>
    <s v="Nevirapine"/>
    <s v="Generic"/>
    <s v="50mg"/>
    <s v="Chewable/dispersible tablet"/>
    <n v="30"/>
    <n v="2538"/>
    <n v="3172.5"/>
    <n v="1.25"/>
    <n v="0.04"/>
    <n v="165"/>
    <n v="1960.89"/>
    <n v="1"/>
    <x v="7"/>
  </r>
  <r>
    <n v="77772"/>
    <s v="SCMS-68320"/>
    <x v="642"/>
    <x v="3"/>
    <s v="ARV"/>
    <s v="Adult"/>
    <s v="ABBVIE LOGISTICS (FORMERLY ABBOTT LOGISTICS BV)"/>
    <x v="0"/>
    <s v="FCA"/>
    <s v="Air"/>
    <d v="2010-03-18T00:00:00"/>
    <d v="2010-05-12T00:00:00"/>
    <d v="2010-05-12T00:00:00"/>
    <d v="2010-05-12T00:00:00"/>
    <x v="14"/>
    <s v="Lopinavir/Ritonavir"/>
    <s v="Aluvia"/>
    <s v="200/50mg"/>
    <s v="Tablet"/>
    <n v="120"/>
    <n v="160"/>
    <n v="5785.6"/>
    <n v="36.159999999999997"/>
    <n v="0.3"/>
    <n v="47"/>
    <n v="1238.94"/>
    <n v="1"/>
    <x v="4"/>
  </r>
  <r>
    <n v="77780"/>
    <s v="SCMS-142230"/>
    <x v="643"/>
    <x v="3"/>
    <s v="ARV"/>
    <s v="Adult"/>
    <s v="MERCK SHARP &amp; DOHME IDEA GMBH (FORMALLY MERCK SHARP &amp; DOHME B.V.)"/>
    <x v="0"/>
    <s v="CIP"/>
    <s v="Air"/>
    <d v="2012-04-04T00:00:00"/>
    <d v="2012-05-21T00:00:00"/>
    <d v="2012-05-21T00:00:00"/>
    <d v="2012-05-21T00:00:00"/>
    <x v="56"/>
    <s v="Raltegravir"/>
    <s v="Isentress"/>
    <s v="400mg"/>
    <s v="Tablet"/>
    <n v="60"/>
    <n v="168"/>
    <n v="9324"/>
    <n v="55.5"/>
    <n v="0.92"/>
    <n v="35"/>
    <n v="886"/>
    <n v="1"/>
    <x v="5"/>
  </r>
  <r>
    <n v="78261"/>
    <s v="SCMS-149400"/>
    <x v="644"/>
    <x v="3"/>
    <s v="ARV"/>
    <s v="Adult"/>
    <s v="Aurobindo Pharma Limited"/>
    <x v="0"/>
    <s v="EXW"/>
    <s v="Air"/>
    <d v="2012-06-12T00:00:00"/>
    <d v="2012-07-18T00:00:00"/>
    <d v="2012-07-18T00:00:00"/>
    <d v="2012-07-18T00:00:00"/>
    <x v="47"/>
    <s v="Lopinavir/Ritonavir"/>
    <s v="Generic"/>
    <s v="200/50mg"/>
    <s v="Tablet"/>
    <n v="120"/>
    <n v="15321"/>
    <n v="390685.5"/>
    <n v="25.5"/>
    <n v="0.21"/>
    <n v="3888"/>
    <n v="17405.650000000001"/>
    <n v="1"/>
    <x v="5"/>
  </r>
  <r>
    <n v="78311"/>
    <s v="SCMS-152950"/>
    <x v="645"/>
    <x v="1"/>
    <s v="ARV"/>
    <s v="Adult"/>
    <s v="HETERO LABS LIMITED"/>
    <x v="0"/>
    <s v="EXW"/>
    <s v="Air"/>
    <d v="2012-07-16T00:00:00"/>
    <d v="2012-10-22T00:00:00"/>
    <d v="2012-10-22T00:00:00"/>
    <d v="2012-10-22T00:00:00"/>
    <x v="13"/>
    <s v="Lamivudine/Nevirapine/Stavudine"/>
    <s v="Generic"/>
    <s v="150/200/30mg"/>
    <s v="Tablet - FDC"/>
    <n v="60"/>
    <n v="40000"/>
    <n v="175600"/>
    <n v="4.3899999999999997"/>
    <n v="7.0000000000000007E-2"/>
    <n v="4479"/>
    <n v="36677.08"/>
    <n v="1"/>
    <x v="5"/>
  </r>
  <r>
    <n v="78387"/>
    <s v="SCMS-80710"/>
    <x v="646"/>
    <x v="3"/>
    <s v="ARV"/>
    <s v="Adult"/>
    <s v="ASPEN PHARMACARE"/>
    <x v="0"/>
    <s v="DDU"/>
    <s v="Air"/>
    <d v="2010-08-11T00:00:00"/>
    <d v="2010-09-01T00:00:00"/>
    <d v="2010-09-01T00:00:00"/>
    <d v="2010-09-01T00:00:00"/>
    <x v="40"/>
    <s v="Etravirine"/>
    <s v="Intelence"/>
    <s v="100mg"/>
    <s v="Tablet"/>
    <n v="120"/>
    <n v="50"/>
    <n v="4199.01"/>
    <n v="83.98"/>
    <n v="0.7"/>
    <n v="10"/>
    <n v="435"/>
    <n v="1"/>
    <x v="4"/>
  </r>
  <r>
    <n v="78727"/>
    <s v="SCMS-63651"/>
    <x v="647"/>
    <x v="1"/>
    <s v="ARV"/>
    <s v="Pediatric"/>
    <s v="Hoffmann-La Roche ltd Basel"/>
    <x v="0"/>
    <s v="FCA"/>
    <s v="Air"/>
    <d v="2010-01-20T00:00:00"/>
    <d v="2010-04-30T00:00:00"/>
    <d v="2010-04-30T00:00:00"/>
    <d v="2010-04-30T00:00:00"/>
    <x v="71"/>
    <s v="Nelfinavir"/>
    <s v="Viracept"/>
    <s v="50mg/g"/>
    <s v="Oral powder"/>
    <n v="144"/>
    <n v="148"/>
    <n v="5429.5"/>
    <n v="36.69"/>
    <n v="0.25"/>
    <n v="27"/>
    <n v="1253.71"/>
    <n v="1"/>
    <x v="4"/>
  </r>
  <r>
    <n v="78789"/>
    <s v="SCMS-110050"/>
    <x v="648"/>
    <x v="2"/>
    <s v="ARV"/>
    <s v="Adult"/>
    <s v="MYLAN LABORATORIES LTD (FORMERLY MATRIX LABORATORIES)"/>
    <x v="0"/>
    <s v="EXW"/>
    <s v="Air"/>
    <d v="2011-05-26T00:00:00"/>
    <d v="2011-07-01T00:00:00"/>
    <d v="2011-07-01T00:00:00"/>
    <d v="2011-07-01T00:00:00"/>
    <x v="39"/>
    <s v="Lamivudine/Tenofovir Disoproxil Fumarate"/>
    <s v="Generic"/>
    <s v="300/300mg"/>
    <s v="Tablet - FDC"/>
    <n v="30"/>
    <n v="100000"/>
    <n v="624000"/>
    <n v="6.24"/>
    <n v="0.21"/>
    <n v="9565"/>
    <n v="60713.120000000003"/>
    <n v="1"/>
    <x v="9"/>
  </r>
  <r>
    <n v="79128"/>
    <s v="SCMS-142230"/>
    <x v="643"/>
    <x v="3"/>
    <s v="ARV"/>
    <s v="Adult"/>
    <s v="MERCK SHARP &amp; DOHME IDEA GMBH (FORMALLY MERCK SHARP &amp; DOHME B.V.)"/>
    <x v="0"/>
    <s v="CIP"/>
    <s v="Air"/>
    <d v="2012-04-04T00:00:00"/>
    <d v="2012-05-21T00:00:00"/>
    <d v="2012-05-21T00:00:00"/>
    <d v="2012-05-21T00:00:00"/>
    <x v="56"/>
    <s v="Raltegravir"/>
    <s v="Isentress"/>
    <s v="400mg"/>
    <s v="Tablet"/>
    <n v="60"/>
    <n v="180"/>
    <n v="9990"/>
    <n v="55.5"/>
    <n v="0.92"/>
    <m/>
    <m/>
    <n v="1"/>
    <x v="5"/>
  </r>
  <r>
    <n v="79232"/>
    <s v="SCMS-50270"/>
    <x v="649"/>
    <x v="1"/>
    <s v="ARV"/>
    <s v="Adult"/>
    <s v="MYLAN LABORATORIES LTD (FORMERLY MATRIX LABORATORIES)"/>
    <x v="0"/>
    <s v="CIP"/>
    <s v="Air"/>
    <d v="2009-08-31T00:00:00"/>
    <d v="2010-06-25T00:00:00"/>
    <d v="2010-06-25T00:00:00"/>
    <d v="2010-06-25T00:00:00"/>
    <x v="39"/>
    <s v="Lamivudine/Tenofovir Disoproxil Fumarate"/>
    <s v="Generic"/>
    <s v="300/300mg"/>
    <s v="Tablet - FDC"/>
    <n v="30"/>
    <n v="72091"/>
    <n v="789396.45"/>
    <n v="10.95"/>
    <n v="0.36"/>
    <n v="6842"/>
    <n v="73790.429999999993"/>
    <n v="1"/>
    <x v="4"/>
  </r>
  <r>
    <n v="79646"/>
    <s v="SCMS-175460"/>
    <x v="650"/>
    <x v="0"/>
    <s v="ARV"/>
    <s v="Adult"/>
    <s v="MYLAN LABORATORIES LTD (FORMERLY MATRIX LABORATORIES)"/>
    <x v="0"/>
    <s v="EXW"/>
    <s v="Air"/>
    <d v="2013-02-20T00:00:00"/>
    <d v="2013-04-23T00:00:00"/>
    <d v="2013-04-23T00:00:00"/>
    <d v="2013-04-23T00:00:00"/>
    <x v="53"/>
    <s v="Atazanavir/Ritonavir"/>
    <s v="Generic"/>
    <s v="300/100mg"/>
    <s v="Tablet"/>
    <n v="30"/>
    <n v="12830"/>
    <n v="288675"/>
    <n v="22.5"/>
    <n v="0.75"/>
    <n v="1710"/>
    <n v="8344.86"/>
    <n v="1"/>
    <x v="6"/>
  </r>
  <r>
    <n v="79701"/>
    <s v="SCMS-198780"/>
    <x v="651"/>
    <x v="0"/>
    <s v="ARV"/>
    <s v="Adult"/>
    <s v="Aurobindo Pharma Limited"/>
    <x v="0"/>
    <s v="EXW"/>
    <s v="Air"/>
    <d v="2013-07-16T00:00:00"/>
    <d v="2013-09-24T00:00:00"/>
    <d v="2013-09-27T00:00:00"/>
    <d v="2013-09-27T00:00:00"/>
    <x v="11"/>
    <s v="Lamivudine/Nevirapine/Zidovudine"/>
    <s v="Generic"/>
    <s v="150/300/200mg"/>
    <s v="Tablet - FDC"/>
    <n v="60"/>
    <n v="7255"/>
    <n v="58983.15"/>
    <n v="8.1300000000000008"/>
    <n v="0.14000000000000001"/>
    <n v="917"/>
    <n v="4676.6099999999997"/>
    <n v="0"/>
    <x v="6"/>
  </r>
  <r>
    <n v="79841"/>
    <s v="SCMS-129510"/>
    <x v="462"/>
    <x v="1"/>
    <s v="ARV"/>
    <s v="Pediatric"/>
    <s v="CIPLA LIMITED"/>
    <x v="0"/>
    <s v="CIP"/>
    <s v="Air"/>
    <d v="2012-03-09T00:00:00"/>
    <d v="2012-06-28T00:00:00"/>
    <d v="2012-06-28T00:00:00"/>
    <d v="2012-06-28T00:00:00"/>
    <x v="25"/>
    <s v="Lamivudine"/>
    <s v="Generic"/>
    <s v="10mg/ml"/>
    <s v="Oral solution"/>
    <n v="240"/>
    <n v="7420"/>
    <n v="14469"/>
    <n v="1.95"/>
    <n v="0.01"/>
    <m/>
    <m/>
    <n v="1"/>
    <x v="5"/>
  </r>
  <r>
    <n v="80105"/>
    <s v="SCMS-212410"/>
    <x v="652"/>
    <x v="3"/>
    <s v="ARV"/>
    <s v="Pediatric"/>
    <s v="CIPLA LIMITED"/>
    <x v="0"/>
    <s v="EXW"/>
    <s v="Air"/>
    <d v="2013-10-30T00:00:00"/>
    <d v="2014-01-17T00:00:00"/>
    <d v="2014-01-17T00:00:00"/>
    <d v="2014-01-22T00:00:00"/>
    <x v="57"/>
    <s v="Lamivudine/Nevirapine/Zidovudine"/>
    <s v="Generic"/>
    <s v="30/50/60mg"/>
    <s v="Chewable/dispersible tablet - FDC"/>
    <n v="60"/>
    <n v="6200"/>
    <n v="24800"/>
    <n v="4"/>
    <n v="7.0000000000000007E-2"/>
    <n v="597"/>
    <n v="2905.49"/>
    <n v="1"/>
    <x v="7"/>
  </r>
  <r>
    <n v="80141"/>
    <s v="SCMS-47760"/>
    <x v="309"/>
    <x v="0"/>
    <s v="ARV"/>
    <s v="Adult"/>
    <s v="BRISTOL-MYERS SQUIBB"/>
    <x v="0"/>
    <s v="CIP"/>
    <s v="Air"/>
    <d v="2009-06-29T00:00:00"/>
    <d v="2009-10-21T00:00:00"/>
    <d v="2009-10-21T00:00:00"/>
    <d v="2009-10-21T00:00:00"/>
    <x v="4"/>
    <s v="Didanosine EC"/>
    <s v="Videx EC"/>
    <s v="400mg"/>
    <s v="Delayed-release capsules - blister"/>
    <n v="30"/>
    <n v="6900"/>
    <n v="163323"/>
    <n v="23.67"/>
    <n v="0.79"/>
    <m/>
    <m/>
    <n v="1"/>
    <x v="3"/>
  </r>
  <r>
    <n v="80363"/>
    <s v="SCMS-220810"/>
    <x v="653"/>
    <x v="3"/>
    <s v="ARV"/>
    <s v="Pediatric"/>
    <s v="Aurobindo Pharma Limited"/>
    <x v="0"/>
    <s v="EXW"/>
    <s v="Air"/>
    <d v="2013-12-27T00:00:00"/>
    <d v="2014-02-27T00:00:00"/>
    <d v="2014-02-27T00:00:00"/>
    <d v="2014-03-10T00:00:00"/>
    <x v="65"/>
    <s v="Nevirapine"/>
    <s v="Generic"/>
    <s v="50mg"/>
    <s v="Chewable/dispersible tablet"/>
    <n v="30"/>
    <n v="1200"/>
    <n v="1500"/>
    <n v="1.25"/>
    <n v="0.04"/>
    <n v="64"/>
    <n v="896.35"/>
    <n v="1"/>
    <x v="7"/>
  </r>
  <r>
    <n v="80423"/>
    <s v="SCMS-91720"/>
    <x v="654"/>
    <x v="3"/>
    <s v="ARV"/>
    <s v="Adult"/>
    <s v="ASPEN PHARMACARE"/>
    <x v="0"/>
    <s v="EXW"/>
    <s v="Air"/>
    <d v="2010-11-18T00:00:00"/>
    <d v="2010-12-31T00:00:00"/>
    <d v="2010-12-31T00:00:00"/>
    <d v="2010-12-31T00:00:00"/>
    <x v="59"/>
    <s v="Darunavir"/>
    <s v="Prezista"/>
    <s v="300mg"/>
    <s v="Tablet"/>
    <n v="120"/>
    <n v="175"/>
    <n v="15750"/>
    <n v="90"/>
    <n v="0.75"/>
    <n v="37"/>
    <n v="1333.01"/>
    <n v="1"/>
    <x v="4"/>
  </r>
  <r>
    <n v="80526"/>
    <s v="SCMS-235970"/>
    <x v="655"/>
    <x v="1"/>
    <s v="ARV"/>
    <s v="Pediatric"/>
    <s v="LAWRENCE LABORATORIES (SUBSIDIARY OF BRISTOL MYERS SQUIBB)"/>
    <x v="0"/>
    <s v="FCA"/>
    <s v="Air"/>
    <d v="2014-04-29T00:00:00"/>
    <d v="2014-07-16T00:00:00"/>
    <d v="2014-07-16T00:00:00"/>
    <d v="2014-07-22T00:00:00"/>
    <x v="68"/>
    <s v="Atazanavir"/>
    <s v="Reyataz"/>
    <s v="150mg"/>
    <s v="Capsule"/>
    <n v="60"/>
    <n v="208"/>
    <n v="7040.8"/>
    <n v="33.85"/>
    <n v="0.56000000000000005"/>
    <n v="16"/>
    <n v="957.88"/>
    <n v="1"/>
    <x v="7"/>
  </r>
  <r>
    <n v="80559"/>
    <s v="SCMS-160440"/>
    <x v="656"/>
    <x v="3"/>
    <s v="ARV"/>
    <s v="Adult"/>
    <s v="MYLAN LABORATORIES LTD (FORMERLY MATRIX LABORATORIES)"/>
    <x v="0"/>
    <s v="EXW"/>
    <s v="Air"/>
    <d v="2012-09-26T00:00:00"/>
    <d v="2012-11-09T00:00:00"/>
    <d v="2012-11-09T00:00:00"/>
    <d v="2012-11-09T00:00:00"/>
    <x v="53"/>
    <s v="Atazanavir/Ritonavir"/>
    <s v="Generic"/>
    <s v="300/100mg"/>
    <s v="Tablet"/>
    <n v="30"/>
    <n v="170"/>
    <n v="3825"/>
    <n v="22.5"/>
    <n v="0.75"/>
    <n v="22"/>
    <n v="1051.5"/>
    <n v="1"/>
    <x v="5"/>
  </r>
  <r>
    <n v="80668"/>
    <s v="SCMS-186890"/>
    <x v="657"/>
    <x v="0"/>
    <s v="ARV"/>
    <s v="Pediatric"/>
    <s v="ABBVIE LOGISTICS (FORMERLY ABBOTT LOGISTICS BV)"/>
    <x v="0"/>
    <s v="FCA"/>
    <s v="Air"/>
    <d v="2013-05-08T00:00:00"/>
    <d v="2013-07-18T00:00:00"/>
    <d v="2013-07-18T00:00:00"/>
    <d v="2013-07-18T00:00:00"/>
    <x v="7"/>
    <s v="Lopinavir/Ritonavir"/>
    <s v="Generic"/>
    <s v="100/25mg"/>
    <s v="Tablet"/>
    <n v="60"/>
    <n v="765"/>
    <n v="4544.1000000000004"/>
    <n v="5.94"/>
    <n v="0.1"/>
    <n v="84"/>
    <n v="1396.04"/>
    <n v="1"/>
    <x v="6"/>
  </r>
  <r>
    <n v="81031"/>
    <s v="SCMS-260920"/>
    <x v="658"/>
    <x v="1"/>
    <s v="ARV"/>
    <s v="Pediatric"/>
    <s v="ABBVIE LOGISTICS (FORMERLY ABBOTT LOGISTICS BV)"/>
    <x v="0"/>
    <s v="FCA"/>
    <s v="Air"/>
    <d v="2014-12-15T00:00:00"/>
    <d v="2015-03-26T00:00:00"/>
    <d v="2015-03-26T00:00:00"/>
    <d v="2015-03-26T00:00:00"/>
    <x v="6"/>
    <s v="Lopinavir/Ritonavir"/>
    <s v="Kaletra"/>
    <s v="80/20mg/ml"/>
    <s v="Oral solution"/>
    <n v="300"/>
    <n v="86"/>
    <n v="2650.52"/>
    <n v="30.82"/>
    <n v="0.1"/>
    <n v="100"/>
    <n v="1952.77"/>
    <n v="1"/>
    <x v="8"/>
  </r>
  <r>
    <n v="81050"/>
    <s v="SCMS-198701"/>
    <x v="659"/>
    <x v="3"/>
    <s v="ARV"/>
    <s v="Adult"/>
    <s v="STRIDES ARCOLAB LIMITED"/>
    <x v="0"/>
    <s v="EXW"/>
    <s v="Ocean"/>
    <d v="2013-09-10T00:00:00"/>
    <d v="2013-11-07T00:00:00"/>
    <d v="2013-11-07T00:00:00"/>
    <d v="2013-11-13T00:00:00"/>
    <x v="8"/>
    <s v="Efavirenz"/>
    <s v="Generic"/>
    <s v="600mg"/>
    <s v="Tablet"/>
    <n v="30"/>
    <n v="63652"/>
    <n v="203049.88"/>
    <n v="3.19"/>
    <n v="0.11"/>
    <n v="3963"/>
    <n v="12961.76"/>
    <n v="1"/>
    <x v="6"/>
  </r>
  <r>
    <n v="81396"/>
    <s v="SCMS-261783"/>
    <x v="416"/>
    <x v="1"/>
    <s v="ARV"/>
    <s v="Adult"/>
    <s v="EMCURE PHARMACEUTICALS LTD"/>
    <x v="0"/>
    <s v="EXW"/>
    <s v="Air"/>
    <d v="2014-12-15T00:00:00"/>
    <d v="2015-08-27T00:00:00"/>
    <d v="2015-08-27T00:00:00"/>
    <d v="2015-08-27T00:00:00"/>
    <x v="53"/>
    <s v="Atazanavir/Ritonavir"/>
    <s v="Generic"/>
    <s v="300/100mg"/>
    <s v="Tablet"/>
    <n v="30"/>
    <n v="24666"/>
    <n v="443988"/>
    <n v="18"/>
    <n v="0.6"/>
    <m/>
    <m/>
    <n v="1"/>
    <x v="8"/>
  </r>
  <r>
    <n v="81855"/>
    <s v="SCMS-98311"/>
    <x v="660"/>
    <x v="2"/>
    <s v="ARV"/>
    <s v="Adult"/>
    <s v="Aurobindo Pharma Limited"/>
    <x v="0"/>
    <s v="EXW"/>
    <s v="Air"/>
    <d v="2011-02-01T00:00:00"/>
    <d v="2011-08-25T00:00:00"/>
    <d v="2011-08-25T00:00:00"/>
    <d v="2011-08-25T00:00:00"/>
    <x v="48"/>
    <s v="Didanosine"/>
    <s v="Generic"/>
    <s v="250mg"/>
    <s v="Delayed-release capsules"/>
    <n v="30"/>
    <n v="3775"/>
    <n v="49075"/>
    <n v="13"/>
    <n v="0.43"/>
    <n v="257"/>
    <n v="2325.62"/>
    <n v="1"/>
    <x v="9"/>
  </r>
  <r>
    <n v="82271"/>
    <s v="SO-33010"/>
    <x v="661"/>
    <x v="3"/>
    <s v="ARV"/>
    <s v="Adult"/>
    <s v="SCMS from RDC"/>
    <x v="1"/>
    <s v="N/A - From RDC"/>
    <s v="Air"/>
    <m/>
    <d v="2009-10-08T00:00:00"/>
    <d v="2009-10-08T00:00:00"/>
    <d v="2009-10-08T00:00:00"/>
    <x v="1"/>
    <s v="Lamivudine/Zidovudine"/>
    <s v="Generic"/>
    <s v="150/300mg"/>
    <s v="Tablet - FDC"/>
    <n v="60"/>
    <n v="400"/>
    <n v="3504"/>
    <n v="8.76"/>
    <n v="0.15"/>
    <n v="70"/>
    <n v="1764.84"/>
    <n v="1"/>
    <x v="3"/>
  </r>
  <r>
    <n v="82280"/>
    <s v="SO-33990"/>
    <x v="662"/>
    <x v="3"/>
    <s v="ARV"/>
    <s v="Adult"/>
    <s v="SCMS from RDC"/>
    <x v="1"/>
    <s v="N/A - From RDC"/>
    <s v="Air"/>
    <m/>
    <d v="2010-01-15T00:00:00"/>
    <d v="2009-12-10T00:00:00"/>
    <d v="2009-12-10T00:00:00"/>
    <x v="29"/>
    <s v="Zidovudine"/>
    <s v="Generic"/>
    <s v="300mg"/>
    <s v="Tablet"/>
    <n v="60"/>
    <n v="4730"/>
    <n v="35616.9"/>
    <n v="7.53"/>
    <n v="0.13"/>
    <n v="260"/>
    <n v="1898.84"/>
    <n v="1"/>
    <x v="3"/>
  </r>
  <r>
    <n v="82283"/>
    <s v="SO-35160"/>
    <x v="663"/>
    <x v="3"/>
    <s v="ARV"/>
    <s v="Adult"/>
    <s v="SCMS from RDC"/>
    <x v="1"/>
    <s v="N/A - From RDC"/>
    <s v="Air"/>
    <m/>
    <d v="2010-01-15T00:00:00"/>
    <d v="2010-01-22T00:00:00"/>
    <d v="2010-01-22T00:00:00"/>
    <x v="11"/>
    <s v="Lamivudine/Nevirapine/Zidovudine"/>
    <s v="Generic"/>
    <s v="150/300/200mg"/>
    <s v="Tablet - FDC"/>
    <n v="60"/>
    <n v="59"/>
    <n v="661.98"/>
    <n v="11.22"/>
    <n v="0.19"/>
    <n v="12"/>
    <n v="1311"/>
    <n v="0"/>
    <x v="4"/>
  </r>
  <r>
    <n v="82295"/>
    <s v="SO-35870"/>
    <x v="664"/>
    <x v="3"/>
    <s v="ARV"/>
    <s v="Adult"/>
    <s v="SCMS from RDC"/>
    <x v="1"/>
    <s v="N/A - From RDC"/>
    <s v="Air"/>
    <m/>
    <d v="2010-03-18T00:00:00"/>
    <d v="2010-03-17T00:00:00"/>
    <d v="2010-03-17T00:00:00"/>
    <x v="0"/>
    <s v="Nevirapine"/>
    <s v="Generic"/>
    <s v="200mg"/>
    <s v="Tablet"/>
    <n v="60"/>
    <n v="600"/>
    <n v="1638"/>
    <n v="2.73"/>
    <n v="0.05"/>
    <n v="306"/>
    <n v="3945.33"/>
    <n v="1"/>
    <x v="4"/>
  </r>
  <r>
    <n v="82297"/>
    <s v="SO-35970"/>
    <x v="665"/>
    <x v="3"/>
    <s v="ARV"/>
    <s v="Adult"/>
    <s v="SCMS from RDC"/>
    <x v="1"/>
    <s v="N/A - From RDC"/>
    <s v="Air"/>
    <m/>
    <d v="2010-03-19T00:00:00"/>
    <d v="2010-03-17T00:00:00"/>
    <d v="2010-03-17T00:00:00"/>
    <x v="16"/>
    <s v="Lamivudine"/>
    <s v="Generic"/>
    <s v="150mg"/>
    <s v="Tablet"/>
    <n v="60"/>
    <n v="3519"/>
    <n v="8586.36"/>
    <n v="2.44"/>
    <n v="0.04"/>
    <n v="2538"/>
    <n v="6298.34"/>
    <n v="1"/>
    <x v="4"/>
  </r>
  <r>
    <n v="82311"/>
    <s v="SO-35660"/>
    <x v="666"/>
    <x v="3"/>
    <s v="ARV"/>
    <s v="Adult"/>
    <s v="SCMS from RDC"/>
    <x v="1"/>
    <s v="N/A - From RDC"/>
    <s v="Truck"/>
    <m/>
    <d v="2010-04-01T00:00:00"/>
    <d v="2010-03-25T00:00:00"/>
    <d v="2010-03-25T00:00:00"/>
    <x v="1"/>
    <s v="Lamivudine/Zidovudine"/>
    <s v="Generic"/>
    <s v="150/300mg"/>
    <s v="Tablet - FDC"/>
    <n v="60"/>
    <n v="17896"/>
    <n v="156768.95999999999"/>
    <n v="8.76"/>
    <n v="0.15"/>
    <n v="1188"/>
    <n v="4097"/>
    <n v="1"/>
    <x v="4"/>
  </r>
  <r>
    <n v="82312"/>
    <s v="SO-36160"/>
    <x v="667"/>
    <x v="3"/>
    <s v="ARV"/>
    <s v="Adult"/>
    <s v="SCMS from RDC"/>
    <x v="1"/>
    <s v="N/A - From RDC"/>
    <s v="Air"/>
    <m/>
    <d v="2010-06-23T00:00:00"/>
    <d v="2010-04-08T00:00:00"/>
    <d v="2010-04-08T00:00:00"/>
    <x v="31"/>
    <s v="Lamivudine/Stavudine"/>
    <s v="Generic"/>
    <s v="150/30mg"/>
    <s v="Tablet - FDC"/>
    <n v="60"/>
    <n v="140"/>
    <n v="476"/>
    <n v="3.4"/>
    <n v="0.06"/>
    <n v="17"/>
    <n v="1073.46"/>
    <n v="1"/>
    <x v="4"/>
  </r>
  <r>
    <n v="82316"/>
    <s v="SO-36150"/>
    <x v="668"/>
    <x v="3"/>
    <s v="ARV"/>
    <s v="Adult"/>
    <s v="SCMS from RDC"/>
    <x v="1"/>
    <s v="N/A - From RDC"/>
    <s v="Air"/>
    <m/>
    <d v="2010-06-09T00:00:00"/>
    <d v="2010-05-03T00:00:00"/>
    <d v="2010-05-03T00:00:00"/>
    <x v="11"/>
    <s v="Lamivudine/Nevirapine/Zidovudine"/>
    <s v="Generic"/>
    <s v="150/300/200mg"/>
    <s v="Tablet - FDC"/>
    <n v="60"/>
    <n v="5218"/>
    <n v="58545.96"/>
    <n v="11.22"/>
    <n v="0.19"/>
    <n v="617"/>
    <n v="5194.22"/>
    <n v="1"/>
    <x v="4"/>
  </r>
  <r>
    <n v="82318"/>
    <s v="SO-34941"/>
    <x v="669"/>
    <x v="3"/>
    <s v="ARV"/>
    <s v="Adult"/>
    <s v="SCMS from RDC"/>
    <x v="1"/>
    <s v="N/A - From RDC"/>
    <s v="Air"/>
    <m/>
    <d v="2010-05-03T00:00:00"/>
    <d v="2010-05-03T00:00:00"/>
    <d v="2010-05-03T00:00:00"/>
    <x v="11"/>
    <s v="Lamivudine/Nevirapine/Zidovudine"/>
    <s v="Generic"/>
    <s v="150/300/200mg"/>
    <s v="Tablet - FDC"/>
    <n v="60"/>
    <n v="18000"/>
    <n v="201960"/>
    <n v="11.22"/>
    <n v="0.19"/>
    <n v="2281"/>
    <n v="15254.43"/>
    <n v="1"/>
    <x v="4"/>
  </r>
  <r>
    <n v="82319"/>
    <s v="SO-34980"/>
    <x v="670"/>
    <x v="3"/>
    <s v="ARV"/>
    <s v="Adult"/>
    <s v="SCMS from RDC"/>
    <x v="1"/>
    <s v="N/A - From RDC"/>
    <s v="Air"/>
    <m/>
    <d v="2010-05-03T00:00:00"/>
    <d v="2010-05-03T00:00:00"/>
    <d v="2010-05-03T00:00:00"/>
    <x v="11"/>
    <s v="Lamivudine/Nevirapine/Zidovudine"/>
    <s v="Generic"/>
    <s v="150/300/200mg"/>
    <s v="Tablet - FDC"/>
    <n v="60"/>
    <n v="4400"/>
    <n v="49368"/>
    <n v="11.22"/>
    <n v="0.19"/>
    <n v="527"/>
    <n v="4549.95"/>
    <n v="1"/>
    <x v="4"/>
  </r>
  <r>
    <n v="82322"/>
    <s v="SO-36810"/>
    <x v="671"/>
    <x v="2"/>
    <s v="ARV"/>
    <s v="Adult"/>
    <s v="SCMS from RDC"/>
    <x v="1"/>
    <s v="N/A - From RDC"/>
    <s v="Air"/>
    <m/>
    <d v="2010-06-01T00:00:00"/>
    <d v="2010-05-31T00:00:00"/>
    <d v="2010-05-31T00:00:00"/>
    <x v="0"/>
    <s v="Nevirapine"/>
    <s v="Generic"/>
    <s v="200mg"/>
    <s v="Tablet"/>
    <n v="60"/>
    <n v="11000"/>
    <n v="29260"/>
    <n v="2.66"/>
    <n v="0.04"/>
    <n v="1070"/>
    <n v="6153.8"/>
    <n v="1"/>
    <x v="4"/>
  </r>
  <r>
    <n v="82335"/>
    <s v="SO-37070"/>
    <x v="672"/>
    <x v="2"/>
    <s v="ARV"/>
    <s v="Adult"/>
    <s v="SCMS from RDC"/>
    <x v="1"/>
    <s v="N/A - From RDC"/>
    <s v="Air"/>
    <m/>
    <d v="2010-07-15T00:00:00"/>
    <d v="2010-07-08T00:00:00"/>
    <d v="2010-07-08T00:00:00"/>
    <x v="29"/>
    <s v="Zidovudine"/>
    <s v="Generic"/>
    <s v="300mg"/>
    <s v="Tablet"/>
    <n v="60"/>
    <n v="2000"/>
    <n v="14420"/>
    <n v="7.21"/>
    <n v="0.12"/>
    <n v="88"/>
    <n v="755.64"/>
    <n v="1"/>
    <x v="4"/>
  </r>
  <r>
    <n v="82341"/>
    <s v="SO-36581"/>
    <x v="673"/>
    <x v="1"/>
    <s v="ARV"/>
    <s v="Adult"/>
    <s v="SCMS from RDC"/>
    <x v="1"/>
    <s v="N/A - From RDC"/>
    <s v="Air"/>
    <m/>
    <d v="2010-08-30T00:00:00"/>
    <d v="2010-08-03T00:00:00"/>
    <d v="2010-08-03T00:00:00"/>
    <x v="11"/>
    <s v="Lamivudine/Nevirapine/Zidovudine"/>
    <s v="Generic"/>
    <s v="150/300/200mg"/>
    <s v="Tablet - FDC"/>
    <n v="60"/>
    <n v="44131"/>
    <n v="495149.82"/>
    <n v="11.22"/>
    <n v="0.19"/>
    <n v="5364"/>
    <n v="81670.570000000007"/>
    <n v="1"/>
    <x v="4"/>
  </r>
  <r>
    <n v="82342"/>
    <s v="SO-36630"/>
    <x v="674"/>
    <x v="0"/>
    <s v="ARV"/>
    <s v="Adult"/>
    <s v="SCMS from RDC"/>
    <x v="1"/>
    <s v="N/A - From RDC"/>
    <s v="Air"/>
    <m/>
    <d v="2010-08-26T00:00:00"/>
    <d v="2010-08-23T00:00:00"/>
    <d v="2010-08-23T00:00:00"/>
    <x v="35"/>
    <s v="Tenofovir Disoproxil Fumarate"/>
    <s v="Generic"/>
    <s v="300mg"/>
    <s v="Tablet"/>
    <n v="30"/>
    <n v="3000"/>
    <n v="21900"/>
    <n v="7.3"/>
    <n v="0.24"/>
    <n v="269"/>
    <n v="1647.25"/>
    <n v="1"/>
    <x v="4"/>
  </r>
  <r>
    <n v="82343"/>
    <s v="SO-36620"/>
    <x v="675"/>
    <x v="0"/>
    <s v="ARV"/>
    <s v="Adult"/>
    <s v="SCMS from RDC"/>
    <x v="1"/>
    <s v="N/A - From RDC"/>
    <s v="Air"/>
    <m/>
    <d v="2010-08-31T00:00:00"/>
    <d v="2010-08-23T00:00:00"/>
    <d v="2010-08-23T00:00:00"/>
    <x v="9"/>
    <s v="Abacavir"/>
    <s v="Generic"/>
    <s v="300mg"/>
    <s v="Tablet"/>
    <n v="60"/>
    <n v="23340"/>
    <n v="383709.6"/>
    <n v="16.440000000000001"/>
    <n v="0.27"/>
    <n v="2344"/>
    <n v="1647.25"/>
    <n v="1"/>
    <x v="4"/>
  </r>
  <r>
    <n v="82349"/>
    <s v="SO-36812"/>
    <x v="676"/>
    <x v="2"/>
    <s v="ARV"/>
    <s v="Adult"/>
    <s v="SCMS from RDC"/>
    <x v="1"/>
    <s v="N/A - From RDC"/>
    <s v="Air"/>
    <m/>
    <d v="2010-08-30T00:00:00"/>
    <d v="2010-09-13T00:00:00"/>
    <d v="2010-09-13T00:00:00"/>
    <x v="16"/>
    <s v="Lamivudine"/>
    <s v="Generic"/>
    <s v="150mg"/>
    <s v="Tablet"/>
    <n v="60"/>
    <n v="2000"/>
    <n v="4660"/>
    <n v="2.33"/>
    <n v="0.04"/>
    <n v="84"/>
    <n v="530.36"/>
    <n v="0"/>
    <x v="4"/>
  </r>
  <r>
    <n v="82364"/>
    <s v="SO-38140"/>
    <x v="677"/>
    <x v="3"/>
    <s v="ARV"/>
    <s v="Adult"/>
    <s v="SCMS from RDC"/>
    <x v="1"/>
    <s v="N/A - From RDC"/>
    <s v="Air"/>
    <m/>
    <d v="2011-02-08T00:00:00"/>
    <d v="2011-01-17T00:00:00"/>
    <d v="2011-01-17T00:00:00"/>
    <x v="11"/>
    <s v="Lamivudine/Nevirapine/Zidovudine"/>
    <s v="Generic"/>
    <s v="150/300/200mg"/>
    <s v="Tablet - FDC"/>
    <n v="60"/>
    <n v="4176"/>
    <n v="46854.720000000001"/>
    <n v="11.22"/>
    <n v="0.19"/>
    <n v="567"/>
    <n v="2768.96"/>
    <n v="1"/>
    <x v="9"/>
  </r>
  <r>
    <n v="82365"/>
    <s v="SO-38290"/>
    <x v="678"/>
    <x v="2"/>
    <s v="ARV"/>
    <s v="Pediatric"/>
    <s v="SCMS from RDC"/>
    <x v="1"/>
    <s v="N/A - From RDC"/>
    <s v="Air"/>
    <m/>
    <d v="2011-01-21T00:00:00"/>
    <d v="2011-01-12T00:00:00"/>
    <d v="2011-01-12T00:00:00"/>
    <x v="20"/>
    <s v="Zidovudine"/>
    <s v="Generic"/>
    <s v="10mg/ml"/>
    <s v="Oral solution"/>
    <n v="240"/>
    <n v="3000"/>
    <n v="6060"/>
    <n v="2.02"/>
    <n v="0.01"/>
    <n v="1190"/>
    <n v="6770.6"/>
    <n v="1"/>
    <x v="9"/>
  </r>
  <r>
    <n v="82367"/>
    <s v="SO-38450"/>
    <x v="679"/>
    <x v="2"/>
    <s v="ARV"/>
    <s v="Adult"/>
    <s v="SCMS from RDC"/>
    <x v="1"/>
    <s v="N/A - From RDC"/>
    <s v="Air"/>
    <m/>
    <d v="2011-02-14T00:00:00"/>
    <d v="2011-01-28T00:00:00"/>
    <d v="2011-01-28T00:00:00"/>
    <x v="35"/>
    <s v="Tenofovir Disoproxil Fumarate"/>
    <s v="Generic"/>
    <s v="300mg"/>
    <s v="Tablet"/>
    <n v="30"/>
    <n v="1467"/>
    <n v="9638.19"/>
    <n v="6.57"/>
    <n v="0.22"/>
    <n v="9"/>
    <n v="1401.76"/>
    <n v="1"/>
    <x v="9"/>
  </r>
  <r>
    <n v="82369"/>
    <s v="SO-37990"/>
    <x v="680"/>
    <x v="3"/>
    <s v="ARV"/>
    <s v="Adult"/>
    <s v="SCMS from RDC"/>
    <x v="1"/>
    <s v="N/A - From RDC"/>
    <s v="Air"/>
    <m/>
    <d v="2011-02-08T00:00:00"/>
    <d v="2010-12-23T00:00:00"/>
    <d v="2010-12-23T00:00:00"/>
    <x v="1"/>
    <s v="Lamivudine/Zidovudine"/>
    <s v="Generic"/>
    <s v="150/300mg"/>
    <s v="Tablet - FDC"/>
    <n v="60"/>
    <n v="2316"/>
    <n v="19801.8"/>
    <n v="8.5500000000000007"/>
    <n v="0.14000000000000001"/>
    <n v="386"/>
    <n v="2294.85"/>
    <n v="1"/>
    <x v="4"/>
  </r>
  <r>
    <n v="82370"/>
    <s v="SO-37560"/>
    <x v="681"/>
    <x v="3"/>
    <s v="ARV"/>
    <s v="Adult"/>
    <s v="SCMS from RDC"/>
    <x v="1"/>
    <s v="N/A - From RDC"/>
    <s v="Truck"/>
    <m/>
    <d v="2011-02-28T00:00:00"/>
    <d v="2011-03-22T00:00:00"/>
    <d v="2011-03-22T00:00:00"/>
    <x v="11"/>
    <s v="Lamivudine/Nevirapine/Zidovudine"/>
    <s v="Generic"/>
    <s v="150/300/200mg"/>
    <s v="Tablet - FDC"/>
    <n v="60"/>
    <n v="117367"/>
    <n v="1316857.74"/>
    <n v="11.22"/>
    <n v="0.19"/>
    <n v="17496"/>
    <n v="104604.06"/>
    <n v="0"/>
    <x v="9"/>
  </r>
  <r>
    <n v="82372"/>
    <s v="SO-38860"/>
    <x v="682"/>
    <x v="3"/>
    <s v="ARV"/>
    <s v="Pediatric"/>
    <s v="SCMS from RDC"/>
    <x v="1"/>
    <s v="N/A - From RDC"/>
    <s v="Air"/>
    <m/>
    <d v="2011-03-09T00:00:00"/>
    <d v="2011-03-15T00:00:00"/>
    <d v="2011-03-15T00:00:00"/>
    <x v="43"/>
    <s v="Nevirapine"/>
    <s v="Generic"/>
    <s v="10mg/ml"/>
    <s v="Oral suspension"/>
    <n v="240"/>
    <n v="1000"/>
    <n v="1950"/>
    <n v="1.95"/>
    <n v="0.01"/>
    <n v="369"/>
    <n v="6218.58"/>
    <n v="0"/>
    <x v="9"/>
  </r>
  <r>
    <n v="82373"/>
    <s v="SO-38580"/>
    <x v="683"/>
    <x v="2"/>
    <s v="ARV"/>
    <s v="Adult"/>
    <s v="SCMS from RDC"/>
    <x v="1"/>
    <s v="N/A - From RDC"/>
    <s v="Air"/>
    <m/>
    <d v="2011-04-30T00:00:00"/>
    <d v="2011-03-18T00:00:00"/>
    <d v="2011-03-18T00:00:00"/>
    <x v="35"/>
    <s v="Tenofovir Disoproxil Fumarate"/>
    <s v="Generic"/>
    <s v="300mg"/>
    <s v="Tablet"/>
    <n v="30"/>
    <n v="6993"/>
    <n v="45944.01"/>
    <n v="6.57"/>
    <n v="0.22"/>
    <n v="629"/>
    <n v="4277.04"/>
    <n v="1"/>
    <x v="9"/>
  </r>
  <r>
    <n v="82381"/>
    <s v="SO-38810"/>
    <x v="684"/>
    <x v="3"/>
    <s v="ARV"/>
    <s v="Adult"/>
    <s v="SCMS from RDC"/>
    <x v="1"/>
    <s v="N/A - From RDC"/>
    <s v="Truck"/>
    <m/>
    <d v="2011-05-11T00:00:00"/>
    <d v="2011-05-24T00:00:00"/>
    <d v="2011-05-24T00:00:00"/>
    <x v="11"/>
    <s v="Lamivudine/Nevirapine/Zidovudine"/>
    <s v="Generic"/>
    <s v="150/300/200mg"/>
    <s v="Tablet - FDC"/>
    <n v="60"/>
    <n v="100000"/>
    <n v="1122000"/>
    <n v="11.22"/>
    <n v="0.19"/>
    <n v="14983"/>
    <n v="78442.210000000006"/>
    <n v="0"/>
    <x v="9"/>
  </r>
  <r>
    <n v="82386"/>
    <s v="SO-39770"/>
    <x v="685"/>
    <x v="2"/>
    <s v="ARV"/>
    <s v="Adult"/>
    <s v="SCMS from RDC"/>
    <x v="1"/>
    <s v="N/A - From RDC"/>
    <s v="Air"/>
    <m/>
    <d v="2011-06-21T00:00:00"/>
    <d v="2011-06-01T00:00:00"/>
    <d v="2011-06-01T00:00:00"/>
    <x v="39"/>
    <s v="Lamivudine/Tenofovir Disoproxil Fumarate"/>
    <s v="Generic"/>
    <s v="300/300mg"/>
    <s v="Tablet - FDC"/>
    <n v="30"/>
    <n v="27558"/>
    <n v="237825.54"/>
    <n v="8.6300000000000008"/>
    <n v="0.28999999999999998"/>
    <m/>
    <m/>
    <n v="1"/>
    <x v="9"/>
  </r>
  <r>
    <n v="82392"/>
    <s v="SO-38801"/>
    <x v="686"/>
    <x v="3"/>
    <s v="ARV"/>
    <s v="Adult"/>
    <s v="SCMS from RDC"/>
    <x v="1"/>
    <s v="N/A - From RDC"/>
    <s v="Truck"/>
    <m/>
    <d v="2011-08-05T00:00:00"/>
    <d v="2011-08-05T00:00:00"/>
    <d v="2011-08-05T00:00:00"/>
    <x v="0"/>
    <s v="Nevirapine"/>
    <s v="Generic"/>
    <s v="200mg"/>
    <s v="Tablet"/>
    <n v="60"/>
    <n v="451"/>
    <n v="1132.01"/>
    <n v="2.5099999999999998"/>
    <n v="0.04"/>
    <n v="698"/>
    <n v="3865.63"/>
    <n v="1"/>
    <x v="9"/>
  </r>
  <r>
    <n v="82393"/>
    <s v="SO-38820"/>
    <x v="687"/>
    <x v="3"/>
    <s v="ARV"/>
    <s v="Adult"/>
    <s v="SCMS from RDC"/>
    <x v="1"/>
    <s v="N/A - From RDC"/>
    <s v="Truck"/>
    <m/>
    <d v="2011-07-29T00:00:00"/>
    <d v="2011-08-02T00:00:00"/>
    <d v="2011-08-02T00:00:00"/>
    <x v="1"/>
    <s v="Lamivudine/Zidovudine"/>
    <s v="Generic"/>
    <s v="150/300mg"/>
    <s v="Tablet - FDC"/>
    <n v="60"/>
    <n v="15107"/>
    <n v="124783.82"/>
    <n v="8.26"/>
    <n v="0.14000000000000001"/>
    <n v="1409"/>
    <n v="10928.52"/>
    <n v="0"/>
    <x v="9"/>
  </r>
  <r>
    <n v="82398"/>
    <s v="SO-40210"/>
    <x v="688"/>
    <x v="3"/>
    <s v="ARV"/>
    <s v="Adult"/>
    <s v="SCMS from RDC"/>
    <x v="1"/>
    <s v="N/A - From RDC"/>
    <s v="Air"/>
    <m/>
    <d v="2011-11-03T00:00:00"/>
    <d v="2011-08-21T00:00:00"/>
    <d v="2011-08-21T00:00:00"/>
    <x v="35"/>
    <s v="Tenofovir Disoproxil Fumarate"/>
    <s v="Generic"/>
    <s v="300mg"/>
    <s v="Tablet"/>
    <n v="30"/>
    <n v="2447"/>
    <n v="15709.74"/>
    <n v="6.42"/>
    <n v="0.21"/>
    <n v="138"/>
    <n v="1812.94"/>
    <n v="1"/>
    <x v="9"/>
  </r>
  <r>
    <n v="82399"/>
    <s v="SO-38871"/>
    <x v="689"/>
    <x v="3"/>
    <s v="ARV"/>
    <s v="Pediatric"/>
    <s v="SCMS from RDC"/>
    <x v="1"/>
    <s v="N/A - From RDC"/>
    <s v="Air"/>
    <m/>
    <d v="2011-08-31T00:00:00"/>
    <d v="2011-09-14T00:00:00"/>
    <d v="2011-09-14T00:00:00"/>
    <x v="43"/>
    <s v="Nevirapine"/>
    <s v="Generic"/>
    <s v="10mg/ml"/>
    <s v="Oral suspension"/>
    <n v="240"/>
    <n v="11326"/>
    <n v="22085.7"/>
    <n v="1.95"/>
    <n v="0.01"/>
    <n v="4274"/>
    <n v="24213.81"/>
    <n v="0"/>
    <x v="9"/>
  </r>
  <r>
    <n v="82411"/>
    <s v="SO-38872"/>
    <x v="690"/>
    <x v="3"/>
    <s v="ARV"/>
    <s v="Pediatric"/>
    <s v="SCMS from RDC"/>
    <x v="1"/>
    <s v="N/A - From RDC"/>
    <s v="Air"/>
    <m/>
    <d v="2011-10-30T00:00:00"/>
    <d v="2011-11-01T00:00:00"/>
    <d v="2011-11-01T00:00:00"/>
    <x v="43"/>
    <s v="Nevirapine"/>
    <s v="Generic"/>
    <s v="10mg/ml"/>
    <s v="Oral suspension"/>
    <n v="240"/>
    <n v="13993"/>
    <n v="27286.35"/>
    <n v="1.95"/>
    <n v="0.01"/>
    <n v="5262"/>
    <n v="27823.07"/>
    <n v="0"/>
    <x v="9"/>
  </r>
  <r>
    <n v="82412"/>
    <s v="SO-39753"/>
    <x v="691"/>
    <x v="0"/>
    <s v="ARV"/>
    <s v="Adult"/>
    <s v="SCMS from RDC"/>
    <x v="1"/>
    <s v="N/A - From RDC"/>
    <s v="Air"/>
    <m/>
    <d v="2011-11-29T00:00:00"/>
    <d v="2011-11-29T00:00:00"/>
    <d v="2011-11-29T00:00:00"/>
    <x v="45"/>
    <s v="Efavirenz/Emtricitabine/Tenofovir Disoproxil Fumarate"/>
    <s v="Generic"/>
    <s v="600/200/300mg"/>
    <s v="Tablet - FDC"/>
    <n v="30"/>
    <n v="4163"/>
    <n v="82926.960000000006"/>
    <n v="19.920000000000002"/>
    <n v="0.66"/>
    <n v="483"/>
    <n v="2367.4"/>
    <n v="1"/>
    <x v="9"/>
  </r>
  <r>
    <n v="82420"/>
    <s v="SO-39750"/>
    <x v="692"/>
    <x v="0"/>
    <s v="ARV"/>
    <s v="Pediatric"/>
    <s v="SCMS from RDC"/>
    <x v="1"/>
    <s v="N/A - From RDC"/>
    <s v="Air"/>
    <m/>
    <d v="2012-01-30T00:00:00"/>
    <d v="2011-12-22T00:00:00"/>
    <d v="2011-12-22T00:00:00"/>
    <x v="72"/>
    <s v="Abacavir"/>
    <s v="Generic"/>
    <s v="20mg/ml"/>
    <s v="Oral solution"/>
    <n v="240"/>
    <n v="2335"/>
    <n v="29187.5"/>
    <n v="12.5"/>
    <n v="0.05"/>
    <n v="9523"/>
    <m/>
    <n v="1"/>
    <x v="9"/>
  </r>
  <r>
    <n v="82421"/>
    <s v="SO-39754"/>
    <x v="693"/>
    <x v="0"/>
    <s v="ARV"/>
    <s v="Adult"/>
    <s v="SCMS from RDC"/>
    <x v="1"/>
    <s v="N/A - From RDC"/>
    <s v="Air"/>
    <m/>
    <d v="2012-01-31T00:00:00"/>
    <d v="2011-12-22T00:00:00"/>
    <d v="2011-12-22T00:00:00"/>
    <x v="45"/>
    <s v="Efavirenz/Emtricitabine/Tenofovir Disoproxil Fumarate"/>
    <s v="Generic"/>
    <s v="600/200/300mg"/>
    <s v="Tablet - FDC"/>
    <n v="30"/>
    <n v="11723"/>
    <n v="233522.16"/>
    <n v="19.920000000000002"/>
    <n v="0.66"/>
    <n v="1305"/>
    <m/>
    <n v="1"/>
    <x v="9"/>
  </r>
  <r>
    <n v="82430"/>
    <s v="SO-40601"/>
    <x v="694"/>
    <x v="0"/>
    <s v="ARV"/>
    <s v="Adult"/>
    <s v="SCMS from RDC"/>
    <x v="1"/>
    <s v="N/A - From RDC"/>
    <s v="Truck"/>
    <m/>
    <d v="2012-02-29T00:00:00"/>
    <d v="2012-02-05T00:00:00"/>
    <d v="2012-02-05T00:00:00"/>
    <x v="8"/>
    <s v="Efavirenz"/>
    <s v="Generic"/>
    <s v="600mg"/>
    <s v="Tablet"/>
    <n v="30"/>
    <n v="200693"/>
    <n v="846924.46"/>
    <n v="4.22"/>
    <n v="0.14000000000000001"/>
    <n v="17947"/>
    <m/>
    <n v="1"/>
    <x v="5"/>
  </r>
  <r>
    <n v="82449"/>
    <s v="SO-40500"/>
    <x v="695"/>
    <x v="0"/>
    <s v="ARV"/>
    <s v="Pediatric"/>
    <s v="SCMS from RDC"/>
    <x v="1"/>
    <s v="N/A - From RDC"/>
    <s v="Truck"/>
    <m/>
    <d v="2012-03-15T00:00:00"/>
    <d v="2012-03-12T00:00:00"/>
    <d v="2012-03-12T00:00:00"/>
    <x v="41"/>
    <s v="Efavirenz"/>
    <s v="Generic"/>
    <s v="50mg"/>
    <s v="Capsule"/>
    <n v="30"/>
    <n v="18732"/>
    <n v="41959.68"/>
    <n v="2.2400000000000002"/>
    <n v="7.0000000000000007E-2"/>
    <n v="1090"/>
    <n v="1698.83"/>
    <n v="1"/>
    <x v="5"/>
  </r>
  <r>
    <n v="82451"/>
    <s v="SO-41390"/>
    <x v="696"/>
    <x v="0"/>
    <s v="ARV"/>
    <s v="Pediatric"/>
    <s v="SCMS from RDC"/>
    <x v="1"/>
    <s v="N/A - From RDC"/>
    <s v="Truck"/>
    <m/>
    <d v="2012-03-15T00:00:00"/>
    <d v="2012-03-12T00:00:00"/>
    <d v="2012-03-12T00:00:00"/>
    <x v="72"/>
    <s v="Abacavir"/>
    <s v="Generic"/>
    <s v="20mg/ml"/>
    <s v="Oral solution"/>
    <n v="240"/>
    <n v="2176"/>
    <n v="27200"/>
    <n v="12.5"/>
    <n v="0.05"/>
    <n v="821"/>
    <n v="1698.83"/>
    <n v="1"/>
    <x v="5"/>
  </r>
  <r>
    <n v="82453"/>
    <s v="SO-40613"/>
    <x v="697"/>
    <x v="0"/>
    <s v="ARV"/>
    <s v="Adult"/>
    <s v="SCMS from RDC"/>
    <x v="1"/>
    <s v="N/A - From RDC"/>
    <s v="Truck"/>
    <m/>
    <d v="2012-04-06T00:00:00"/>
    <d v="2012-02-14T00:00:00"/>
    <d v="2012-02-14T00:00:00"/>
    <x v="29"/>
    <s v="Zidovudine"/>
    <s v="Generic"/>
    <s v="300mg"/>
    <s v="Tablet"/>
    <n v="60"/>
    <n v="150000"/>
    <n v="1053000"/>
    <n v="7.02"/>
    <n v="0.12"/>
    <n v="10142"/>
    <n v="7651.59"/>
    <n v="1"/>
    <x v="5"/>
  </r>
  <r>
    <n v="82457"/>
    <s v="SO-41080"/>
    <x v="698"/>
    <x v="5"/>
    <s v="ARV"/>
    <s v="Adult"/>
    <s v="SCMS from RDC"/>
    <x v="1"/>
    <s v="N/A - From RDC"/>
    <s v="Air"/>
    <m/>
    <d v="2012-03-21T00:00:00"/>
    <d v="2012-03-08T00:00:00"/>
    <d v="2012-03-08T00:00:00"/>
    <x v="29"/>
    <s v="Zidovudine"/>
    <s v="Generic"/>
    <s v="300mg"/>
    <s v="Tablet"/>
    <n v="60"/>
    <n v="6200"/>
    <n v="43524"/>
    <n v="7.02"/>
    <n v="0.12"/>
    <n v="2652"/>
    <n v="22788.95"/>
    <n v="1"/>
    <x v="5"/>
  </r>
  <r>
    <n v="82458"/>
    <s v="SO-41080"/>
    <x v="698"/>
    <x v="5"/>
    <s v="ARV"/>
    <s v="Adult"/>
    <s v="SCMS from RDC"/>
    <x v="1"/>
    <s v="N/A - From RDC"/>
    <s v="Air"/>
    <m/>
    <d v="2012-03-21T00:00:00"/>
    <d v="2012-03-08T00:00:00"/>
    <d v="2012-03-08T00:00:00"/>
    <x v="1"/>
    <s v="Lamivudine/Zidovudine"/>
    <s v="Generic"/>
    <s v="150/300mg"/>
    <s v="Tablet - FDC"/>
    <n v="60"/>
    <n v="250"/>
    <n v="2065"/>
    <n v="8.26"/>
    <n v="0.14000000000000001"/>
    <m/>
    <m/>
    <n v="1"/>
    <x v="5"/>
  </r>
  <r>
    <n v="82462"/>
    <s v="SO-41520"/>
    <x v="699"/>
    <x v="3"/>
    <s v="ARV"/>
    <s v="Adult"/>
    <s v="SCMS from RDC"/>
    <x v="1"/>
    <s v="N/A - From RDC"/>
    <s v="Truck"/>
    <m/>
    <d v="2012-04-24T00:00:00"/>
    <d v="2012-02-27T00:00:00"/>
    <d v="2012-02-27T00:00:00"/>
    <x v="11"/>
    <s v="Lamivudine/Nevirapine/Zidovudine"/>
    <s v="Generic"/>
    <s v="150/300/200mg"/>
    <s v="Tablet - FDC"/>
    <n v="60"/>
    <n v="5525"/>
    <n v="60775"/>
    <n v="11"/>
    <n v="0.18"/>
    <n v="1414"/>
    <n v="4054.19"/>
    <n v="1"/>
    <x v="5"/>
  </r>
  <r>
    <n v="82463"/>
    <s v="SO-41520"/>
    <x v="699"/>
    <x v="3"/>
    <s v="ARV"/>
    <s v="Adult"/>
    <s v="SCMS from RDC"/>
    <x v="1"/>
    <s v="N/A - From RDC"/>
    <s v="Truck"/>
    <m/>
    <d v="2012-04-24T00:00:00"/>
    <d v="2012-02-27T00:00:00"/>
    <d v="2012-02-27T00:00:00"/>
    <x v="39"/>
    <s v="Lamivudine/Tenofovir Disoproxil Fumarate"/>
    <s v="Generic"/>
    <s v="300/300mg"/>
    <s v="Tablet - FDC"/>
    <n v="30"/>
    <n v="3900"/>
    <n v="23712"/>
    <n v="6.08"/>
    <n v="0.2"/>
    <m/>
    <m/>
    <n v="1"/>
    <x v="5"/>
  </r>
  <r>
    <n v="82464"/>
    <s v="SO-41520"/>
    <x v="699"/>
    <x v="3"/>
    <s v="ARV"/>
    <s v="Adult"/>
    <s v="SCMS from RDC"/>
    <x v="1"/>
    <s v="N/A - From RDC"/>
    <s v="Truck"/>
    <m/>
    <d v="2012-04-24T00:00:00"/>
    <d v="2012-02-27T00:00:00"/>
    <d v="2012-02-27T00:00:00"/>
    <x v="0"/>
    <s v="Nevirapine"/>
    <s v="Generic"/>
    <s v="200mg"/>
    <s v="Tablet"/>
    <n v="60"/>
    <n v="1700"/>
    <n v="4267"/>
    <n v="2.5099999999999998"/>
    <n v="0.04"/>
    <m/>
    <m/>
    <n v="1"/>
    <x v="5"/>
  </r>
  <r>
    <n v="82465"/>
    <s v="SO-40610"/>
    <x v="700"/>
    <x v="0"/>
    <s v="ARV"/>
    <s v="Adult"/>
    <s v="SCMS from RDC"/>
    <x v="1"/>
    <s v="N/A - From RDC"/>
    <s v="Truck"/>
    <m/>
    <d v="2012-05-04T00:00:00"/>
    <d v="2012-04-11T00:00:00"/>
    <d v="2012-04-11T00:00:00"/>
    <x v="1"/>
    <s v="Lamivudine/Zidovudine"/>
    <s v="Generic"/>
    <s v="150/300mg"/>
    <s v="Tablet - FDC"/>
    <n v="60"/>
    <n v="22340"/>
    <n v="184528.4"/>
    <n v="8.26"/>
    <n v="0.14000000000000001"/>
    <n v="20975"/>
    <n v="3279.25"/>
    <n v="1"/>
    <x v="5"/>
  </r>
  <r>
    <n v="82468"/>
    <s v="SO-41532"/>
    <x v="701"/>
    <x v="6"/>
    <s v="ARV"/>
    <s v="Adult"/>
    <s v="SCMS from RDC"/>
    <x v="1"/>
    <s v="N/A - From RDC"/>
    <s v="Air"/>
    <m/>
    <d v="2012-04-26T00:00:00"/>
    <d v="2012-04-30T00:00:00"/>
    <d v="2012-04-30T00:00:00"/>
    <x v="9"/>
    <s v="Abacavir"/>
    <s v="Generic"/>
    <s v="300mg"/>
    <s v="Tablet"/>
    <n v="60"/>
    <n v="350"/>
    <n v="4602.5"/>
    <n v="13.15"/>
    <n v="0.22"/>
    <n v="36"/>
    <n v="1188.75"/>
    <n v="0"/>
    <x v="5"/>
  </r>
  <r>
    <n v="82471"/>
    <s v="SO-41510"/>
    <x v="702"/>
    <x v="3"/>
    <s v="ARV"/>
    <s v="Adult"/>
    <s v="SCMS from RDC"/>
    <x v="1"/>
    <s v="N/A - From RDC"/>
    <s v="Truck"/>
    <m/>
    <d v="2012-07-03T00:00:00"/>
    <d v="2012-05-18T00:00:00"/>
    <d v="2012-05-18T00:00:00"/>
    <x v="39"/>
    <s v="Lamivudine/Tenofovir Disoproxil Fumarate"/>
    <s v="Generic"/>
    <s v="300/300mg"/>
    <s v="Tablet - FDC"/>
    <n v="30"/>
    <n v="1500"/>
    <n v="8310"/>
    <n v="5.54"/>
    <n v="0.18"/>
    <n v="729"/>
    <n v="3758.4"/>
    <n v="1"/>
    <x v="5"/>
  </r>
  <r>
    <n v="82472"/>
    <s v="SO-41510"/>
    <x v="702"/>
    <x v="3"/>
    <s v="ARV"/>
    <s v="Adult"/>
    <s v="SCMS from RDC"/>
    <x v="1"/>
    <s v="N/A - From RDC"/>
    <s v="Truck"/>
    <m/>
    <d v="2012-07-03T00:00:00"/>
    <d v="2012-05-18T00:00:00"/>
    <d v="2012-05-18T00:00:00"/>
    <x v="0"/>
    <s v="Nevirapine"/>
    <s v="Generic"/>
    <s v="200mg"/>
    <s v="Tablet"/>
    <n v="60"/>
    <n v="750"/>
    <n v="1830"/>
    <n v="2.44"/>
    <n v="0.04"/>
    <m/>
    <m/>
    <n v="1"/>
    <x v="5"/>
  </r>
  <r>
    <n v="82473"/>
    <s v="SO-41610"/>
    <x v="703"/>
    <x v="3"/>
    <s v="ARV"/>
    <s v="Adult"/>
    <s v="SCMS from RDC"/>
    <x v="1"/>
    <s v="N/A - From RDC"/>
    <s v="Truck"/>
    <m/>
    <d v="2012-06-29T00:00:00"/>
    <d v="2012-05-22T00:00:00"/>
    <d v="2012-05-22T00:00:00"/>
    <x v="47"/>
    <s v="Lopinavir/Ritonavir"/>
    <s v="Generic"/>
    <s v="200/50mg"/>
    <s v="Tablet"/>
    <n v="120"/>
    <n v="6899"/>
    <n v="204762.32"/>
    <n v="29.68"/>
    <n v="0.25"/>
    <n v="1859"/>
    <n v="10611"/>
    <n v="1"/>
    <x v="5"/>
  </r>
  <r>
    <n v="82485"/>
    <s v="SO-42470"/>
    <x v="704"/>
    <x v="1"/>
    <s v="ARV"/>
    <s v="Adult"/>
    <s v="SCMS from RDC"/>
    <x v="1"/>
    <s v="N/A - From RDC"/>
    <s v="Air"/>
    <m/>
    <d v="2012-07-03T00:00:00"/>
    <d v="2012-06-20T00:00:00"/>
    <d v="2012-06-20T00:00:00"/>
    <x v="0"/>
    <s v="Nevirapine"/>
    <s v="Generic"/>
    <s v="200mg"/>
    <s v="Tablet"/>
    <n v="60"/>
    <n v="40000"/>
    <n v="97600"/>
    <n v="2.44"/>
    <n v="0.04"/>
    <n v="3771"/>
    <n v="31029.99"/>
    <n v="1"/>
    <x v="5"/>
  </r>
  <r>
    <n v="82486"/>
    <s v="SO-42580"/>
    <x v="705"/>
    <x v="3"/>
    <s v="ARV"/>
    <s v="Adult"/>
    <s v="SCMS from RDC"/>
    <x v="1"/>
    <s v="N/A - From RDC"/>
    <s v="Air"/>
    <m/>
    <d v="2012-07-05T00:00:00"/>
    <d v="2012-07-16T00:00:00"/>
    <d v="2012-07-16T00:00:00"/>
    <x v="8"/>
    <s v="Efavirenz"/>
    <s v="Generic"/>
    <s v="600mg"/>
    <s v="Tablet"/>
    <n v="30"/>
    <n v="45840"/>
    <n v="179234.4"/>
    <n v="3.91"/>
    <n v="0.13"/>
    <n v="5486"/>
    <n v="27321.52"/>
    <n v="0"/>
    <x v="5"/>
  </r>
  <r>
    <n v="82489"/>
    <s v="SO-42083"/>
    <x v="706"/>
    <x v="3"/>
    <s v="ARV"/>
    <s v="Adult"/>
    <s v="SCMS from RDC"/>
    <x v="1"/>
    <s v="N/A - From RDC"/>
    <s v="Air"/>
    <m/>
    <d v="2012-08-17T00:00:00"/>
    <d v="2012-08-01T00:00:00"/>
    <d v="2012-08-01T00:00:00"/>
    <x v="39"/>
    <s v="Lamivudine/Tenofovir Disoproxil Fumarate"/>
    <s v="Generic"/>
    <s v="300/300mg"/>
    <s v="Tablet - FDC"/>
    <n v="30"/>
    <n v="60000"/>
    <n v="332400"/>
    <n v="5.54"/>
    <n v="0.18"/>
    <n v="4547"/>
    <n v="30482.799999999999"/>
    <n v="1"/>
    <x v="5"/>
  </r>
  <r>
    <n v="82490"/>
    <s v="SO-41593"/>
    <x v="707"/>
    <x v="3"/>
    <s v="ARV"/>
    <s v="Adult"/>
    <s v="SCMS from RDC"/>
    <x v="1"/>
    <s v="N/A - From RDC"/>
    <s v="Truck"/>
    <m/>
    <d v="2012-09-05T00:00:00"/>
    <d v="2012-07-26T00:00:00"/>
    <d v="2012-07-26T00:00:00"/>
    <x v="11"/>
    <s v="Lamivudine/Nevirapine/Zidovudine"/>
    <s v="Generic"/>
    <s v="150/300/200mg"/>
    <s v="Tablet - FDC"/>
    <n v="60"/>
    <n v="157"/>
    <n v="1540.17"/>
    <n v="9.81"/>
    <n v="0.16"/>
    <n v="836"/>
    <n v="4911"/>
    <n v="1"/>
    <x v="5"/>
  </r>
  <r>
    <n v="82495"/>
    <s v="SO-42060"/>
    <x v="708"/>
    <x v="3"/>
    <s v="ARV"/>
    <s v="Adult"/>
    <s v="SCMS from RDC"/>
    <x v="1"/>
    <s v="N/A - From RDC"/>
    <s v="Air"/>
    <m/>
    <d v="2012-09-17T00:00:00"/>
    <d v="2012-08-14T00:00:00"/>
    <d v="2012-08-14T00:00:00"/>
    <x v="11"/>
    <s v="Lamivudine/Nevirapine/Zidovudine"/>
    <s v="Generic"/>
    <s v="150/300/200mg"/>
    <s v="Tablet - FDC"/>
    <n v="60"/>
    <n v="72107"/>
    <n v="707369.67"/>
    <n v="9.81"/>
    <n v="0.16"/>
    <n v="9348"/>
    <n v="81100.77"/>
    <n v="1"/>
    <x v="5"/>
  </r>
  <r>
    <n v="82503"/>
    <s v="SO-43010"/>
    <x v="709"/>
    <x v="0"/>
    <s v="ARV"/>
    <s v="Adult"/>
    <s v="SCMS from RDC"/>
    <x v="1"/>
    <s v="N/A - From RDC"/>
    <s v="Air"/>
    <m/>
    <d v="2012-10-26T00:00:00"/>
    <d v="2012-10-26T00:00:00"/>
    <d v="2012-10-26T00:00:00"/>
    <x v="1"/>
    <s v="Lamivudine/Zidovudine"/>
    <s v="Generic"/>
    <s v="150/300mg"/>
    <s v="Tablet - FDC"/>
    <n v="60"/>
    <n v="52770"/>
    <n v="407384.4"/>
    <n v="7.72"/>
    <n v="0.13"/>
    <n v="16510"/>
    <n v="82283.899999999994"/>
    <n v="1"/>
    <x v="5"/>
  </r>
  <r>
    <n v="82504"/>
    <s v="SO-42610"/>
    <x v="710"/>
    <x v="3"/>
    <s v="ARV"/>
    <s v="Adult"/>
    <s v="SCMS from RDC"/>
    <x v="1"/>
    <s v="N/A - From RDC"/>
    <s v="Air"/>
    <m/>
    <d v="2012-10-29T00:00:00"/>
    <d v="2012-10-29T00:00:00"/>
    <d v="2012-10-29T00:00:00"/>
    <x v="39"/>
    <s v="Lamivudine/Tenofovir Disoproxil Fumarate"/>
    <s v="Generic"/>
    <s v="300/300mg"/>
    <s v="Tablet - FDC"/>
    <n v="30"/>
    <n v="20201"/>
    <n v="111913.54"/>
    <n v="5.54"/>
    <n v="0.18"/>
    <n v="3865"/>
    <n v="19667.939999999999"/>
    <n v="1"/>
    <x v="5"/>
  </r>
  <r>
    <n v="82509"/>
    <s v="SO-42590"/>
    <x v="711"/>
    <x v="3"/>
    <s v="ARV"/>
    <s v="Adult"/>
    <s v="SCMS from RDC"/>
    <x v="1"/>
    <s v="N/A - From RDC"/>
    <s v="Air"/>
    <m/>
    <d v="2012-10-30T00:00:00"/>
    <d v="2012-10-30T00:00:00"/>
    <d v="2012-10-30T00:00:00"/>
    <x v="8"/>
    <s v="Efavirenz"/>
    <s v="Generic"/>
    <s v="600mg"/>
    <s v="Tablet"/>
    <n v="30"/>
    <n v="60000"/>
    <n v="234600"/>
    <n v="3.91"/>
    <n v="0.13"/>
    <n v="5000"/>
    <n v="24889"/>
    <n v="1"/>
    <x v="5"/>
  </r>
  <r>
    <n v="82510"/>
    <s v="SO-42130"/>
    <x v="712"/>
    <x v="1"/>
    <s v="ARV"/>
    <s v="Adult"/>
    <s v="SCMS from RDC"/>
    <x v="1"/>
    <s v="N/A - From RDC"/>
    <s v="Air"/>
    <m/>
    <d v="2012-10-30T00:00:00"/>
    <d v="2012-10-30T00:00:00"/>
    <d v="2012-10-30T00:00:00"/>
    <x v="9"/>
    <s v="Abacavir"/>
    <s v="Generic"/>
    <s v="300mg"/>
    <s v="Tablet"/>
    <n v="60"/>
    <n v="18620"/>
    <n v="244853"/>
    <n v="13.15"/>
    <n v="0.22"/>
    <n v="1928"/>
    <n v="5825.17"/>
    <n v="1"/>
    <x v="5"/>
  </r>
  <r>
    <n v="82511"/>
    <s v="SO-43070"/>
    <x v="713"/>
    <x v="5"/>
    <s v="ARV"/>
    <s v="Adult"/>
    <s v="SCMS from RDC"/>
    <x v="1"/>
    <s v="N/A - From RDC"/>
    <s v="Air"/>
    <m/>
    <d v="2012-11-15T00:00:00"/>
    <d v="2012-10-23T00:00:00"/>
    <d v="2012-10-23T00:00:00"/>
    <x v="16"/>
    <s v="Lamivudine"/>
    <s v="Generic"/>
    <s v="150mg"/>
    <s v="Tablet"/>
    <n v="60"/>
    <n v="270"/>
    <n v="599.4"/>
    <n v="2.2200000000000002"/>
    <n v="0.04"/>
    <n v="513"/>
    <n v="4934.43"/>
    <n v="1"/>
    <x v="5"/>
  </r>
  <r>
    <n v="82512"/>
    <s v="SO-42100"/>
    <x v="714"/>
    <x v="1"/>
    <s v="ARV"/>
    <s v="Adult"/>
    <s v="SCMS from RDC"/>
    <x v="1"/>
    <s v="N/A - From RDC"/>
    <s v="Air"/>
    <m/>
    <d v="2012-10-19T00:00:00"/>
    <d v="2012-10-18T00:00:00"/>
    <d v="2012-10-18T00:00:00"/>
    <x v="39"/>
    <s v="Lamivudine/Tenofovir Disoproxil Fumarate"/>
    <s v="Generic"/>
    <s v="300/300mg"/>
    <s v="Tablet - FDC"/>
    <n v="30"/>
    <n v="36390"/>
    <n v="201600.6"/>
    <n v="5.54"/>
    <n v="0.18"/>
    <n v="3863"/>
    <n v="23249.47"/>
    <n v="1"/>
    <x v="5"/>
  </r>
  <r>
    <n v="82515"/>
    <s v="SO-43090"/>
    <x v="715"/>
    <x v="3"/>
    <s v="ARV"/>
    <s v="Adult"/>
    <s v="SCMS from RDC"/>
    <x v="1"/>
    <s v="N/A - From RDC"/>
    <s v="Air"/>
    <m/>
    <d v="2012-10-25T00:00:00"/>
    <d v="2012-10-22T00:00:00"/>
    <d v="2012-10-22T00:00:00"/>
    <x v="16"/>
    <s v="Lamivudine"/>
    <s v="Generic"/>
    <s v="150mg"/>
    <s v="Tablet"/>
    <n v="60"/>
    <n v="1659"/>
    <n v="3682.98"/>
    <n v="2.2200000000000002"/>
    <n v="0.04"/>
    <n v="958"/>
    <n v="7659.33"/>
    <n v="1"/>
    <x v="5"/>
  </r>
  <r>
    <n v="82518"/>
    <s v="SO-42430"/>
    <x v="716"/>
    <x v="1"/>
    <s v="ARV"/>
    <s v="Adult"/>
    <s v="SCMS from RDC"/>
    <x v="1"/>
    <s v="N/A - From RDC"/>
    <s v="Air"/>
    <m/>
    <d v="2012-10-31T00:00:00"/>
    <d v="2012-10-30T00:00:00"/>
    <d v="2012-10-30T00:00:00"/>
    <x v="46"/>
    <s v="Efavirenz/Lamivudine/Tenofovir Disoproxil Fumarate"/>
    <s v="Generic"/>
    <s v="600/300/300mg"/>
    <s v="Tablet - FDC"/>
    <n v="30"/>
    <n v="59989"/>
    <n v="796054.03"/>
    <n v="13.27"/>
    <n v="0.44"/>
    <n v="7242"/>
    <n v="5825.18"/>
    <n v="1"/>
    <x v="5"/>
  </r>
  <r>
    <n v="82526"/>
    <s v="SO-42811"/>
    <x v="717"/>
    <x v="3"/>
    <s v="ARV"/>
    <s v="Adult"/>
    <s v="SCMS from RDC"/>
    <x v="1"/>
    <s v="N/A - From RDC"/>
    <s v="Truck"/>
    <m/>
    <d v="2012-12-31T00:00:00"/>
    <d v="2012-11-19T00:00:00"/>
    <d v="2012-11-19T00:00:00"/>
    <x v="46"/>
    <s v="Efavirenz/Lamivudine/Tenofovir Disoproxil Fumarate"/>
    <s v="Generic"/>
    <s v="600/300/300mg"/>
    <s v="Tablet - FDC"/>
    <n v="30"/>
    <n v="125014"/>
    <n v="1658935.78"/>
    <n v="13.27"/>
    <n v="0.44"/>
    <n v="14275"/>
    <n v="131278.81"/>
    <n v="1"/>
    <x v="5"/>
  </r>
  <r>
    <n v="82527"/>
    <s v="SO-42900"/>
    <x v="718"/>
    <x v="3"/>
    <s v="ARV"/>
    <s v="Adult"/>
    <s v="SCMS from RDC"/>
    <x v="1"/>
    <s v="N/A - From RDC"/>
    <s v="Truck"/>
    <m/>
    <d v="2012-12-10T00:00:00"/>
    <d v="2012-11-19T00:00:00"/>
    <d v="2012-11-19T00:00:00"/>
    <x v="39"/>
    <s v="Lamivudine/Tenofovir Disoproxil Fumarate"/>
    <s v="Generic"/>
    <s v="300/300mg"/>
    <s v="Tablet - FDC"/>
    <n v="30"/>
    <n v="26432"/>
    <n v="141675.51999999999"/>
    <n v="5.36"/>
    <n v="0.18"/>
    <n v="5212"/>
    <n v="24772.95"/>
    <n v="1"/>
    <x v="5"/>
  </r>
  <r>
    <n v="82532"/>
    <s v="SO-43190"/>
    <x v="719"/>
    <x v="3"/>
    <s v="ARV"/>
    <s v="Adult"/>
    <s v="SCMS from RDC"/>
    <x v="1"/>
    <s v="N/A - From RDC"/>
    <s v="Air"/>
    <m/>
    <d v="2013-02-01T00:00:00"/>
    <d v="2013-02-01T00:00:00"/>
    <d v="2013-02-01T00:00:00"/>
    <x v="11"/>
    <s v="Lamivudine/Nevirapine/Zidovudine"/>
    <s v="Generic"/>
    <s v="150/300/200mg"/>
    <s v="Tablet - FDC"/>
    <n v="60"/>
    <n v="13830"/>
    <n v="133044.6"/>
    <n v="9.6199999999999992"/>
    <n v="0.16"/>
    <n v="2400"/>
    <n v="18337.82"/>
    <n v="1"/>
    <x v="6"/>
  </r>
  <r>
    <n v="82537"/>
    <s v="SO-43160"/>
    <x v="720"/>
    <x v="3"/>
    <s v="ARV"/>
    <s v="Adult"/>
    <s v="SCMS from RDC"/>
    <x v="1"/>
    <s v="N/A - From RDC"/>
    <s v="Air"/>
    <m/>
    <d v="2013-02-02T00:00:00"/>
    <d v="2013-02-02T00:00:00"/>
    <d v="2013-02-02T00:00:00"/>
    <x v="39"/>
    <s v="Lamivudine/Tenofovir Disoproxil Fumarate"/>
    <s v="Generic"/>
    <s v="300/300mg"/>
    <s v="Tablet - FDC"/>
    <n v="30"/>
    <n v="5580"/>
    <n v="26839.8"/>
    <n v="4.8099999999999996"/>
    <n v="0.16"/>
    <n v="1187"/>
    <n v="9609.69"/>
    <n v="1"/>
    <x v="6"/>
  </r>
  <r>
    <n v="82542"/>
    <s v="SO-43491"/>
    <x v="721"/>
    <x v="3"/>
    <s v="ARV"/>
    <s v="Adult"/>
    <s v="SCMS from RDC"/>
    <x v="1"/>
    <s v="N/A - From RDC"/>
    <s v="Air"/>
    <m/>
    <d v="2013-02-11T00:00:00"/>
    <d v="2013-03-07T00:00:00"/>
    <d v="2013-03-07T00:00:00"/>
    <x v="45"/>
    <s v="Efavirenz/Emtricitabine/Tenofovir Disoproxil Fumarate"/>
    <s v="Generic"/>
    <s v="600/200/300mg"/>
    <s v="Tablet - FDC"/>
    <n v="30"/>
    <n v="7126"/>
    <n v="97554.94"/>
    <n v="13.69"/>
    <n v="0.46"/>
    <n v="2261"/>
    <n v="13252.2"/>
    <n v="0"/>
    <x v="6"/>
  </r>
  <r>
    <n v="82546"/>
    <s v="SO-43640"/>
    <x v="722"/>
    <x v="3"/>
    <s v="ARV"/>
    <s v="Adult"/>
    <s v="SCMS from RDC"/>
    <x v="1"/>
    <s v="N/A - From RDC"/>
    <s v="Air"/>
    <m/>
    <d v="2013-04-04T00:00:00"/>
    <d v="2013-03-07T00:00:00"/>
    <d v="2013-03-07T00:00:00"/>
    <x v="0"/>
    <s v="Nevirapine"/>
    <s v="Generic"/>
    <s v="200mg"/>
    <s v="Tablet"/>
    <n v="60"/>
    <n v="32298"/>
    <n v="72993.48"/>
    <n v="2.2599999999999998"/>
    <n v="0.04"/>
    <n v="6528"/>
    <n v="21806.84"/>
    <n v="1"/>
    <x v="6"/>
  </r>
  <r>
    <n v="82547"/>
    <s v="SO-44110"/>
    <x v="723"/>
    <x v="5"/>
    <s v="ARV"/>
    <s v="Pediatric"/>
    <s v="SCMS from RDC"/>
    <x v="1"/>
    <s v="N/A - From RDC"/>
    <s v="Air"/>
    <m/>
    <d v="2013-03-31T00:00:00"/>
    <d v="2013-03-22T00:00:00"/>
    <d v="2013-03-22T00:00:00"/>
    <x v="43"/>
    <s v="Nevirapine"/>
    <s v="Generic"/>
    <s v="10mg/ml"/>
    <s v="Oral suspension"/>
    <n v="240"/>
    <n v="2976"/>
    <n v="5803.2"/>
    <n v="1.95"/>
    <n v="0.01"/>
    <n v="1108"/>
    <n v="10754"/>
    <n v="1"/>
    <x v="6"/>
  </r>
  <r>
    <n v="82553"/>
    <s v="SO-43970"/>
    <x v="724"/>
    <x v="3"/>
    <s v="ARV"/>
    <s v="Pediatric"/>
    <s v="SCMS from RDC"/>
    <x v="1"/>
    <s v="N/A - From RDC"/>
    <s v="Truck"/>
    <m/>
    <d v="2013-03-29T00:00:00"/>
    <d v="2013-03-06T00:00:00"/>
    <d v="2013-03-06T00:00:00"/>
    <x v="73"/>
    <s v="Lamivudine/Zidovudine"/>
    <s v="Generic"/>
    <s v="30/60mg"/>
    <s v="Tablet - FDC"/>
    <n v="60"/>
    <n v="1731"/>
    <n v="3912.06"/>
    <n v="2.2599999999999998"/>
    <n v="0.04"/>
    <n v="76"/>
    <n v="936.81"/>
    <n v="1"/>
    <x v="6"/>
  </r>
  <r>
    <n v="82562"/>
    <s v="SO-44620"/>
    <x v="725"/>
    <x v="5"/>
    <s v="ARV"/>
    <s v="Pediatric"/>
    <s v="SCMS from RDC"/>
    <x v="1"/>
    <s v="N/A - From RDC"/>
    <s v="Air"/>
    <m/>
    <d v="2013-04-17T00:00:00"/>
    <d v="2013-04-23T00:00:00"/>
    <d v="2013-04-23T00:00:00"/>
    <x v="57"/>
    <s v="Lamivudine/Nevirapine/Zidovudine"/>
    <s v="Generic"/>
    <s v="30/50/60mg"/>
    <s v="Chewable/dispersible tablet - FDC"/>
    <n v="60"/>
    <n v="549"/>
    <n v="2278.35"/>
    <n v="4.1500000000000004"/>
    <n v="7.0000000000000007E-2"/>
    <n v="37"/>
    <n v="1198.68"/>
    <n v="0"/>
    <x v="6"/>
  </r>
  <r>
    <n v="82567"/>
    <s v="SO-44101"/>
    <x v="726"/>
    <x v="5"/>
    <s v="ARV"/>
    <s v="Adult"/>
    <s v="SCMS from RDC"/>
    <x v="1"/>
    <s v="N/A - From RDC"/>
    <s v="Air"/>
    <m/>
    <d v="2013-04-30T00:00:00"/>
    <d v="2013-04-26T00:00:00"/>
    <d v="2013-04-26T00:00:00"/>
    <x v="29"/>
    <s v="Zidovudine"/>
    <s v="Generic"/>
    <s v="300mg"/>
    <s v="Tablet"/>
    <n v="60"/>
    <n v="4560"/>
    <n v="30825.599999999999"/>
    <n v="6.76"/>
    <n v="0.11"/>
    <n v="230"/>
    <n v="1740.47"/>
    <n v="1"/>
    <x v="6"/>
  </r>
  <r>
    <n v="82569"/>
    <s v="SO-44670"/>
    <x v="727"/>
    <x v="6"/>
    <s v="ARV"/>
    <s v="Adult"/>
    <s v="SCMS from RDC"/>
    <x v="1"/>
    <s v="N/A - From RDC"/>
    <s v="Air"/>
    <m/>
    <d v="2013-05-31T00:00:00"/>
    <d v="2013-05-23T00:00:00"/>
    <d v="2013-05-23T00:00:00"/>
    <x v="11"/>
    <s v="Lamivudine/Nevirapine/Zidovudine"/>
    <s v="Generic"/>
    <s v="150/300/200mg"/>
    <s v="Tablet - FDC"/>
    <n v="60"/>
    <n v="2208"/>
    <n v="18944.64"/>
    <n v="8.58"/>
    <n v="0.14000000000000001"/>
    <n v="652"/>
    <n v="3763.2"/>
    <n v="1"/>
    <x v="6"/>
  </r>
  <r>
    <n v="82570"/>
    <s v="SO-43890"/>
    <x v="728"/>
    <x v="3"/>
    <s v="ARV"/>
    <s v="Adult"/>
    <s v="SCMS from RDC"/>
    <x v="1"/>
    <s v="N/A - From RDC"/>
    <s v="Truck"/>
    <m/>
    <d v="2013-06-07T00:00:00"/>
    <d v="2013-06-07T00:00:00"/>
    <d v="2013-06-07T00:00:00"/>
    <x v="29"/>
    <s v="Zidovudine"/>
    <s v="Generic"/>
    <s v="300mg"/>
    <s v="Tablet"/>
    <n v="60"/>
    <n v="1530"/>
    <n v="10006.200000000001"/>
    <n v="6.54"/>
    <n v="0.11"/>
    <n v="11337"/>
    <n v="23809.39"/>
    <n v="1"/>
    <x v="6"/>
  </r>
  <r>
    <n v="82571"/>
    <s v="SO-44630"/>
    <x v="729"/>
    <x v="5"/>
    <s v="ARV"/>
    <s v="Adult"/>
    <s v="SCMS from RDC"/>
    <x v="1"/>
    <s v="N/A - From RDC"/>
    <s v="Air"/>
    <m/>
    <d v="2013-04-30T00:00:00"/>
    <d v="2013-04-24T00:00:00"/>
    <d v="2013-04-24T00:00:00"/>
    <x v="39"/>
    <s v="Lamivudine/Tenofovir Disoproxil Fumarate"/>
    <s v="Generic"/>
    <s v="300/300mg"/>
    <s v="Tablet - FDC"/>
    <n v="30"/>
    <n v="1447"/>
    <n v="6800.9"/>
    <n v="4.7"/>
    <n v="0.16"/>
    <n v="1309"/>
    <n v="12356"/>
    <n v="1"/>
    <x v="6"/>
  </r>
  <r>
    <n v="82572"/>
    <s v="SO-43620"/>
    <x v="730"/>
    <x v="3"/>
    <s v="ARV"/>
    <s v="Adult"/>
    <s v="SCMS from RDC"/>
    <x v="1"/>
    <s v="N/A - From RDC"/>
    <s v="Air"/>
    <m/>
    <d v="2013-05-09T00:00:00"/>
    <d v="2013-05-07T00:00:00"/>
    <d v="2013-05-07T00:00:00"/>
    <x v="46"/>
    <s v="Efavirenz/Lamivudine/Tenofovir Disoproxil Fumarate"/>
    <s v="Generic"/>
    <s v="600/300/300mg"/>
    <s v="Tablet - FDC"/>
    <n v="30"/>
    <n v="229285"/>
    <n v="2412078.2000000002"/>
    <n v="10.52"/>
    <n v="0.35"/>
    <n v="29934"/>
    <n v="34003.699999999997"/>
    <n v="1"/>
    <x v="6"/>
  </r>
  <r>
    <n v="82575"/>
    <s v="SO-43873"/>
    <x v="731"/>
    <x v="3"/>
    <s v="ARV"/>
    <s v="Pediatric"/>
    <s v="SCMS from RDC"/>
    <x v="1"/>
    <s v="N/A - From RDC"/>
    <s v="Truck"/>
    <m/>
    <d v="2013-06-28T00:00:00"/>
    <d v="2013-06-07T00:00:00"/>
    <d v="2013-06-07T00:00:00"/>
    <x v="74"/>
    <s v="Lamivudine/Nevirapine/Stavudine"/>
    <s v="Generic"/>
    <s v="30/50/6mg"/>
    <s v="Chewable/dispersible tablet - FDC"/>
    <n v="60"/>
    <n v="475"/>
    <n v="1092.5"/>
    <n v="2.2999999999999998"/>
    <n v="0.04"/>
    <n v="1982"/>
    <n v="8163.74"/>
    <n v="1"/>
    <x v="6"/>
  </r>
  <r>
    <n v="82583"/>
    <s v="SO-44384"/>
    <x v="732"/>
    <x v="0"/>
    <s v="ARV"/>
    <s v="Adult"/>
    <s v="SCMS from RDC"/>
    <x v="1"/>
    <s v="N/A - From RDC"/>
    <s v="Truck"/>
    <m/>
    <d v="2013-05-31T00:00:00"/>
    <d v="2013-06-18T00:00:00"/>
    <d v="2013-06-18T00:00:00"/>
    <x v="45"/>
    <s v="Efavirenz/Emtricitabine/Tenofovir Disoproxil Fumarate"/>
    <s v="Generic"/>
    <s v="600/200/300mg"/>
    <s v="Tablet - FDC"/>
    <n v="30"/>
    <n v="31000"/>
    <n v="401760"/>
    <n v="12.96"/>
    <n v="0.43"/>
    <n v="3674"/>
    <n v="22904.03"/>
    <n v="0"/>
    <x v="6"/>
  </r>
  <r>
    <n v="82590"/>
    <s v="SO-45160"/>
    <x v="733"/>
    <x v="6"/>
    <s v="ARV"/>
    <s v="Adult"/>
    <s v="SCMS from RDC"/>
    <x v="1"/>
    <s v="N/A - From RDC"/>
    <s v="Air"/>
    <m/>
    <d v="2013-08-06T00:00:00"/>
    <d v="2013-08-23T00:00:00"/>
    <d v="2013-08-23T00:00:00"/>
    <x v="8"/>
    <s v="Efavirenz"/>
    <s v="Generic"/>
    <s v="600mg"/>
    <s v="Tablet"/>
    <n v="30"/>
    <n v="4032"/>
    <n v="13426.56"/>
    <n v="3.33"/>
    <n v="0.11"/>
    <n v="336"/>
    <n v="4385.4399999999996"/>
    <n v="0"/>
    <x v="6"/>
  </r>
  <r>
    <n v="82591"/>
    <s v="SO-45720"/>
    <x v="734"/>
    <x v="0"/>
    <s v="ARV"/>
    <s v="Adult"/>
    <s v="SCMS from RDC"/>
    <x v="1"/>
    <s v="N/A - From RDC"/>
    <s v="Truck"/>
    <m/>
    <d v="2013-08-29T00:00:00"/>
    <d v="2013-09-10T00:00:00"/>
    <d v="2013-09-10T00:00:00"/>
    <x v="11"/>
    <s v="Lamivudine/Nevirapine/Zidovudine"/>
    <s v="Generic"/>
    <s v="150/300/200mg"/>
    <s v="Tablet - FDC"/>
    <n v="60"/>
    <n v="58920"/>
    <n v="505533.6"/>
    <n v="8.58"/>
    <n v="0.14000000000000001"/>
    <n v="6560"/>
    <n v="8057.2"/>
    <n v="0"/>
    <x v="6"/>
  </r>
  <r>
    <n v="82593"/>
    <s v="SO-45151"/>
    <x v="735"/>
    <x v="6"/>
    <s v="ARV"/>
    <s v="Adult"/>
    <s v="SCMS from RDC"/>
    <x v="1"/>
    <s v="N/A - From RDC"/>
    <s v="Air"/>
    <m/>
    <d v="2013-08-06T00:00:00"/>
    <d v="2013-05-21T00:00:00"/>
    <d v="2014-11-18T00:00:00"/>
    <x v="0"/>
    <s v="Nevirapine"/>
    <s v="Generic"/>
    <s v="200mg"/>
    <s v="Tablet"/>
    <n v="60"/>
    <n v="225"/>
    <n v="508.5"/>
    <n v="2.2599999999999998"/>
    <n v="0.04"/>
    <m/>
    <m/>
    <n v="1"/>
    <x v="7"/>
  </r>
  <r>
    <n v="82594"/>
    <s v="SO-45510"/>
    <x v="736"/>
    <x v="3"/>
    <s v="ARV"/>
    <s v="Pediatric"/>
    <s v="SCMS from RDC"/>
    <x v="1"/>
    <s v="N/A - From RDC"/>
    <s v="Air"/>
    <m/>
    <d v="2013-08-30T00:00:00"/>
    <d v="2013-08-10T00:00:00"/>
    <d v="2013-08-10T00:00:00"/>
    <x v="75"/>
    <s v="Lamivudine/Stavudine"/>
    <s v="Generic"/>
    <s v="30/6mg"/>
    <s v="Chewable/dispersible tablet - FDC"/>
    <n v="60"/>
    <n v="372"/>
    <n v="706.8"/>
    <n v="1.9"/>
    <n v="0.03"/>
    <n v="33"/>
    <n v="951.75"/>
    <n v="1"/>
    <x v="6"/>
  </r>
  <r>
    <n v="82597"/>
    <s v="SO-44385"/>
    <x v="737"/>
    <x v="0"/>
    <s v="ARV"/>
    <s v="Pediatric"/>
    <s v="SCMS from RDC"/>
    <x v="1"/>
    <s v="N/A - From RDC"/>
    <s v="Truck"/>
    <m/>
    <d v="2013-07-30T00:00:00"/>
    <d v="2013-08-15T00:00:00"/>
    <d v="2013-08-15T00:00:00"/>
    <x v="51"/>
    <s v="Efavirenz"/>
    <s v="Generic"/>
    <s v="200mg"/>
    <s v="Tablet"/>
    <n v="90"/>
    <n v="6823"/>
    <n v="49807.9"/>
    <n v="7.3"/>
    <n v="0.08"/>
    <n v="428"/>
    <n v="2376"/>
    <n v="0"/>
    <x v="6"/>
  </r>
  <r>
    <n v="82601"/>
    <s v="SO-44993"/>
    <x v="738"/>
    <x v="0"/>
    <s v="ARV"/>
    <s v="Adult"/>
    <s v="SCMS from RDC"/>
    <x v="1"/>
    <s v="N/A - From RDC"/>
    <s v="Truck"/>
    <m/>
    <d v="2013-10-25T00:00:00"/>
    <d v="2013-10-01T00:00:00"/>
    <d v="2013-10-09T00:00:00"/>
    <x v="45"/>
    <s v="Efavirenz/Emtricitabine/Tenofovir Disoproxil Fumarate"/>
    <s v="Generic"/>
    <s v="600/200/300mg"/>
    <s v="Tablet - FDC"/>
    <n v="30"/>
    <n v="12567"/>
    <n v="154574.1"/>
    <n v="12.3"/>
    <n v="0.41"/>
    <n v="1482"/>
    <n v="5474"/>
    <n v="1"/>
    <x v="6"/>
  </r>
  <r>
    <n v="82604"/>
    <s v="SO-46010"/>
    <x v="739"/>
    <x v="6"/>
    <s v="ARV"/>
    <s v="Adult"/>
    <s v="SCMS from RDC"/>
    <x v="1"/>
    <s v="N/A - From RDC"/>
    <s v="Air"/>
    <m/>
    <d v="2013-11-03T00:00:00"/>
    <d v="2013-11-05T00:00:00"/>
    <d v="2013-11-12T00:00:00"/>
    <x v="1"/>
    <s v="Lamivudine/Zidovudine"/>
    <s v="Generic"/>
    <s v="150/300mg"/>
    <s v="Tablet - FDC"/>
    <n v="60"/>
    <n v="6141"/>
    <n v="42987"/>
    <n v="7"/>
    <n v="0.12"/>
    <n v="741"/>
    <n v="3810.39"/>
    <n v="0"/>
    <x v="6"/>
  </r>
  <r>
    <n v="82605"/>
    <s v="SO-46010"/>
    <x v="739"/>
    <x v="6"/>
    <s v="ARV"/>
    <s v="Adult"/>
    <s v="SCMS from RDC"/>
    <x v="1"/>
    <s v="N/A - From RDC"/>
    <s v="Air"/>
    <m/>
    <d v="2013-11-03T00:00:00"/>
    <d v="2013-11-05T00:00:00"/>
    <d v="2013-11-12T00:00:00"/>
    <x v="11"/>
    <s v="Lamivudine/Nevirapine/Zidovudine"/>
    <s v="Generic"/>
    <s v="150/300/200mg"/>
    <s v="Tablet - FDC"/>
    <n v="60"/>
    <n v="1344"/>
    <n v="11101.44"/>
    <n v="8.26"/>
    <n v="0.14000000000000001"/>
    <m/>
    <m/>
    <n v="0"/>
    <x v="6"/>
  </r>
  <r>
    <n v="82611"/>
    <s v="SO-44980"/>
    <x v="740"/>
    <x v="0"/>
    <s v="ARV"/>
    <s v="Pediatric"/>
    <s v="SCMS from RDC"/>
    <x v="1"/>
    <s v="N/A - From RDC"/>
    <s v="Truck"/>
    <m/>
    <d v="2013-10-31T00:00:00"/>
    <d v="2013-11-04T00:00:00"/>
    <d v="2013-11-06T00:00:00"/>
    <x v="74"/>
    <s v="Lamivudine/Nevirapine/Stavudine"/>
    <s v="Generic"/>
    <s v="30/50/6mg"/>
    <s v="Chewable/dispersible tablet - FDC"/>
    <n v="60"/>
    <n v="6097"/>
    <n v="14023.1"/>
    <n v="2.2999999999999998"/>
    <n v="0.04"/>
    <n v="12213"/>
    <n v="7607.2"/>
    <n v="0"/>
    <x v="6"/>
  </r>
  <r>
    <n v="82617"/>
    <s v="SO-45390"/>
    <x v="741"/>
    <x v="1"/>
    <s v="ARV"/>
    <s v="Adult"/>
    <s v="SCMS from RDC"/>
    <x v="1"/>
    <s v="N/A - From RDC"/>
    <s v="Truck"/>
    <m/>
    <d v="2014-01-31T00:00:00"/>
    <d v="2013-12-23T00:00:00"/>
    <d v="2014-01-17T00:00:00"/>
    <x v="0"/>
    <s v="Nevirapine"/>
    <s v="Generic"/>
    <s v="200mg"/>
    <s v="Tablet"/>
    <n v="60"/>
    <n v="79999"/>
    <n v="180797.74"/>
    <n v="2.2599999999999998"/>
    <n v="0.04"/>
    <n v="9404"/>
    <n v="14088.22"/>
    <n v="1"/>
    <x v="7"/>
  </r>
  <r>
    <n v="82627"/>
    <s v="SO-45998"/>
    <x v="742"/>
    <x v="0"/>
    <s v="ARV"/>
    <s v="Adult"/>
    <s v="SCMS from RDC"/>
    <x v="1"/>
    <s v="N/A - From RDC"/>
    <s v="Truck"/>
    <m/>
    <d v="2014-01-31T00:00:00"/>
    <d v="2014-02-19T00:00:00"/>
    <d v="2014-02-24T00:00:00"/>
    <x v="14"/>
    <s v="Lopinavir/Ritonavir"/>
    <s v="Aluvia"/>
    <s v="200/50mg"/>
    <s v="Tablet"/>
    <n v="120"/>
    <n v="909"/>
    <n v="17743.68"/>
    <n v="19.52"/>
    <n v="0.16"/>
    <n v="8820"/>
    <n v="3541.59"/>
    <n v="0"/>
    <x v="7"/>
  </r>
  <r>
    <n v="82631"/>
    <s v="SO-46491"/>
    <x v="743"/>
    <x v="1"/>
    <s v="ARV"/>
    <s v="Adult"/>
    <s v="SCMS from RDC"/>
    <x v="1"/>
    <s v="N/A - From RDC"/>
    <s v="Truck"/>
    <m/>
    <d v="2014-01-31T00:00:00"/>
    <d v="2014-01-10T00:00:00"/>
    <d v="2014-01-31T00:00:00"/>
    <x v="1"/>
    <s v="Lamivudine/Zidovudine"/>
    <s v="Generic"/>
    <s v="150/300mg"/>
    <s v="Tablet - FDC"/>
    <n v="60"/>
    <n v="16000"/>
    <n v="112000"/>
    <n v="7"/>
    <n v="0.12"/>
    <n v="1412"/>
    <n v="20049.080000000002"/>
    <n v="1"/>
    <x v="7"/>
  </r>
  <r>
    <n v="82640"/>
    <s v="SO-46483"/>
    <x v="744"/>
    <x v="1"/>
    <s v="ARV"/>
    <s v="Adult"/>
    <s v="SCMS from RDC"/>
    <x v="1"/>
    <s v="N/A - From RDC"/>
    <s v="Truck"/>
    <m/>
    <d v="2014-01-31T00:00:00"/>
    <d v="2014-02-03T00:00:00"/>
    <d v="2014-02-24T00:00:00"/>
    <x v="39"/>
    <s v="Lamivudine/Tenofovir Disoproxil Fumarate"/>
    <s v="Generic"/>
    <s v="300/300mg"/>
    <s v="Tablet - FDC"/>
    <n v="30"/>
    <n v="29993"/>
    <n v="140967.1"/>
    <n v="4.7"/>
    <n v="0.16"/>
    <n v="4883"/>
    <n v="7708.3"/>
    <n v="0"/>
    <x v="7"/>
  </r>
  <r>
    <n v="82641"/>
    <s v="SO-46000"/>
    <x v="745"/>
    <x v="0"/>
    <s v="ARV"/>
    <s v="Pediatric"/>
    <s v="SCMS from RDC"/>
    <x v="1"/>
    <s v="N/A - From RDC"/>
    <s v="Truck"/>
    <m/>
    <d v="2014-01-31T00:00:00"/>
    <d v="2014-02-19T00:00:00"/>
    <d v="2014-02-24T00:00:00"/>
    <x v="76"/>
    <s v="Abacavir/Lamivudine"/>
    <s v="Generic"/>
    <s v="60/30mg"/>
    <s v="Tablet - FDC"/>
    <n v="60"/>
    <n v="23964"/>
    <n v="95856"/>
    <n v="4"/>
    <n v="7.0000000000000007E-2"/>
    <m/>
    <m/>
    <n v="0"/>
    <x v="7"/>
  </r>
  <r>
    <n v="82650"/>
    <s v="SO-45742"/>
    <x v="746"/>
    <x v="0"/>
    <s v="ARV"/>
    <s v="Adult"/>
    <s v="SCMS from RDC"/>
    <x v="1"/>
    <s v="N/A - From RDC"/>
    <s v="Truck"/>
    <m/>
    <d v="2014-01-31T00:00:00"/>
    <d v="2014-02-19T00:00:00"/>
    <d v="2014-02-24T00:00:00"/>
    <x v="46"/>
    <s v="Efavirenz/Lamivudine/Tenofovir Disoproxil Fumarate"/>
    <s v="Generic"/>
    <s v="600/300/300mg"/>
    <s v="Tablet - FDC"/>
    <n v="30"/>
    <n v="46066"/>
    <n v="500737.42"/>
    <n v="10.87"/>
    <n v="0.36"/>
    <n v="5175"/>
    <n v="3541.59"/>
    <n v="0"/>
    <x v="7"/>
  </r>
  <r>
    <n v="82656"/>
    <s v="SO-46002"/>
    <x v="747"/>
    <x v="0"/>
    <s v="ARV"/>
    <s v="Adult"/>
    <s v="SCMS from RDC"/>
    <x v="1"/>
    <s v="N/A - From RDC"/>
    <s v="Truck"/>
    <m/>
    <d v="2014-04-30T00:00:00"/>
    <d v="2014-05-02T00:00:00"/>
    <d v="2014-05-07T00:00:00"/>
    <x v="70"/>
    <s v="Emtricitabine/Tenofovir Disoproxil Fumarate"/>
    <s v="Generic"/>
    <s v="200/300mg"/>
    <s v="Tablet - FDC"/>
    <n v="30"/>
    <n v="20921"/>
    <n v="122806.27"/>
    <n v="5.87"/>
    <n v="0.2"/>
    <n v="6692"/>
    <n v="6010.2"/>
    <n v="0"/>
    <x v="7"/>
  </r>
  <r>
    <n v="82657"/>
    <s v="SO-46870"/>
    <x v="748"/>
    <x v="3"/>
    <s v="ARV"/>
    <s v="Adult"/>
    <s v="SCMS from RDC"/>
    <x v="1"/>
    <s v="N/A - From RDC"/>
    <s v="Truck"/>
    <m/>
    <d v="2014-04-20T00:00:00"/>
    <d v="2014-04-18T00:00:00"/>
    <d v="2014-04-28T00:00:00"/>
    <x v="1"/>
    <s v="Lamivudine/Zidovudine"/>
    <s v="Generic"/>
    <s v="150/300mg"/>
    <s v="Tablet - FDC"/>
    <n v="60"/>
    <n v="7693"/>
    <n v="51773.89"/>
    <n v="6.73"/>
    <n v="0.11"/>
    <n v="6909"/>
    <n v="4947.38"/>
    <n v="1"/>
    <x v="7"/>
  </r>
  <r>
    <n v="82662"/>
    <s v="SO-46860"/>
    <x v="749"/>
    <x v="3"/>
    <s v="ARV"/>
    <s v="Adult"/>
    <s v="SCMS from RDC"/>
    <x v="1"/>
    <s v="N/A - From RDC"/>
    <s v="Truck"/>
    <m/>
    <d v="2014-03-31T00:00:00"/>
    <d v="2014-04-18T00:00:00"/>
    <d v="2014-05-07T00:00:00"/>
    <x v="0"/>
    <s v="Nevirapine"/>
    <s v="Generic"/>
    <s v="200mg"/>
    <s v="Tablet"/>
    <n v="60"/>
    <n v="21764"/>
    <n v="49186.64"/>
    <n v="2.2599999999999998"/>
    <n v="0.04"/>
    <n v="2091"/>
    <m/>
    <n v="0"/>
    <x v="7"/>
  </r>
  <r>
    <n v="82668"/>
    <s v="SO-46485"/>
    <x v="750"/>
    <x v="1"/>
    <s v="ARV"/>
    <s v="Adult"/>
    <s v="SCMS from RDC"/>
    <x v="1"/>
    <s v="N/A - From RDC"/>
    <s v="Truck"/>
    <m/>
    <d v="2014-05-05T00:00:00"/>
    <d v="2014-06-06T00:00:00"/>
    <d v="2014-06-20T00:00:00"/>
    <x v="39"/>
    <s v="Lamivudine/Tenofovir Disoproxil Fumarate"/>
    <s v="Generic"/>
    <s v="300/300mg"/>
    <s v="Tablet - FDC"/>
    <n v="30"/>
    <n v="2381"/>
    <n v="11047.84"/>
    <n v="4.6399999999999997"/>
    <n v="0.15"/>
    <n v="3703"/>
    <n v="8469.67"/>
    <n v="0"/>
    <x v="7"/>
  </r>
  <r>
    <n v="82671"/>
    <s v="SO-45740"/>
    <x v="751"/>
    <x v="0"/>
    <s v="ARV"/>
    <s v="Adult"/>
    <s v="SCMS from RDC"/>
    <x v="1"/>
    <s v="N/A - From RDC"/>
    <s v="Truck"/>
    <m/>
    <d v="2014-05-05T00:00:00"/>
    <d v="2014-06-18T00:00:00"/>
    <d v="2014-07-01T00:00:00"/>
    <x v="46"/>
    <s v="Efavirenz/Lamivudine/Tenofovir Disoproxil Fumarate"/>
    <s v="Generic"/>
    <s v="600/300/300mg"/>
    <s v="Tablet - FDC"/>
    <n v="30"/>
    <n v="116931"/>
    <n v="1260516.18"/>
    <n v="10.78"/>
    <n v="0.36"/>
    <n v="13280"/>
    <n v="7083.18"/>
    <n v="0"/>
    <x v="7"/>
  </r>
  <r>
    <n v="82675"/>
    <s v="SO-45990"/>
    <x v="752"/>
    <x v="0"/>
    <s v="ARV"/>
    <s v="Adult"/>
    <s v="SCMS from RDC"/>
    <x v="1"/>
    <s v="N/A - From RDC"/>
    <s v="Truck"/>
    <m/>
    <d v="2014-06-30T00:00:00"/>
    <d v="2014-06-21T00:00:00"/>
    <d v="2014-07-01T00:00:00"/>
    <x v="70"/>
    <s v="Emtricitabine/Tenofovir Disoproxil Fumarate"/>
    <s v="Generic"/>
    <s v="200/300mg"/>
    <s v="Tablet - FDC"/>
    <n v="30"/>
    <n v="10267"/>
    <n v="58932.58"/>
    <n v="5.74"/>
    <n v="0.19"/>
    <n v="816"/>
    <n v="3623.2"/>
    <n v="1"/>
    <x v="7"/>
  </r>
  <r>
    <n v="82680"/>
    <s v="SO-46875"/>
    <x v="753"/>
    <x v="3"/>
    <s v="ARV"/>
    <s v="Adult"/>
    <s v="SCMS from RDC"/>
    <x v="1"/>
    <s v="N/A - From RDC"/>
    <s v="Truck"/>
    <m/>
    <d v="2014-06-30T00:00:00"/>
    <d v="2014-06-30T00:00:00"/>
    <d v="2014-07-01T00:00:00"/>
    <x v="11"/>
    <s v="Lamivudine/Nevirapine/Zidovudine"/>
    <s v="Generic"/>
    <s v="150/300/200mg"/>
    <s v="Tablet - FDC"/>
    <n v="60"/>
    <n v="100000"/>
    <n v="811000"/>
    <n v="8.11"/>
    <n v="0.14000000000000001"/>
    <n v="18737"/>
    <n v="9857.35"/>
    <n v="1"/>
    <x v="7"/>
  </r>
  <r>
    <n v="82685"/>
    <s v="SO-46701"/>
    <x v="754"/>
    <x v="0"/>
    <s v="ARV"/>
    <s v="Adult"/>
    <s v="SCMS from RDC"/>
    <x v="1"/>
    <s v="N/A - From RDC"/>
    <s v="Air"/>
    <m/>
    <d v="2014-07-31T00:00:00"/>
    <d v="2014-09-25T00:00:00"/>
    <d v="2014-10-06T00:00:00"/>
    <x v="14"/>
    <s v="Lopinavir/Ritonavir"/>
    <s v="Aluvia"/>
    <s v="200/50mg"/>
    <s v="Tablet"/>
    <n v="120"/>
    <n v="32294"/>
    <n v="610356.6"/>
    <n v="18.899999999999999"/>
    <n v="0.16"/>
    <n v="20132"/>
    <n v="97918.87"/>
    <n v="0"/>
    <x v="7"/>
  </r>
  <r>
    <n v="82699"/>
    <s v="SO-46001"/>
    <x v="755"/>
    <x v="0"/>
    <s v="ARV"/>
    <s v="Adult"/>
    <s v="SCMS from RDC"/>
    <x v="1"/>
    <s v="N/A - From RDC"/>
    <s v="Truck"/>
    <m/>
    <d v="2014-09-18T00:00:00"/>
    <d v="2014-09-25T00:00:00"/>
    <d v="2014-11-07T00:00:00"/>
    <x v="70"/>
    <s v="Emtricitabine/Tenofovir Disoproxil Fumarate"/>
    <s v="Generic"/>
    <s v="200/300mg"/>
    <s v="Tablet - FDC"/>
    <n v="30"/>
    <n v="22002"/>
    <n v="126291.48"/>
    <n v="5.74"/>
    <n v="0.19"/>
    <n v="2003"/>
    <n v="10010.15"/>
    <n v="0"/>
    <x v="7"/>
  </r>
  <r>
    <n v="82706"/>
    <s v="SO-49120"/>
    <x v="756"/>
    <x v="5"/>
    <s v="ARV"/>
    <s v="Adult"/>
    <s v="SCMS from RDC"/>
    <x v="1"/>
    <s v="N/A - From RDC"/>
    <s v="Air"/>
    <m/>
    <d v="2014-09-01T00:00:00"/>
    <d v="2014-09-01T00:00:00"/>
    <d v="2014-09-02T00:00:00"/>
    <x v="1"/>
    <s v="Lamivudine/Zidovudine"/>
    <s v="Generic"/>
    <s v="150/300mg"/>
    <s v="Tablet - FDC"/>
    <n v="60"/>
    <n v="396"/>
    <n v="2581.92"/>
    <n v="6.52"/>
    <n v="0.11"/>
    <n v="410"/>
    <n v="4708"/>
    <n v="1"/>
    <x v="7"/>
  </r>
  <r>
    <n v="82724"/>
    <s v="SO-49230"/>
    <x v="757"/>
    <x v="2"/>
    <s v="ARV"/>
    <s v="Pediatric"/>
    <s v="SCMS from RDC"/>
    <x v="1"/>
    <s v="N/A - From RDC"/>
    <s v="Air"/>
    <m/>
    <d v="2014-07-29T00:00:00"/>
    <d v="2014-07-10T00:00:00"/>
    <d v="2014-07-17T00:00:00"/>
    <x v="76"/>
    <s v="Abacavir/Lamivudine"/>
    <s v="Generic"/>
    <s v="60/30mg"/>
    <s v="Tablet - FDC"/>
    <n v="60"/>
    <n v="3071"/>
    <n v="12560.39"/>
    <n v="4.09"/>
    <n v="7.0000000000000007E-2"/>
    <n v="115"/>
    <n v="630"/>
    <n v="1"/>
    <x v="7"/>
  </r>
  <r>
    <n v="82725"/>
    <s v="SO-49260"/>
    <x v="758"/>
    <x v="5"/>
    <s v="ARV"/>
    <s v="Pediatric"/>
    <s v="SCMS from RDC"/>
    <x v="1"/>
    <s v="N/A - From RDC"/>
    <s v="Air"/>
    <m/>
    <d v="2015-01-30T00:00:00"/>
    <d v="2014-12-16T00:00:00"/>
    <d v="2014-12-17T00:00:00"/>
    <x v="77"/>
    <s v="Lamivudine/Nevirapine/Zidovudine"/>
    <s v="Generic"/>
    <s v="30/50/60mg"/>
    <s v="Chewable/dispersible tablet - FDC"/>
    <n v="60"/>
    <n v="6459"/>
    <n v="0"/>
    <n v="0"/>
    <n v="0"/>
    <n v="565"/>
    <n v="11705.87"/>
    <n v="1"/>
    <x v="7"/>
  </r>
  <r>
    <n v="82730"/>
    <s v="SO-47101"/>
    <x v="759"/>
    <x v="5"/>
    <s v="ARV"/>
    <s v="Pediatric"/>
    <s v="SCMS from RDC"/>
    <x v="1"/>
    <s v="N/A - From RDC"/>
    <s v="Air"/>
    <m/>
    <d v="2014-09-30T00:00:00"/>
    <d v="2014-10-15T00:00:00"/>
    <d v="2014-10-22T00:00:00"/>
    <x v="42"/>
    <s v="Lamivudine/Zidovudine"/>
    <s v="Generic"/>
    <s v="30/60mg"/>
    <s v="Chewable/dispersible tablet - FDC"/>
    <n v="60"/>
    <n v="132"/>
    <n v="262.68"/>
    <n v="1.99"/>
    <n v="0.03"/>
    <n v="23"/>
    <n v="1651"/>
    <n v="0"/>
    <x v="7"/>
  </r>
  <r>
    <n v="82731"/>
    <s v="SO-46690"/>
    <x v="760"/>
    <x v="0"/>
    <s v="ARV"/>
    <s v="Pediatric"/>
    <s v="SCMS from RDC"/>
    <x v="1"/>
    <s v="N/A - From RDC"/>
    <s v="Truck"/>
    <m/>
    <d v="2014-10-30T00:00:00"/>
    <d v="2014-10-17T00:00:00"/>
    <d v="2014-11-07T00:00:00"/>
    <x v="42"/>
    <s v="Lamivudine/Zidovudine"/>
    <s v="Generic"/>
    <s v="30/60mg"/>
    <s v="Chewable/dispersible tablet - FDC"/>
    <n v="60"/>
    <n v="17980"/>
    <n v="38657"/>
    <n v="2.15"/>
    <n v="0.04"/>
    <n v="2152"/>
    <n v="837.59"/>
    <n v="1"/>
    <x v="7"/>
  </r>
  <r>
    <n v="82736"/>
    <s v="SO-48630"/>
    <x v="761"/>
    <x v="6"/>
    <s v="ARV"/>
    <s v="Adult"/>
    <s v="SCMS from RDC"/>
    <x v="1"/>
    <s v="N/A - From RDC"/>
    <s v="Air"/>
    <m/>
    <d v="2014-10-31T00:00:00"/>
    <d v="2014-10-15T00:00:00"/>
    <d v="2014-10-28T00:00:00"/>
    <x v="1"/>
    <s v="Lamivudine/Zidovudine"/>
    <s v="Generic"/>
    <s v="150/300mg"/>
    <s v="Tablet - FDC"/>
    <n v="60"/>
    <n v="1428"/>
    <n v="9424.7999999999993"/>
    <n v="6.6"/>
    <n v="0.11"/>
    <n v="331"/>
    <n v="4218.74"/>
    <n v="1"/>
    <x v="7"/>
  </r>
  <r>
    <n v="82753"/>
    <s v="SO-48970"/>
    <x v="762"/>
    <x v="3"/>
    <s v="ARV"/>
    <s v="Adult"/>
    <s v="SCMS from RDC"/>
    <x v="1"/>
    <s v="N/A - From RDC"/>
    <s v="Truck"/>
    <m/>
    <d v="2014-11-28T00:00:00"/>
    <d v="2014-12-03T00:00:00"/>
    <d v="2014-12-04T00:00:00"/>
    <x v="39"/>
    <s v="Lamivudine/Tenofovir Disoproxil Fumarate"/>
    <s v="Generic"/>
    <s v="300/300mg"/>
    <s v="Tablet - FDC"/>
    <n v="30"/>
    <n v="42531"/>
    <n v="196918.53"/>
    <n v="4.63"/>
    <n v="0.15"/>
    <n v="7043"/>
    <n v="6852.08"/>
    <n v="0"/>
    <x v="7"/>
  </r>
  <r>
    <n v="82754"/>
    <s v="SO-48801"/>
    <x v="763"/>
    <x v="1"/>
    <s v="ARV"/>
    <s v="Adult"/>
    <s v="SCMS from RDC"/>
    <x v="1"/>
    <s v="N/A - From RDC"/>
    <s v="Truck"/>
    <m/>
    <d v="2015-01-30T00:00:00"/>
    <d v="2015-01-14T00:00:00"/>
    <d v="2015-01-19T00:00:00"/>
    <x v="11"/>
    <s v="Lamivudine/Nevirapine/Zidovudine"/>
    <s v="Generic"/>
    <s v="150/300/200mg"/>
    <s v="Tablet - FDC"/>
    <n v="60"/>
    <n v="14011"/>
    <n v="113629.21"/>
    <n v="8.11"/>
    <n v="0.14000000000000001"/>
    <n v="1755"/>
    <n v="4328.8999999999996"/>
    <n v="1"/>
    <x v="8"/>
  </r>
  <r>
    <n v="82755"/>
    <s v="SO-48790"/>
    <x v="764"/>
    <x v="1"/>
    <s v="ARV"/>
    <s v="Adult"/>
    <s v="SCMS from RDC"/>
    <x v="1"/>
    <s v="N/A - From RDC"/>
    <s v="Truck"/>
    <m/>
    <d v="2015-02-16T00:00:00"/>
    <d v="2015-01-14T00:00:00"/>
    <d v="2015-01-19T00:00:00"/>
    <x v="39"/>
    <s v="Lamivudine/Tenofovir Disoproxil Fumarate"/>
    <s v="Generic"/>
    <s v="300/300mg"/>
    <s v="Tablet - FDC"/>
    <n v="30"/>
    <n v="73467"/>
    <n v="340886.88"/>
    <n v="4.6399999999999997"/>
    <n v="0.15"/>
    <n v="17317"/>
    <n v="26620.36"/>
    <n v="1"/>
    <x v="8"/>
  </r>
  <r>
    <n v="82758"/>
    <s v="SO-49951"/>
    <x v="765"/>
    <x v="1"/>
    <s v="ARV"/>
    <s v="Pediatric"/>
    <s v="SCMS from RDC"/>
    <x v="1"/>
    <s v="N/A - From RDC"/>
    <s v="Truck"/>
    <m/>
    <d v="2015-01-14T00:00:00"/>
    <d v="2014-12-24T00:00:00"/>
    <d v="2015-01-05T00:00:00"/>
    <x v="51"/>
    <s v="Efavirenz"/>
    <s v="Generic"/>
    <s v="200mg"/>
    <s v="Tablet"/>
    <n v="90"/>
    <n v="1016"/>
    <n v="9448.7999999999993"/>
    <n v="9.3000000000000007"/>
    <n v="0.1"/>
    <n v="367"/>
    <n v="3783.24"/>
    <n v="1"/>
    <x v="8"/>
  </r>
  <r>
    <n v="82761"/>
    <s v="SO-49990"/>
    <x v="766"/>
    <x v="1"/>
    <s v="ARV"/>
    <s v="Adult"/>
    <s v="SCMS from RDC"/>
    <x v="1"/>
    <s v="N/A - From RDC"/>
    <s v="Air"/>
    <m/>
    <d v="2015-01-31T00:00:00"/>
    <d v="2014-12-24T00:00:00"/>
    <d v="2014-12-31T00:00:00"/>
    <x v="35"/>
    <s v="Tenofovir Disoproxil Fumarate"/>
    <s v="Generic"/>
    <s v="300mg"/>
    <s v="Tablet"/>
    <n v="30"/>
    <n v="189"/>
    <n v="691.74"/>
    <n v="3.66"/>
    <n v="0.12"/>
    <n v="15"/>
    <n v="925.6"/>
    <n v="1"/>
    <x v="7"/>
  </r>
  <r>
    <n v="82772"/>
    <s v="SO-49950"/>
    <x v="767"/>
    <x v="1"/>
    <s v="ARV"/>
    <s v="Pediatric"/>
    <s v="SCMS from RDC"/>
    <x v="1"/>
    <s v="N/A - From RDC"/>
    <s v="Truck"/>
    <m/>
    <d v="2015-01-30T00:00:00"/>
    <d v="2015-02-09T00:00:00"/>
    <d v="2015-02-20T00:00:00"/>
    <x v="51"/>
    <s v="Efavirenz"/>
    <s v="Generic"/>
    <s v="200mg"/>
    <s v="Tablet"/>
    <n v="90"/>
    <n v="868"/>
    <n v="8072.4"/>
    <n v="9.3000000000000007"/>
    <n v="0.1"/>
    <n v="173"/>
    <n v="2124.48"/>
    <n v="0"/>
    <x v="8"/>
  </r>
  <r>
    <n v="82773"/>
    <s v="SO-48994"/>
    <x v="768"/>
    <x v="3"/>
    <s v="ARV"/>
    <s v="Adult"/>
    <s v="SCMS from RDC"/>
    <x v="1"/>
    <s v="N/A - From RDC"/>
    <s v="Truck"/>
    <m/>
    <d v="2015-02-27T00:00:00"/>
    <d v="2015-02-25T00:00:00"/>
    <d v="2015-03-05T00:00:00"/>
    <x v="39"/>
    <s v="Lamivudine/Tenofovir Disoproxil Fumarate"/>
    <s v="Generic"/>
    <s v="300/300mg"/>
    <s v="Tablet - FDC"/>
    <n v="30"/>
    <n v="19086"/>
    <n v="88368.18"/>
    <n v="4.63"/>
    <n v="0.15"/>
    <n v="2389"/>
    <n v="10011.25"/>
    <n v="1"/>
    <x v="8"/>
  </r>
  <r>
    <n v="82781"/>
    <s v="SO-50270"/>
    <x v="769"/>
    <x v="6"/>
    <s v="ARV"/>
    <s v="Adult"/>
    <s v="SCMS from RDC"/>
    <x v="1"/>
    <s v="N/A - From RDC"/>
    <s v="Air"/>
    <m/>
    <d v="2015-02-27T00:00:00"/>
    <d v="2015-02-28T00:00:00"/>
    <d v="2015-03-05T00:00:00"/>
    <x v="39"/>
    <s v="Lamivudine/Tenofovir Disoproxil Fumarate"/>
    <s v="Generic"/>
    <s v="300/300mg"/>
    <s v="Tablet - FDC"/>
    <n v="30"/>
    <n v="912"/>
    <n v="4213.4399999999996"/>
    <n v="4.62"/>
    <n v="0.15"/>
    <n v="1744"/>
    <n v="10363.49"/>
    <n v="0"/>
    <x v="8"/>
  </r>
  <r>
    <n v="82782"/>
    <s v="SO-48810"/>
    <x v="770"/>
    <x v="1"/>
    <s v="ARV"/>
    <s v="Adult"/>
    <s v="SCMS from RDC"/>
    <x v="1"/>
    <s v="N/A - From RDC"/>
    <s v="Truck"/>
    <m/>
    <d v="2015-03-31T00:00:00"/>
    <d v="2015-03-24T00:00:00"/>
    <d v="2015-03-24T00:00:00"/>
    <x v="39"/>
    <s v="Lamivudine/Tenofovir Disoproxil Fumarate"/>
    <s v="Generic"/>
    <s v="300/300mg"/>
    <s v="Tablet - FDC"/>
    <n v="30"/>
    <n v="21868"/>
    <n v="100374.12"/>
    <n v="4.59"/>
    <n v="0.15"/>
    <n v="4326"/>
    <n v="9426.33"/>
    <n v="1"/>
    <x v="8"/>
  </r>
  <r>
    <n v="82783"/>
    <s v="SO-49940"/>
    <x v="771"/>
    <x v="1"/>
    <s v="ARV"/>
    <s v="Adult"/>
    <s v="SCMS from RDC"/>
    <x v="1"/>
    <s v="N/A - From RDC"/>
    <s v="Truck"/>
    <m/>
    <d v="2015-03-31T00:00:00"/>
    <d v="2015-03-24T00:00:00"/>
    <d v="2015-03-24T00:00:00"/>
    <x v="46"/>
    <s v="Efavirenz/Lamivudine/Tenofovir Disoproxil Fumarate"/>
    <s v="Generic"/>
    <s v="600/300/300mg"/>
    <s v="Tablet - FDC"/>
    <n v="30"/>
    <n v="5148"/>
    <n v="49420.800000000003"/>
    <n v="9.6"/>
    <n v="0.32"/>
    <n v="12079"/>
    <n v="16971.93"/>
    <n v="1"/>
    <x v="8"/>
  </r>
  <r>
    <n v="82784"/>
    <s v="SO-49940"/>
    <x v="771"/>
    <x v="1"/>
    <s v="ARV"/>
    <s v="Adult"/>
    <s v="SCMS from RDC"/>
    <x v="1"/>
    <s v="N/A - From RDC"/>
    <s v="Truck"/>
    <m/>
    <d v="2015-03-31T00:00:00"/>
    <d v="2015-03-24T00:00:00"/>
    <d v="2015-03-24T00:00:00"/>
    <x v="46"/>
    <s v="Efavirenz/Lamivudine/Tenofovir Disoproxil Fumarate"/>
    <s v="Generic"/>
    <s v="600/300/300mg"/>
    <s v="Tablet - FDC"/>
    <n v="30"/>
    <n v="81557"/>
    <n v="782947.2"/>
    <n v="9.6"/>
    <n v="0.32"/>
    <m/>
    <m/>
    <n v="1"/>
    <x v="8"/>
  </r>
  <r>
    <n v="82791"/>
    <s v="SO-50710"/>
    <x v="772"/>
    <x v="1"/>
    <s v="ARV"/>
    <s v="Adult"/>
    <s v="SCMS from RDC"/>
    <x v="1"/>
    <s v="N/A - From RDC"/>
    <s v="Truck"/>
    <m/>
    <d v="2015-04-30T00:00:00"/>
    <d v="2015-05-19T00:00:00"/>
    <d v="2015-05-25T00:00:00"/>
    <x v="62"/>
    <s v="Abacavir/Lamivudine"/>
    <s v="Generic"/>
    <s v="600/300mg"/>
    <s v="Tablet - FDC"/>
    <n v="30"/>
    <n v="50867"/>
    <n v="668901.05000000005"/>
    <n v="13.15"/>
    <n v="0.44"/>
    <n v="4749"/>
    <m/>
    <n v="0"/>
    <x v="8"/>
  </r>
  <r>
    <n v="82792"/>
    <s v="SO-50080"/>
    <x v="773"/>
    <x v="3"/>
    <s v="ARV"/>
    <s v="Pediatric"/>
    <s v="SCMS from RDC"/>
    <x v="1"/>
    <s v="N/A - From RDC"/>
    <s v="Truck"/>
    <m/>
    <d v="2015-04-30T00:00:00"/>
    <d v="2015-04-22T00:00:00"/>
    <d v="2015-04-24T00:00:00"/>
    <x v="42"/>
    <s v="Lamivudine/Zidovudine"/>
    <s v="Generic"/>
    <s v="30/60mg"/>
    <s v="Chewable/dispersible tablet - FDC"/>
    <n v="60"/>
    <n v="6000"/>
    <n v="11520"/>
    <n v="1.92"/>
    <n v="0.03"/>
    <n v="11732"/>
    <m/>
    <n v="1"/>
    <x v="8"/>
  </r>
  <r>
    <n v="82809"/>
    <s v="SO-50052"/>
    <x v="774"/>
    <x v="3"/>
    <s v="ARV"/>
    <s v="Adult"/>
    <s v="SCMS from RDC"/>
    <x v="1"/>
    <s v="N/A - From RDC"/>
    <s v="Truck"/>
    <m/>
    <d v="2015-07-31T00:00:00"/>
    <d v="2015-07-23T00:00:00"/>
    <d v="2015-07-23T00:00:00"/>
    <x v="0"/>
    <s v="Nevirapine"/>
    <s v="Generic"/>
    <s v="200mg"/>
    <s v="Tablet"/>
    <n v="60"/>
    <n v="9566"/>
    <n v="20853.88"/>
    <n v="2.1800000000000002"/>
    <n v="0.04"/>
    <m/>
    <m/>
    <n v="1"/>
    <x v="8"/>
  </r>
  <r>
    <n v="82810"/>
    <s v="SO-50052"/>
    <x v="774"/>
    <x v="3"/>
    <s v="ARV"/>
    <s v="Adult"/>
    <s v="SCMS from RDC"/>
    <x v="1"/>
    <s v="N/A - From RDC"/>
    <s v="Truck"/>
    <m/>
    <d v="2015-07-31T00:00:00"/>
    <d v="2015-07-23T00:00:00"/>
    <d v="2015-07-23T00:00:00"/>
    <x v="14"/>
    <s v="Lopinavir/Ritonavir"/>
    <s v="Aluvia"/>
    <s v="200/50mg"/>
    <s v="Tablet"/>
    <n v="120"/>
    <n v="27048"/>
    <n v="504174.72"/>
    <n v="18.64"/>
    <n v="0.16"/>
    <m/>
    <m/>
    <n v="1"/>
    <x v="8"/>
  </r>
  <r>
    <n v="82811"/>
    <s v="SO-50660"/>
    <x v="775"/>
    <x v="3"/>
    <s v="ARV"/>
    <s v="Adult"/>
    <s v="SCMS from RDC"/>
    <x v="1"/>
    <s v="N/A - From RDC"/>
    <s v="Truck"/>
    <m/>
    <d v="2015-07-31T00:00:00"/>
    <d v="2015-07-23T00:00:00"/>
    <d v="2015-07-23T00:00:00"/>
    <x v="1"/>
    <s v="Lamivudine/Zidovudine"/>
    <s v="Generic"/>
    <s v="150/300mg"/>
    <s v="Tablet - FDC"/>
    <n v="60"/>
    <n v="88327"/>
    <n v="575892.04"/>
    <n v="6.52"/>
    <n v="0.11"/>
    <m/>
    <m/>
    <n v="1"/>
    <x v="8"/>
  </r>
  <r>
    <n v="82815"/>
    <s v="SO-50055"/>
    <x v="776"/>
    <x v="3"/>
    <s v="ARV"/>
    <s v="Adult"/>
    <s v="SCMS from RDC"/>
    <x v="1"/>
    <s v="N/A - From RDC"/>
    <s v="Truck"/>
    <m/>
    <d v="2015-08-14T00:00:00"/>
    <d v="2015-08-08T00:00:00"/>
    <d v="2015-08-10T00:00:00"/>
    <x v="62"/>
    <s v="Abacavir/Lamivudine"/>
    <s v="Generic"/>
    <s v="600/300mg"/>
    <s v="Tablet - FDC"/>
    <n v="30"/>
    <n v="6324"/>
    <n v="82907.64"/>
    <n v="13.11"/>
    <n v="0.44"/>
    <m/>
    <m/>
    <n v="1"/>
    <x v="8"/>
  </r>
  <r>
    <n v="82820"/>
    <s v="SO-51740"/>
    <x v="777"/>
    <x v="1"/>
    <s v="ARV"/>
    <s v="Pediatric"/>
    <s v="SCMS from RDC"/>
    <x v="1"/>
    <s v="N/A - From RDC"/>
    <s v="Air"/>
    <m/>
    <d v="2015-09-08T00:00:00"/>
    <d v="2015-08-26T00:00:00"/>
    <d v="2015-09-02T00:00:00"/>
    <x v="57"/>
    <s v="Lamivudine/Nevirapine/Zidovudine"/>
    <s v="Generic"/>
    <s v="30/50/60mg"/>
    <s v="Chewable/dispersible tablet - FDC"/>
    <n v="60"/>
    <n v="2592"/>
    <n v="9201.6"/>
    <n v="3.55"/>
    <n v="0.06"/>
    <m/>
    <m/>
    <n v="1"/>
    <x v="8"/>
  </r>
  <r>
    <n v="82845"/>
    <s v="SO-33860"/>
    <x v="778"/>
    <x v="3"/>
    <s v="ARV"/>
    <s v="Adult"/>
    <s v="SCMS from RDC"/>
    <x v="1"/>
    <s v="N/A - From RDC"/>
    <s v="Air"/>
    <m/>
    <d v="2009-12-03T00:00:00"/>
    <d v="2009-11-30T00:00:00"/>
    <d v="2009-11-30T00:00:00"/>
    <x v="11"/>
    <s v="Lamivudine/Nevirapine/Zidovudine"/>
    <s v="Generic"/>
    <s v="150/300/200mg"/>
    <s v="Tablet - FDC"/>
    <n v="60"/>
    <n v="15584"/>
    <n v="174852.48000000001"/>
    <n v="11.22"/>
    <n v="0.19"/>
    <n v="6843"/>
    <n v="15170.33"/>
    <n v="1"/>
    <x v="3"/>
  </r>
  <r>
    <n v="82846"/>
    <s v="SO-34270"/>
    <x v="779"/>
    <x v="3"/>
    <s v="ARV"/>
    <s v="Adult"/>
    <s v="SCMS from RDC"/>
    <x v="1"/>
    <s v="N/A - From RDC"/>
    <s v="Air"/>
    <m/>
    <d v="2009-12-07T00:00:00"/>
    <d v="2009-11-30T00:00:00"/>
    <d v="2009-11-30T00:00:00"/>
    <x v="8"/>
    <s v="Efavirenz"/>
    <s v="Generic"/>
    <s v="600mg"/>
    <s v="Tablet"/>
    <n v="30"/>
    <n v="4700"/>
    <n v="27166"/>
    <n v="5.78"/>
    <n v="0.19"/>
    <n v="680"/>
    <n v="3335.33"/>
    <n v="1"/>
    <x v="3"/>
  </r>
  <r>
    <n v="82864"/>
    <s v="SO-35460"/>
    <x v="780"/>
    <x v="2"/>
    <s v="ARV"/>
    <s v="Adult"/>
    <s v="SCMS from RDC"/>
    <x v="1"/>
    <s v="N/A - From RDC"/>
    <s v="Air"/>
    <m/>
    <d v="2010-03-03T00:00:00"/>
    <d v="2010-03-05T00:00:00"/>
    <d v="2010-03-05T00:00:00"/>
    <x v="1"/>
    <s v="Lamivudine/Zidovudine"/>
    <s v="Generic"/>
    <s v="150/300mg"/>
    <s v="Tablet - FDC"/>
    <n v="60"/>
    <n v="20000"/>
    <n v="175200"/>
    <n v="8.76"/>
    <n v="0.15"/>
    <n v="1804"/>
    <n v="6321.99"/>
    <n v="0"/>
    <x v="4"/>
  </r>
  <r>
    <n v="82865"/>
    <s v="SO-35880"/>
    <x v="781"/>
    <x v="3"/>
    <s v="ARV"/>
    <s v="Adult"/>
    <s v="SCMS from RDC"/>
    <x v="1"/>
    <s v="N/A - From RDC"/>
    <s v="Air"/>
    <m/>
    <d v="2010-04-01T00:00:00"/>
    <d v="2010-03-15T00:00:00"/>
    <d v="2010-03-15T00:00:00"/>
    <x v="31"/>
    <s v="Lamivudine/Stavudine"/>
    <s v="Generic"/>
    <s v="150/30mg"/>
    <s v="Tablet - FDC"/>
    <n v="60"/>
    <n v="120"/>
    <n v="408"/>
    <n v="3.4"/>
    <n v="0.06"/>
    <n v="6"/>
    <n v="484.56"/>
    <n v="1"/>
    <x v="4"/>
  </r>
  <r>
    <n v="82869"/>
    <s v="SO-34870"/>
    <x v="782"/>
    <x v="3"/>
    <s v="ARV"/>
    <s v="Adult"/>
    <s v="SCMS from RDC"/>
    <x v="1"/>
    <s v="N/A - From RDC"/>
    <s v="Air"/>
    <m/>
    <d v="2010-03-31T00:00:00"/>
    <d v="2010-03-19T00:00:00"/>
    <d v="2010-03-19T00:00:00"/>
    <x v="8"/>
    <s v="Efavirenz"/>
    <s v="Generic"/>
    <s v="600mg"/>
    <s v="Tablet"/>
    <n v="30"/>
    <n v="1000"/>
    <n v="5130"/>
    <n v="5.13"/>
    <n v="0.17"/>
    <n v="95"/>
    <n v="3549.77"/>
    <n v="1"/>
    <x v="4"/>
  </r>
  <r>
    <n v="82874"/>
    <s v="SO-35620"/>
    <x v="783"/>
    <x v="3"/>
    <s v="ARV"/>
    <s v="Adult"/>
    <s v="SCMS from RDC"/>
    <x v="1"/>
    <s v="N/A - From RDC"/>
    <s v="Truck"/>
    <m/>
    <d v="2010-04-01T00:00:00"/>
    <d v="2010-03-25T00:00:00"/>
    <d v="2010-03-25T00:00:00"/>
    <x v="11"/>
    <s v="Lamivudine/Nevirapine/Zidovudine"/>
    <s v="Generic"/>
    <s v="150/300/200mg"/>
    <s v="Tablet - FDC"/>
    <n v="60"/>
    <n v="45116"/>
    <n v="506201.52"/>
    <n v="11.22"/>
    <n v="0.19"/>
    <n v="5285"/>
    <n v="11065"/>
    <n v="1"/>
    <x v="4"/>
  </r>
  <r>
    <n v="82876"/>
    <s v="SO-36100"/>
    <x v="784"/>
    <x v="3"/>
    <s v="ARV"/>
    <s v="Adult"/>
    <s v="SCMS from RDC"/>
    <x v="1"/>
    <s v="N/A - From RDC"/>
    <s v="Air"/>
    <m/>
    <d v="2010-05-26T00:00:00"/>
    <d v="2010-04-08T00:00:00"/>
    <d v="2010-04-08T00:00:00"/>
    <x v="31"/>
    <s v="Lamivudine/Stavudine"/>
    <s v="Generic"/>
    <s v="150/30mg"/>
    <s v="Tablet - FDC"/>
    <n v="60"/>
    <n v="75"/>
    <n v="255"/>
    <n v="3.4"/>
    <n v="0.06"/>
    <n v="10"/>
    <n v="1865.86"/>
    <n v="1"/>
    <x v="4"/>
  </r>
  <r>
    <n v="82877"/>
    <s v="SO-36080"/>
    <x v="785"/>
    <x v="3"/>
    <s v="ARV"/>
    <s v="Adult"/>
    <s v="SCMS from RDC"/>
    <x v="1"/>
    <s v="N/A - From RDC"/>
    <s v="Air"/>
    <m/>
    <d v="2010-05-26T00:00:00"/>
    <d v="2010-04-12T00:00:00"/>
    <d v="2010-04-12T00:00:00"/>
    <x v="0"/>
    <s v="Nevirapine"/>
    <s v="Generic"/>
    <s v="200mg"/>
    <s v="Tablet"/>
    <n v="60"/>
    <n v="5000"/>
    <n v="13650"/>
    <n v="2.73"/>
    <n v="0.05"/>
    <n v="861"/>
    <n v="7383.9"/>
    <n v="1"/>
    <x v="4"/>
  </r>
  <r>
    <n v="82878"/>
    <s v="SO-36170"/>
    <x v="786"/>
    <x v="3"/>
    <s v="ARV"/>
    <s v="Adult"/>
    <s v="SCMS from RDC"/>
    <x v="1"/>
    <s v="N/A - From RDC"/>
    <s v="Air"/>
    <m/>
    <d v="2010-05-26T00:00:00"/>
    <d v="2010-04-12T00:00:00"/>
    <d v="2010-04-12T00:00:00"/>
    <x v="8"/>
    <s v="Efavirenz"/>
    <s v="Generic"/>
    <s v="600mg"/>
    <s v="Tablet"/>
    <n v="30"/>
    <n v="2000"/>
    <n v="10260"/>
    <n v="5.13"/>
    <n v="0.17"/>
    <n v="563"/>
    <n v="1524.56"/>
    <n v="1"/>
    <x v="4"/>
  </r>
  <r>
    <n v="82879"/>
    <s v="SO-36170"/>
    <x v="786"/>
    <x v="3"/>
    <s v="ARV"/>
    <s v="Adult"/>
    <s v="SCMS from RDC"/>
    <x v="1"/>
    <s v="N/A - From RDC"/>
    <s v="Air"/>
    <m/>
    <d v="2010-05-26T00:00:00"/>
    <d v="2010-04-12T00:00:00"/>
    <d v="2010-04-12T00:00:00"/>
    <x v="0"/>
    <s v="Nevirapine"/>
    <s v="Generic"/>
    <s v="200mg"/>
    <s v="Tablet"/>
    <n v="60"/>
    <n v="4200"/>
    <n v="11466"/>
    <n v="2.73"/>
    <n v="0.05"/>
    <m/>
    <m/>
    <n v="1"/>
    <x v="4"/>
  </r>
  <r>
    <n v="82882"/>
    <s v="SO-36060"/>
    <x v="787"/>
    <x v="3"/>
    <s v="ARV"/>
    <s v="Adult"/>
    <s v="SCMS from RDC"/>
    <x v="1"/>
    <s v="N/A - From RDC"/>
    <s v="Air"/>
    <m/>
    <d v="2010-06-02T00:00:00"/>
    <d v="2010-05-03T00:00:00"/>
    <d v="2010-05-03T00:00:00"/>
    <x v="1"/>
    <s v="Lamivudine/Zidovudine"/>
    <s v="Generic"/>
    <s v="150/300mg"/>
    <s v="Tablet - FDC"/>
    <n v="60"/>
    <n v="4000"/>
    <n v="35040"/>
    <n v="8.76"/>
    <n v="0.15"/>
    <n v="263"/>
    <n v="2458.2600000000002"/>
    <n v="1"/>
    <x v="4"/>
  </r>
  <r>
    <n v="82888"/>
    <s v="SO-36710"/>
    <x v="788"/>
    <x v="2"/>
    <s v="ARV"/>
    <s v="Adult"/>
    <s v="SCMS from RDC"/>
    <x v="1"/>
    <s v="N/A - From RDC"/>
    <s v="Air"/>
    <m/>
    <d v="2010-06-15T00:00:00"/>
    <d v="2010-06-01T00:00:00"/>
    <d v="2010-06-01T00:00:00"/>
    <x v="9"/>
    <s v="Abacavir"/>
    <s v="Generic"/>
    <s v="300mg"/>
    <s v="Tablet"/>
    <n v="60"/>
    <n v="4000"/>
    <n v="68560"/>
    <n v="17.14"/>
    <n v="0.28999999999999998"/>
    <n v="400"/>
    <n v="961.46"/>
    <n v="1"/>
    <x v="4"/>
  </r>
  <r>
    <n v="82891"/>
    <s v="SO-36130"/>
    <x v="789"/>
    <x v="3"/>
    <s v="ARV"/>
    <s v="Adult"/>
    <s v="SCMS from RDC"/>
    <x v="1"/>
    <s v="N/A - From RDC"/>
    <s v="Air"/>
    <m/>
    <d v="2010-06-30T00:00:00"/>
    <d v="2010-06-22T00:00:00"/>
    <d v="2010-06-22T00:00:00"/>
    <x v="11"/>
    <s v="Lamivudine/Nevirapine/Zidovudine"/>
    <s v="Generic"/>
    <s v="150/300/200mg"/>
    <s v="Tablet - FDC"/>
    <n v="60"/>
    <n v="5000"/>
    <n v="56000"/>
    <n v="11.2"/>
    <n v="0.19"/>
    <n v="690"/>
    <n v="5410.32"/>
    <n v="1"/>
    <x v="4"/>
  </r>
  <r>
    <n v="82892"/>
    <s v="SO-36690"/>
    <x v="790"/>
    <x v="2"/>
    <s v="ARV"/>
    <s v="Adult"/>
    <s v="SCMS from RDC"/>
    <x v="1"/>
    <s v="N/A - From RDC"/>
    <s v="Air"/>
    <m/>
    <d v="2010-06-21T00:00:00"/>
    <d v="2010-06-01T00:00:00"/>
    <d v="2010-06-01T00:00:00"/>
    <x v="16"/>
    <s v="Lamivudine"/>
    <s v="Generic"/>
    <s v="150mg"/>
    <s v="Tablet"/>
    <n v="60"/>
    <n v="69"/>
    <n v="168.36"/>
    <n v="2.44"/>
    <n v="0.04"/>
    <n v="77"/>
    <n v="961.46"/>
    <n v="1"/>
    <x v="4"/>
  </r>
  <r>
    <n v="82907"/>
    <s v="SO-37102"/>
    <x v="791"/>
    <x v="2"/>
    <s v="ARV"/>
    <s v="Adult"/>
    <s v="SCMS from RDC"/>
    <x v="1"/>
    <s v="N/A - From RDC"/>
    <s v="Air"/>
    <m/>
    <d v="2010-09-21T00:00:00"/>
    <d v="2010-07-14T00:00:00"/>
    <d v="2010-07-14T00:00:00"/>
    <x v="13"/>
    <s v="Lamivudine/Nevirapine/Stavudine"/>
    <s v="Generic"/>
    <s v="150/200/30mg"/>
    <s v="Tablet - FDC"/>
    <n v="60"/>
    <n v="561"/>
    <n v="3214.53"/>
    <n v="5.73"/>
    <n v="0.1"/>
    <n v="341"/>
    <n v="114.22"/>
    <n v="1"/>
    <x v="4"/>
  </r>
  <r>
    <n v="82912"/>
    <s v="SO-36831"/>
    <x v="792"/>
    <x v="3"/>
    <s v="ARV"/>
    <s v="Adult"/>
    <s v="SCMS from RDC"/>
    <x v="1"/>
    <s v="N/A - From RDC"/>
    <s v="Air"/>
    <m/>
    <d v="2010-08-30T00:00:00"/>
    <d v="2010-08-23T00:00:00"/>
    <d v="2010-08-23T00:00:00"/>
    <x v="11"/>
    <s v="Lamivudine/Nevirapine/Zidovudine"/>
    <s v="Generic"/>
    <s v="150/300/200mg"/>
    <s v="Tablet - FDC"/>
    <n v="60"/>
    <n v="16347"/>
    <n v="183413.34"/>
    <n v="11.22"/>
    <n v="0.19"/>
    <n v="2098"/>
    <n v="10620"/>
    <n v="1"/>
    <x v="4"/>
  </r>
  <r>
    <n v="82914"/>
    <s v="SO-37250"/>
    <x v="793"/>
    <x v="3"/>
    <s v="ARV"/>
    <s v="Adult"/>
    <s v="SCMS from RDC"/>
    <x v="1"/>
    <s v="N/A - From RDC"/>
    <s v="Air"/>
    <m/>
    <d v="2010-10-29T00:00:00"/>
    <d v="2010-09-27T00:00:00"/>
    <d v="2010-09-27T00:00:00"/>
    <x v="8"/>
    <s v="Efavirenz"/>
    <s v="Generic"/>
    <s v="600mg"/>
    <s v="Tablet"/>
    <n v="30"/>
    <n v="60342"/>
    <n v="268521.90000000002"/>
    <n v="4.45"/>
    <n v="0.15"/>
    <n v="20269"/>
    <n v="132890.26999999999"/>
    <n v="1"/>
    <x v="4"/>
  </r>
  <r>
    <n v="82920"/>
    <s v="SO-37310"/>
    <x v="794"/>
    <x v="0"/>
    <s v="ARV"/>
    <s v="Adult"/>
    <s v="SCMS from RDC"/>
    <x v="1"/>
    <s v="N/A - From RDC"/>
    <s v="Truck"/>
    <m/>
    <d v="2010-10-29T00:00:00"/>
    <d v="2010-10-29T00:00:00"/>
    <d v="2010-10-29T00:00:00"/>
    <x v="8"/>
    <s v="Efavirenz"/>
    <s v="Generic"/>
    <s v="600mg"/>
    <s v="Tablet"/>
    <n v="30"/>
    <n v="90000"/>
    <n v="400500"/>
    <n v="4.45"/>
    <n v="0.15"/>
    <n v="7397"/>
    <n v="28022.17"/>
    <n v="1"/>
    <x v="4"/>
  </r>
  <r>
    <n v="82926"/>
    <s v="SO-37620"/>
    <x v="795"/>
    <x v="2"/>
    <s v="ARV"/>
    <s v="Adult"/>
    <s v="SCMS from RDC"/>
    <x v="1"/>
    <s v="N/A - From RDC"/>
    <s v="Air"/>
    <m/>
    <d v="2010-11-19T00:00:00"/>
    <d v="2010-11-08T00:00:00"/>
    <d v="2010-11-08T00:00:00"/>
    <x v="9"/>
    <s v="Abacavir"/>
    <s v="Generic"/>
    <s v="300mg"/>
    <s v="Tablet"/>
    <n v="60"/>
    <n v="3000"/>
    <n v="49320"/>
    <n v="16.440000000000001"/>
    <n v="0.27"/>
    <n v="342"/>
    <n v="1419.84"/>
    <n v="1"/>
    <x v="4"/>
  </r>
  <r>
    <n v="82928"/>
    <s v="SO-37570"/>
    <x v="796"/>
    <x v="3"/>
    <s v="ARV"/>
    <s v="Adult"/>
    <s v="SCMS from RDC"/>
    <x v="1"/>
    <s v="N/A - From RDC"/>
    <s v="Truck"/>
    <m/>
    <d v="2010-12-27T00:00:00"/>
    <d v="2010-12-02T00:00:00"/>
    <d v="2010-12-02T00:00:00"/>
    <x v="1"/>
    <s v="Lamivudine/Zidovudine"/>
    <s v="Generic"/>
    <s v="150/300mg"/>
    <s v="Tablet - FDC"/>
    <n v="60"/>
    <n v="62753"/>
    <n v="536538.15"/>
    <n v="8.5500000000000007"/>
    <n v="0.14000000000000001"/>
    <n v="5090"/>
    <n v="35284.86"/>
    <n v="1"/>
    <x v="4"/>
  </r>
  <r>
    <n v="82929"/>
    <s v="SO-37160"/>
    <x v="797"/>
    <x v="2"/>
    <s v="ARV"/>
    <s v="Adult"/>
    <s v="SCMS from RDC"/>
    <x v="1"/>
    <s v="N/A - From RDC"/>
    <s v="Air"/>
    <m/>
    <d v="2010-12-08T00:00:00"/>
    <d v="2010-12-09T00:00:00"/>
    <d v="2010-12-09T00:00:00"/>
    <x v="47"/>
    <s v="Lopinavir/Ritonavir"/>
    <s v="Generic"/>
    <s v="200/50mg"/>
    <s v="Tablet"/>
    <n v="120"/>
    <n v="3900"/>
    <n v="140400"/>
    <n v="36"/>
    <n v="0.3"/>
    <n v="950"/>
    <n v="1842.95"/>
    <n v="0"/>
    <x v="4"/>
  </r>
  <r>
    <n v="82936"/>
    <s v="SO-37540"/>
    <x v="798"/>
    <x v="3"/>
    <s v="ARV"/>
    <s v="Adult"/>
    <s v="SCMS from RDC"/>
    <x v="1"/>
    <s v="N/A - From RDC"/>
    <s v="Truck"/>
    <m/>
    <d v="2011-02-22T00:00:00"/>
    <d v="2011-02-28T00:00:00"/>
    <d v="2011-02-28T00:00:00"/>
    <x v="8"/>
    <s v="Efavirenz"/>
    <s v="Generic"/>
    <s v="600mg"/>
    <s v="Tablet"/>
    <n v="30"/>
    <n v="52231"/>
    <n v="226682.54"/>
    <n v="4.34"/>
    <n v="0.14000000000000001"/>
    <n v="4447"/>
    <n v="17711.71"/>
    <n v="0"/>
    <x v="9"/>
  </r>
  <r>
    <n v="82943"/>
    <s v="SO-38930"/>
    <x v="799"/>
    <x v="1"/>
    <s v="ARV"/>
    <s v="Pediatric"/>
    <s v="SCMS from RDC"/>
    <x v="1"/>
    <s v="N/A - From RDC"/>
    <s v="Air"/>
    <m/>
    <d v="2011-03-18T00:00:00"/>
    <d v="2011-03-13T00:00:00"/>
    <d v="2011-03-13T00:00:00"/>
    <x v="72"/>
    <s v="Abacavir"/>
    <s v="Generic"/>
    <s v="20mg/ml"/>
    <s v="Oral solution"/>
    <n v="240"/>
    <n v="1965"/>
    <n v="26920.5"/>
    <n v="13.7"/>
    <n v="0.06"/>
    <n v="724"/>
    <n v="4520.04"/>
    <n v="1"/>
    <x v="9"/>
  </r>
  <r>
    <n v="82947"/>
    <s v="SO-38410"/>
    <x v="800"/>
    <x v="2"/>
    <s v="ARV"/>
    <s v="Adult"/>
    <s v="SCMS from RDC"/>
    <x v="1"/>
    <s v="N/A - From RDC"/>
    <s v="Air"/>
    <m/>
    <d v="2011-05-10T00:00:00"/>
    <d v="2011-05-18T00:00:00"/>
    <d v="2011-05-18T00:00:00"/>
    <x v="48"/>
    <s v="Didanosine"/>
    <s v="Generic"/>
    <s v="250mg"/>
    <s v="Delayed-release capsules"/>
    <n v="30"/>
    <n v="6872"/>
    <n v="89336"/>
    <n v="13"/>
    <n v="0.43"/>
    <n v="577"/>
    <n v="2143.5"/>
    <n v="0"/>
    <x v="9"/>
  </r>
  <r>
    <n v="82948"/>
    <s v="SO-38410"/>
    <x v="800"/>
    <x v="2"/>
    <s v="ARV"/>
    <s v="Adult"/>
    <s v="SCMS from RDC"/>
    <x v="1"/>
    <s v="N/A - From RDC"/>
    <s v="Air"/>
    <m/>
    <d v="2011-05-10T00:00:00"/>
    <d v="2011-05-18T00:00:00"/>
    <d v="2011-05-18T00:00:00"/>
    <x v="49"/>
    <s v="Didanosine"/>
    <s v="Generic"/>
    <s v="400mg"/>
    <s v="Delayed-release capsules"/>
    <n v="30"/>
    <n v="1237"/>
    <n v="24740"/>
    <n v="20"/>
    <n v="0.67"/>
    <m/>
    <m/>
    <n v="0"/>
    <x v="9"/>
  </r>
  <r>
    <n v="82964"/>
    <s v="SO-40140"/>
    <x v="801"/>
    <x v="3"/>
    <s v="ARV"/>
    <s v="Adult"/>
    <s v="SCMS from RDC"/>
    <x v="1"/>
    <s v="N/A - From RDC"/>
    <s v="Truck"/>
    <m/>
    <d v="2011-09-05T00:00:00"/>
    <d v="2011-07-14T00:00:00"/>
    <d v="2011-07-14T00:00:00"/>
    <x v="11"/>
    <s v="Lamivudine/Nevirapine/Zidovudine"/>
    <s v="Generic"/>
    <s v="150/300/200mg"/>
    <s v="Tablet - FDC"/>
    <n v="60"/>
    <n v="20833"/>
    <n v="233746.26"/>
    <n v="11.22"/>
    <n v="0.19"/>
    <n v="2757"/>
    <n v="18317.11"/>
    <n v="1"/>
    <x v="9"/>
  </r>
  <r>
    <n v="82976"/>
    <s v="SO-38800"/>
    <x v="802"/>
    <x v="3"/>
    <s v="ARV"/>
    <s v="Adult"/>
    <s v="SCMS from RDC"/>
    <x v="1"/>
    <s v="N/A - From RDC"/>
    <s v="Truck"/>
    <m/>
    <d v="2011-08-05T00:00:00"/>
    <d v="2011-08-24T00:00:00"/>
    <d v="2011-08-24T00:00:00"/>
    <x v="8"/>
    <s v="Efavirenz"/>
    <s v="Generic"/>
    <s v="600mg"/>
    <s v="Tablet"/>
    <n v="30"/>
    <n v="47312"/>
    <n v="199656.64"/>
    <n v="4.22"/>
    <n v="0.14000000000000001"/>
    <n v="20230"/>
    <n v="79938.080000000002"/>
    <n v="0"/>
    <x v="9"/>
  </r>
  <r>
    <n v="82990"/>
    <s v="SO-40960"/>
    <x v="803"/>
    <x v="1"/>
    <s v="ARV"/>
    <s v="Pediatric"/>
    <s v="SCMS from RDC"/>
    <x v="1"/>
    <s v="N/A - From RDC"/>
    <s v="Air"/>
    <m/>
    <d v="2011-11-24T00:00:00"/>
    <d v="2011-11-11T00:00:00"/>
    <d v="2011-11-11T00:00:00"/>
    <x v="41"/>
    <s v="Efavirenz"/>
    <s v="Generic"/>
    <s v="50mg"/>
    <s v="Capsule"/>
    <n v="30"/>
    <n v="500"/>
    <n v="1120"/>
    <n v="2.2400000000000002"/>
    <n v="7.0000000000000007E-2"/>
    <n v="30"/>
    <n v="1309.03"/>
    <n v="1"/>
    <x v="9"/>
  </r>
  <r>
    <n v="82991"/>
    <s v="SO-41040"/>
    <x v="804"/>
    <x v="1"/>
    <s v="ARV"/>
    <s v="Pediatric"/>
    <s v="SCMS from RDC"/>
    <x v="1"/>
    <s v="N/A - From RDC"/>
    <s v="Air"/>
    <m/>
    <d v="2011-12-05T00:00:00"/>
    <d v="2011-12-02T00:00:00"/>
    <d v="2011-12-02T00:00:00"/>
    <x v="41"/>
    <s v="Efavirenz"/>
    <s v="Generic"/>
    <s v="50mg"/>
    <s v="Capsule"/>
    <n v="30"/>
    <n v="700"/>
    <n v="1568"/>
    <n v="2.2400000000000002"/>
    <n v="7.0000000000000007E-2"/>
    <n v="46"/>
    <n v="1274.98"/>
    <n v="1"/>
    <x v="9"/>
  </r>
  <r>
    <n v="82994"/>
    <s v="SO-40941"/>
    <x v="805"/>
    <x v="3"/>
    <s v="ARV"/>
    <s v="Adult"/>
    <s v="SCMS from RDC"/>
    <x v="1"/>
    <s v="N/A - From RDC"/>
    <s v="Truck"/>
    <m/>
    <d v="2012-01-31T00:00:00"/>
    <d v="2012-01-19T00:00:00"/>
    <d v="2012-01-19T00:00:00"/>
    <x v="1"/>
    <s v="Lamivudine/Zidovudine"/>
    <s v="Generic"/>
    <s v="150/300mg"/>
    <s v="Tablet - FDC"/>
    <n v="60"/>
    <n v="4226"/>
    <n v="34906.76"/>
    <n v="8.26"/>
    <n v="0.14000000000000001"/>
    <n v="8"/>
    <n v="10891.66"/>
    <n v="1"/>
    <x v="5"/>
  </r>
  <r>
    <n v="82995"/>
    <s v="SO-40941"/>
    <x v="805"/>
    <x v="3"/>
    <s v="ARV"/>
    <s v="Adult"/>
    <s v="SCMS from RDC"/>
    <x v="1"/>
    <s v="N/A - From RDC"/>
    <s v="Truck"/>
    <m/>
    <d v="2012-01-31T00:00:00"/>
    <d v="2012-01-19T00:00:00"/>
    <d v="2012-01-19T00:00:00"/>
    <x v="45"/>
    <s v="Efavirenz/Emtricitabine/Tenofovir Disoproxil Fumarate"/>
    <s v="Generic"/>
    <s v="600/200/300mg"/>
    <s v="Tablet - FDC"/>
    <n v="30"/>
    <n v="8665"/>
    <n v="172606.8"/>
    <n v="19.920000000000002"/>
    <n v="0.66"/>
    <m/>
    <m/>
    <n v="1"/>
    <x v="5"/>
  </r>
  <r>
    <n v="82996"/>
    <s v="SO-40941"/>
    <x v="805"/>
    <x v="3"/>
    <s v="ARV"/>
    <s v="Adult"/>
    <s v="SCMS from RDC"/>
    <x v="1"/>
    <s v="N/A - From RDC"/>
    <s v="Truck"/>
    <m/>
    <d v="2012-01-31T00:00:00"/>
    <d v="2012-01-19T00:00:00"/>
    <d v="2012-01-19T00:00:00"/>
    <x v="8"/>
    <s v="Efavirenz"/>
    <s v="Generic"/>
    <s v="600mg"/>
    <s v="Tablet"/>
    <n v="30"/>
    <n v="15155"/>
    <n v="62438.6"/>
    <n v="4.12"/>
    <n v="0.14000000000000001"/>
    <m/>
    <m/>
    <n v="1"/>
    <x v="5"/>
  </r>
  <r>
    <n v="82997"/>
    <s v="SO-40551"/>
    <x v="806"/>
    <x v="0"/>
    <s v="ARV"/>
    <s v="Adult"/>
    <s v="SCMS from RDC"/>
    <x v="1"/>
    <s v="N/A - From RDC"/>
    <s v="Truck"/>
    <m/>
    <d v="2012-02-15T00:00:00"/>
    <d v="2012-02-05T00:00:00"/>
    <d v="2012-02-05T00:00:00"/>
    <x v="46"/>
    <s v="Efavirenz/Lamivudine/Tenofovir Disoproxil Fumarate"/>
    <s v="Generic"/>
    <s v="600/300/300mg"/>
    <s v="Tablet - FDC"/>
    <n v="30"/>
    <n v="51763"/>
    <n v="884112.04"/>
    <n v="17.079999999999998"/>
    <n v="0.56999999999999995"/>
    <n v="1645"/>
    <m/>
    <n v="1"/>
    <x v="5"/>
  </r>
  <r>
    <n v="83012"/>
    <s v="SO-40510"/>
    <x v="807"/>
    <x v="0"/>
    <s v="ARV"/>
    <s v="Pediatric"/>
    <s v="SCMS from RDC"/>
    <x v="1"/>
    <s v="N/A - From RDC"/>
    <s v="Truck"/>
    <m/>
    <d v="2012-03-30T00:00:00"/>
    <d v="2012-03-12T00:00:00"/>
    <d v="2012-03-12T00:00:00"/>
    <x v="41"/>
    <s v="Efavirenz"/>
    <s v="Generic"/>
    <s v="50mg"/>
    <s v="Capsule"/>
    <n v="30"/>
    <n v="24747"/>
    <n v="55433.279999999999"/>
    <n v="2.2400000000000002"/>
    <n v="7.0000000000000007E-2"/>
    <n v="1437"/>
    <n v="1698.83"/>
    <n v="1"/>
    <x v="5"/>
  </r>
  <r>
    <n v="83013"/>
    <s v="SO-40642"/>
    <x v="808"/>
    <x v="0"/>
    <s v="ARV"/>
    <s v="Adult"/>
    <s v="SCMS from RDC"/>
    <x v="1"/>
    <s v="N/A - From RDC"/>
    <s v="Truck"/>
    <m/>
    <d v="2012-03-23T00:00:00"/>
    <d v="2012-03-12T00:00:00"/>
    <d v="2012-03-12T00:00:00"/>
    <x v="14"/>
    <s v="Lopinavir/Ritonavir"/>
    <s v="Aluvia"/>
    <s v="200/50mg"/>
    <s v="Tablet"/>
    <n v="120"/>
    <n v="17030"/>
    <n v="574592.19999999995"/>
    <n v="33.74"/>
    <n v="0.28000000000000003"/>
    <n v="3508"/>
    <n v="1698.83"/>
    <n v="1"/>
    <x v="5"/>
  </r>
  <r>
    <n v="83014"/>
    <s v="SO-40640"/>
    <x v="809"/>
    <x v="0"/>
    <s v="ARV"/>
    <s v="Adult"/>
    <s v="SCMS from RDC"/>
    <x v="1"/>
    <s v="N/A - From RDC"/>
    <s v="Truck"/>
    <m/>
    <d v="2012-03-23T00:00:00"/>
    <d v="2012-03-12T00:00:00"/>
    <d v="2012-03-12T00:00:00"/>
    <x v="47"/>
    <s v="Lopinavir/Ritonavir"/>
    <s v="Generic"/>
    <s v="200/50mg"/>
    <s v="Tablet"/>
    <n v="120"/>
    <n v="3679"/>
    <n v="123614.39999999999"/>
    <n v="33.6"/>
    <n v="0.28000000000000003"/>
    <n v="932"/>
    <n v="1698.83"/>
    <n v="1"/>
    <x v="5"/>
  </r>
  <r>
    <n v="83017"/>
    <s v="SO-40614"/>
    <x v="810"/>
    <x v="0"/>
    <s v="ARV"/>
    <s v="Adult"/>
    <s v="SCMS from RDC"/>
    <x v="1"/>
    <s v="N/A - From RDC"/>
    <s v="Truck"/>
    <m/>
    <d v="2012-05-04T00:00:00"/>
    <d v="2012-03-13T00:00:00"/>
    <d v="2012-03-13T00:00:00"/>
    <x v="16"/>
    <s v="Lamivudine"/>
    <s v="Generic"/>
    <s v="150mg"/>
    <s v="Tablet"/>
    <n v="60"/>
    <n v="96018"/>
    <n v="223721.94"/>
    <n v="2.33"/>
    <n v="0.04"/>
    <n v="4271"/>
    <n v="3825.8"/>
    <n v="1"/>
    <x v="5"/>
  </r>
  <r>
    <n v="83020"/>
    <s v="SO-40631"/>
    <x v="811"/>
    <x v="0"/>
    <s v="ARV"/>
    <s v="Adult"/>
    <s v="SCMS from RDC"/>
    <x v="1"/>
    <s v="N/A - From RDC"/>
    <s v="Truck"/>
    <m/>
    <d v="2012-04-30T00:00:00"/>
    <d v="2012-04-11T00:00:00"/>
    <d v="2012-04-11T00:00:00"/>
    <x v="45"/>
    <s v="Efavirenz/Emtricitabine/Tenofovir Disoproxil Fumarate"/>
    <s v="Generic"/>
    <s v="600/200/300mg"/>
    <s v="Tablet - FDC"/>
    <n v="30"/>
    <n v="131280"/>
    <n v="2196314.4"/>
    <n v="16.73"/>
    <n v="0.56000000000000005"/>
    <n v="15032"/>
    <n v="3279.25"/>
    <n v="1"/>
    <x v="5"/>
  </r>
  <r>
    <n v="83021"/>
    <s v="SO-41530"/>
    <x v="812"/>
    <x v="6"/>
    <s v="ARV"/>
    <s v="Pediatric"/>
    <s v="SCMS from RDC"/>
    <x v="1"/>
    <s v="N/A - From RDC"/>
    <s v="Air"/>
    <m/>
    <d v="2012-04-26T00:00:00"/>
    <d v="2012-05-04T00:00:00"/>
    <d v="2012-05-04T00:00:00"/>
    <x v="73"/>
    <s v="Lamivudine/Zidovudine"/>
    <s v="Generic"/>
    <s v="30/60mg"/>
    <s v="Tablet - FDC"/>
    <n v="60"/>
    <n v="15"/>
    <n v="44.85"/>
    <n v="2.99"/>
    <n v="0.05"/>
    <n v="5256"/>
    <n v="9506"/>
    <n v="0"/>
    <x v="5"/>
  </r>
  <r>
    <n v="83023"/>
    <s v="SO-41630"/>
    <x v="813"/>
    <x v="3"/>
    <s v="ARV"/>
    <s v="Adult"/>
    <s v="SCMS from RDC"/>
    <x v="1"/>
    <s v="N/A - From RDC"/>
    <s v="Air"/>
    <m/>
    <d v="2012-05-03T00:00:00"/>
    <d v="2012-03-27T00:00:00"/>
    <d v="2012-03-27T00:00:00"/>
    <x v="0"/>
    <s v="Nevirapine"/>
    <s v="Generic"/>
    <s v="200mg"/>
    <s v="Tablet"/>
    <n v="60"/>
    <n v="5924"/>
    <n v="14869.24"/>
    <n v="2.5099999999999998"/>
    <n v="0.04"/>
    <n v="1421"/>
    <n v="4322.6000000000004"/>
    <n v="1"/>
    <x v="5"/>
  </r>
  <r>
    <n v="83038"/>
    <s v="SO-42050"/>
    <x v="814"/>
    <x v="3"/>
    <s v="ARV"/>
    <s v="Adult"/>
    <s v="SCMS from RDC"/>
    <x v="1"/>
    <s v="N/A - From RDC"/>
    <s v="Air"/>
    <m/>
    <d v="2012-07-04T00:00:00"/>
    <d v="2012-06-12T00:00:00"/>
    <d v="2012-06-12T00:00:00"/>
    <x v="8"/>
    <s v="Efavirenz"/>
    <s v="Generic"/>
    <s v="600mg"/>
    <s v="Tablet"/>
    <n v="30"/>
    <n v="20000"/>
    <n v="78200"/>
    <n v="3.91"/>
    <n v="0.13"/>
    <n v="2501"/>
    <n v="18520.22"/>
    <n v="1"/>
    <x v="5"/>
  </r>
  <r>
    <n v="83039"/>
    <s v="SO-42080"/>
    <x v="815"/>
    <x v="3"/>
    <s v="ARV"/>
    <s v="Adult"/>
    <s v="SCMS from RDC"/>
    <x v="1"/>
    <s v="N/A - From RDC"/>
    <s v="Truck"/>
    <m/>
    <d v="2012-08-17T00:00:00"/>
    <d v="2012-06-08T00:00:00"/>
    <d v="2012-06-08T00:00:00"/>
    <x v="1"/>
    <s v="Lamivudine/Zidovudine"/>
    <s v="Generic"/>
    <s v="150/300mg"/>
    <s v="Tablet - FDC"/>
    <n v="60"/>
    <n v="17827"/>
    <n v="138694.06"/>
    <n v="7.78"/>
    <n v="0.13"/>
    <n v="2939"/>
    <n v="17665.419999999998"/>
    <n v="1"/>
    <x v="5"/>
  </r>
  <r>
    <n v="83042"/>
    <s v="SO-42160"/>
    <x v="816"/>
    <x v="1"/>
    <s v="ARV"/>
    <s v="Adult"/>
    <s v="SCMS from RDC"/>
    <x v="1"/>
    <s v="N/A - From RDC"/>
    <s v="Air"/>
    <m/>
    <d v="2012-07-31T00:00:00"/>
    <d v="2012-06-15T00:00:00"/>
    <d v="2012-06-15T00:00:00"/>
    <x v="35"/>
    <s v="Tenofovir Disoproxil Fumarate"/>
    <s v="Generic"/>
    <s v="300mg"/>
    <s v="Tablet"/>
    <n v="30"/>
    <n v="1056"/>
    <n v="5808"/>
    <n v="5.5"/>
    <n v="0.18"/>
    <n v="69"/>
    <n v="1366.67"/>
    <n v="1"/>
    <x v="5"/>
  </r>
  <r>
    <n v="83050"/>
    <s v="SO-41620"/>
    <x v="817"/>
    <x v="3"/>
    <s v="ARV"/>
    <s v="Adult"/>
    <s v="SCMS from RDC"/>
    <x v="1"/>
    <s v="N/A - From RDC"/>
    <s v="Air"/>
    <m/>
    <d v="2012-07-20T00:00:00"/>
    <d v="2012-07-13T00:00:00"/>
    <d v="2012-07-13T00:00:00"/>
    <x v="35"/>
    <s v="Tenofovir Disoproxil Fumarate"/>
    <s v="Generic"/>
    <s v="300mg"/>
    <s v="Tablet"/>
    <n v="30"/>
    <n v="1685"/>
    <n v="9267.5"/>
    <n v="5.5"/>
    <n v="0.18"/>
    <n v="137"/>
    <n v="1834.79"/>
    <n v="1"/>
    <x v="5"/>
  </r>
  <r>
    <n v="83055"/>
    <s v="SO-42731"/>
    <x v="818"/>
    <x v="1"/>
    <s v="ARV"/>
    <s v="Pediatric"/>
    <s v="SCMS from RDC"/>
    <x v="1"/>
    <s v="N/A - From RDC"/>
    <s v="Air"/>
    <m/>
    <d v="2012-09-28T00:00:00"/>
    <d v="2012-07-21T00:00:00"/>
    <d v="2012-07-21T00:00:00"/>
    <x v="37"/>
    <s v="Efavirenz"/>
    <s v="Generic"/>
    <s v="200mg"/>
    <s v="Capsule"/>
    <n v="90"/>
    <n v="1480"/>
    <n v="12224.8"/>
    <n v="8.26"/>
    <n v="0.09"/>
    <n v="187"/>
    <n v="2109.2199999999998"/>
    <n v="1"/>
    <x v="5"/>
  </r>
  <r>
    <n v="83056"/>
    <s v="SO-42051"/>
    <x v="819"/>
    <x v="3"/>
    <s v="ARV"/>
    <s v="Adult"/>
    <s v="SCMS from RDC"/>
    <x v="1"/>
    <s v="N/A - From RDC"/>
    <s v="Air"/>
    <m/>
    <d v="2012-08-07T00:00:00"/>
    <d v="2012-08-07T00:00:00"/>
    <d v="2012-08-07T00:00:00"/>
    <x v="8"/>
    <s v="Efavirenz"/>
    <s v="Generic"/>
    <s v="600mg"/>
    <s v="Tablet"/>
    <n v="30"/>
    <n v="13373"/>
    <n v="52288.43"/>
    <n v="3.91"/>
    <n v="0.13"/>
    <n v="816"/>
    <n v="7964.24"/>
    <n v="1"/>
    <x v="5"/>
  </r>
  <r>
    <n v="83057"/>
    <s v="SO-42600"/>
    <x v="820"/>
    <x v="3"/>
    <s v="ARV"/>
    <s v="Adult"/>
    <s v="SCMS from RDC"/>
    <x v="1"/>
    <s v="N/A - From RDC"/>
    <s v="Air"/>
    <m/>
    <d v="2012-08-07T00:00:00"/>
    <d v="2012-08-07T00:00:00"/>
    <d v="2012-08-07T00:00:00"/>
    <x v="8"/>
    <s v="Efavirenz"/>
    <s v="Generic"/>
    <s v="600mg"/>
    <s v="Tablet"/>
    <n v="30"/>
    <n v="23000"/>
    <n v="89930"/>
    <n v="3.91"/>
    <n v="0.13"/>
    <n v="1403"/>
    <n v="9800"/>
    <n v="1"/>
    <x v="5"/>
  </r>
  <r>
    <n v="83061"/>
    <s v="SO-42570"/>
    <x v="821"/>
    <x v="3"/>
    <s v="ARV"/>
    <s v="Adult"/>
    <s v="SCMS from RDC"/>
    <x v="1"/>
    <s v="N/A - From RDC"/>
    <s v="Air"/>
    <m/>
    <d v="2012-10-30T00:00:00"/>
    <d v="2012-10-30T00:00:00"/>
    <d v="2012-10-30T00:00:00"/>
    <x v="39"/>
    <s v="Lamivudine/Tenofovir Disoproxil Fumarate"/>
    <s v="Generic"/>
    <s v="300/300mg"/>
    <s v="Tablet - FDC"/>
    <n v="30"/>
    <n v="20000"/>
    <n v="110800"/>
    <n v="5.54"/>
    <n v="0.18"/>
    <n v="8996"/>
    <n v="43098.9"/>
    <n v="1"/>
    <x v="5"/>
  </r>
  <r>
    <n v="83062"/>
    <s v="SO-42581"/>
    <x v="822"/>
    <x v="3"/>
    <s v="ARV"/>
    <s v="Adult"/>
    <s v="SCMS from RDC"/>
    <x v="1"/>
    <s v="N/A - From RDC"/>
    <s v="Air"/>
    <m/>
    <d v="2012-10-30T00:00:00"/>
    <d v="2012-10-30T00:00:00"/>
    <d v="2012-10-30T00:00:00"/>
    <x v="47"/>
    <s v="Lopinavir/Ritonavir"/>
    <s v="Generic"/>
    <s v="200/50mg"/>
    <s v="Tablet"/>
    <n v="120"/>
    <n v="5000"/>
    <n v="148400"/>
    <n v="29.68"/>
    <n v="0.25"/>
    <n v="1199"/>
    <n v="7070"/>
    <n v="1"/>
    <x v="5"/>
  </r>
  <r>
    <n v="83065"/>
    <s v="SO-42490"/>
    <x v="823"/>
    <x v="1"/>
    <s v="ARV"/>
    <s v="Adult"/>
    <s v="SCMS from RDC"/>
    <x v="1"/>
    <s v="N/A - From RDC"/>
    <s v="Air"/>
    <m/>
    <d v="2012-08-31T00:00:00"/>
    <d v="2012-08-23T00:00:00"/>
    <d v="2012-08-23T00:00:00"/>
    <x v="9"/>
    <s v="Abacavir"/>
    <s v="Generic"/>
    <s v="300mg"/>
    <s v="Tablet"/>
    <n v="60"/>
    <n v="6849"/>
    <n v="90064.35"/>
    <n v="13.15"/>
    <n v="0.22"/>
    <n v="880"/>
    <n v="13841.89"/>
    <n v="1"/>
    <x v="5"/>
  </r>
  <r>
    <n v="83066"/>
    <s v="SO-42631"/>
    <x v="824"/>
    <x v="3"/>
    <s v="ARV"/>
    <s v="Adult"/>
    <s v="SCMS from RDC"/>
    <x v="1"/>
    <s v="N/A - From RDC"/>
    <s v="Truck"/>
    <m/>
    <d v="2012-09-27T00:00:00"/>
    <d v="2012-09-27T00:00:00"/>
    <d v="2012-09-27T00:00:00"/>
    <x v="8"/>
    <s v="Efavirenz"/>
    <s v="Generic"/>
    <s v="600mg"/>
    <s v="Tablet"/>
    <n v="30"/>
    <n v="66160"/>
    <n v="258685.6"/>
    <n v="3.91"/>
    <n v="0.13"/>
    <n v="5641"/>
    <n v="2175.0700000000002"/>
    <n v="1"/>
    <x v="5"/>
  </r>
  <r>
    <n v="83075"/>
    <s v="SO-41600"/>
    <x v="825"/>
    <x v="3"/>
    <s v="ARV"/>
    <s v="Adult"/>
    <s v="SCMS from RDC"/>
    <x v="1"/>
    <s v="N/A - From RDC"/>
    <s v="Truck"/>
    <m/>
    <d v="2012-10-05T00:00:00"/>
    <d v="2012-10-06T00:00:00"/>
    <d v="2012-10-06T00:00:00"/>
    <x v="47"/>
    <s v="Lopinavir/Ritonavir"/>
    <s v="Generic"/>
    <s v="200/50mg"/>
    <s v="Tablet"/>
    <n v="120"/>
    <n v="4968"/>
    <n v="145612.07999999999"/>
    <n v="29.31"/>
    <n v="0.24"/>
    <n v="1207"/>
    <n v="7238"/>
    <n v="0"/>
    <x v="5"/>
  </r>
  <r>
    <n v="83076"/>
    <s v="SO-42320"/>
    <x v="826"/>
    <x v="3"/>
    <s v="ARV"/>
    <s v="Adult"/>
    <s v="SCMS from RDC"/>
    <x v="1"/>
    <s v="N/A - From RDC"/>
    <s v="Truck"/>
    <m/>
    <d v="2012-09-28T00:00:00"/>
    <d v="2012-09-24T00:00:00"/>
    <d v="2012-09-24T00:00:00"/>
    <x v="47"/>
    <s v="Lopinavir/Ritonavir"/>
    <s v="Generic"/>
    <s v="200/50mg"/>
    <s v="Tablet"/>
    <n v="120"/>
    <n v="8517"/>
    <n v="252784.56"/>
    <n v="29.68"/>
    <n v="0.25"/>
    <n v="2078"/>
    <n v="15761.76"/>
    <n v="1"/>
    <x v="5"/>
  </r>
  <r>
    <n v="83077"/>
    <s v="SO-42760"/>
    <x v="827"/>
    <x v="1"/>
    <s v="ARV"/>
    <s v="Adult"/>
    <s v="SCMS from RDC"/>
    <x v="1"/>
    <s v="N/A - From RDC"/>
    <s v="Air"/>
    <m/>
    <d v="2012-10-31T00:00:00"/>
    <d v="2012-10-30T00:00:00"/>
    <d v="2012-10-30T00:00:00"/>
    <x v="47"/>
    <s v="Lopinavir/Ritonavir"/>
    <s v="Generic"/>
    <s v="200/50mg"/>
    <s v="Tablet"/>
    <n v="120"/>
    <n v="10979"/>
    <n v="325856.71999999997"/>
    <n v="29.68"/>
    <n v="0.25"/>
    <n v="2881"/>
    <n v="5825.17"/>
    <n v="1"/>
    <x v="5"/>
  </r>
  <r>
    <n v="83078"/>
    <s v="SO-42480"/>
    <x v="828"/>
    <x v="1"/>
    <s v="ARV"/>
    <s v="Adult"/>
    <s v="SCMS from RDC"/>
    <x v="1"/>
    <s v="N/A - From RDC"/>
    <s v="Air"/>
    <m/>
    <d v="2012-09-28T00:00:00"/>
    <d v="2012-09-13T00:00:00"/>
    <d v="2012-09-13T00:00:00"/>
    <x v="0"/>
    <s v="Nevirapine"/>
    <s v="Generic"/>
    <s v="200mg"/>
    <s v="Tablet"/>
    <n v="60"/>
    <n v="69922"/>
    <n v="170609.68"/>
    <n v="2.44"/>
    <n v="0.04"/>
    <n v="4444"/>
    <n v="26081.05"/>
    <n v="1"/>
    <x v="5"/>
  </r>
  <r>
    <n v="83079"/>
    <s v="SO-42120"/>
    <x v="829"/>
    <x v="1"/>
    <s v="ARV"/>
    <s v="Pediatric"/>
    <s v="SCMS from RDC"/>
    <x v="1"/>
    <s v="N/A - From RDC"/>
    <s v="Air"/>
    <m/>
    <d v="2012-09-28T00:00:00"/>
    <d v="2012-10-05T00:00:00"/>
    <d v="2012-10-05T00:00:00"/>
    <x v="72"/>
    <s v="Abacavir"/>
    <s v="Generic"/>
    <s v="20mg/ml"/>
    <s v="Oral solution"/>
    <n v="240"/>
    <n v="4928"/>
    <n v="61600"/>
    <n v="12.5"/>
    <n v="0.05"/>
    <n v="1800"/>
    <n v="12500.58"/>
    <n v="0"/>
    <x v="5"/>
  </r>
  <r>
    <n v="83080"/>
    <s v="SO-42140"/>
    <x v="830"/>
    <x v="1"/>
    <s v="ARV"/>
    <s v="Adult"/>
    <s v="SCMS from RDC"/>
    <x v="1"/>
    <s v="N/A - From RDC"/>
    <s v="Air"/>
    <m/>
    <d v="2012-10-26T00:00:00"/>
    <d v="2012-10-26T00:00:00"/>
    <d v="2012-10-26T00:00:00"/>
    <x v="47"/>
    <s v="Lopinavir/Ritonavir"/>
    <s v="Generic"/>
    <s v="200/50mg"/>
    <s v="Tablet"/>
    <n v="120"/>
    <n v="16515"/>
    <n v="490165.2"/>
    <n v="29.68"/>
    <n v="0.25"/>
    <n v="3991"/>
    <n v="13380.52"/>
    <n v="1"/>
    <x v="5"/>
  </r>
  <r>
    <n v="83081"/>
    <s v="SO-43070"/>
    <x v="713"/>
    <x v="5"/>
    <s v="ARV"/>
    <s v="Adult"/>
    <s v="SCMS from RDC"/>
    <x v="1"/>
    <s v="N/A - From RDC"/>
    <s v="Air"/>
    <m/>
    <d v="2012-11-15T00:00:00"/>
    <d v="2012-10-23T00:00:00"/>
    <d v="2012-10-23T00:00:00"/>
    <x v="29"/>
    <s v="Zidovudine"/>
    <s v="Generic"/>
    <s v="300mg"/>
    <s v="Tablet"/>
    <n v="60"/>
    <n v="9360"/>
    <n v="63273.599999999999"/>
    <n v="6.76"/>
    <n v="0.11"/>
    <m/>
    <m/>
    <n v="1"/>
    <x v="5"/>
  </r>
  <r>
    <n v="83082"/>
    <s v="SO-42940"/>
    <x v="831"/>
    <x v="3"/>
    <s v="ARV"/>
    <s v="Adult"/>
    <s v="SCMS from RDC"/>
    <x v="1"/>
    <s v="N/A - From RDC"/>
    <s v="Air"/>
    <m/>
    <d v="2012-10-27T00:00:00"/>
    <d v="2012-10-27T00:00:00"/>
    <d v="2012-10-27T00:00:00"/>
    <x v="39"/>
    <s v="Lamivudine/Tenofovir Disoproxil Fumarate"/>
    <s v="Generic"/>
    <s v="300/300mg"/>
    <s v="Tablet - FDC"/>
    <n v="30"/>
    <n v="11994"/>
    <n v="64287.839999999997"/>
    <n v="5.36"/>
    <n v="0.18"/>
    <n v="1199"/>
    <n v="7918"/>
    <n v="1"/>
    <x v="5"/>
  </r>
  <r>
    <n v="83084"/>
    <s v="SO-43090"/>
    <x v="715"/>
    <x v="3"/>
    <s v="ARV"/>
    <s v="Adult"/>
    <s v="SCMS from RDC"/>
    <x v="1"/>
    <s v="N/A - From RDC"/>
    <s v="Air"/>
    <m/>
    <d v="2012-10-25T00:00:00"/>
    <d v="2012-10-22T00:00:00"/>
    <d v="2012-10-22T00:00:00"/>
    <x v="1"/>
    <s v="Lamivudine/Zidovudine"/>
    <s v="Generic"/>
    <s v="150/300mg"/>
    <s v="Tablet - FDC"/>
    <n v="60"/>
    <n v="3540"/>
    <n v="27328.799999999999"/>
    <n v="7.72"/>
    <n v="0.13"/>
    <m/>
    <m/>
    <n v="1"/>
    <x v="5"/>
  </r>
  <r>
    <n v="83085"/>
    <s v="SO-42430"/>
    <x v="716"/>
    <x v="1"/>
    <s v="ARV"/>
    <s v="Adult"/>
    <s v="SCMS from RDC"/>
    <x v="1"/>
    <s v="N/A - From RDC"/>
    <s v="Air"/>
    <m/>
    <d v="2012-10-31T00:00:00"/>
    <d v="2012-10-30T00:00:00"/>
    <d v="2012-10-30T00:00:00"/>
    <x v="46"/>
    <s v="Efavirenz/Lamivudine/Tenofovir Disoproxil Fumarate"/>
    <s v="Generic"/>
    <s v="600/300/300mg"/>
    <s v="Tablet - FDC"/>
    <n v="30"/>
    <n v="3234"/>
    <n v="42915.18"/>
    <n v="13.27"/>
    <n v="0.44"/>
    <m/>
    <m/>
    <n v="1"/>
    <x v="5"/>
  </r>
  <r>
    <n v="83098"/>
    <s v="SO-42710"/>
    <x v="832"/>
    <x v="1"/>
    <s v="ARV"/>
    <s v="Adult"/>
    <s v="SCMS from RDC"/>
    <x v="1"/>
    <s v="N/A - From RDC"/>
    <s v="Air"/>
    <m/>
    <d v="2013-02-06T00:00:00"/>
    <d v="2013-02-06T00:00:00"/>
    <d v="2013-02-06T00:00:00"/>
    <x v="39"/>
    <s v="Lamivudine/Tenofovir Disoproxil Fumarate"/>
    <s v="Generic"/>
    <s v="300/300mg"/>
    <s v="Tablet - FDC"/>
    <n v="30"/>
    <n v="34997"/>
    <n v="187583.92"/>
    <n v="5.36"/>
    <n v="0.18"/>
    <n v="10698"/>
    <n v="20994.85"/>
    <n v="1"/>
    <x v="6"/>
  </r>
  <r>
    <n v="83100"/>
    <s v="SO-43111"/>
    <x v="833"/>
    <x v="0"/>
    <s v="ARV"/>
    <s v="Pediatric"/>
    <s v="SCMS from RDC"/>
    <x v="1"/>
    <s v="N/A - From RDC"/>
    <s v="Truck"/>
    <m/>
    <d v="2013-02-28T00:00:00"/>
    <d v="2012-02-26T00:00:00"/>
    <d v="2013-02-26T00:00:00"/>
    <x v="51"/>
    <s v="Efavirenz"/>
    <s v="Generic"/>
    <s v="200mg"/>
    <s v="Tablet"/>
    <n v="90"/>
    <n v="5765"/>
    <n v="42084.5"/>
    <n v="7.3"/>
    <n v="0.08"/>
    <n v="350"/>
    <n v="2266"/>
    <n v="1"/>
    <x v="6"/>
  </r>
  <r>
    <n v="83101"/>
    <s v="SO-43160"/>
    <x v="720"/>
    <x v="3"/>
    <s v="ARV"/>
    <s v="Adult"/>
    <s v="SCMS from RDC"/>
    <x v="1"/>
    <s v="N/A - From RDC"/>
    <s v="Air"/>
    <m/>
    <d v="2013-02-02T00:00:00"/>
    <d v="2013-02-02T00:00:00"/>
    <d v="2013-02-02T00:00:00"/>
    <x v="39"/>
    <s v="Lamivudine/Tenofovir Disoproxil Fumarate"/>
    <s v="Generic"/>
    <s v="300/300mg"/>
    <s v="Tablet - FDC"/>
    <n v="30"/>
    <n v="1525"/>
    <n v="7335.25"/>
    <n v="4.8099999999999996"/>
    <n v="0.16"/>
    <m/>
    <m/>
    <n v="1"/>
    <x v="6"/>
  </r>
  <r>
    <n v="83112"/>
    <s v="SO-43490"/>
    <x v="834"/>
    <x v="3"/>
    <s v="ARV"/>
    <s v="Adult"/>
    <s v="SCMS from RDC"/>
    <x v="1"/>
    <s v="N/A - From RDC"/>
    <s v="Air"/>
    <m/>
    <d v="2013-03-18T00:00:00"/>
    <d v="2013-03-07T00:00:00"/>
    <d v="2013-03-07T00:00:00"/>
    <x v="1"/>
    <s v="Lamivudine/Zidovudine"/>
    <s v="Generic"/>
    <s v="150/300mg"/>
    <s v="Tablet - FDC"/>
    <n v="60"/>
    <n v="10125"/>
    <n v="73608.75"/>
    <n v="7.27"/>
    <n v="0.12"/>
    <n v="1887"/>
    <n v="12736.25"/>
    <n v="1"/>
    <x v="6"/>
  </r>
  <r>
    <n v="83115"/>
    <s v="SO-43121"/>
    <x v="835"/>
    <x v="0"/>
    <s v="ARV"/>
    <s v="Adult"/>
    <s v="SCMS from RDC"/>
    <x v="1"/>
    <s v="N/A - From RDC"/>
    <s v="Truck"/>
    <m/>
    <d v="2013-04-01T00:00:00"/>
    <d v="2013-03-15T00:00:00"/>
    <d v="2013-03-15T00:00:00"/>
    <x v="35"/>
    <s v="Tenofovir Disoproxil Fumarate"/>
    <s v="Generic"/>
    <s v="300mg"/>
    <s v="Tablet"/>
    <n v="30"/>
    <n v="1773"/>
    <n v="7162.92"/>
    <n v="4.04"/>
    <n v="0.13"/>
    <n v="116"/>
    <n v="2035.84"/>
    <n v="1"/>
    <x v="6"/>
  </r>
  <r>
    <n v="83122"/>
    <s v="SO-43131"/>
    <x v="836"/>
    <x v="0"/>
    <s v="ARV"/>
    <s v="Adult"/>
    <s v="SCMS from RDC"/>
    <x v="1"/>
    <s v="N/A - From RDC"/>
    <s v="Truck"/>
    <m/>
    <d v="2013-03-31T00:00:00"/>
    <d v="2013-04-02T00:00:00"/>
    <d v="2013-04-02T00:00:00"/>
    <x v="70"/>
    <s v="Emtricitabine/Tenofovir Disoproxil Fumarate"/>
    <s v="Generic"/>
    <s v="200/300mg"/>
    <s v="Tablet - FDC"/>
    <n v="30"/>
    <n v="15027"/>
    <n v="91213.89"/>
    <n v="6.07"/>
    <n v="0.2"/>
    <n v="1248"/>
    <n v="4529.5"/>
    <n v="0"/>
    <x v="6"/>
  </r>
  <r>
    <n v="83123"/>
    <s v="SO-43871"/>
    <x v="837"/>
    <x v="3"/>
    <s v="ARV"/>
    <s v="Adult"/>
    <s v="SCMS from RDC"/>
    <x v="1"/>
    <s v="N/A - From RDC"/>
    <s v="Truck"/>
    <m/>
    <d v="2013-06-28T00:00:00"/>
    <d v="2013-03-20T00:00:00"/>
    <d v="2013-03-20T00:00:00"/>
    <x v="78"/>
    <s v="Abacavir/Lamivudine"/>
    <s v="Generic"/>
    <s v="600/300mg"/>
    <s v="Tablet - FDC"/>
    <n v="30"/>
    <n v="5760"/>
    <n v="80409.600000000006"/>
    <n v="13.96"/>
    <n v="0.47"/>
    <n v="610"/>
    <n v="6585.03"/>
    <n v="1"/>
    <x v="6"/>
  </r>
  <r>
    <n v="83124"/>
    <s v="SO-43941"/>
    <x v="838"/>
    <x v="3"/>
    <s v="ARV"/>
    <s v="Adult"/>
    <s v="SCMS from RDC"/>
    <x v="1"/>
    <s v="N/A - From RDC"/>
    <s v="Air"/>
    <m/>
    <d v="2013-04-25T00:00:00"/>
    <d v="2013-04-25T00:00:00"/>
    <d v="2013-04-25T00:00:00"/>
    <x v="0"/>
    <s v="Nevirapine"/>
    <s v="Generic"/>
    <s v="200mg"/>
    <s v="Tablet"/>
    <n v="60"/>
    <n v="8834"/>
    <n v="19964.84"/>
    <n v="2.2599999999999998"/>
    <n v="0.04"/>
    <n v="1600"/>
    <n v="8699.7999999999993"/>
    <n v="1"/>
    <x v="6"/>
  </r>
  <r>
    <n v="83133"/>
    <s v="SO-44670"/>
    <x v="727"/>
    <x v="6"/>
    <s v="ARV"/>
    <s v="Adult"/>
    <s v="SCMS from RDC"/>
    <x v="1"/>
    <s v="N/A - From RDC"/>
    <s v="Air"/>
    <m/>
    <d v="2013-05-31T00:00:00"/>
    <d v="2013-05-23T00:00:00"/>
    <d v="2013-05-23T00:00:00"/>
    <x v="1"/>
    <s v="Lamivudine/Zidovudine"/>
    <s v="Generic"/>
    <s v="150/300mg"/>
    <s v="Tablet - FDC"/>
    <n v="60"/>
    <n v="2940"/>
    <n v="21373.8"/>
    <n v="7.27"/>
    <n v="0.12"/>
    <m/>
    <m/>
    <n v="1"/>
    <x v="6"/>
  </r>
  <r>
    <n v="83134"/>
    <s v="SO-43943"/>
    <x v="839"/>
    <x v="3"/>
    <s v="ARV"/>
    <s v="Adult"/>
    <s v="SCMS from RDC"/>
    <x v="1"/>
    <s v="N/A - From RDC"/>
    <s v="Air"/>
    <m/>
    <d v="2013-04-30T00:00:00"/>
    <d v="2013-05-09T00:00:00"/>
    <d v="2013-05-09T00:00:00"/>
    <x v="0"/>
    <s v="Nevirapine"/>
    <s v="Generic"/>
    <s v="200mg"/>
    <s v="Tablet"/>
    <n v="60"/>
    <n v="11490"/>
    <n v="25967.4"/>
    <n v="2.2599999999999998"/>
    <n v="0.04"/>
    <n v="722"/>
    <n v="3483.79"/>
    <n v="0"/>
    <x v="6"/>
  </r>
  <r>
    <n v="83135"/>
    <s v="SO-44660"/>
    <x v="840"/>
    <x v="6"/>
    <s v="ARV"/>
    <s v="Adult"/>
    <s v="SCMS from RDC"/>
    <x v="1"/>
    <s v="N/A - From RDC"/>
    <s v="Air"/>
    <m/>
    <d v="2013-06-30T00:00:00"/>
    <d v="2013-05-09T00:00:00"/>
    <d v="2013-05-09T00:00:00"/>
    <x v="9"/>
    <s v="Abacavir"/>
    <s v="Generic"/>
    <s v="300mg"/>
    <s v="Tablet"/>
    <n v="60"/>
    <n v="180"/>
    <n v="2332.8000000000002"/>
    <n v="12.96"/>
    <n v="0.22"/>
    <n v="123"/>
    <n v="1501.4"/>
    <n v="1"/>
    <x v="6"/>
  </r>
  <r>
    <n v="83139"/>
    <s v="SO-43630"/>
    <x v="841"/>
    <x v="3"/>
    <s v="ARV"/>
    <s v="Adult"/>
    <s v="SCMS from RDC"/>
    <x v="1"/>
    <s v="N/A - From RDC"/>
    <s v="Air"/>
    <m/>
    <d v="2013-06-20T00:00:00"/>
    <d v="2013-05-22T00:00:00"/>
    <d v="2013-05-22T00:00:00"/>
    <x v="46"/>
    <s v="Efavirenz/Lamivudine/Tenofovir Disoproxil Fumarate"/>
    <s v="Generic"/>
    <s v="600/300/300mg"/>
    <s v="Tablet - FDC"/>
    <n v="30"/>
    <n v="238606"/>
    <n v="2510135.12"/>
    <n v="10.52"/>
    <n v="0.35"/>
    <n v="31473"/>
    <n v="24816.73"/>
    <n v="1"/>
    <x v="6"/>
  </r>
  <r>
    <n v="83140"/>
    <s v="SO-43873"/>
    <x v="731"/>
    <x v="3"/>
    <s v="ARV"/>
    <s v="Adult"/>
    <s v="SCMS from RDC"/>
    <x v="1"/>
    <s v="N/A - From RDC"/>
    <s v="Truck"/>
    <m/>
    <d v="2013-06-28T00:00:00"/>
    <d v="2013-06-07T00:00:00"/>
    <d v="2013-06-07T00:00:00"/>
    <x v="1"/>
    <s v="Lamivudine/Zidovudine"/>
    <s v="Generic"/>
    <s v="150/300mg"/>
    <s v="Tablet - FDC"/>
    <n v="60"/>
    <n v="18547"/>
    <n v="129829"/>
    <n v="7"/>
    <n v="0.12"/>
    <m/>
    <m/>
    <n v="1"/>
    <x v="6"/>
  </r>
  <r>
    <n v="83145"/>
    <s v="SO-43900"/>
    <x v="842"/>
    <x v="3"/>
    <s v="ARV"/>
    <s v="Adult"/>
    <s v="SCMS from RDC"/>
    <x v="1"/>
    <s v="N/A - From RDC"/>
    <s v="Truck"/>
    <m/>
    <d v="2013-07-30T00:00:00"/>
    <d v="2013-08-09T00:00:00"/>
    <d v="2013-08-09T00:00:00"/>
    <x v="39"/>
    <s v="Lamivudine/Tenofovir Disoproxil Fumarate"/>
    <s v="Generic"/>
    <s v="300/300mg"/>
    <s v="Tablet - FDC"/>
    <n v="30"/>
    <n v="26112"/>
    <n v="122726.39999999999"/>
    <n v="4.7"/>
    <n v="0.16"/>
    <n v="2444"/>
    <n v="8800.81"/>
    <n v="0"/>
    <x v="6"/>
  </r>
  <r>
    <n v="83146"/>
    <s v="SO-45730"/>
    <x v="843"/>
    <x v="0"/>
    <s v="ARV"/>
    <s v="Adult"/>
    <s v="SCMS from RDC"/>
    <x v="1"/>
    <s v="N/A - From RDC"/>
    <s v="Truck"/>
    <m/>
    <d v="2013-09-25T00:00:00"/>
    <d v="2013-09-23T00:00:00"/>
    <d v="2013-09-23T00:00:00"/>
    <x v="11"/>
    <s v="Lamivudine/Nevirapine/Zidovudine"/>
    <s v="Generic"/>
    <s v="150/300/200mg"/>
    <s v="Tablet - FDC"/>
    <n v="60"/>
    <n v="73690"/>
    <n v="632260.19999999995"/>
    <n v="8.58"/>
    <n v="0.14000000000000001"/>
    <n v="9886"/>
    <n v="44300.9"/>
    <n v="1"/>
    <x v="6"/>
  </r>
  <r>
    <n v="83148"/>
    <s v="SO-45170"/>
    <x v="844"/>
    <x v="6"/>
    <s v="ARV"/>
    <s v="Adult"/>
    <s v="SCMS from RDC"/>
    <x v="1"/>
    <s v="N/A - From RDC"/>
    <s v="Air"/>
    <m/>
    <d v="2013-08-24T00:00:00"/>
    <d v="2013-08-26T00:00:00"/>
    <d v="2013-08-26T00:00:00"/>
    <x v="47"/>
    <s v="Lopinavir/Ritonavir"/>
    <s v="Generic"/>
    <s v="200/50mg"/>
    <s v="Tablet"/>
    <n v="120"/>
    <n v="213"/>
    <n v="4639.1400000000003"/>
    <n v="21.78"/>
    <n v="0.18"/>
    <n v="928"/>
    <n v="4323.4399999999996"/>
    <n v="0"/>
    <x v="6"/>
  </r>
  <r>
    <n v="83149"/>
    <s v="SO-45470"/>
    <x v="845"/>
    <x v="3"/>
    <s v="ARV"/>
    <s v="Adult"/>
    <s v="SCMS from RDC"/>
    <x v="1"/>
    <s v="N/A - From RDC"/>
    <s v="Air"/>
    <m/>
    <d v="2013-08-06T00:00:00"/>
    <d v="2013-08-20T00:00:00"/>
    <d v="2013-08-20T00:00:00"/>
    <x v="1"/>
    <s v="Lamivudine/Zidovudine"/>
    <s v="Generic"/>
    <s v="150/300mg"/>
    <s v="Tablet - FDC"/>
    <n v="60"/>
    <n v="54728"/>
    <n v="383096"/>
    <n v="7"/>
    <n v="0.12"/>
    <n v="14143"/>
    <n v="100654.61"/>
    <n v="0"/>
    <x v="6"/>
  </r>
  <r>
    <n v="83150"/>
    <s v="SO-45880"/>
    <x v="846"/>
    <x v="3"/>
    <s v="ARV"/>
    <s v="Adult"/>
    <s v="SCMS from RDC"/>
    <x v="1"/>
    <s v="N/A - From RDC"/>
    <s v="Air"/>
    <m/>
    <d v="2013-09-27T00:00:00"/>
    <d v="2013-09-27T00:00:00"/>
    <d v="2013-09-27T00:00:00"/>
    <x v="39"/>
    <s v="Lamivudine/Tenofovir Disoproxil Fumarate"/>
    <s v="Generic"/>
    <s v="300/300mg"/>
    <s v="Tablet - FDC"/>
    <n v="30"/>
    <n v="34385"/>
    <n v="161609.5"/>
    <n v="4.7"/>
    <n v="0.16"/>
    <n v="11594"/>
    <n v="85414.3"/>
    <n v="1"/>
    <x v="6"/>
  </r>
  <r>
    <n v="83154"/>
    <s v="SO-43874"/>
    <x v="847"/>
    <x v="3"/>
    <s v="ARV"/>
    <s v="Pediatric"/>
    <s v="SCMS from RDC"/>
    <x v="1"/>
    <s v="N/A - From RDC"/>
    <s v="Truck"/>
    <m/>
    <d v="2013-08-30T00:00:00"/>
    <d v="2013-08-30T00:00:00"/>
    <d v="2013-08-30T00:00:00"/>
    <x v="51"/>
    <s v="Efavirenz"/>
    <s v="Generic"/>
    <s v="200mg"/>
    <s v="Tablet"/>
    <n v="90"/>
    <n v="338"/>
    <n v="2467.4"/>
    <n v="7.3"/>
    <n v="0.08"/>
    <n v="25"/>
    <n v="759.79"/>
    <n v="1"/>
    <x v="6"/>
  </r>
  <r>
    <n v="83155"/>
    <s v="SO-44983"/>
    <x v="848"/>
    <x v="0"/>
    <s v="ARV"/>
    <s v="Adult"/>
    <s v="SCMS from RDC"/>
    <x v="1"/>
    <s v="N/A - From RDC"/>
    <s v="Truck"/>
    <m/>
    <d v="2013-10-15T00:00:00"/>
    <d v="2013-09-10T00:00:00"/>
    <d v="2013-09-10T00:00:00"/>
    <x v="70"/>
    <s v="Emtricitabine/Tenofovir Disoproxil Fumarate"/>
    <s v="Generic"/>
    <s v="200/300mg"/>
    <s v="Tablet - FDC"/>
    <n v="30"/>
    <n v="26000"/>
    <n v="152620"/>
    <n v="5.87"/>
    <n v="0.2"/>
    <n v="3888"/>
    <n v="8057.19"/>
    <n v="1"/>
    <x v="6"/>
  </r>
  <r>
    <n v="83156"/>
    <s v="SO-45541"/>
    <x v="849"/>
    <x v="3"/>
    <s v="ARV"/>
    <s v="Adult"/>
    <s v="SCMS from RDC"/>
    <x v="1"/>
    <s v="N/A - From RDC"/>
    <s v="Truck"/>
    <m/>
    <d v="2013-09-12T00:00:00"/>
    <d v="2013-10-16T00:00:00"/>
    <d v="2013-10-29T00:00:00"/>
    <x v="39"/>
    <s v="Lamivudine/Tenofovir Disoproxil Fumarate"/>
    <s v="Generic"/>
    <s v="300/300mg"/>
    <s v="Tablet - FDC"/>
    <n v="30"/>
    <n v="4403"/>
    <n v="20694.099999999999"/>
    <n v="4.7"/>
    <n v="0.16"/>
    <n v="703"/>
    <n v="4234.12"/>
    <n v="0"/>
    <x v="6"/>
  </r>
  <r>
    <n v="83157"/>
    <s v="SO-45980"/>
    <x v="850"/>
    <x v="0"/>
    <s v="ARV"/>
    <s v="Adult"/>
    <s v="SCMS from RDC"/>
    <x v="1"/>
    <s v="N/A - From RDC"/>
    <s v="Truck"/>
    <m/>
    <d v="2013-10-16T00:00:00"/>
    <d v="2013-09-27T00:00:00"/>
    <d v="2013-09-27T00:00:00"/>
    <x v="45"/>
    <s v="Efavirenz/Emtricitabine/Tenofovir Disoproxil Fumarate"/>
    <s v="Generic"/>
    <s v="600/200/300mg"/>
    <s v="Tablet - FDC"/>
    <n v="30"/>
    <n v="67426"/>
    <n v="829339.8"/>
    <n v="12.3"/>
    <n v="0.41"/>
    <n v="7596"/>
    <n v="3567.19"/>
    <n v="1"/>
    <x v="6"/>
  </r>
  <r>
    <n v="83160"/>
    <s v="SO-44984"/>
    <x v="851"/>
    <x v="0"/>
    <s v="ARV"/>
    <s v="Pediatric"/>
    <s v="SCMS from RDC"/>
    <x v="1"/>
    <s v="N/A - From RDC"/>
    <s v="Truck"/>
    <m/>
    <d v="2013-10-31T00:00:00"/>
    <d v="2013-09-27T00:00:00"/>
    <d v="2013-09-27T00:00:00"/>
    <x v="73"/>
    <s v="Lamivudine/Zidovudine"/>
    <s v="Generic"/>
    <s v="30/60mg"/>
    <s v="Tablet - FDC"/>
    <n v="60"/>
    <n v="25836"/>
    <n v="55547.4"/>
    <n v="2.15"/>
    <n v="0.04"/>
    <n v="5467"/>
    <n v="3567.2"/>
    <n v="1"/>
    <x v="6"/>
  </r>
  <r>
    <n v="83164"/>
    <s v="SO-45370"/>
    <x v="852"/>
    <x v="1"/>
    <s v="ARV"/>
    <s v="Adult"/>
    <s v="SCMS from RDC"/>
    <x v="1"/>
    <s v="N/A - From RDC"/>
    <s v="Truck"/>
    <m/>
    <d v="2013-10-04T00:00:00"/>
    <d v="2013-10-15T00:00:00"/>
    <d v="2013-10-29T00:00:00"/>
    <x v="0"/>
    <s v="Nevirapine"/>
    <s v="Generic"/>
    <s v="200mg"/>
    <s v="Tablet"/>
    <n v="60"/>
    <n v="41250"/>
    <n v="93225"/>
    <n v="2.2599999999999998"/>
    <n v="0.04"/>
    <n v="2295"/>
    <n v="4390.9799999999996"/>
    <n v="0"/>
    <x v="6"/>
  </r>
  <r>
    <n v="83176"/>
    <s v="SO-46030"/>
    <x v="853"/>
    <x v="6"/>
    <s v="ARV"/>
    <s v="Adult"/>
    <s v="SCMS from RDC"/>
    <x v="1"/>
    <s v="N/A - From RDC"/>
    <s v="Air"/>
    <m/>
    <d v="2013-11-15T00:00:00"/>
    <d v="2013-11-22T00:00:00"/>
    <d v="2013-11-27T00:00:00"/>
    <x v="39"/>
    <s v="Lamivudine/Tenofovir Disoproxil Fumarate"/>
    <s v="Generic"/>
    <s v="300/300mg"/>
    <s v="Tablet - FDC"/>
    <n v="30"/>
    <n v="1920"/>
    <n v="9024"/>
    <n v="4.7"/>
    <n v="0.16"/>
    <n v="160"/>
    <n v="1527.29"/>
    <n v="0"/>
    <x v="6"/>
  </r>
  <r>
    <n v="83177"/>
    <s v="SO-46022"/>
    <x v="854"/>
    <x v="6"/>
    <s v="ARV"/>
    <s v="Adult"/>
    <s v="SCMS from RDC"/>
    <x v="1"/>
    <s v="N/A - From RDC"/>
    <s v="Air"/>
    <m/>
    <d v="2013-11-22T00:00:00"/>
    <d v="2013-12-05T00:00:00"/>
    <d v="2013-12-12T00:00:00"/>
    <x v="47"/>
    <s v="Lopinavir/Ritonavir"/>
    <s v="Generic"/>
    <s v="200/50mg"/>
    <s v="Tablet"/>
    <n v="120"/>
    <n v="392"/>
    <n v="8232"/>
    <n v="21"/>
    <n v="0.18"/>
    <n v="105"/>
    <n v="1456.4"/>
    <n v="0"/>
    <x v="6"/>
  </r>
  <r>
    <n v="83178"/>
    <s v="SO-45590"/>
    <x v="855"/>
    <x v="3"/>
    <s v="ARV"/>
    <s v="Adult"/>
    <s v="SCMS from RDC"/>
    <x v="1"/>
    <s v="N/A - From RDC"/>
    <s v="Truck"/>
    <m/>
    <d v="2013-11-15T00:00:00"/>
    <d v="2013-11-22T00:00:00"/>
    <d v="2014-01-20T00:00:00"/>
    <x v="14"/>
    <s v="Lopinavir/Ritonavir"/>
    <s v="Aluvia"/>
    <s v="200/50mg"/>
    <s v="Tablet"/>
    <n v="120"/>
    <n v="8760"/>
    <n v="177127.2"/>
    <n v="20.22"/>
    <n v="0.17"/>
    <n v="1798"/>
    <n v="5856.65"/>
    <n v="0"/>
    <x v="7"/>
  </r>
  <r>
    <n v="83180"/>
    <s v="SO-46680"/>
    <x v="856"/>
    <x v="0"/>
    <s v="ARV"/>
    <s v="Adult"/>
    <s v="SCMS from RDC"/>
    <x v="1"/>
    <s v="N/A - From RDC"/>
    <s v="Truck"/>
    <m/>
    <d v="2013-12-26T00:00:00"/>
    <d v="2013-12-16T00:00:00"/>
    <d v="2014-01-17T00:00:00"/>
    <x v="0"/>
    <s v="Nevirapine"/>
    <s v="Generic"/>
    <s v="200mg"/>
    <s v="Tablet"/>
    <n v="60"/>
    <n v="31144"/>
    <n v="70385.440000000002"/>
    <n v="2.2599999999999998"/>
    <n v="0.04"/>
    <n v="10109"/>
    <n v="7134.39"/>
    <n v="1"/>
    <x v="7"/>
  </r>
  <r>
    <n v="83184"/>
    <s v="SO-45390"/>
    <x v="741"/>
    <x v="1"/>
    <s v="ARV"/>
    <s v="Adult"/>
    <s v="SCMS from RDC"/>
    <x v="1"/>
    <s v="N/A - From RDC"/>
    <s v="Truck"/>
    <m/>
    <d v="2014-01-31T00:00:00"/>
    <d v="2013-12-23T00:00:00"/>
    <d v="2014-01-17T00:00:00"/>
    <x v="0"/>
    <s v="Nevirapine"/>
    <s v="Generic"/>
    <s v="200mg"/>
    <s v="Tablet"/>
    <n v="60"/>
    <n v="20124"/>
    <n v="45480.24"/>
    <n v="2.2599999999999998"/>
    <n v="0.04"/>
    <m/>
    <m/>
    <n v="1"/>
    <x v="7"/>
  </r>
  <r>
    <n v="83194"/>
    <s v="SO-45741"/>
    <x v="857"/>
    <x v="0"/>
    <s v="ARV"/>
    <s v="Adult"/>
    <s v="SCMS from RDC"/>
    <x v="1"/>
    <s v="N/A - From RDC"/>
    <s v="Truck"/>
    <m/>
    <d v="2014-01-31T00:00:00"/>
    <d v="2014-01-20T00:00:00"/>
    <d v="2014-01-29T00:00:00"/>
    <x v="46"/>
    <s v="Efavirenz/Lamivudine/Tenofovir Disoproxil Fumarate"/>
    <s v="Generic"/>
    <s v="600/300/300mg"/>
    <s v="Tablet - FDC"/>
    <n v="30"/>
    <n v="68762"/>
    <n v="766696.3"/>
    <n v="11.15"/>
    <n v="0.37"/>
    <n v="8456"/>
    <n v="7134.39"/>
    <n v="1"/>
    <x v="7"/>
  </r>
  <r>
    <n v="83196"/>
    <s v="SO-45995"/>
    <x v="858"/>
    <x v="0"/>
    <s v="ARV"/>
    <s v="Adult"/>
    <s v="SCMS from RDC"/>
    <x v="1"/>
    <s v="N/A - From RDC"/>
    <s v="Truck"/>
    <m/>
    <d v="2013-12-31T00:00:00"/>
    <d v="2014-02-25T00:00:00"/>
    <d v="2014-03-13T00:00:00"/>
    <x v="70"/>
    <s v="Emtricitabine/Tenofovir Disoproxil Fumarate"/>
    <s v="Generic"/>
    <s v="200/300mg"/>
    <s v="Tablet - FDC"/>
    <n v="30"/>
    <n v="2178"/>
    <n v="12784.86"/>
    <n v="5.87"/>
    <n v="0.2"/>
    <n v="2304"/>
    <n v="5989.25"/>
    <n v="0"/>
    <x v="7"/>
  </r>
  <r>
    <n v="83199"/>
    <s v="SO-45392"/>
    <x v="859"/>
    <x v="1"/>
    <s v="ARV"/>
    <s v="Adult"/>
    <s v="SCMS from RDC"/>
    <x v="1"/>
    <s v="N/A - From RDC"/>
    <s v="Truck"/>
    <m/>
    <d v="2014-01-31T00:00:00"/>
    <d v="2014-01-22T00:00:00"/>
    <d v="2014-01-31T00:00:00"/>
    <x v="0"/>
    <s v="Nevirapine"/>
    <s v="Generic"/>
    <s v="200mg"/>
    <s v="Tablet"/>
    <n v="60"/>
    <n v="64000"/>
    <n v="144640"/>
    <n v="2.2599999999999998"/>
    <n v="0.04"/>
    <n v="3887"/>
    <n v="21032.82"/>
    <n v="1"/>
    <x v="7"/>
  </r>
  <r>
    <n v="83200"/>
    <s v="SO-46840"/>
    <x v="860"/>
    <x v="3"/>
    <s v="ARV"/>
    <s v="Pediatric"/>
    <s v="SCMS from RDC"/>
    <x v="1"/>
    <s v="N/A - From RDC"/>
    <s v="Truck"/>
    <m/>
    <d v="2014-02-28T00:00:00"/>
    <d v="2014-01-30T00:00:00"/>
    <d v="2014-02-03T00:00:00"/>
    <x v="54"/>
    <s v="Nevirapine"/>
    <s v="Generic"/>
    <s v="10mg/ml"/>
    <s v="Oral suspension"/>
    <n v="100"/>
    <n v="15000"/>
    <n v="19500"/>
    <n v="1.3"/>
    <n v="0.01"/>
    <n v="2978"/>
    <n v="5458.46"/>
    <n v="1"/>
    <x v="7"/>
  </r>
  <r>
    <n v="83205"/>
    <s v="SO-45500"/>
    <x v="861"/>
    <x v="3"/>
    <s v="ARV"/>
    <s v="Pediatric"/>
    <s v="SCMS from RDC"/>
    <x v="1"/>
    <s v="N/A - From RDC"/>
    <s v="Air"/>
    <m/>
    <d v="2014-01-31T00:00:00"/>
    <d v="2014-02-17T00:00:00"/>
    <d v="2014-03-04T00:00:00"/>
    <x v="76"/>
    <s v="Abacavir/Lamivudine"/>
    <s v="Generic"/>
    <s v="60/30mg"/>
    <s v="Tablet - FDC"/>
    <n v="60"/>
    <n v="1446"/>
    <n v="5784"/>
    <n v="4"/>
    <n v="7.0000000000000007E-2"/>
    <n v="68"/>
    <n v="790.29"/>
    <n v="0"/>
    <x v="7"/>
  </r>
  <r>
    <n v="83207"/>
    <s v="SO-45530"/>
    <x v="862"/>
    <x v="3"/>
    <s v="ARV"/>
    <s v="Adult"/>
    <s v="SCMS from RDC"/>
    <x v="1"/>
    <s v="N/A - From RDC"/>
    <s v="Truck"/>
    <m/>
    <d v="2014-02-28T00:00:00"/>
    <d v="2014-03-07T00:00:00"/>
    <d v="2014-03-12T00:00:00"/>
    <x v="39"/>
    <s v="Lamivudine/Tenofovir Disoproxil Fumarate"/>
    <s v="Generic"/>
    <s v="300/300mg"/>
    <s v="Tablet - FDC"/>
    <n v="30"/>
    <n v="40800"/>
    <n v="191760"/>
    <n v="4.7"/>
    <n v="0.16"/>
    <n v="4187"/>
    <n v="16821.66"/>
    <n v="0"/>
    <x v="7"/>
  </r>
  <r>
    <n v="83217"/>
    <s v="SO-46480"/>
    <x v="863"/>
    <x v="1"/>
    <s v="ARV"/>
    <s v="Adult"/>
    <s v="SCMS from RDC"/>
    <x v="1"/>
    <s v="N/A - From RDC"/>
    <s v="Truck"/>
    <m/>
    <d v="2014-03-28T00:00:00"/>
    <d v="2014-04-02T00:00:00"/>
    <d v="2014-04-14T00:00:00"/>
    <x v="46"/>
    <s v="Efavirenz/Lamivudine/Tenofovir Disoproxil Fumarate"/>
    <s v="Generic"/>
    <s v="600/300/300mg"/>
    <s v="Tablet - FDC"/>
    <n v="30"/>
    <n v="50000"/>
    <n v="543500"/>
    <n v="10.87"/>
    <n v="0.36"/>
    <n v="22442"/>
    <n v="12995.06"/>
    <n v="0"/>
    <x v="7"/>
  </r>
  <r>
    <n v="83218"/>
    <s v="SO-46480"/>
    <x v="863"/>
    <x v="1"/>
    <s v="ARV"/>
    <s v="Adult"/>
    <s v="SCMS from RDC"/>
    <x v="1"/>
    <s v="N/A - From RDC"/>
    <s v="Truck"/>
    <m/>
    <d v="2014-03-28T00:00:00"/>
    <d v="2014-04-02T00:00:00"/>
    <d v="2014-04-14T00:00:00"/>
    <x v="39"/>
    <s v="Lamivudine/Tenofovir Disoproxil Fumarate"/>
    <s v="Generic"/>
    <s v="300/300mg"/>
    <s v="Tablet - FDC"/>
    <n v="30"/>
    <n v="68517"/>
    <n v="322029.90000000002"/>
    <n v="4.7"/>
    <n v="0.16"/>
    <m/>
    <m/>
    <n v="0"/>
    <x v="7"/>
  </r>
  <r>
    <n v="83219"/>
    <s v="SO-47100"/>
    <x v="864"/>
    <x v="5"/>
    <s v="ARV"/>
    <s v="Adult"/>
    <s v="SCMS from RDC"/>
    <x v="1"/>
    <s v="N/A - From RDC"/>
    <s v="Air"/>
    <m/>
    <d v="2014-03-31T00:00:00"/>
    <d v="2014-03-21T00:00:00"/>
    <d v="2014-03-26T00:00:00"/>
    <x v="39"/>
    <s v="Lamivudine/Tenofovir Disoproxil Fumarate"/>
    <s v="Generic"/>
    <s v="300/300mg"/>
    <s v="Tablet - FDC"/>
    <n v="30"/>
    <n v="1447"/>
    <n v="6800.9"/>
    <n v="4.7"/>
    <n v="0.16"/>
    <n v="592"/>
    <n v="6169"/>
    <n v="1"/>
    <x v="7"/>
  </r>
  <r>
    <n v="83220"/>
    <s v="SO-47100"/>
    <x v="864"/>
    <x v="5"/>
    <s v="ARV"/>
    <s v="Adult"/>
    <s v="SCMS from RDC"/>
    <x v="1"/>
    <s v="N/A - From RDC"/>
    <s v="Air"/>
    <m/>
    <d v="2014-03-31T00:00:00"/>
    <d v="2014-03-21T00:00:00"/>
    <d v="2014-03-26T00:00:00"/>
    <x v="46"/>
    <s v="Efavirenz/Lamivudine/Tenofovir Disoproxil Fumarate"/>
    <s v="Generic"/>
    <s v="600/300/300mg"/>
    <s v="Tablet - FDC"/>
    <n v="30"/>
    <n v="1278"/>
    <n v="13891.86"/>
    <n v="10.87"/>
    <n v="0.36"/>
    <m/>
    <m/>
    <n v="1"/>
    <x v="7"/>
  </r>
  <r>
    <n v="83221"/>
    <s v="SO-47100"/>
    <x v="864"/>
    <x v="5"/>
    <s v="ARV"/>
    <s v="Pediatric"/>
    <s v="SCMS from RDC"/>
    <x v="1"/>
    <s v="N/A - From RDC"/>
    <s v="Air"/>
    <m/>
    <d v="2014-03-31T00:00:00"/>
    <d v="2014-03-21T00:00:00"/>
    <d v="2014-03-26T00:00:00"/>
    <x v="57"/>
    <s v="Lamivudine/Nevirapine/Zidovudine"/>
    <s v="Generic"/>
    <s v="30/50/60mg"/>
    <s v="Chewable/dispersible tablet - FDC"/>
    <n v="60"/>
    <n v="549"/>
    <n v="2058.75"/>
    <n v="3.75"/>
    <n v="0.06"/>
    <m/>
    <m/>
    <n v="1"/>
    <x v="7"/>
  </r>
  <r>
    <n v="83227"/>
    <s v="SO-46670"/>
    <x v="865"/>
    <x v="0"/>
    <s v="ARV"/>
    <s v="Pediatric"/>
    <s v="SCMS from RDC"/>
    <x v="1"/>
    <s v="N/A - From RDC"/>
    <s v="Truck"/>
    <m/>
    <d v="2014-04-08T00:00:00"/>
    <d v="2014-04-08T00:00:00"/>
    <d v="2014-04-14T00:00:00"/>
    <x v="57"/>
    <s v="Lamivudine/Nevirapine/Zidovudine"/>
    <s v="Generic"/>
    <s v="30/50/60mg"/>
    <s v="Chewable/dispersible tablet - FDC"/>
    <n v="60"/>
    <n v="102980"/>
    <n v="386175"/>
    <n v="3.75"/>
    <n v="0.06"/>
    <n v="5687"/>
    <n v="6010.2"/>
    <n v="1"/>
    <x v="7"/>
  </r>
  <r>
    <n v="83228"/>
    <s v="SO-46861"/>
    <x v="866"/>
    <x v="3"/>
    <s v="ARV"/>
    <s v="Adult"/>
    <s v="SCMS from RDC"/>
    <x v="1"/>
    <s v="N/A - From RDC"/>
    <s v="Truck"/>
    <m/>
    <d v="2014-07-04T00:00:00"/>
    <d v="2014-07-15T00:00:00"/>
    <d v="2014-07-16T00:00:00"/>
    <x v="46"/>
    <s v="Efavirenz/Lamivudine/Tenofovir Disoproxil Fumarate"/>
    <s v="Generic"/>
    <s v="600/300/300mg"/>
    <s v="Tablet - FDC"/>
    <n v="30"/>
    <n v="30874"/>
    <n v="344245.1"/>
    <n v="11.15"/>
    <n v="0.37"/>
    <n v="4133"/>
    <n v="24362.92"/>
    <n v="0"/>
    <x v="7"/>
  </r>
  <r>
    <n v="83229"/>
    <s v="SO-48170"/>
    <x v="867"/>
    <x v="1"/>
    <s v="ARV"/>
    <s v="Pediatric"/>
    <s v="SCMS from RDC"/>
    <x v="1"/>
    <s v="N/A - From RDC"/>
    <s v="Truck"/>
    <m/>
    <d v="2014-05-20T00:00:00"/>
    <d v="2014-03-04T00:00:00"/>
    <d v="2014-06-04T00:00:00"/>
    <x v="43"/>
    <s v="Nevirapine"/>
    <s v="Generic"/>
    <s v="10mg/ml"/>
    <s v="Oral suspension"/>
    <n v="240"/>
    <n v="2216"/>
    <n v="4121.76"/>
    <n v="1.86"/>
    <n v="0.01"/>
    <n v="1412"/>
    <n v="4609.68"/>
    <n v="1"/>
    <x v="7"/>
  </r>
  <r>
    <n v="83231"/>
    <s v="SO-45393"/>
    <x v="868"/>
    <x v="1"/>
    <s v="ARV"/>
    <s v="Adult"/>
    <s v="SCMS from RDC"/>
    <x v="1"/>
    <s v="N/A - From RDC"/>
    <s v="Truck"/>
    <m/>
    <d v="2014-05-06T00:00:00"/>
    <d v="2014-05-06T00:00:00"/>
    <d v="2014-06-20T00:00:00"/>
    <x v="0"/>
    <s v="Nevirapine"/>
    <s v="Generic"/>
    <s v="200mg"/>
    <s v="Tablet"/>
    <n v="60"/>
    <n v="24436"/>
    <n v="55225.36"/>
    <n v="2.2599999999999998"/>
    <n v="0.04"/>
    <n v="2342"/>
    <n v="5445.73"/>
    <n v="1"/>
    <x v="7"/>
  </r>
  <r>
    <n v="83249"/>
    <s v="SO-46005"/>
    <x v="869"/>
    <x v="0"/>
    <s v="ARV"/>
    <s v="Adult"/>
    <s v="SCMS from RDC"/>
    <x v="1"/>
    <s v="N/A - From RDC"/>
    <s v="Truck"/>
    <m/>
    <d v="2014-06-30T00:00:00"/>
    <d v="2014-06-24T00:00:00"/>
    <d v="2014-07-01T00:00:00"/>
    <x v="14"/>
    <s v="Lopinavir/Ritonavir"/>
    <s v="Aluvia"/>
    <s v="200/50mg"/>
    <s v="Tablet"/>
    <n v="120"/>
    <n v="10724"/>
    <n v="202683.6"/>
    <n v="18.899999999999999"/>
    <n v="0.16"/>
    <n v="2209"/>
    <n v="2994.63"/>
    <n v="1"/>
    <x v="7"/>
  </r>
  <r>
    <n v="83263"/>
    <s v="SO-46730"/>
    <x v="870"/>
    <x v="0"/>
    <s v="ARV"/>
    <s v="Pediatric"/>
    <s v="SCMS from RDC"/>
    <x v="1"/>
    <s v="N/A - From RDC"/>
    <s v="Truck"/>
    <m/>
    <d v="2014-08-29T00:00:00"/>
    <d v="2014-08-27T00:00:00"/>
    <d v="2014-09-23T00:00:00"/>
    <x v="73"/>
    <s v="Lamivudine/Zidovudine"/>
    <s v="Generic"/>
    <s v="30/60mg"/>
    <s v="Tablet - FDC"/>
    <n v="60"/>
    <n v="15639"/>
    <n v="31121.61"/>
    <n v="1.99"/>
    <n v="0.03"/>
    <n v="590"/>
    <n v="5399.25"/>
    <n v="1"/>
    <x v="7"/>
  </r>
  <r>
    <n v="83277"/>
    <s v="SO-48780"/>
    <x v="871"/>
    <x v="1"/>
    <s v="ARV"/>
    <s v="Pediatric"/>
    <s v="SCMS from RDC"/>
    <x v="1"/>
    <s v="N/A - From RDC"/>
    <s v="Air"/>
    <m/>
    <d v="2014-10-31T00:00:00"/>
    <d v="2014-09-24T00:00:00"/>
    <d v="2014-09-25T00:00:00"/>
    <x v="57"/>
    <s v="Lamivudine/Nevirapine/Zidovudine"/>
    <s v="Generic"/>
    <s v="30/50/60mg"/>
    <s v="Chewable/dispersible tablet - FDC"/>
    <n v="60"/>
    <n v="2196"/>
    <n v="8235"/>
    <n v="3.75"/>
    <n v="0.06"/>
    <n v="98"/>
    <n v="993.2"/>
    <n v="1"/>
    <x v="7"/>
  </r>
  <r>
    <n v="83278"/>
    <s v="SO-47654"/>
    <x v="872"/>
    <x v="0"/>
    <s v="ARV"/>
    <s v="Pediatric"/>
    <s v="SCMS from RDC"/>
    <x v="1"/>
    <s v="N/A - From RDC"/>
    <s v="Truck"/>
    <m/>
    <d v="2014-10-31T00:00:00"/>
    <d v="2014-10-22T00:00:00"/>
    <d v="2014-11-04T00:00:00"/>
    <x v="42"/>
    <s v="Lamivudine/Zidovudine"/>
    <s v="Generic"/>
    <s v="30/60mg"/>
    <s v="Chewable/dispersible tablet - FDC"/>
    <n v="60"/>
    <n v="11688"/>
    <n v="25129.200000000001"/>
    <n v="2.15"/>
    <n v="0.04"/>
    <n v="1673"/>
    <n v="5364.61"/>
    <n v="1"/>
    <x v="7"/>
  </r>
  <r>
    <n v="83288"/>
    <s v="SO-48970"/>
    <x v="762"/>
    <x v="3"/>
    <s v="ARV"/>
    <s v="Pediatric"/>
    <s v="SCMS from RDC"/>
    <x v="1"/>
    <s v="N/A - From RDC"/>
    <s v="Truck"/>
    <m/>
    <d v="2014-11-28T00:00:00"/>
    <d v="2014-12-03T00:00:00"/>
    <d v="2014-12-04T00:00:00"/>
    <x v="76"/>
    <s v="Abacavir/Lamivudine"/>
    <s v="Generic"/>
    <s v="60/30mg"/>
    <s v="Tablet - FDC"/>
    <n v="60"/>
    <n v="9308"/>
    <n v="38069.72"/>
    <n v="4.09"/>
    <n v="7.0000000000000007E-2"/>
    <m/>
    <m/>
    <n v="0"/>
    <x v="7"/>
  </r>
  <r>
    <n v="83291"/>
    <s v="SO-48993"/>
    <x v="873"/>
    <x v="3"/>
    <s v="ARV"/>
    <s v="Adult"/>
    <s v="SCMS from RDC"/>
    <x v="1"/>
    <s v="N/A - From RDC"/>
    <s v="Truck"/>
    <m/>
    <d v="2015-02-16T00:00:00"/>
    <d v="2015-01-24T00:00:00"/>
    <d v="2015-02-03T00:00:00"/>
    <x v="46"/>
    <s v="Efavirenz/Lamivudine/Tenofovir Disoproxil Fumarate"/>
    <s v="Generic"/>
    <s v="600/300/300mg"/>
    <s v="Tablet - FDC"/>
    <n v="30"/>
    <n v="29247"/>
    <n v="315282.65999999997"/>
    <n v="10.78"/>
    <n v="0.36"/>
    <n v="5324"/>
    <n v="8248.2800000000007"/>
    <n v="1"/>
    <x v="8"/>
  </r>
  <r>
    <n v="83292"/>
    <s v="SO-48993"/>
    <x v="873"/>
    <x v="3"/>
    <s v="ARV"/>
    <s v="Pediatric"/>
    <s v="SCMS from RDC"/>
    <x v="1"/>
    <s v="N/A - From RDC"/>
    <s v="Truck"/>
    <m/>
    <d v="2015-02-16T00:00:00"/>
    <d v="2015-01-24T00:00:00"/>
    <d v="2015-02-03T00:00:00"/>
    <x v="76"/>
    <s v="Abacavir/Lamivudine"/>
    <s v="Generic"/>
    <s v="60/30mg"/>
    <s v="Tablet - FDC"/>
    <n v="60"/>
    <n v="276"/>
    <n v="1128.8399999999999"/>
    <n v="4.09"/>
    <n v="7.0000000000000007E-2"/>
    <m/>
    <m/>
    <n v="1"/>
    <x v="8"/>
  </r>
  <r>
    <n v="83293"/>
    <s v="SO-49952"/>
    <x v="874"/>
    <x v="1"/>
    <s v="ARV"/>
    <s v="Pediatric"/>
    <s v="SCMS from RDC"/>
    <x v="1"/>
    <s v="N/A - From RDC"/>
    <s v="Truck"/>
    <m/>
    <d v="2015-01-14T00:00:00"/>
    <d v="2014-12-24T00:00:00"/>
    <d v="2014-12-31T00:00:00"/>
    <x v="79"/>
    <s v="Abacavir/Lamivudine"/>
    <s v="Generic"/>
    <s v="60/30mg"/>
    <s v="Chewable/dispersible tablet - FDC"/>
    <n v="60"/>
    <n v="6030"/>
    <n v="30692.7"/>
    <n v="5.09"/>
    <n v="0.08"/>
    <n v="542"/>
    <n v="4649.71"/>
    <n v="1"/>
    <x v="7"/>
  </r>
  <r>
    <n v="83300"/>
    <s v="SO-49950"/>
    <x v="767"/>
    <x v="1"/>
    <s v="ARV"/>
    <s v="Pediatric"/>
    <s v="SCMS from RDC"/>
    <x v="1"/>
    <s v="N/A - From RDC"/>
    <s v="Truck"/>
    <m/>
    <d v="2015-01-30T00:00:00"/>
    <d v="2015-02-09T00:00:00"/>
    <d v="2015-02-20T00:00:00"/>
    <x v="79"/>
    <s v="Abacavir/Lamivudine"/>
    <s v="Generic"/>
    <s v="60/30mg"/>
    <s v="Chewable/dispersible tablet - FDC"/>
    <n v="60"/>
    <n v="1296"/>
    <n v="6596.64"/>
    <n v="5.09"/>
    <n v="0.08"/>
    <m/>
    <m/>
    <n v="0"/>
    <x v="8"/>
  </r>
  <r>
    <n v="83301"/>
    <s v="SO-48812"/>
    <x v="875"/>
    <x v="1"/>
    <s v="ARV"/>
    <s v="Adult"/>
    <s v="SCMS from RDC"/>
    <x v="1"/>
    <s v="N/A - From RDC"/>
    <s v="Truck"/>
    <m/>
    <d v="2015-02-27T00:00:00"/>
    <d v="2015-02-28T00:00:00"/>
    <d v="2015-03-05T00:00:00"/>
    <x v="0"/>
    <s v="Nevirapine"/>
    <s v="Generic"/>
    <s v="200mg"/>
    <s v="Tablet"/>
    <n v="60"/>
    <n v="157062"/>
    <n v="347107.02"/>
    <n v="2.21"/>
    <n v="0.04"/>
    <n v="15302"/>
    <n v="12757"/>
    <n v="0"/>
    <x v="8"/>
  </r>
  <r>
    <n v="83305"/>
    <s v="SO-50640"/>
    <x v="876"/>
    <x v="3"/>
    <s v="ARV"/>
    <s v="Adult"/>
    <s v="SCMS from RDC"/>
    <x v="1"/>
    <s v="N/A - From RDC"/>
    <s v="Truck"/>
    <m/>
    <d v="2015-02-27T00:00:00"/>
    <d v="2015-02-25T00:00:00"/>
    <d v="2015-03-05T00:00:00"/>
    <x v="14"/>
    <s v="Lopinavir/Ritonavir"/>
    <s v="Aluvia"/>
    <s v="200/50mg"/>
    <s v="Tablet"/>
    <n v="120"/>
    <n v="9833"/>
    <n v="185843.7"/>
    <n v="18.899999999999999"/>
    <n v="0.16"/>
    <n v="2033"/>
    <n v="9482.19"/>
    <n v="1"/>
    <x v="8"/>
  </r>
  <r>
    <n v="83308"/>
    <s v="SO-49970"/>
    <x v="877"/>
    <x v="1"/>
    <s v="ARV"/>
    <s v="Pediatric"/>
    <s v="SCMS from RDC"/>
    <x v="1"/>
    <s v="N/A - From RDC"/>
    <s v="Truck"/>
    <m/>
    <d v="2015-02-27T00:00:00"/>
    <d v="2015-02-25T00:00:00"/>
    <d v="2015-03-05T00:00:00"/>
    <x v="51"/>
    <s v="Efavirenz"/>
    <s v="Generic"/>
    <s v="200mg"/>
    <s v="Tablet"/>
    <n v="90"/>
    <n v="2021"/>
    <n v="18795.3"/>
    <n v="9.3000000000000007"/>
    <n v="0.1"/>
    <n v="132"/>
    <n v="1142"/>
    <n v="1"/>
    <x v="8"/>
  </r>
  <r>
    <n v="83322"/>
    <s v="SO-48813"/>
    <x v="878"/>
    <x v="1"/>
    <s v="ARV"/>
    <s v="Pediatric"/>
    <s v="SCMS from RDC"/>
    <x v="1"/>
    <s v="N/A - From RDC"/>
    <s v="Truck"/>
    <m/>
    <d v="2015-04-30T00:00:00"/>
    <d v="2015-03-27T00:00:00"/>
    <d v="2015-04-07T00:00:00"/>
    <x v="24"/>
    <s v="Abacavir"/>
    <s v="Generic"/>
    <s v="20mg/ml"/>
    <s v="Oral solution"/>
    <n v="240"/>
    <n v="503"/>
    <n v="3435.49"/>
    <n v="6.83"/>
    <n v="0.03"/>
    <m/>
    <m/>
    <n v="1"/>
    <x v="8"/>
  </r>
  <r>
    <n v="83326"/>
    <s v="SO-50050"/>
    <x v="879"/>
    <x v="3"/>
    <s v="ARV"/>
    <s v="Pediatric"/>
    <s v="SCMS from RDC"/>
    <x v="1"/>
    <s v="N/A - From RDC"/>
    <s v="Truck"/>
    <m/>
    <d v="2015-06-15T00:00:00"/>
    <d v="2015-05-14T00:00:00"/>
    <d v="2015-05-15T00:00:00"/>
    <x v="42"/>
    <s v="Lamivudine/Zidovudine"/>
    <s v="Generic"/>
    <s v="30/60mg"/>
    <s v="Chewable/dispersible tablet - FDC"/>
    <n v="60"/>
    <n v="7559"/>
    <n v="14513.28"/>
    <n v="1.92"/>
    <n v="0.03"/>
    <n v="21710"/>
    <n v="18500.5"/>
    <n v="1"/>
    <x v="8"/>
  </r>
  <r>
    <n v="83335"/>
    <s v="SO-50054"/>
    <x v="880"/>
    <x v="3"/>
    <s v="ARV"/>
    <s v="Adult"/>
    <s v="SCMS from RDC"/>
    <x v="1"/>
    <s v="N/A - From RDC"/>
    <s v="Truck"/>
    <m/>
    <d v="2015-06-15T00:00:00"/>
    <d v="2015-06-04T00:00:00"/>
    <d v="2015-06-15T00:00:00"/>
    <x v="39"/>
    <s v="Lamivudine/Tenofovir Disoproxil Fumarate"/>
    <s v="Generic"/>
    <s v="300/300mg"/>
    <s v="Tablet - FDC"/>
    <n v="30"/>
    <n v="41258"/>
    <n v="190611.96"/>
    <n v="4.62"/>
    <n v="0.15"/>
    <n v="4964"/>
    <n v="6126.12"/>
    <n v="1"/>
    <x v="8"/>
  </r>
  <r>
    <n v="83342"/>
    <s v="SO-51460"/>
    <x v="881"/>
    <x v="5"/>
    <s v="ARV"/>
    <s v="Adult"/>
    <s v="SCMS from RDC"/>
    <x v="1"/>
    <s v="N/A - From RDC"/>
    <s v="Air"/>
    <m/>
    <d v="2015-06-25T00:00:00"/>
    <d v="2015-06-19T00:00:00"/>
    <d v="2015-06-23T00:00:00"/>
    <x v="11"/>
    <s v="Lamivudine/Nevirapine/Zidovudine"/>
    <s v="Generic"/>
    <s v="150/300/200mg"/>
    <s v="Tablet - FDC"/>
    <n v="60"/>
    <n v="18600"/>
    <n v="150846"/>
    <n v="8.11"/>
    <n v="0.14000000000000001"/>
    <m/>
    <m/>
    <n v="1"/>
    <x v="8"/>
  </r>
  <r>
    <n v="83347"/>
    <s v="SO-50660"/>
    <x v="775"/>
    <x v="3"/>
    <s v="ARV"/>
    <s v="Adult"/>
    <s v="SCMS from RDC"/>
    <x v="1"/>
    <s v="N/A - From RDC"/>
    <s v="Truck"/>
    <m/>
    <d v="2015-07-31T00:00:00"/>
    <d v="2015-07-23T00:00:00"/>
    <d v="2015-07-23T00:00:00"/>
    <x v="11"/>
    <s v="Lamivudine/Nevirapine/Zidovudine"/>
    <s v="Generic"/>
    <s v="150/300/200mg"/>
    <s v="Tablet - FDC"/>
    <n v="60"/>
    <n v="88392"/>
    <n v="716859.12"/>
    <n v="8.11"/>
    <n v="0.14000000000000001"/>
    <m/>
    <m/>
    <n v="1"/>
    <x v="8"/>
  </r>
  <r>
    <n v="83349"/>
    <s v="SO-51540"/>
    <x v="882"/>
    <x v="1"/>
    <s v="ARV"/>
    <s v="Adult"/>
    <s v="SCMS from RDC"/>
    <x v="1"/>
    <s v="N/A - From RDC"/>
    <s v="Air"/>
    <m/>
    <d v="2015-08-18T00:00:00"/>
    <d v="2015-08-06T00:00:00"/>
    <d v="2015-08-11T00:00:00"/>
    <x v="11"/>
    <s v="Lamivudine/Nevirapine/Zidovudine"/>
    <s v="Generic"/>
    <s v="150/300/200mg"/>
    <s v="Tablet - FDC"/>
    <n v="60"/>
    <n v="1479"/>
    <n v="11994.69"/>
    <n v="8.11"/>
    <n v="0.14000000000000001"/>
    <m/>
    <m/>
    <n v="1"/>
    <x v="8"/>
  </r>
  <r>
    <n v="83375"/>
    <s v="SO-34160"/>
    <x v="883"/>
    <x v="3"/>
    <s v="ARV"/>
    <s v="Adult"/>
    <s v="SCMS from RDC"/>
    <x v="1"/>
    <s v="N/A - From RDC"/>
    <s v="Air"/>
    <m/>
    <d v="2009-11-20T00:00:00"/>
    <d v="2009-11-10T00:00:00"/>
    <d v="2009-11-10T00:00:00"/>
    <x v="39"/>
    <s v="Lamivudine/Tenofovir Disoproxil Fumarate"/>
    <s v="Generic"/>
    <s v="300/300mg"/>
    <s v="Tablet - FDC"/>
    <n v="30"/>
    <n v="200"/>
    <n v="2000"/>
    <n v="10"/>
    <n v="0.33"/>
    <n v="44"/>
    <n v="1483.39"/>
    <n v="1"/>
    <x v="3"/>
  </r>
  <r>
    <n v="83378"/>
    <s v="SO-34020"/>
    <x v="884"/>
    <x v="3"/>
    <s v="ARV"/>
    <s v="Adult"/>
    <s v="SCMS from RDC"/>
    <x v="1"/>
    <s v="N/A - From RDC"/>
    <s v="Air"/>
    <m/>
    <d v="2009-11-30T00:00:00"/>
    <d v="2009-11-25T00:00:00"/>
    <d v="2009-11-25T00:00:00"/>
    <x v="13"/>
    <s v="Lamivudine/Nevirapine/Stavudine"/>
    <s v="Generic"/>
    <s v="150/200/30mg"/>
    <s v="Tablet - FDC"/>
    <n v="60"/>
    <n v="1760"/>
    <n v="12320"/>
    <n v="7"/>
    <n v="0.12"/>
    <n v="133"/>
    <n v="2450.89"/>
    <n v="1"/>
    <x v="3"/>
  </r>
  <r>
    <n v="83379"/>
    <s v="SO-33860"/>
    <x v="778"/>
    <x v="3"/>
    <s v="ARV"/>
    <s v="Adult"/>
    <s v="SCMS from RDC"/>
    <x v="1"/>
    <s v="N/A - From RDC"/>
    <s v="Air"/>
    <m/>
    <d v="2009-12-03T00:00:00"/>
    <d v="2009-11-30T00:00:00"/>
    <d v="2009-11-30T00:00:00"/>
    <x v="11"/>
    <s v="Lamivudine/Nevirapine/Zidovudine"/>
    <s v="Generic"/>
    <s v="150/300/200mg"/>
    <s v="Tablet - FDC"/>
    <n v="60"/>
    <n v="29254"/>
    <n v="328229.88"/>
    <n v="11.22"/>
    <n v="0.19"/>
    <m/>
    <m/>
    <n v="1"/>
    <x v="3"/>
  </r>
  <r>
    <n v="83382"/>
    <s v="SO-34610"/>
    <x v="885"/>
    <x v="3"/>
    <s v="ARV"/>
    <s v="Adult"/>
    <s v="SCMS from RDC"/>
    <x v="1"/>
    <s v="N/A - From RDC"/>
    <s v="Air"/>
    <m/>
    <d v="2009-11-30T00:00:00"/>
    <d v="2009-11-25T00:00:00"/>
    <d v="2009-11-25T00:00:00"/>
    <x v="39"/>
    <s v="Lamivudine/Tenofovir Disoproxil Fumarate"/>
    <s v="Generic"/>
    <s v="300/300mg"/>
    <s v="Tablet - FDC"/>
    <n v="30"/>
    <n v="3760"/>
    <n v="37600"/>
    <n v="10"/>
    <n v="0.33"/>
    <n v="315"/>
    <n v="5254.17"/>
    <n v="1"/>
    <x v="3"/>
  </r>
  <r>
    <n v="83386"/>
    <s v="SO-33970"/>
    <x v="886"/>
    <x v="3"/>
    <s v="ARV"/>
    <s v="Adult"/>
    <s v="SCMS from RDC"/>
    <x v="1"/>
    <s v="N/A - From RDC"/>
    <s v="Air"/>
    <m/>
    <d v="2009-12-20T00:00:00"/>
    <d v="2009-11-26T00:00:00"/>
    <d v="2009-11-26T00:00:00"/>
    <x v="8"/>
    <s v="Efavirenz"/>
    <s v="Generic"/>
    <s v="600mg"/>
    <s v="Tablet"/>
    <n v="30"/>
    <n v="12100"/>
    <n v="69938"/>
    <n v="5.78"/>
    <n v="0.19"/>
    <n v="36"/>
    <n v="3602.34"/>
    <n v="1"/>
    <x v="3"/>
  </r>
  <r>
    <n v="83392"/>
    <s v="SO-34840"/>
    <x v="887"/>
    <x v="3"/>
    <s v="ARV"/>
    <s v="Adult"/>
    <s v="SCMS from RDC"/>
    <x v="1"/>
    <s v="N/A - From RDC"/>
    <s v="Air"/>
    <m/>
    <d v="2010-02-17T00:00:00"/>
    <d v="2009-12-23T00:00:00"/>
    <d v="2009-12-23T00:00:00"/>
    <x v="16"/>
    <s v="Lamivudine"/>
    <s v="Generic"/>
    <s v="150mg"/>
    <s v="Tablet"/>
    <n v="60"/>
    <n v="250"/>
    <n v="610"/>
    <n v="2.44"/>
    <n v="0.04"/>
    <n v="113"/>
    <n v="3504.8"/>
    <n v="1"/>
    <x v="3"/>
  </r>
  <r>
    <n v="83393"/>
    <s v="SO-35230"/>
    <x v="888"/>
    <x v="2"/>
    <s v="ARV"/>
    <s v="Adult"/>
    <s v="SCMS from RDC"/>
    <x v="1"/>
    <s v="N/A - From RDC"/>
    <s v="Air"/>
    <m/>
    <d v="2010-01-04T00:00:00"/>
    <d v="2009-12-08T00:00:00"/>
    <d v="2009-12-08T00:00:00"/>
    <x v="16"/>
    <s v="Lamivudine"/>
    <s v="Generic"/>
    <s v="150mg"/>
    <s v="Tablet"/>
    <n v="60"/>
    <n v="4893"/>
    <n v="11938.92"/>
    <n v="2.44"/>
    <n v="0.04"/>
    <n v="235"/>
    <n v="1326.89"/>
    <n v="1"/>
    <x v="3"/>
  </r>
  <r>
    <n v="83394"/>
    <s v="SO-35100"/>
    <x v="889"/>
    <x v="3"/>
    <s v="ARV"/>
    <s v="Adult"/>
    <s v="SCMS from RDC"/>
    <x v="1"/>
    <s v="N/A - From RDC"/>
    <s v="Air"/>
    <m/>
    <d v="2010-01-15T00:00:00"/>
    <d v="2010-01-11T00:00:00"/>
    <d v="2010-01-11T00:00:00"/>
    <x v="8"/>
    <s v="Efavirenz"/>
    <s v="Generic"/>
    <s v="600mg"/>
    <s v="Tablet"/>
    <n v="30"/>
    <n v="21563"/>
    <n v="124634.14"/>
    <n v="5.78"/>
    <n v="0.19"/>
    <n v="1864"/>
    <n v="8485"/>
    <n v="1"/>
    <x v="4"/>
  </r>
  <r>
    <n v="83402"/>
    <s v="SO-35760"/>
    <x v="890"/>
    <x v="0"/>
    <s v="ARV"/>
    <s v="Adult"/>
    <s v="SCMS from RDC"/>
    <x v="1"/>
    <s v="N/A - From RDC"/>
    <s v="Air"/>
    <m/>
    <d v="2010-04-14T00:00:00"/>
    <d v="2010-03-18T00:00:00"/>
    <d v="2010-03-18T00:00:00"/>
    <x v="35"/>
    <s v="Tenofovir Disoproxil Fumarate"/>
    <s v="Generic"/>
    <s v="300mg"/>
    <s v="Tablet"/>
    <n v="30"/>
    <n v="2448"/>
    <n v="20881.439999999999"/>
    <n v="8.5299999999999994"/>
    <n v="0.28000000000000003"/>
    <n v="178"/>
    <n v="1854.35"/>
    <n v="1"/>
    <x v="4"/>
  </r>
  <r>
    <n v="83412"/>
    <s v="SO-35660"/>
    <x v="666"/>
    <x v="3"/>
    <s v="ARV"/>
    <s v="Adult"/>
    <s v="SCMS from RDC"/>
    <x v="1"/>
    <s v="N/A - From RDC"/>
    <s v="Truck"/>
    <m/>
    <d v="2010-04-01T00:00:00"/>
    <d v="2010-03-25T00:00:00"/>
    <d v="2010-03-25T00:00:00"/>
    <x v="1"/>
    <s v="Lamivudine/Zidovudine"/>
    <s v="Generic"/>
    <s v="150/300mg"/>
    <s v="Tablet - FDC"/>
    <n v="60"/>
    <n v="118"/>
    <n v="1033.68"/>
    <n v="8.76"/>
    <n v="0.15"/>
    <m/>
    <m/>
    <n v="1"/>
    <x v="4"/>
  </r>
  <r>
    <n v="83413"/>
    <s v="SO-35960"/>
    <x v="891"/>
    <x v="3"/>
    <s v="ARV"/>
    <s v="Adult"/>
    <s v="SCMS from RDC"/>
    <x v="1"/>
    <s v="N/A - From RDC"/>
    <s v="Truck"/>
    <m/>
    <d v="2010-04-01T00:00:00"/>
    <d v="2010-03-25T00:00:00"/>
    <d v="2010-03-25T00:00:00"/>
    <x v="11"/>
    <s v="Lamivudine/Nevirapine/Zidovudine"/>
    <s v="Generic"/>
    <s v="150/300/200mg"/>
    <s v="Tablet - FDC"/>
    <n v="60"/>
    <n v="9000"/>
    <n v="100980"/>
    <n v="11.22"/>
    <n v="0.19"/>
    <n v="1055"/>
    <n v="2961"/>
    <n v="1"/>
    <x v="4"/>
  </r>
  <r>
    <n v="83423"/>
    <s v="SO-34940"/>
    <x v="892"/>
    <x v="3"/>
    <s v="ARV"/>
    <s v="Adult"/>
    <s v="SCMS from RDC"/>
    <x v="1"/>
    <s v="N/A - From RDC"/>
    <s v="Air"/>
    <m/>
    <d v="2010-05-03T00:00:00"/>
    <d v="2010-05-03T00:00:00"/>
    <d v="2010-05-03T00:00:00"/>
    <x v="8"/>
    <s v="Efavirenz"/>
    <s v="Generic"/>
    <s v="600mg"/>
    <s v="Tablet"/>
    <n v="30"/>
    <n v="2579"/>
    <n v="12250.25"/>
    <n v="4.75"/>
    <n v="0.16"/>
    <n v="358"/>
    <n v="2485.92"/>
    <n v="1"/>
    <x v="4"/>
  </r>
  <r>
    <n v="83427"/>
    <s v="SO-36650"/>
    <x v="893"/>
    <x v="2"/>
    <s v="ARV"/>
    <s v="Adult"/>
    <s v="SCMS from RDC"/>
    <x v="1"/>
    <s v="N/A - From RDC"/>
    <s v="Air"/>
    <m/>
    <d v="2010-07-02T00:00:00"/>
    <d v="2010-05-04T00:00:00"/>
    <d v="2010-05-04T00:00:00"/>
    <x v="29"/>
    <s v="Zidovudine"/>
    <s v="Generic"/>
    <s v="300mg"/>
    <s v="Tablet"/>
    <n v="60"/>
    <n v="5000"/>
    <n v="36050"/>
    <n v="7.21"/>
    <n v="0.12"/>
    <n v="276"/>
    <n v="2211.2199999999998"/>
    <n v="1"/>
    <x v="4"/>
  </r>
  <r>
    <n v="83428"/>
    <s v="SO-36042"/>
    <x v="894"/>
    <x v="0"/>
    <s v="ARV"/>
    <s v="Adult"/>
    <s v="SCMS from RDC"/>
    <x v="1"/>
    <s v="N/A - From RDC"/>
    <s v="Air"/>
    <m/>
    <d v="2010-07-21T00:00:00"/>
    <d v="2010-05-21T00:00:00"/>
    <d v="2010-05-21T00:00:00"/>
    <x v="0"/>
    <s v="Nevirapine"/>
    <s v="Generic"/>
    <s v="200mg"/>
    <s v="Tablet"/>
    <n v="60"/>
    <n v="40000"/>
    <n v="109200"/>
    <n v="2.73"/>
    <n v="0.05"/>
    <n v="6240"/>
    <n v="27922.62"/>
    <n v="1"/>
    <x v="4"/>
  </r>
  <r>
    <n v="83434"/>
    <s v="SO-36830"/>
    <x v="895"/>
    <x v="3"/>
    <s v="ARV"/>
    <s v="Adult"/>
    <s v="SCMS from RDC"/>
    <x v="1"/>
    <s v="N/A - From RDC"/>
    <s v="Air"/>
    <m/>
    <d v="2010-06-30T00:00:00"/>
    <d v="2010-06-22T00:00:00"/>
    <d v="2010-06-22T00:00:00"/>
    <x v="11"/>
    <s v="Lamivudine/Nevirapine/Zidovudine"/>
    <s v="Generic"/>
    <s v="150/300/200mg"/>
    <s v="Tablet - FDC"/>
    <n v="60"/>
    <n v="15000"/>
    <n v="168300"/>
    <n v="11.22"/>
    <n v="0.19"/>
    <n v="1943"/>
    <n v="6299.45"/>
    <n v="1"/>
    <x v="4"/>
  </r>
  <r>
    <n v="83443"/>
    <s v="SO-36131"/>
    <x v="896"/>
    <x v="3"/>
    <s v="ARV"/>
    <s v="Adult"/>
    <s v="SCMS from RDC"/>
    <x v="1"/>
    <s v="N/A - From RDC"/>
    <s v="Air"/>
    <m/>
    <d v="2010-08-04T00:00:00"/>
    <d v="2010-07-19T00:00:00"/>
    <d v="2010-07-19T00:00:00"/>
    <x v="70"/>
    <s v="Emtricitabine/Tenofovir Disoproxil Fumarate"/>
    <s v="Generic"/>
    <s v="200/300mg"/>
    <s v="Tablet - FDC"/>
    <n v="30"/>
    <n v="703"/>
    <n v="8260.25"/>
    <n v="11.75"/>
    <n v="0.39"/>
    <n v="301"/>
    <n v="4758.3599999999997"/>
    <n v="1"/>
    <x v="4"/>
  </r>
  <r>
    <n v="83444"/>
    <s v="SO-36070"/>
    <x v="897"/>
    <x v="3"/>
    <s v="ARV"/>
    <s v="Adult"/>
    <s v="SCMS from RDC"/>
    <x v="1"/>
    <s v="N/A - From RDC"/>
    <s v="Air"/>
    <m/>
    <d v="2010-08-04T00:00:00"/>
    <d v="2010-08-02T00:00:00"/>
    <d v="2010-08-02T00:00:00"/>
    <x v="11"/>
    <s v="Lamivudine/Nevirapine/Zidovudine"/>
    <s v="Generic"/>
    <s v="150/300/200mg"/>
    <s v="Tablet - FDC"/>
    <n v="60"/>
    <n v="8000"/>
    <n v="89760"/>
    <n v="11.22"/>
    <n v="0.19"/>
    <n v="1642"/>
    <n v="15347.04"/>
    <n v="1"/>
    <x v="4"/>
  </r>
  <r>
    <n v="83446"/>
    <s v="SO-37102"/>
    <x v="791"/>
    <x v="2"/>
    <s v="ARV"/>
    <s v="Adult"/>
    <s v="SCMS from RDC"/>
    <x v="1"/>
    <s v="N/A - From RDC"/>
    <s v="Air"/>
    <m/>
    <d v="2010-09-21T00:00:00"/>
    <d v="2010-07-14T00:00:00"/>
    <d v="2010-07-14T00:00:00"/>
    <x v="13"/>
    <s v="Lamivudine/Nevirapine/Stavudine"/>
    <s v="Generic"/>
    <s v="150/200/30mg"/>
    <s v="Tablet - FDC"/>
    <n v="60"/>
    <n v="3439"/>
    <n v="19705.47"/>
    <n v="5.73"/>
    <n v="0.1"/>
    <m/>
    <m/>
    <n v="1"/>
    <x v="4"/>
  </r>
  <r>
    <n v="83454"/>
    <s v="SO-36230"/>
    <x v="898"/>
    <x v="3"/>
    <s v="ARV"/>
    <s v="Adult"/>
    <s v="SCMS from RDC"/>
    <x v="1"/>
    <s v="N/A - From RDC"/>
    <s v="Air"/>
    <m/>
    <d v="2010-09-03T00:00:00"/>
    <d v="2010-08-27T00:00:00"/>
    <d v="2010-08-27T00:00:00"/>
    <x v="70"/>
    <s v="Emtricitabine/Tenofovir Disoproxil Fumarate"/>
    <s v="Generic"/>
    <s v="200/300mg"/>
    <s v="Tablet - FDC"/>
    <n v="30"/>
    <n v="650"/>
    <n v="7637.5"/>
    <n v="11.75"/>
    <n v="0.39"/>
    <n v="61"/>
    <n v="536.02"/>
    <n v="1"/>
    <x v="4"/>
  </r>
  <r>
    <n v="83459"/>
    <s v="SO-37480"/>
    <x v="899"/>
    <x v="3"/>
    <s v="ARV"/>
    <s v="Adult"/>
    <s v="SCMS from RDC"/>
    <x v="1"/>
    <s v="N/A - From RDC"/>
    <s v="Air"/>
    <m/>
    <d v="2010-10-20T00:00:00"/>
    <d v="2010-10-26T00:00:00"/>
    <d v="2010-10-26T00:00:00"/>
    <x v="13"/>
    <s v="Lamivudine/Nevirapine/Stavudine"/>
    <s v="Generic"/>
    <s v="150/200/30mg"/>
    <s v="Tablet - FDC"/>
    <n v="60"/>
    <n v="1193"/>
    <n v="6835.89"/>
    <n v="5.73"/>
    <n v="0.1"/>
    <n v="144"/>
    <n v="1413.56"/>
    <n v="0"/>
    <x v="4"/>
  </r>
  <r>
    <n v="83466"/>
    <s v="SO-37550"/>
    <x v="900"/>
    <x v="3"/>
    <s v="ARV"/>
    <s v="Adult"/>
    <s v="SCMS from RDC"/>
    <x v="1"/>
    <s v="N/A - From RDC"/>
    <s v="Truck"/>
    <m/>
    <d v="2010-12-02T00:00:00"/>
    <d v="2010-12-02T00:00:00"/>
    <d v="2010-12-02T00:00:00"/>
    <x v="8"/>
    <s v="Efavirenz"/>
    <s v="Generic"/>
    <s v="600mg"/>
    <s v="Tablet"/>
    <n v="30"/>
    <n v="99404"/>
    <n v="449306.08"/>
    <n v="4.5199999999999996"/>
    <n v="0.15"/>
    <n v="6960"/>
    <n v="29545.05"/>
    <n v="1"/>
    <x v="4"/>
  </r>
  <r>
    <n v="83467"/>
    <s v="SO-37680"/>
    <x v="901"/>
    <x v="3"/>
    <s v="ARV"/>
    <s v="Adult"/>
    <s v="SCMS from RDC"/>
    <x v="1"/>
    <s v="N/A - From RDC"/>
    <s v="Air"/>
    <m/>
    <d v="2010-12-02T00:00:00"/>
    <d v="2010-11-29T00:00:00"/>
    <d v="2010-11-29T00:00:00"/>
    <x v="0"/>
    <s v="Nevirapine"/>
    <s v="Generic"/>
    <s v="200mg"/>
    <s v="Tablet"/>
    <n v="60"/>
    <n v="3690"/>
    <n v="9815.4"/>
    <n v="2.66"/>
    <n v="0.04"/>
    <n v="214"/>
    <n v="5166.3900000000003"/>
    <n v="1"/>
    <x v="4"/>
  </r>
  <r>
    <n v="83476"/>
    <s v="SO-38100"/>
    <x v="902"/>
    <x v="2"/>
    <s v="ARV"/>
    <s v="Adult"/>
    <s v="SCMS from RDC"/>
    <x v="1"/>
    <s v="N/A - From RDC"/>
    <s v="Air"/>
    <m/>
    <d v="2010-12-15T00:00:00"/>
    <d v="2010-12-09T00:00:00"/>
    <d v="2010-12-09T00:00:00"/>
    <x v="35"/>
    <s v="Tenofovir Disoproxil Fumarate"/>
    <s v="Generic"/>
    <s v="300mg"/>
    <s v="Tablet"/>
    <n v="30"/>
    <n v="1440"/>
    <n v="10512"/>
    <n v="7.3"/>
    <n v="0.24"/>
    <n v="88"/>
    <n v="1842.95"/>
    <n v="1"/>
    <x v="4"/>
  </r>
  <r>
    <n v="83477"/>
    <s v="SO-37530"/>
    <x v="903"/>
    <x v="3"/>
    <s v="ARV"/>
    <s v="Adult"/>
    <s v="SCMS from RDC"/>
    <x v="1"/>
    <s v="N/A - From RDC"/>
    <s v="Truck"/>
    <m/>
    <d v="2010-12-31T00:00:00"/>
    <d v="2010-12-23T00:00:00"/>
    <d v="2010-12-23T00:00:00"/>
    <x v="11"/>
    <s v="Lamivudine/Nevirapine/Zidovudine"/>
    <s v="Generic"/>
    <s v="150/300/200mg"/>
    <s v="Tablet - FDC"/>
    <n v="60"/>
    <n v="125000"/>
    <n v="1402500"/>
    <n v="11.22"/>
    <n v="0.19"/>
    <n v="16790"/>
    <n v="103428"/>
    <n v="1"/>
    <x v="4"/>
  </r>
  <r>
    <n v="83493"/>
    <s v="SO-38760"/>
    <x v="904"/>
    <x v="3"/>
    <s v="ARV"/>
    <s v="Adult"/>
    <s v="SCMS from RDC"/>
    <x v="1"/>
    <s v="N/A - From RDC"/>
    <s v="Truck"/>
    <m/>
    <d v="2011-03-31T00:00:00"/>
    <d v="2011-04-01T00:00:00"/>
    <d v="2011-04-01T00:00:00"/>
    <x v="1"/>
    <s v="Lamivudine/Zidovudine"/>
    <s v="Generic"/>
    <s v="150/300mg"/>
    <s v="Tablet - FDC"/>
    <n v="60"/>
    <n v="30107"/>
    <n v="248683.82"/>
    <n v="8.26"/>
    <n v="0.14000000000000001"/>
    <n v="2875"/>
    <n v="23675.63"/>
    <n v="0"/>
    <x v="9"/>
  </r>
  <r>
    <n v="83495"/>
    <s v="SO-39000"/>
    <x v="905"/>
    <x v="0"/>
    <s v="ARV"/>
    <s v="Adult"/>
    <s v="SCMS from RDC"/>
    <x v="1"/>
    <s v="N/A - From RDC"/>
    <s v="Air"/>
    <m/>
    <d v="2011-04-07T00:00:00"/>
    <d v="2011-03-28T00:00:00"/>
    <d v="2011-03-28T00:00:00"/>
    <x v="8"/>
    <s v="Efavirenz"/>
    <s v="Generic"/>
    <s v="600mg"/>
    <s v="Tablet"/>
    <n v="30"/>
    <n v="49000"/>
    <n v="206780"/>
    <n v="4.22"/>
    <n v="0.14000000000000001"/>
    <n v="4030"/>
    <n v="15707.3"/>
    <n v="1"/>
    <x v="9"/>
  </r>
  <r>
    <n v="83499"/>
    <s v="SO-38790"/>
    <x v="906"/>
    <x v="3"/>
    <s v="ARV"/>
    <s v="Adult"/>
    <s v="SCMS from RDC"/>
    <x v="1"/>
    <s v="N/A - From RDC"/>
    <s v="Air"/>
    <m/>
    <d v="2011-03-11T00:00:00"/>
    <d v="2011-05-03T00:00:00"/>
    <d v="2011-05-03T00:00:00"/>
    <x v="45"/>
    <s v="Efavirenz/Emtricitabine/Tenofovir Disoproxil Fumarate"/>
    <s v="Generic"/>
    <s v="600/200/300mg"/>
    <s v="Tablet - FDC"/>
    <n v="30"/>
    <n v="720"/>
    <n v="14342.4"/>
    <n v="19.920000000000002"/>
    <n v="0.66"/>
    <n v="79"/>
    <n v="2305.65"/>
    <n v="0"/>
    <x v="9"/>
  </r>
  <r>
    <n v="83510"/>
    <s v="SO-39760"/>
    <x v="907"/>
    <x v="0"/>
    <s v="ARV"/>
    <s v="Adult"/>
    <s v="SCMS from RDC"/>
    <x v="1"/>
    <s v="N/A - From RDC"/>
    <s v="Air"/>
    <m/>
    <d v="2011-08-31T00:00:00"/>
    <d v="2011-07-18T00:00:00"/>
    <d v="2011-07-18T00:00:00"/>
    <x v="70"/>
    <s v="Emtricitabine/Tenofovir Disoproxil Fumarate"/>
    <s v="Generic"/>
    <s v="200/300mg"/>
    <s v="Tablet - FDC"/>
    <n v="30"/>
    <n v="77636"/>
    <n v="818283.44"/>
    <n v="10.54"/>
    <n v="0.35"/>
    <n v="6986"/>
    <n v="26538.46"/>
    <n v="1"/>
    <x v="9"/>
  </r>
  <r>
    <n v="83515"/>
    <s v="SO-39970"/>
    <x v="908"/>
    <x v="3"/>
    <s v="ARV"/>
    <s v="Adult"/>
    <s v="SCMS from RDC"/>
    <x v="1"/>
    <s v="N/A - From RDC"/>
    <s v="Truck"/>
    <m/>
    <d v="2011-06-30T00:00:00"/>
    <d v="2011-07-14T00:00:00"/>
    <d v="2011-07-14T00:00:00"/>
    <x v="39"/>
    <s v="Lamivudine/Tenofovir Disoproxil Fumarate"/>
    <s v="Generic"/>
    <s v="300/300mg"/>
    <s v="Tablet - FDC"/>
    <n v="30"/>
    <n v="30000"/>
    <n v="264600"/>
    <n v="8.82"/>
    <n v="0.28999999999999998"/>
    <n v="2641"/>
    <n v="19673.48"/>
    <n v="0"/>
    <x v="9"/>
  </r>
  <r>
    <n v="83522"/>
    <s v="SO-39060"/>
    <x v="909"/>
    <x v="3"/>
    <s v="ARV"/>
    <s v="Adult"/>
    <s v="SCMS from RDC"/>
    <x v="1"/>
    <s v="N/A - From RDC"/>
    <s v="Truck"/>
    <m/>
    <d v="2011-07-31T00:00:00"/>
    <d v="2011-08-12T00:00:00"/>
    <d v="2011-08-12T00:00:00"/>
    <x v="45"/>
    <s v="Efavirenz/Emtricitabine/Tenofovir Disoproxil Fumarate"/>
    <s v="Generic"/>
    <s v="600/200/300mg"/>
    <s v="Tablet - FDC"/>
    <n v="30"/>
    <n v="3330"/>
    <n v="66333.600000000006"/>
    <n v="19.920000000000002"/>
    <n v="0.66"/>
    <n v="370"/>
    <n v="2886.12"/>
    <n v="0"/>
    <x v="9"/>
  </r>
  <r>
    <n v="83527"/>
    <s v="SO-39500"/>
    <x v="910"/>
    <x v="3"/>
    <s v="ARV"/>
    <s v="Adult"/>
    <s v="SCMS from RDC"/>
    <x v="1"/>
    <s v="N/A - From RDC"/>
    <s v="Truck"/>
    <m/>
    <d v="2011-09-05T00:00:00"/>
    <d v="2011-08-23T00:00:00"/>
    <d v="2011-08-23T00:00:00"/>
    <x v="11"/>
    <s v="Lamivudine/Nevirapine/Zidovudine"/>
    <s v="Generic"/>
    <s v="150/300/200mg"/>
    <s v="Tablet - FDC"/>
    <n v="60"/>
    <n v="6139"/>
    <n v="68879.58"/>
    <n v="11.22"/>
    <n v="0.19"/>
    <n v="1518"/>
    <n v="6561.51"/>
    <n v="1"/>
    <x v="9"/>
  </r>
  <r>
    <n v="83528"/>
    <s v="SO-40230"/>
    <x v="911"/>
    <x v="3"/>
    <s v="ARV"/>
    <s v="Adult"/>
    <s v="SCMS from RDC"/>
    <x v="1"/>
    <s v="N/A - From RDC"/>
    <s v="Truck"/>
    <m/>
    <d v="2011-09-22T00:00:00"/>
    <d v="2011-08-24T00:00:00"/>
    <d v="2011-08-24T00:00:00"/>
    <x v="39"/>
    <s v="Lamivudine/Tenofovir Disoproxil Fumarate"/>
    <s v="Generic"/>
    <s v="300/300mg"/>
    <s v="Tablet - FDC"/>
    <n v="30"/>
    <n v="7441"/>
    <n v="61239.43"/>
    <n v="8.23"/>
    <n v="0.27"/>
    <n v="656"/>
    <n v="4376.5600000000004"/>
    <n v="1"/>
    <x v="9"/>
  </r>
  <r>
    <n v="83529"/>
    <s v="SO-38800"/>
    <x v="802"/>
    <x v="3"/>
    <s v="ARV"/>
    <s v="Adult"/>
    <s v="SCMS from RDC"/>
    <x v="1"/>
    <s v="N/A - From RDC"/>
    <s v="Truck"/>
    <m/>
    <d v="2011-08-05T00:00:00"/>
    <d v="2011-08-24T00:00:00"/>
    <d v="2011-08-24T00:00:00"/>
    <x v="11"/>
    <s v="Lamivudine/Nevirapine/Zidovudine"/>
    <s v="Generic"/>
    <s v="150/300/200mg"/>
    <s v="Tablet - FDC"/>
    <n v="60"/>
    <n v="105000"/>
    <n v="1178100"/>
    <n v="11.22"/>
    <n v="0.19"/>
    <m/>
    <m/>
    <n v="0"/>
    <x v="9"/>
  </r>
  <r>
    <n v="83531"/>
    <s v="SO-38171"/>
    <x v="912"/>
    <x v="0"/>
    <s v="ARV"/>
    <s v="Adult"/>
    <s v="SCMS from RDC"/>
    <x v="1"/>
    <s v="N/A - From RDC"/>
    <s v="Truck"/>
    <m/>
    <d v="2011-10-03T00:00:00"/>
    <d v="2011-09-16T00:00:00"/>
    <d v="2011-09-16T00:00:00"/>
    <x v="45"/>
    <s v="Efavirenz/Emtricitabine/Tenofovir Disoproxil Fumarate"/>
    <s v="Generic"/>
    <s v="600/200/300mg"/>
    <s v="Tablet - FDC"/>
    <n v="30"/>
    <n v="68235"/>
    <n v="1359241.2"/>
    <n v="19.920000000000002"/>
    <n v="0.66"/>
    <m/>
    <m/>
    <n v="1"/>
    <x v="9"/>
  </r>
  <r>
    <n v="83536"/>
    <s v="SO-38170"/>
    <x v="913"/>
    <x v="0"/>
    <s v="ARV"/>
    <s v="Adult"/>
    <s v="SCMS from RDC"/>
    <x v="1"/>
    <s v="N/A - From RDC"/>
    <s v="Truck"/>
    <m/>
    <d v="2011-10-03T00:00:00"/>
    <d v="2011-09-23T00:00:00"/>
    <d v="2011-09-23T00:00:00"/>
    <x v="45"/>
    <s v="Efavirenz/Emtricitabine/Tenofovir Disoproxil Fumarate"/>
    <s v="Generic"/>
    <s v="600/200/300mg"/>
    <s v="Tablet - FDC"/>
    <n v="30"/>
    <n v="40337"/>
    <n v="803513.04"/>
    <n v="19.920000000000002"/>
    <n v="0.66"/>
    <n v="4560"/>
    <n v="1047.17"/>
    <n v="1"/>
    <x v="9"/>
  </r>
  <r>
    <n v="83540"/>
    <s v="SO-38870"/>
    <x v="914"/>
    <x v="3"/>
    <s v="ARV"/>
    <s v="Pediatric"/>
    <s v="SCMS from RDC"/>
    <x v="1"/>
    <s v="N/A - From RDC"/>
    <s v="Air"/>
    <m/>
    <d v="2011-11-15T00:00:00"/>
    <d v="2011-11-01T00:00:00"/>
    <d v="2011-11-01T00:00:00"/>
    <x v="43"/>
    <s v="Nevirapine"/>
    <s v="Generic"/>
    <s v="10mg/ml"/>
    <s v="Oral suspension"/>
    <n v="240"/>
    <n v="9794"/>
    <n v="19098.3"/>
    <n v="1.95"/>
    <n v="0.01"/>
    <n v="3654"/>
    <n v="19520.77"/>
    <n v="1"/>
    <x v="9"/>
  </r>
  <r>
    <n v="83546"/>
    <s v="SO-40521"/>
    <x v="915"/>
    <x v="0"/>
    <s v="ARV"/>
    <s v="Pediatric"/>
    <s v="SCMS from RDC"/>
    <x v="1"/>
    <s v="N/A - From RDC"/>
    <s v="Truck"/>
    <m/>
    <d v="2011-12-29T00:00:00"/>
    <d v="2011-12-12T00:00:00"/>
    <d v="2011-12-12T00:00:00"/>
    <x v="43"/>
    <s v="Nevirapine"/>
    <s v="Generic"/>
    <s v="10mg/ml"/>
    <s v="Oral suspension"/>
    <n v="240"/>
    <n v="15000"/>
    <n v="29250"/>
    <n v="1.95"/>
    <n v="0.01"/>
    <n v="5641"/>
    <n v="45291.49"/>
    <n v="1"/>
    <x v="9"/>
  </r>
  <r>
    <n v="83547"/>
    <s v="SO-40912"/>
    <x v="916"/>
    <x v="3"/>
    <s v="ARV"/>
    <s v="Adult"/>
    <s v="SCMS from RDC"/>
    <x v="1"/>
    <s v="N/A - From RDC"/>
    <s v="Truck"/>
    <m/>
    <d v="2012-02-10T00:00:00"/>
    <d v="2012-01-19T00:00:00"/>
    <d v="2012-01-19T00:00:00"/>
    <x v="1"/>
    <s v="Lamivudine/Zidovudine"/>
    <s v="Generic"/>
    <s v="150/300mg"/>
    <s v="Tablet - FDC"/>
    <n v="60"/>
    <n v="5471"/>
    <n v="45190.46"/>
    <n v="8.26"/>
    <n v="0.14000000000000001"/>
    <n v="521"/>
    <n v="4237.12"/>
    <n v="1"/>
    <x v="5"/>
  </r>
  <r>
    <n v="83549"/>
    <s v="SO-41060"/>
    <x v="917"/>
    <x v="1"/>
    <s v="ARV"/>
    <s v="Pediatric"/>
    <s v="SCMS from RDC"/>
    <x v="1"/>
    <s v="N/A - From RDC"/>
    <s v="Air"/>
    <m/>
    <d v="2012-01-23T00:00:00"/>
    <d v="2012-01-23T00:00:00"/>
    <d v="2012-01-23T00:00:00"/>
    <x v="67"/>
    <s v="Lamivudine"/>
    <s v="Generic"/>
    <s v="10mg/ml"/>
    <s v="Oral solution"/>
    <n v="240"/>
    <n v="3000"/>
    <n v="5550"/>
    <n v="1.85"/>
    <n v="0.01"/>
    <n v="1076"/>
    <n v="4474.3100000000004"/>
    <n v="1"/>
    <x v="5"/>
  </r>
  <r>
    <n v="83552"/>
    <s v="SO-40601"/>
    <x v="694"/>
    <x v="0"/>
    <s v="ARV"/>
    <s v="Adult"/>
    <s v="SCMS from RDC"/>
    <x v="1"/>
    <s v="N/A - From RDC"/>
    <s v="Truck"/>
    <m/>
    <d v="2012-02-29T00:00:00"/>
    <d v="2012-02-05T00:00:00"/>
    <d v="2012-02-05T00:00:00"/>
    <x v="8"/>
    <s v="Efavirenz"/>
    <s v="Generic"/>
    <s v="600mg"/>
    <s v="Tablet"/>
    <n v="30"/>
    <n v="65000"/>
    <n v="274300"/>
    <n v="4.22"/>
    <n v="0.14000000000000001"/>
    <m/>
    <m/>
    <n v="1"/>
    <x v="5"/>
  </r>
  <r>
    <n v="83577"/>
    <s v="SO-41540"/>
    <x v="918"/>
    <x v="6"/>
    <s v="ARV"/>
    <s v="Pediatric"/>
    <s v="SCMS from RDC"/>
    <x v="1"/>
    <s v="N/A - From RDC"/>
    <s v="Air"/>
    <m/>
    <d v="2012-04-26T00:00:00"/>
    <d v="2012-04-09T00:00:00"/>
    <d v="2012-04-09T00:00:00"/>
    <x v="80"/>
    <s v="Zidovudine"/>
    <s v="Generic"/>
    <s v="10mg/ml"/>
    <s v="Oral solution"/>
    <n v="240"/>
    <n v="180"/>
    <n v="378"/>
    <n v="2.1"/>
    <n v="0.01"/>
    <n v="327"/>
    <n v="5320.13"/>
    <n v="1"/>
    <x v="5"/>
  </r>
  <r>
    <n v="83580"/>
    <s v="SO-40931"/>
    <x v="919"/>
    <x v="3"/>
    <s v="ARV"/>
    <s v="Adult"/>
    <s v="SCMS from RDC"/>
    <x v="1"/>
    <s v="N/A - From RDC"/>
    <s v="Truck"/>
    <m/>
    <d v="2012-05-16T00:00:00"/>
    <d v="2012-03-27T00:00:00"/>
    <d v="2012-03-27T00:00:00"/>
    <x v="11"/>
    <s v="Lamivudine/Nevirapine/Zidovudine"/>
    <s v="Generic"/>
    <s v="150/300/200mg"/>
    <s v="Tablet - FDC"/>
    <n v="60"/>
    <n v="71568"/>
    <n v="787248"/>
    <n v="11"/>
    <n v="0.18"/>
    <n v="11441"/>
    <n v="55175.61"/>
    <n v="1"/>
    <x v="5"/>
  </r>
  <r>
    <n v="83585"/>
    <s v="SO-40970"/>
    <x v="920"/>
    <x v="1"/>
    <s v="ARV"/>
    <s v="Pediatric"/>
    <s v="SCMS from RDC"/>
    <x v="1"/>
    <s v="N/A - From RDC"/>
    <s v="Air"/>
    <m/>
    <d v="2012-08-09T00:00:00"/>
    <d v="2012-04-17T00:00:00"/>
    <d v="2012-04-17T00:00:00"/>
    <x v="41"/>
    <s v="Efavirenz"/>
    <s v="Generic"/>
    <s v="50mg"/>
    <s v="Capsule"/>
    <n v="30"/>
    <n v="1092"/>
    <n v="2446.08"/>
    <n v="2.2400000000000002"/>
    <n v="7.0000000000000007E-2"/>
    <n v="7"/>
    <n v="805.58"/>
    <n v="1"/>
    <x v="5"/>
  </r>
  <r>
    <n v="83586"/>
    <s v="SO-40501"/>
    <x v="921"/>
    <x v="0"/>
    <s v="ARV"/>
    <s v="Pediatric"/>
    <s v="SCMS from RDC"/>
    <x v="1"/>
    <s v="N/A - From RDC"/>
    <s v="Truck"/>
    <m/>
    <d v="2012-05-31T00:00:00"/>
    <d v="2012-05-16T00:00:00"/>
    <d v="2012-05-16T00:00:00"/>
    <x v="74"/>
    <s v="Lamivudine/Nevirapine/Stavudine"/>
    <s v="Generic"/>
    <s v="30/50/6mg"/>
    <s v="Chewable/dispersible tablet - FDC"/>
    <n v="60"/>
    <n v="15855"/>
    <n v="39478.949999999997"/>
    <n v="2.4900000000000002"/>
    <n v="0.04"/>
    <n v="1380"/>
    <n v="4553.1000000000004"/>
    <n v="1"/>
    <x v="5"/>
  </r>
  <r>
    <n v="83587"/>
    <s v="SO-41531"/>
    <x v="922"/>
    <x v="6"/>
    <s v="ARV"/>
    <s v="Adult"/>
    <s v="SCMS from RDC"/>
    <x v="1"/>
    <s v="N/A - From RDC"/>
    <s v="Air"/>
    <m/>
    <d v="2012-04-26T00:00:00"/>
    <d v="2012-05-04T00:00:00"/>
    <d v="2012-05-04T00:00:00"/>
    <x v="1"/>
    <s v="Lamivudine/Zidovudine"/>
    <s v="Generic"/>
    <s v="150/300mg"/>
    <s v="Tablet - FDC"/>
    <n v="60"/>
    <n v="1728"/>
    <n v="13824"/>
    <n v="8"/>
    <n v="0.13"/>
    <m/>
    <m/>
    <n v="0"/>
    <x v="5"/>
  </r>
  <r>
    <n v="83592"/>
    <s v="SO-42070"/>
    <x v="923"/>
    <x v="3"/>
    <s v="ARV"/>
    <s v="Adult"/>
    <s v="SCMS from RDC"/>
    <x v="1"/>
    <s v="N/A - From RDC"/>
    <s v="Truck"/>
    <m/>
    <d v="2012-07-04T00:00:00"/>
    <d v="2012-06-08T00:00:00"/>
    <d v="2012-06-08T00:00:00"/>
    <x v="0"/>
    <s v="Nevirapine"/>
    <s v="Generic"/>
    <s v="200mg"/>
    <s v="Tablet"/>
    <n v="60"/>
    <n v="8333"/>
    <n v="20332.52"/>
    <n v="2.44"/>
    <n v="0.04"/>
    <n v="479"/>
    <n v="4358.72"/>
    <n v="1"/>
    <x v="5"/>
  </r>
  <r>
    <n v="83599"/>
    <s v="SO-42310"/>
    <x v="924"/>
    <x v="3"/>
    <s v="ARV"/>
    <s v="Adult"/>
    <s v="SCMS from RDC"/>
    <x v="1"/>
    <s v="N/A - From RDC"/>
    <s v="Air"/>
    <m/>
    <d v="2012-07-11T00:00:00"/>
    <d v="2012-06-29T00:00:00"/>
    <d v="2012-06-29T00:00:00"/>
    <x v="47"/>
    <s v="Lopinavir/Ritonavir"/>
    <s v="Generic"/>
    <s v="200/50mg"/>
    <s v="Tablet"/>
    <n v="120"/>
    <n v="4001"/>
    <n v="118749.68"/>
    <n v="29.68"/>
    <n v="0.25"/>
    <n v="972"/>
    <n v="17102.560000000001"/>
    <n v="1"/>
    <x v="5"/>
  </r>
  <r>
    <n v="83602"/>
    <s v="SO-42101"/>
    <x v="925"/>
    <x v="1"/>
    <s v="ARV"/>
    <s v="Adult"/>
    <s v="SCMS from RDC"/>
    <x v="1"/>
    <s v="N/A - From RDC"/>
    <s v="Air"/>
    <m/>
    <d v="2012-09-03T00:00:00"/>
    <d v="2012-07-12T00:00:00"/>
    <d v="2012-07-12T00:00:00"/>
    <x v="39"/>
    <s v="Lamivudine/Tenofovir Disoproxil Fumarate"/>
    <s v="Generic"/>
    <s v="300/300mg"/>
    <s v="Tablet - FDC"/>
    <n v="30"/>
    <n v="35000"/>
    <n v="193900"/>
    <n v="5.54"/>
    <n v="0.18"/>
    <n v="2657"/>
    <n v="14332"/>
    <n v="1"/>
    <x v="5"/>
  </r>
  <r>
    <n v="83605"/>
    <s v="SO-42690"/>
    <x v="926"/>
    <x v="1"/>
    <s v="ARV"/>
    <s v="Adult"/>
    <s v="SCMS from RDC"/>
    <x v="1"/>
    <s v="N/A - From RDC"/>
    <s v="Air"/>
    <m/>
    <d v="2012-08-16T00:00:00"/>
    <d v="2012-08-16T00:00:00"/>
    <d v="2012-08-16T00:00:00"/>
    <x v="35"/>
    <s v="Tenofovir Disoproxil Fumarate"/>
    <s v="Generic"/>
    <s v="300mg"/>
    <s v="Tablet"/>
    <n v="30"/>
    <n v="720"/>
    <n v="3470.4"/>
    <n v="4.82"/>
    <n v="0.16"/>
    <n v="49"/>
    <n v="1110.19"/>
    <n v="1"/>
    <x v="5"/>
  </r>
  <r>
    <n v="83606"/>
    <s v="SO-41580"/>
    <x v="927"/>
    <x v="0"/>
    <s v="ARV"/>
    <s v="Adult"/>
    <s v="SCMS from RDC"/>
    <x v="1"/>
    <s v="N/A - From RDC"/>
    <s v="Truck"/>
    <m/>
    <d v="2012-08-31T00:00:00"/>
    <d v="2012-08-22T00:00:00"/>
    <d v="2012-08-22T00:00:00"/>
    <x v="47"/>
    <s v="Lopinavir/Ritonavir"/>
    <s v="Generic"/>
    <s v="200/50mg"/>
    <s v="Tablet"/>
    <n v="120"/>
    <n v="25024"/>
    <n v="733453.44"/>
    <n v="29.31"/>
    <n v="0.24"/>
    <n v="30606"/>
    <n v="9601.3799999999992"/>
    <n v="1"/>
    <x v="5"/>
  </r>
  <r>
    <n v="83609"/>
    <s v="SO-42570"/>
    <x v="821"/>
    <x v="3"/>
    <s v="ARV"/>
    <s v="Adult"/>
    <s v="SCMS from RDC"/>
    <x v="1"/>
    <s v="N/A - From RDC"/>
    <s v="Air"/>
    <m/>
    <d v="2012-10-30T00:00:00"/>
    <d v="2012-10-30T00:00:00"/>
    <d v="2012-10-30T00:00:00"/>
    <x v="39"/>
    <s v="Lamivudine/Tenofovir Disoproxil Fumarate"/>
    <s v="Generic"/>
    <s v="300/300mg"/>
    <s v="Tablet - FDC"/>
    <n v="30"/>
    <n v="39600"/>
    <n v="219384"/>
    <n v="5.54"/>
    <n v="0.18"/>
    <m/>
    <m/>
    <n v="1"/>
    <x v="5"/>
  </r>
  <r>
    <n v="83610"/>
    <s v="SO-42730"/>
    <x v="928"/>
    <x v="1"/>
    <s v="ARV"/>
    <s v="Adult"/>
    <s v="SCMS from RDC"/>
    <x v="1"/>
    <s v="N/A - From RDC"/>
    <s v="Air"/>
    <m/>
    <d v="2012-09-28T00:00:00"/>
    <d v="2012-08-17T00:00:00"/>
    <d v="2012-08-17T00:00:00"/>
    <x v="1"/>
    <s v="Lamivudine/Zidovudine"/>
    <s v="Generic"/>
    <s v="150/300mg"/>
    <s v="Tablet - FDC"/>
    <n v="60"/>
    <n v="29880"/>
    <n v="232466.4"/>
    <n v="7.78"/>
    <n v="0.13"/>
    <n v="2699"/>
    <n v="16152"/>
    <n v="1"/>
    <x v="5"/>
  </r>
  <r>
    <n v="83612"/>
    <s v="SO-42701"/>
    <x v="929"/>
    <x v="1"/>
    <s v="ARV"/>
    <s v="Adult"/>
    <s v="SCMS from RDC"/>
    <x v="1"/>
    <s v="N/A - From RDC"/>
    <s v="Air"/>
    <m/>
    <d v="2012-10-03T00:00:00"/>
    <d v="2012-08-17T00:00:00"/>
    <d v="2012-08-17T00:00:00"/>
    <x v="31"/>
    <s v="Lamivudine/Stavudine"/>
    <s v="Generic"/>
    <s v="150/30mg"/>
    <s v="Tablet - FDC"/>
    <n v="60"/>
    <n v="7300"/>
    <n v="21535"/>
    <n v="2.95"/>
    <n v="0.05"/>
    <n v="375"/>
    <n v="2719.63"/>
    <n v="1"/>
    <x v="5"/>
  </r>
  <r>
    <n v="83615"/>
    <s v="SO-42170"/>
    <x v="930"/>
    <x v="1"/>
    <s v="ARV"/>
    <s v="Pediatric"/>
    <s v="SCMS from RDC"/>
    <x v="1"/>
    <s v="N/A - From RDC"/>
    <s v="Air"/>
    <m/>
    <d v="2012-08-31T00:00:00"/>
    <d v="2012-08-21T00:00:00"/>
    <d v="2012-08-21T00:00:00"/>
    <x v="43"/>
    <s v="Nevirapine"/>
    <s v="Generic"/>
    <s v="10mg/ml"/>
    <s v="Oral suspension"/>
    <n v="240"/>
    <n v="33792"/>
    <n v="65894.399999999994"/>
    <n v="1.95"/>
    <n v="0.01"/>
    <n v="12605"/>
    <n v="72991.45"/>
    <n v="1"/>
    <x v="5"/>
  </r>
  <r>
    <n v="83623"/>
    <s v="SO-43050"/>
    <x v="931"/>
    <x v="5"/>
    <s v="ARV"/>
    <s v="Pediatric"/>
    <s v="SCMS from RDC"/>
    <x v="1"/>
    <s v="N/A - From RDC"/>
    <s v="Air"/>
    <m/>
    <d v="2012-10-18T00:00:00"/>
    <d v="2012-10-03T00:00:00"/>
    <d v="2012-10-03T00:00:00"/>
    <x v="43"/>
    <s v="Nevirapine"/>
    <s v="Generic"/>
    <s v="10mg/ml"/>
    <s v="Oral suspension"/>
    <n v="240"/>
    <n v="4320"/>
    <n v="8424"/>
    <n v="1.95"/>
    <n v="0.01"/>
    <n v="1624"/>
    <n v="15446.4"/>
    <n v="1"/>
    <x v="5"/>
  </r>
  <r>
    <n v="83626"/>
    <s v="SO-43060"/>
    <x v="932"/>
    <x v="5"/>
    <s v="ARV"/>
    <s v="Adult"/>
    <s v="SCMS from RDC"/>
    <x v="1"/>
    <s v="N/A - From RDC"/>
    <s v="Air"/>
    <m/>
    <d v="2012-11-30T00:00:00"/>
    <d v="2012-11-30T00:00:00"/>
    <d v="2012-11-30T00:00:00"/>
    <x v="1"/>
    <s v="Lamivudine/Zidovudine"/>
    <s v="Generic"/>
    <s v="150/300mg"/>
    <s v="Tablet - FDC"/>
    <n v="60"/>
    <n v="300"/>
    <n v="2316"/>
    <n v="7.72"/>
    <n v="0.13"/>
    <n v="39"/>
    <n v="742.98"/>
    <n v="1"/>
    <x v="5"/>
  </r>
  <r>
    <n v="83627"/>
    <s v="SO-42660"/>
    <x v="933"/>
    <x v="0"/>
    <s v="ARV"/>
    <s v="Adult"/>
    <s v="SCMS from RDC"/>
    <x v="1"/>
    <s v="N/A - From RDC"/>
    <s v="Truck"/>
    <m/>
    <d v="2012-10-18T00:00:00"/>
    <d v="2012-10-31T00:00:00"/>
    <d v="2012-10-31T00:00:00"/>
    <x v="45"/>
    <s v="Efavirenz/Emtricitabine/Tenofovir Disoproxil Fumarate"/>
    <s v="Generic"/>
    <s v="600/200/300mg"/>
    <s v="Tablet - FDC"/>
    <n v="30"/>
    <n v="152880"/>
    <n v="2198414.4"/>
    <n v="14.38"/>
    <n v="0.48"/>
    <n v="17227"/>
    <n v="7134.39"/>
    <n v="0"/>
    <x v="5"/>
  </r>
  <r>
    <n v="83628"/>
    <s v="SO-42061"/>
    <x v="934"/>
    <x v="3"/>
    <s v="ARV"/>
    <s v="Adult"/>
    <s v="SCMS from RDC"/>
    <x v="1"/>
    <s v="N/A - From RDC"/>
    <s v="Air"/>
    <m/>
    <d v="2012-10-17T00:00:00"/>
    <d v="2012-10-11T00:00:00"/>
    <d v="2012-10-11T00:00:00"/>
    <x v="8"/>
    <s v="Efavirenz"/>
    <s v="Generic"/>
    <s v="600mg"/>
    <s v="Tablet"/>
    <n v="30"/>
    <n v="33373"/>
    <n v="121477.72"/>
    <n v="3.64"/>
    <n v="0.12"/>
    <n v="2870"/>
    <n v="14974.6"/>
    <n v="1"/>
    <x v="5"/>
  </r>
  <r>
    <n v="83630"/>
    <s v="SO-42650"/>
    <x v="935"/>
    <x v="0"/>
    <s v="ARV"/>
    <s v="Adult"/>
    <s v="SCMS from RDC"/>
    <x v="1"/>
    <s v="N/A - From RDC"/>
    <s v="Truck"/>
    <m/>
    <d v="2012-11-30T00:00:00"/>
    <d v="2012-10-31T00:00:00"/>
    <d v="2012-10-31T00:00:00"/>
    <x v="47"/>
    <s v="Lopinavir/Ritonavir"/>
    <s v="Generic"/>
    <s v="200/50mg"/>
    <s v="Tablet"/>
    <n v="120"/>
    <n v="22920"/>
    <n v="611964"/>
    <n v="26.7"/>
    <n v="0.22"/>
    <n v="12181"/>
    <n v="7134.39"/>
    <n v="1"/>
    <x v="5"/>
  </r>
  <r>
    <n v="83631"/>
    <s v="SO-41551"/>
    <x v="936"/>
    <x v="0"/>
    <s v="ARV"/>
    <s v="Pediatric"/>
    <s v="SCMS from RDC"/>
    <x v="1"/>
    <s v="N/A - From RDC"/>
    <s v="Truck"/>
    <m/>
    <d v="2012-11-30T00:00:00"/>
    <d v="2012-11-06T00:00:00"/>
    <d v="2012-11-06T00:00:00"/>
    <x v="81"/>
    <s v="Lamivudine/Nevirapine/Stavudine"/>
    <s v="Generic"/>
    <s v="60/100/12mg"/>
    <s v="Chewable/dispersible tablet - FDC"/>
    <n v="60"/>
    <n v="844"/>
    <n v="3629.2"/>
    <n v="4.3"/>
    <n v="7.0000000000000007E-2"/>
    <n v="466"/>
    <n v="1696"/>
    <n v="1"/>
    <x v="5"/>
  </r>
  <r>
    <n v="83636"/>
    <s v="SO-43480"/>
    <x v="937"/>
    <x v="3"/>
    <s v="ARV"/>
    <s v="Adult"/>
    <s v="SCMS from RDC"/>
    <x v="1"/>
    <s v="N/A - From RDC"/>
    <s v="Air"/>
    <m/>
    <d v="2013-01-03T00:00:00"/>
    <d v="2012-11-28T00:00:00"/>
    <d v="2012-11-28T00:00:00"/>
    <x v="8"/>
    <s v="Efavirenz"/>
    <s v="Generic"/>
    <s v="600mg"/>
    <s v="Tablet"/>
    <n v="30"/>
    <n v="4938"/>
    <n v="17974.32"/>
    <n v="3.64"/>
    <n v="0.12"/>
    <n v="430"/>
    <n v="2154"/>
    <n v="1"/>
    <x v="5"/>
  </r>
  <r>
    <n v="83643"/>
    <s v="SO-43190"/>
    <x v="719"/>
    <x v="3"/>
    <s v="ARV"/>
    <s v="Adult"/>
    <s v="SCMS from RDC"/>
    <x v="1"/>
    <s v="N/A - From RDC"/>
    <s v="Air"/>
    <m/>
    <d v="2013-02-01T00:00:00"/>
    <d v="2013-02-01T00:00:00"/>
    <d v="2013-02-01T00:00:00"/>
    <x v="1"/>
    <s v="Lamivudine/Zidovudine"/>
    <s v="Generic"/>
    <s v="150/300mg"/>
    <s v="Tablet - FDC"/>
    <n v="60"/>
    <n v="1470"/>
    <n v="11348.4"/>
    <n v="7.72"/>
    <n v="0.13"/>
    <m/>
    <m/>
    <n v="1"/>
    <x v="6"/>
  </r>
  <r>
    <n v="83650"/>
    <s v="SO-43921"/>
    <x v="938"/>
    <x v="3"/>
    <s v="ARV"/>
    <s v="Adult"/>
    <s v="SCMS from RDC"/>
    <x v="1"/>
    <s v="N/A - From RDC"/>
    <s v="Air"/>
    <m/>
    <d v="2013-02-22T00:00:00"/>
    <d v="2013-02-28T00:00:00"/>
    <d v="2013-02-28T00:00:00"/>
    <x v="11"/>
    <s v="Lamivudine/Nevirapine/Zidovudine"/>
    <s v="Generic"/>
    <s v="150/300/200mg"/>
    <s v="Tablet - FDC"/>
    <n v="60"/>
    <n v="39792"/>
    <n v="356934.24"/>
    <n v="8.9700000000000006"/>
    <n v="0.15"/>
    <n v="4658"/>
    <n v="41595.5"/>
    <n v="0"/>
    <x v="6"/>
  </r>
  <r>
    <n v="83651"/>
    <s v="SO-43961"/>
    <x v="939"/>
    <x v="3"/>
    <s v="ARV"/>
    <s v="Adult"/>
    <s v="SCMS from RDC"/>
    <x v="1"/>
    <s v="N/A - From RDC"/>
    <s v="Air"/>
    <m/>
    <d v="2013-02-22T00:00:00"/>
    <d v="2013-02-20T00:00:00"/>
    <d v="2013-02-20T00:00:00"/>
    <x v="8"/>
    <s v="Efavirenz"/>
    <s v="Generic"/>
    <s v="600mg"/>
    <s v="Tablet"/>
    <n v="30"/>
    <n v="24966"/>
    <n v="88878.96"/>
    <n v="3.56"/>
    <n v="0.12"/>
    <n v="5391"/>
    <n v="28382.05"/>
    <n v="1"/>
    <x v="6"/>
  </r>
  <r>
    <n v="83659"/>
    <s v="SO-43920"/>
    <x v="940"/>
    <x v="3"/>
    <s v="ARV"/>
    <s v="Adult"/>
    <s v="SCMS from RDC"/>
    <x v="1"/>
    <s v="N/A - From RDC"/>
    <s v="Air"/>
    <m/>
    <d v="2013-03-15T00:00:00"/>
    <d v="2013-03-01T00:00:00"/>
    <d v="2013-03-01T00:00:00"/>
    <x v="78"/>
    <s v="Abacavir/Lamivudine"/>
    <s v="Generic"/>
    <s v="600/300mg"/>
    <s v="Tablet - FDC"/>
    <n v="30"/>
    <n v="5009"/>
    <n v="69925.64"/>
    <n v="13.96"/>
    <n v="0.47"/>
    <n v="467"/>
    <n v="6637.16"/>
    <n v="1"/>
    <x v="6"/>
  </r>
  <r>
    <n v="83663"/>
    <s v="SO-43960"/>
    <x v="941"/>
    <x v="3"/>
    <s v="ARV"/>
    <s v="Adult"/>
    <s v="SCMS from RDC"/>
    <x v="1"/>
    <s v="N/A - From RDC"/>
    <s v="Air"/>
    <m/>
    <d v="2013-03-09T00:00:00"/>
    <d v="2013-03-07T00:00:00"/>
    <d v="2013-03-07T00:00:00"/>
    <x v="46"/>
    <s v="Efavirenz/Lamivudine/Tenofovir Disoproxil Fumarate"/>
    <s v="Generic"/>
    <s v="600/300/300mg"/>
    <s v="Tablet - FDC"/>
    <n v="30"/>
    <n v="5277"/>
    <n v="63904.47"/>
    <n v="12.11"/>
    <n v="0.4"/>
    <n v="1366"/>
    <n v="8507.01"/>
    <n v="1"/>
    <x v="6"/>
  </r>
  <r>
    <n v="83671"/>
    <s v="SO-44640"/>
    <x v="942"/>
    <x v="6"/>
    <s v="ARV"/>
    <s v="Pediatric"/>
    <s v="SCMS from RDC"/>
    <x v="1"/>
    <s v="N/A - From RDC"/>
    <s v="Air"/>
    <m/>
    <d v="2013-05-02T00:00:00"/>
    <d v="2013-05-10T00:00:00"/>
    <d v="2013-05-10T00:00:00"/>
    <x v="80"/>
    <s v="Zidovudine"/>
    <s v="Generic"/>
    <s v="10mg/ml"/>
    <s v="Oral solution"/>
    <n v="240"/>
    <n v="574"/>
    <n v="1205.4000000000001"/>
    <n v="2.1"/>
    <n v="0.01"/>
    <n v="422"/>
    <n v="5384.96"/>
    <n v="0"/>
    <x v="6"/>
  </r>
  <r>
    <n v="83672"/>
    <s v="SO-44381"/>
    <x v="943"/>
    <x v="0"/>
    <s v="ARV"/>
    <s v="Adult"/>
    <s v="SCMS from RDC"/>
    <x v="1"/>
    <s v="N/A - From RDC"/>
    <s v="Truck"/>
    <m/>
    <d v="2013-05-31T00:00:00"/>
    <d v="2013-05-14T00:00:00"/>
    <d v="2013-05-14T00:00:00"/>
    <x v="47"/>
    <s v="Lopinavir/Ritonavir"/>
    <s v="Generic"/>
    <s v="200/50mg"/>
    <s v="Tablet"/>
    <n v="120"/>
    <n v="12837"/>
    <n v="317844.12"/>
    <n v="24.76"/>
    <n v="0.21"/>
    <n v="4613"/>
    <n v="3592.8"/>
    <n v="1"/>
    <x v="6"/>
  </r>
  <r>
    <n v="83673"/>
    <s v="SO-43130"/>
    <x v="944"/>
    <x v="0"/>
    <s v="ARV"/>
    <s v="Adult"/>
    <s v="SCMS from RDC"/>
    <x v="1"/>
    <s v="N/A - From RDC"/>
    <s v="Truck"/>
    <m/>
    <d v="2013-05-31T00:00:00"/>
    <d v="2013-04-22T00:00:00"/>
    <d v="2013-04-22T00:00:00"/>
    <x v="70"/>
    <s v="Emtricitabine/Tenofovir Disoproxil Fumarate"/>
    <s v="Generic"/>
    <s v="200/300mg"/>
    <s v="Tablet - FDC"/>
    <n v="30"/>
    <n v="24042"/>
    <n v="145934.94"/>
    <n v="6.07"/>
    <n v="0.2"/>
    <n v="2006"/>
    <n v="3300.95"/>
    <n v="1"/>
    <x v="6"/>
  </r>
  <r>
    <n v="83674"/>
    <s v="SO-43951"/>
    <x v="945"/>
    <x v="3"/>
    <s v="ARV"/>
    <s v="Adult"/>
    <s v="SCMS from RDC"/>
    <x v="1"/>
    <s v="N/A - From RDC"/>
    <s v="Truck"/>
    <m/>
    <d v="2013-05-08T00:00:00"/>
    <d v="2013-05-09T00:00:00"/>
    <d v="2013-05-09T00:00:00"/>
    <x v="11"/>
    <s v="Lamivudine/Nevirapine/Zidovudine"/>
    <s v="Generic"/>
    <s v="150/300/200mg"/>
    <s v="Tablet - FDC"/>
    <n v="60"/>
    <n v="15795"/>
    <n v="135521.1"/>
    <n v="8.58"/>
    <n v="0.14000000000000001"/>
    <n v="2234"/>
    <n v="6582.95"/>
    <n v="0"/>
    <x v="6"/>
  </r>
  <r>
    <n v="83675"/>
    <s v="SO-43962"/>
    <x v="946"/>
    <x v="3"/>
    <s v="ARV"/>
    <s v="Adult"/>
    <s v="SCMS from RDC"/>
    <x v="1"/>
    <s v="N/A - From RDC"/>
    <s v="Air"/>
    <m/>
    <d v="2013-04-30T00:00:00"/>
    <d v="2013-05-09T00:00:00"/>
    <d v="2013-05-09T00:00:00"/>
    <x v="46"/>
    <s v="Efavirenz/Lamivudine/Tenofovir Disoproxil Fumarate"/>
    <s v="Generic"/>
    <s v="600/300/300mg"/>
    <s v="Tablet - FDC"/>
    <n v="30"/>
    <n v="52127"/>
    <n v="548376.04"/>
    <n v="10.52"/>
    <n v="0.35"/>
    <n v="6874"/>
    <n v="16177.09"/>
    <n v="0"/>
    <x v="6"/>
  </r>
  <r>
    <n v="83676"/>
    <s v="SO-43942"/>
    <x v="947"/>
    <x v="3"/>
    <s v="ARV"/>
    <s v="Adult"/>
    <s v="SCMS from RDC"/>
    <x v="1"/>
    <s v="N/A - From RDC"/>
    <s v="Air"/>
    <m/>
    <d v="2013-04-30T00:00:00"/>
    <d v="2013-05-09T00:00:00"/>
    <d v="2013-05-09T00:00:00"/>
    <x v="46"/>
    <s v="Efavirenz/Lamivudine/Tenofovir Disoproxil Fumarate"/>
    <s v="Generic"/>
    <s v="600/300/300mg"/>
    <s v="Tablet - FDC"/>
    <n v="30"/>
    <n v="17310"/>
    <n v="182101.2"/>
    <n v="10.52"/>
    <n v="0.35"/>
    <n v="2291"/>
    <n v="10542.15"/>
    <n v="0"/>
    <x v="6"/>
  </r>
  <r>
    <n v="83677"/>
    <s v="SO-43650"/>
    <x v="948"/>
    <x v="3"/>
    <s v="ARV"/>
    <s v="Adult"/>
    <s v="SCMS from RDC"/>
    <x v="1"/>
    <s v="N/A - From RDC"/>
    <s v="Air"/>
    <m/>
    <d v="2013-08-09T00:00:00"/>
    <d v="2013-08-09T00:00:00"/>
    <d v="2013-08-09T00:00:00"/>
    <x v="39"/>
    <s v="Lamivudine/Tenofovir Disoproxil Fumarate"/>
    <s v="Generic"/>
    <s v="300/300mg"/>
    <s v="Tablet - FDC"/>
    <n v="30"/>
    <n v="30685"/>
    <n v="144219.5"/>
    <n v="4.7"/>
    <n v="0.16"/>
    <n v="5426"/>
    <n v="6506.75"/>
    <n v="1"/>
    <x v="6"/>
  </r>
  <r>
    <n v="83678"/>
    <s v="SO-44630"/>
    <x v="729"/>
    <x v="5"/>
    <s v="ARV"/>
    <s v="Adult"/>
    <s v="SCMS from RDC"/>
    <x v="1"/>
    <s v="N/A - From RDC"/>
    <s v="Air"/>
    <m/>
    <d v="2013-04-30T00:00:00"/>
    <d v="2013-04-24T00:00:00"/>
    <d v="2013-04-24T00:00:00"/>
    <x v="11"/>
    <s v="Lamivudine/Nevirapine/Zidovudine"/>
    <s v="Generic"/>
    <s v="150/300/200mg"/>
    <s v="Tablet - FDC"/>
    <n v="60"/>
    <n v="3746"/>
    <n v="32140.68"/>
    <n v="8.58"/>
    <n v="0.14000000000000001"/>
    <m/>
    <m/>
    <n v="1"/>
    <x v="6"/>
  </r>
  <r>
    <n v="83679"/>
    <s v="SO-44630"/>
    <x v="729"/>
    <x v="5"/>
    <s v="ARV"/>
    <s v="Adult"/>
    <s v="SCMS from RDC"/>
    <x v="1"/>
    <s v="N/A - From RDC"/>
    <s v="Air"/>
    <m/>
    <d v="2013-04-30T00:00:00"/>
    <d v="2013-04-24T00:00:00"/>
    <d v="2013-04-24T00:00:00"/>
    <x v="0"/>
    <s v="Nevirapine"/>
    <s v="Generic"/>
    <s v="200mg"/>
    <s v="Tablet"/>
    <n v="60"/>
    <n v="378"/>
    <n v="854.28"/>
    <n v="2.2599999999999998"/>
    <n v="0.04"/>
    <m/>
    <m/>
    <n v="1"/>
    <x v="6"/>
  </r>
  <r>
    <n v="83684"/>
    <s v="SO-44761"/>
    <x v="949"/>
    <x v="1"/>
    <s v="ARV"/>
    <s v="Pediatric"/>
    <s v="SCMS from RDC"/>
    <x v="1"/>
    <s v="N/A - From RDC"/>
    <s v="Air"/>
    <m/>
    <d v="2013-06-28T00:00:00"/>
    <d v="2013-05-27T00:00:00"/>
    <d v="2013-05-27T00:00:00"/>
    <x v="80"/>
    <s v="Zidovudine"/>
    <s v="Generic"/>
    <s v="10mg/ml"/>
    <s v="Oral solution"/>
    <n v="240"/>
    <n v="1500"/>
    <n v="3150"/>
    <n v="2.1"/>
    <n v="0.01"/>
    <n v="575"/>
    <n v="4095.24"/>
    <n v="1"/>
    <x v="6"/>
  </r>
  <r>
    <n v="83694"/>
    <s v="SO-44383"/>
    <x v="950"/>
    <x v="0"/>
    <s v="ARV"/>
    <s v="Adult"/>
    <s v="SCMS from RDC"/>
    <x v="1"/>
    <s v="N/A - From RDC"/>
    <s v="Air"/>
    <m/>
    <d v="2013-05-31T00:00:00"/>
    <d v="2013-06-18T00:00:00"/>
    <d v="2013-06-18T00:00:00"/>
    <x v="45"/>
    <s v="Efavirenz/Emtricitabine/Tenofovir Disoproxil Fumarate"/>
    <s v="Generic"/>
    <s v="600/200/300mg"/>
    <s v="Tablet - FDC"/>
    <n v="30"/>
    <n v="30598"/>
    <n v="396550.08"/>
    <n v="12.96"/>
    <n v="0.43"/>
    <n v="3637"/>
    <n v="22904.02"/>
    <n v="0"/>
    <x v="6"/>
  </r>
  <r>
    <n v="83695"/>
    <s v="SO-44982"/>
    <x v="951"/>
    <x v="0"/>
    <s v="ARV"/>
    <s v="Adult"/>
    <s v="SCMS from RDC"/>
    <x v="1"/>
    <s v="N/A - From RDC"/>
    <s v="Truck"/>
    <m/>
    <d v="2013-08-23T00:00:00"/>
    <d v="2013-06-18T00:00:00"/>
    <d v="2013-06-18T00:00:00"/>
    <x v="9"/>
    <s v="Abacavir"/>
    <s v="Generic"/>
    <s v="300mg"/>
    <s v="Tablet"/>
    <n v="60"/>
    <n v="10347"/>
    <n v="134097.12"/>
    <n v="12.96"/>
    <n v="0.22"/>
    <n v="1064"/>
    <n v="4203"/>
    <n v="1"/>
    <x v="6"/>
  </r>
  <r>
    <n v="83699"/>
    <s v="SO-43870"/>
    <x v="952"/>
    <x v="3"/>
    <s v="ARV"/>
    <s v="Adult"/>
    <s v="SCMS from RDC"/>
    <x v="1"/>
    <s v="N/A - From RDC"/>
    <s v="Truck"/>
    <m/>
    <d v="2013-07-31T00:00:00"/>
    <d v="2013-07-18T00:00:00"/>
    <d v="2013-07-18T00:00:00"/>
    <x v="46"/>
    <s v="Efavirenz/Lamivudine/Tenofovir Disoproxil Fumarate"/>
    <s v="Generic"/>
    <s v="600/300/300mg"/>
    <s v="Tablet - FDC"/>
    <n v="30"/>
    <n v="36273"/>
    <n v="381591.96"/>
    <n v="10.52"/>
    <n v="0.35"/>
    <n v="4846"/>
    <n v="13743.46"/>
    <n v="1"/>
    <x v="6"/>
  </r>
  <r>
    <n v="83700"/>
    <s v="SO-43910"/>
    <x v="953"/>
    <x v="3"/>
    <s v="ARV"/>
    <s v="Adult"/>
    <s v="SCMS from RDC"/>
    <x v="1"/>
    <s v="N/A - From RDC"/>
    <s v="Truck"/>
    <m/>
    <d v="2013-07-31T00:00:00"/>
    <d v="2013-08-26T00:00:00"/>
    <d v="2013-08-26T00:00:00"/>
    <x v="11"/>
    <s v="Lamivudine/Nevirapine/Zidovudine"/>
    <s v="Generic"/>
    <s v="150/300/200mg"/>
    <s v="Tablet - FDC"/>
    <n v="60"/>
    <n v="15117"/>
    <n v="124866.42"/>
    <n v="8.26"/>
    <n v="0.14000000000000001"/>
    <n v="8057"/>
    <n v="10734.13"/>
    <n v="0"/>
    <x v="6"/>
  </r>
  <r>
    <n v="83704"/>
    <s v="SO-45470"/>
    <x v="845"/>
    <x v="3"/>
    <s v="ARV"/>
    <s v="Adult"/>
    <s v="SCMS from RDC"/>
    <x v="1"/>
    <s v="N/A - From RDC"/>
    <s v="Air"/>
    <m/>
    <d v="2013-08-06T00:00:00"/>
    <d v="2013-08-20T00:00:00"/>
    <d v="2013-08-20T00:00:00"/>
    <x v="8"/>
    <s v="Efavirenz"/>
    <s v="Generic"/>
    <s v="600mg"/>
    <s v="Tablet"/>
    <n v="30"/>
    <n v="96480"/>
    <n v="321278.40000000002"/>
    <n v="3.33"/>
    <n v="0.11"/>
    <m/>
    <m/>
    <n v="0"/>
    <x v="6"/>
  </r>
  <r>
    <n v="83705"/>
    <s v="SO-45470"/>
    <x v="845"/>
    <x v="3"/>
    <s v="ARV"/>
    <s v="Adult"/>
    <s v="SCMS from RDC"/>
    <x v="1"/>
    <s v="N/A - From RDC"/>
    <s v="Air"/>
    <m/>
    <d v="2013-08-06T00:00:00"/>
    <d v="2013-08-20T00:00:00"/>
    <d v="2013-08-20T00:00:00"/>
    <x v="1"/>
    <s v="Lamivudine/Zidovudine"/>
    <s v="Generic"/>
    <s v="150/300mg"/>
    <s v="Tablet - FDC"/>
    <n v="60"/>
    <n v="7619"/>
    <n v="53333"/>
    <n v="7"/>
    <n v="0.12"/>
    <m/>
    <m/>
    <n v="0"/>
    <x v="6"/>
  </r>
  <r>
    <n v="83707"/>
    <s v="SO-45880"/>
    <x v="846"/>
    <x v="3"/>
    <s v="ARV"/>
    <s v="Adult"/>
    <s v="SCMS from RDC"/>
    <x v="1"/>
    <s v="N/A - From RDC"/>
    <s v="Air"/>
    <m/>
    <d v="2013-09-27T00:00:00"/>
    <d v="2013-09-27T00:00:00"/>
    <d v="2013-09-27T00:00:00"/>
    <x v="39"/>
    <s v="Lamivudine/Tenofovir Disoproxil Fumarate"/>
    <s v="Generic"/>
    <s v="300/300mg"/>
    <s v="Tablet - FDC"/>
    <n v="30"/>
    <n v="65615"/>
    <n v="308390.5"/>
    <n v="4.7"/>
    <n v="0.16"/>
    <m/>
    <m/>
    <n v="1"/>
    <x v="6"/>
  </r>
  <r>
    <n v="83708"/>
    <s v="SO-45870"/>
    <x v="954"/>
    <x v="3"/>
    <s v="ARV"/>
    <s v="Adult"/>
    <s v="SCMS from RDC"/>
    <x v="1"/>
    <s v="N/A - From RDC"/>
    <s v="Air"/>
    <m/>
    <d v="2013-08-29T00:00:00"/>
    <d v="2013-09-13T00:00:00"/>
    <d v="2013-09-13T00:00:00"/>
    <x v="8"/>
    <s v="Efavirenz"/>
    <s v="Generic"/>
    <s v="600mg"/>
    <s v="Tablet"/>
    <n v="30"/>
    <n v="36007"/>
    <n v="119903.31"/>
    <n v="3.33"/>
    <n v="0.11"/>
    <n v="19158"/>
    <n v="106022.37"/>
    <n v="0"/>
    <x v="6"/>
  </r>
  <r>
    <n v="83713"/>
    <s v="SO-45991"/>
    <x v="955"/>
    <x v="0"/>
    <s v="ARV"/>
    <s v="Adult"/>
    <s v="SCMS from RDC"/>
    <x v="1"/>
    <s v="N/A - From RDC"/>
    <s v="Truck"/>
    <m/>
    <d v="2013-11-20T00:00:00"/>
    <d v="2013-09-09T00:00:00"/>
    <d v="2013-09-09T00:00:00"/>
    <x v="9"/>
    <s v="Abacavir"/>
    <s v="Generic"/>
    <s v="300mg"/>
    <s v="Tablet"/>
    <n v="60"/>
    <n v="2788"/>
    <n v="31950.48"/>
    <n v="11.46"/>
    <n v="0.19"/>
    <n v="285"/>
    <n v="1883"/>
    <n v="1"/>
    <x v="6"/>
  </r>
  <r>
    <n v="83714"/>
    <s v="SO-45490"/>
    <x v="956"/>
    <x v="3"/>
    <s v="ARV"/>
    <s v="Pediatric"/>
    <s v="SCMS from RDC"/>
    <x v="1"/>
    <s v="N/A - From RDC"/>
    <s v="Air"/>
    <m/>
    <d v="2013-11-29T00:00:00"/>
    <d v="2013-10-16T00:00:00"/>
    <d v="2013-10-23T00:00:00"/>
    <x v="75"/>
    <s v="Lamivudine/Stavudine"/>
    <s v="Generic"/>
    <s v="30/6mg"/>
    <s v="Chewable/dispersible tablet - FDC"/>
    <n v="60"/>
    <n v="638"/>
    <n v="1212.2"/>
    <n v="1.9"/>
    <n v="0.03"/>
    <n v="45"/>
    <n v="747.76"/>
    <n v="1"/>
    <x v="6"/>
  </r>
  <r>
    <n v="83715"/>
    <s v="SO-43141"/>
    <x v="957"/>
    <x v="0"/>
    <s v="ARV"/>
    <s v="Pediatric"/>
    <s v="SCMS from RDC"/>
    <x v="1"/>
    <s v="N/A - From RDC"/>
    <s v="Truck"/>
    <m/>
    <d v="2013-10-15T00:00:00"/>
    <d v="2013-09-18T00:00:00"/>
    <d v="2013-09-18T00:00:00"/>
    <x v="43"/>
    <s v="Nevirapine"/>
    <s v="Generic"/>
    <s v="10mg/ml"/>
    <s v="Oral suspension"/>
    <n v="240"/>
    <n v="2191"/>
    <n v="4272.45"/>
    <n v="1.95"/>
    <n v="0.01"/>
    <n v="823"/>
    <n v="3524"/>
    <n v="1"/>
    <x v="6"/>
  </r>
  <r>
    <n v="83735"/>
    <s v="SO-46830"/>
    <x v="958"/>
    <x v="3"/>
    <s v="ARV"/>
    <s v="Pediatric"/>
    <s v="SCMS from RDC"/>
    <x v="1"/>
    <s v="N/A - From RDC"/>
    <s v="Truck"/>
    <m/>
    <d v="2013-12-16T00:00:00"/>
    <d v="2013-12-20T00:00:00"/>
    <d v="2014-01-17T00:00:00"/>
    <x v="57"/>
    <s v="Lamivudine/Nevirapine/Zidovudine"/>
    <s v="Generic"/>
    <s v="30/50/60mg"/>
    <s v="Chewable/dispersible tablet - FDC"/>
    <n v="60"/>
    <n v="4637"/>
    <n v="18037.93"/>
    <n v="3.89"/>
    <n v="0.06"/>
    <n v="426"/>
    <n v="1761.5"/>
    <n v="0"/>
    <x v="7"/>
  </r>
  <r>
    <n v="83746"/>
    <s v="SO-45995"/>
    <x v="858"/>
    <x v="0"/>
    <s v="ARV"/>
    <s v="Pediatric"/>
    <s v="SCMS from RDC"/>
    <x v="1"/>
    <s v="N/A - From RDC"/>
    <s v="Truck"/>
    <m/>
    <d v="2013-12-31T00:00:00"/>
    <d v="2014-02-25T00:00:00"/>
    <d v="2014-03-13T00:00:00"/>
    <x v="51"/>
    <s v="Efavirenz"/>
    <s v="Generic"/>
    <s v="200mg"/>
    <s v="Tablet"/>
    <n v="90"/>
    <n v="5687"/>
    <n v="52889.1"/>
    <n v="9.3000000000000007"/>
    <n v="0.1"/>
    <m/>
    <m/>
    <n v="0"/>
    <x v="7"/>
  </r>
  <r>
    <n v="83751"/>
    <s v="SO-46482"/>
    <x v="959"/>
    <x v="1"/>
    <s v="ARV"/>
    <s v="Adult"/>
    <s v="SCMS from RDC"/>
    <x v="1"/>
    <s v="N/A - From RDC"/>
    <s v="Truck"/>
    <m/>
    <d v="2014-01-31T00:00:00"/>
    <d v="2014-01-23T00:00:00"/>
    <d v="2014-01-31T00:00:00"/>
    <x v="46"/>
    <s v="Efavirenz/Lamivudine/Tenofovir Disoproxil Fumarate"/>
    <s v="Generic"/>
    <s v="600/300/300mg"/>
    <s v="Tablet - FDC"/>
    <n v="30"/>
    <n v="83000"/>
    <n v="925450"/>
    <n v="11.15"/>
    <n v="0.37"/>
    <n v="10998"/>
    <n v="75824.42"/>
    <n v="1"/>
    <x v="7"/>
  </r>
  <r>
    <n v="83760"/>
    <s v="SO-46490"/>
    <x v="960"/>
    <x v="1"/>
    <s v="ARV"/>
    <s v="Adult"/>
    <s v="SCMS from RDC"/>
    <x v="1"/>
    <s v="N/A - From RDC"/>
    <s v="Truck"/>
    <m/>
    <d v="2014-01-31T00:00:00"/>
    <d v="2014-02-25T00:00:00"/>
    <d v="2014-03-12T00:00:00"/>
    <x v="1"/>
    <s v="Lamivudine/Zidovudine"/>
    <s v="Generic"/>
    <s v="150/300mg"/>
    <s v="Tablet - FDC"/>
    <n v="60"/>
    <n v="8600"/>
    <n v="57878"/>
    <n v="6.73"/>
    <n v="0.11"/>
    <n v="770"/>
    <n v="9828.73"/>
    <n v="0"/>
    <x v="7"/>
  </r>
  <r>
    <n v="83761"/>
    <s v="SO-45999"/>
    <x v="961"/>
    <x v="0"/>
    <s v="ARV"/>
    <s v="Adult"/>
    <s v="SCMS from RDC"/>
    <x v="1"/>
    <s v="N/A - From RDC"/>
    <s v="Truck"/>
    <m/>
    <d v="2014-01-31T00:00:00"/>
    <d v="2014-02-19T00:00:00"/>
    <d v="2014-02-24T00:00:00"/>
    <x v="70"/>
    <s v="Emtricitabine/Tenofovir Disoproxil Fumarate"/>
    <s v="Generic"/>
    <s v="200/300mg"/>
    <s v="Tablet - FDC"/>
    <n v="30"/>
    <n v="40000"/>
    <n v="234800"/>
    <n v="5.87"/>
    <n v="0.2"/>
    <n v="7393"/>
    <n v="7083.18"/>
    <n v="0"/>
    <x v="7"/>
  </r>
  <r>
    <n v="83773"/>
    <s v="SO-46002"/>
    <x v="747"/>
    <x v="0"/>
    <s v="ARV"/>
    <s v="Pediatric"/>
    <s v="SCMS from RDC"/>
    <x v="1"/>
    <s v="N/A - From RDC"/>
    <s v="Truck"/>
    <m/>
    <d v="2014-04-30T00:00:00"/>
    <d v="2014-05-02T00:00:00"/>
    <d v="2014-05-07T00:00:00"/>
    <x v="57"/>
    <s v="Lamivudine/Nevirapine/Zidovudine"/>
    <s v="Generic"/>
    <s v="30/50/60mg"/>
    <s v="Chewable/dispersible tablet - FDC"/>
    <n v="60"/>
    <n v="43460"/>
    <n v="162975"/>
    <n v="3.75"/>
    <n v="0.06"/>
    <m/>
    <m/>
    <n v="0"/>
    <x v="7"/>
  </r>
  <r>
    <n v="83777"/>
    <s v="SO-46882"/>
    <x v="962"/>
    <x v="3"/>
    <s v="ARV"/>
    <s v="Adult"/>
    <s v="SCMS from RDC"/>
    <x v="1"/>
    <s v="N/A - From RDC"/>
    <s v="Truck"/>
    <m/>
    <d v="2014-04-30T00:00:00"/>
    <d v="2014-04-18T00:00:00"/>
    <d v="2014-05-07T00:00:00"/>
    <x v="0"/>
    <s v="Nevirapine"/>
    <s v="Generic"/>
    <s v="200mg"/>
    <s v="Tablet"/>
    <n v="60"/>
    <n v="12965"/>
    <n v="29300.9"/>
    <n v="2.2599999999999998"/>
    <n v="0.04"/>
    <n v="1243"/>
    <m/>
    <n v="1"/>
    <x v="7"/>
  </r>
  <r>
    <n v="83779"/>
    <s v="SO-46660"/>
    <x v="963"/>
    <x v="0"/>
    <s v="ARV"/>
    <s v="Adult"/>
    <s v="SCMS from RDC"/>
    <x v="1"/>
    <s v="N/A - From RDC"/>
    <s v="Truck"/>
    <m/>
    <d v="2014-05-09T00:00:00"/>
    <d v="2014-05-10T00:00:00"/>
    <d v="2014-06-20T00:00:00"/>
    <x v="45"/>
    <s v="Efavirenz/Emtricitabine/Tenofovir Disoproxil Fumarate"/>
    <s v="Generic"/>
    <s v="600/200/300mg"/>
    <s v="Tablet - FDC"/>
    <n v="30"/>
    <n v="206508"/>
    <n v="2455380.12"/>
    <n v="11.89"/>
    <n v="0.4"/>
    <n v="22895"/>
    <n v="13649.14"/>
    <n v="0"/>
    <x v="7"/>
  </r>
  <r>
    <n v="83795"/>
    <s v="SO-47670"/>
    <x v="964"/>
    <x v="6"/>
    <s v="ARV"/>
    <s v="Adult"/>
    <s v="SCMS from RDC"/>
    <x v="1"/>
    <s v="N/A - From RDC"/>
    <s v="Air"/>
    <m/>
    <d v="2014-05-30T00:00:00"/>
    <d v="2014-06-25T00:00:00"/>
    <d v="2014-07-01T00:00:00"/>
    <x v="46"/>
    <s v="Efavirenz/Lamivudine/Tenofovir Disoproxil Fumarate"/>
    <s v="Generic"/>
    <s v="600/300/300mg"/>
    <s v="Tablet - FDC"/>
    <n v="30"/>
    <n v="2880"/>
    <n v="31046.400000000001"/>
    <n v="10.78"/>
    <n v="0.36"/>
    <n v="546"/>
    <n v="4195.6400000000003"/>
    <n v="0"/>
    <x v="7"/>
  </r>
  <r>
    <n v="83796"/>
    <s v="SO-47670"/>
    <x v="964"/>
    <x v="6"/>
    <s v="ARV"/>
    <s v="Adult"/>
    <s v="SCMS from RDC"/>
    <x v="1"/>
    <s v="N/A - From RDC"/>
    <s v="Air"/>
    <m/>
    <d v="2014-05-30T00:00:00"/>
    <d v="2014-06-25T00:00:00"/>
    <d v="2014-07-01T00:00:00"/>
    <x v="11"/>
    <s v="Lamivudine/Nevirapine/Zidovudine"/>
    <s v="Generic"/>
    <s v="150/300/200mg"/>
    <s v="Tablet - FDC"/>
    <n v="60"/>
    <n v="1152"/>
    <n v="9342.7199999999993"/>
    <n v="8.11"/>
    <n v="0.14000000000000001"/>
    <m/>
    <m/>
    <n v="0"/>
    <x v="7"/>
  </r>
  <r>
    <n v="83797"/>
    <s v="SO-47670"/>
    <x v="964"/>
    <x v="6"/>
    <s v="ARV"/>
    <s v="Adult"/>
    <s v="SCMS from RDC"/>
    <x v="1"/>
    <s v="N/A - From RDC"/>
    <s v="Air"/>
    <m/>
    <d v="2014-05-30T00:00:00"/>
    <d v="2014-06-25T00:00:00"/>
    <d v="2014-07-01T00:00:00"/>
    <x v="0"/>
    <s v="Nevirapine"/>
    <s v="Generic"/>
    <s v="200mg"/>
    <s v="Tablet"/>
    <n v="60"/>
    <n v="450"/>
    <n v="994.5"/>
    <n v="2.21"/>
    <n v="0.04"/>
    <m/>
    <m/>
    <n v="0"/>
    <x v="7"/>
  </r>
  <r>
    <n v="83804"/>
    <s v="SO-46023"/>
    <x v="965"/>
    <x v="6"/>
    <s v="ARV"/>
    <s v="Adult"/>
    <s v="SCMS from RDC"/>
    <x v="1"/>
    <s v="N/A - From RDC"/>
    <s v="Air"/>
    <m/>
    <d v="2014-06-16T00:00:00"/>
    <d v="2014-06-04T00:00:00"/>
    <d v="2014-07-09T00:00:00"/>
    <x v="1"/>
    <s v="Lamivudine/Zidovudine"/>
    <s v="Generic"/>
    <s v="150/300mg"/>
    <s v="Tablet - FDC"/>
    <n v="60"/>
    <n v="790"/>
    <n v="5150.8"/>
    <n v="6.52"/>
    <n v="0.11"/>
    <n v="186"/>
    <n v="29.21"/>
    <n v="1"/>
    <x v="7"/>
  </r>
  <r>
    <n v="83806"/>
    <s v="SO-45402"/>
    <x v="966"/>
    <x v="1"/>
    <s v="ARV"/>
    <s v="Pediatric"/>
    <s v="SCMS from RDC"/>
    <x v="1"/>
    <s v="N/A - From RDC"/>
    <s v="Truck"/>
    <m/>
    <d v="2014-06-30T00:00:00"/>
    <d v="2014-06-12T00:00:00"/>
    <d v="2014-07-10T00:00:00"/>
    <x v="67"/>
    <s v="Lamivudine"/>
    <s v="Generic"/>
    <s v="10mg/ml"/>
    <s v="Oral solution"/>
    <n v="240"/>
    <n v="507"/>
    <n v="937.95"/>
    <n v="1.85"/>
    <n v="0.01"/>
    <n v="185"/>
    <n v="2342.16"/>
    <n v="1"/>
    <x v="7"/>
  </r>
  <r>
    <n v="83808"/>
    <s v="SO-45591"/>
    <x v="967"/>
    <x v="3"/>
    <s v="ARV"/>
    <s v="Adult"/>
    <s v="SCMS from RDC"/>
    <x v="1"/>
    <s v="N/A - From RDC"/>
    <s v="Air"/>
    <m/>
    <d v="2014-06-30T00:00:00"/>
    <d v="2014-06-20T00:00:00"/>
    <d v="2014-07-09T00:00:00"/>
    <x v="14"/>
    <s v="Lopinavir/Ritonavir"/>
    <s v="Aluvia"/>
    <s v="200/50mg"/>
    <s v="Tablet"/>
    <n v="120"/>
    <n v="84"/>
    <n v="1587.6"/>
    <n v="18.899999999999999"/>
    <n v="0.16"/>
    <n v="9014"/>
    <n v="892.92"/>
    <n v="1"/>
    <x v="7"/>
  </r>
  <r>
    <n v="83810"/>
    <s v="SO-46874"/>
    <x v="968"/>
    <x v="3"/>
    <s v="ARV"/>
    <s v="Pediatric"/>
    <s v="SCMS from RDC"/>
    <x v="1"/>
    <s v="N/A - From RDC"/>
    <s v="Truck"/>
    <m/>
    <d v="2014-06-30T00:00:00"/>
    <d v="2014-06-20T00:00:00"/>
    <d v="2014-07-09T00:00:00"/>
    <x v="54"/>
    <s v="Nevirapine"/>
    <s v="Generic"/>
    <s v="10mg/ml"/>
    <s v="Oral suspension"/>
    <n v="100"/>
    <n v="45000"/>
    <n v="58500"/>
    <n v="1.3"/>
    <n v="0.01"/>
    <n v="9014"/>
    <n v="52211.42"/>
    <n v="1"/>
    <x v="7"/>
  </r>
  <r>
    <n v="83813"/>
    <s v="SO-49240"/>
    <x v="969"/>
    <x v="2"/>
    <s v="ARV"/>
    <s v="Pediatric"/>
    <s v="SCMS from RDC"/>
    <x v="1"/>
    <s v="N/A - From RDC"/>
    <s v="Air"/>
    <m/>
    <d v="2014-09-15T00:00:00"/>
    <d v="2014-08-29T00:00:00"/>
    <d v="2014-11-04T00:00:00"/>
    <x v="79"/>
    <s v="Abacavir/Lamivudine"/>
    <s v="Generic"/>
    <s v="60/30mg"/>
    <s v="Chewable/dispersible tablet - FDC"/>
    <n v="60"/>
    <n v="429"/>
    <n v="2415.27"/>
    <n v="5.63"/>
    <n v="0.09"/>
    <n v="39"/>
    <n v="792.12"/>
    <n v="1"/>
    <x v="7"/>
  </r>
  <r>
    <n v="83818"/>
    <s v="SO-48161"/>
    <x v="970"/>
    <x v="1"/>
    <s v="ARV"/>
    <s v="Pediatric"/>
    <s v="SCMS from RDC"/>
    <x v="1"/>
    <s v="N/A - From RDC"/>
    <s v="Truck"/>
    <m/>
    <d v="2014-08-19T00:00:00"/>
    <d v="2014-08-13T00:00:00"/>
    <d v="2014-08-14T00:00:00"/>
    <x v="51"/>
    <s v="Efavirenz"/>
    <s v="Generic"/>
    <s v="200mg"/>
    <s v="Tablet"/>
    <n v="90"/>
    <n v="2900"/>
    <n v="23954"/>
    <n v="8.26"/>
    <n v="0.09"/>
    <n v="5621"/>
    <n v="10640.81"/>
    <n v="1"/>
    <x v="7"/>
  </r>
  <r>
    <n v="83826"/>
    <s v="SO-49130"/>
    <x v="971"/>
    <x v="5"/>
    <s v="ARV"/>
    <s v="Pediatric"/>
    <s v="SCMS from RDC"/>
    <x v="1"/>
    <s v="N/A - From RDC"/>
    <s v="Air"/>
    <m/>
    <d v="2014-08-19T00:00:00"/>
    <d v="2014-10-17T00:00:00"/>
    <d v="2014-11-21T00:00:00"/>
    <x v="43"/>
    <s v="Nevirapine"/>
    <s v="Generic"/>
    <s v="10mg/ml"/>
    <s v="Oral suspension"/>
    <n v="240"/>
    <n v="2125"/>
    <n v="3463.75"/>
    <n v="1.63"/>
    <n v="0.01"/>
    <n v="759"/>
    <n v="9664.7900000000009"/>
    <n v="0"/>
    <x v="7"/>
  </r>
  <r>
    <n v="83827"/>
    <s v="SO-49120"/>
    <x v="756"/>
    <x v="5"/>
    <s v="ARV"/>
    <s v="Pediatric"/>
    <s v="SCMS from RDC"/>
    <x v="1"/>
    <s v="N/A - From RDC"/>
    <s v="Air"/>
    <m/>
    <d v="2014-09-01T00:00:00"/>
    <d v="2014-09-01T00:00:00"/>
    <d v="2014-09-02T00:00:00"/>
    <x v="51"/>
    <s v="Efavirenz"/>
    <s v="Generic"/>
    <s v="200mg"/>
    <s v="Tablet"/>
    <n v="90"/>
    <n v="1016"/>
    <n v="9448.7999999999993"/>
    <n v="9.3000000000000007"/>
    <n v="0.1"/>
    <m/>
    <m/>
    <n v="1"/>
    <x v="7"/>
  </r>
  <r>
    <n v="83830"/>
    <s v="SO-48150"/>
    <x v="972"/>
    <x v="1"/>
    <s v="ARV"/>
    <s v="Adult"/>
    <s v="SCMS from RDC"/>
    <x v="1"/>
    <s v="N/A - From RDC"/>
    <s v="Truck"/>
    <m/>
    <d v="2014-09-16T00:00:00"/>
    <d v="2014-08-01T00:00:00"/>
    <d v="2014-08-22T00:00:00"/>
    <x v="35"/>
    <s v="Tenofovir Disoproxil Fumarate"/>
    <s v="Generic"/>
    <s v="300mg"/>
    <s v="Tablet"/>
    <n v="30"/>
    <n v="715"/>
    <n v="2888.6"/>
    <n v="4.04"/>
    <n v="0.13"/>
    <n v="44"/>
    <n v="1171.2"/>
    <n v="1"/>
    <x v="7"/>
  </r>
  <r>
    <n v="83833"/>
    <s v="SO-48580"/>
    <x v="973"/>
    <x v="6"/>
    <s v="ARV"/>
    <s v="Adult"/>
    <s v="SCMS from RDC"/>
    <x v="1"/>
    <s v="N/A - From RDC"/>
    <s v="Air"/>
    <m/>
    <d v="2014-09-30T00:00:00"/>
    <d v="2014-09-05T00:00:00"/>
    <d v="2014-09-18T00:00:00"/>
    <x v="47"/>
    <s v="Lopinavir/Ritonavir"/>
    <s v="Generic"/>
    <s v="200/50mg"/>
    <s v="Tablet"/>
    <n v="120"/>
    <n v="280"/>
    <n v="5518.8"/>
    <n v="19.71"/>
    <n v="0.16"/>
    <n v="75"/>
    <n v="1855.34"/>
    <n v="1"/>
    <x v="7"/>
  </r>
  <r>
    <n v="83843"/>
    <s v="SO-48980"/>
    <x v="974"/>
    <x v="3"/>
    <s v="ARV"/>
    <s v="Adult"/>
    <s v="SCMS from RDC"/>
    <x v="1"/>
    <s v="N/A - From RDC"/>
    <s v="Truck"/>
    <m/>
    <d v="2014-09-11T00:00:00"/>
    <d v="2014-08-09T00:00:00"/>
    <d v="2014-08-13T00:00:00"/>
    <x v="14"/>
    <s v="Lopinavir/Ritonavir"/>
    <s v="Aluvia"/>
    <s v="200/50mg"/>
    <s v="Tablet"/>
    <n v="120"/>
    <n v="12713"/>
    <n v="240275.7"/>
    <n v="18.899999999999999"/>
    <n v="0.16"/>
    <n v="2630"/>
    <n v="6926.9"/>
    <n v="1"/>
    <x v="7"/>
  </r>
  <r>
    <n v="83844"/>
    <s v="SO-49000"/>
    <x v="975"/>
    <x v="3"/>
    <s v="ARV"/>
    <s v="Pediatric"/>
    <s v="SCMS from RDC"/>
    <x v="1"/>
    <s v="N/A - From RDC"/>
    <s v="Truck"/>
    <m/>
    <d v="2014-09-30T00:00:00"/>
    <d v="2014-09-17T00:00:00"/>
    <d v="2014-09-18T00:00:00"/>
    <x v="57"/>
    <s v="Lamivudine/Nevirapine/Zidovudine"/>
    <s v="Generic"/>
    <s v="30/50/60mg"/>
    <s v="Chewable/dispersible tablet - FDC"/>
    <n v="60"/>
    <n v="11553"/>
    <n v="43092.69"/>
    <n v="3.73"/>
    <n v="0.06"/>
    <n v="516"/>
    <n v="2042.9"/>
    <n v="1"/>
    <x v="7"/>
  </r>
  <r>
    <n v="83847"/>
    <s v="SO-46700"/>
    <x v="976"/>
    <x v="0"/>
    <s v="ARV"/>
    <s v="Pediatric"/>
    <s v="SCMS from RDC"/>
    <x v="1"/>
    <s v="N/A - From RDC"/>
    <s v="Truck"/>
    <m/>
    <d v="2014-11-28T00:00:00"/>
    <d v="2014-11-20T00:00:00"/>
    <d v="2014-11-21T00:00:00"/>
    <x v="57"/>
    <s v="Lamivudine/Nevirapine/Zidovudine"/>
    <s v="Generic"/>
    <s v="30/50/60mg"/>
    <s v="Chewable/dispersible tablet - FDC"/>
    <n v="60"/>
    <n v="18317"/>
    <n v="71253.13"/>
    <n v="3.89"/>
    <n v="0.06"/>
    <n v="581"/>
    <n v="6311.88"/>
    <n v="1"/>
    <x v="7"/>
  </r>
  <r>
    <n v="83848"/>
    <s v="SO-47661"/>
    <x v="977"/>
    <x v="0"/>
    <s v="ARV"/>
    <s v="Pediatric"/>
    <s v="SCMS from RDC"/>
    <x v="1"/>
    <s v="N/A - From RDC"/>
    <s v="Air"/>
    <m/>
    <d v="2015-01-30T00:00:00"/>
    <d v="2014-12-17T00:00:00"/>
    <d v="2014-12-18T00:00:00"/>
    <x v="57"/>
    <s v="Lamivudine/Nevirapine/Zidovudine"/>
    <s v="Generic"/>
    <s v="30/50/60mg"/>
    <s v="Chewable/dispersible tablet - FDC"/>
    <n v="60"/>
    <n v="31153"/>
    <n v="116823.75"/>
    <n v="3.75"/>
    <n v="0.06"/>
    <n v="1739"/>
    <n v="10506.44"/>
    <n v="1"/>
    <x v="7"/>
  </r>
  <r>
    <n v="83860"/>
    <s v="SO-48790"/>
    <x v="764"/>
    <x v="1"/>
    <s v="ARV"/>
    <s v="Adult"/>
    <s v="SCMS from RDC"/>
    <x v="1"/>
    <s v="N/A - From RDC"/>
    <s v="Truck"/>
    <m/>
    <d v="2015-02-16T00:00:00"/>
    <d v="2015-01-14T00:00:00"/>
    <d v="2015-01-19T00:00:00"/>
    <x v="0"/>
    <s v="Nevirapine"/>
    <s v="Generic"/>
    <s v="200mg"/>
    <s v="Tablet"/>
    <n v="60"/>
    <n v="49941"/>
    <n v="110369.61"/>
    <n v="2.21"/>
    <n v="0.04"/>
    <m/>
    <m/>
    <n v="1"/>
    <x v="8"/>
  </r>
  <r>
    <n v="83864"/>
    <s v="SO-50051"/>
    <x v="978"/>
    <x v="3"/>
    <s v="ARV"/>
    <s v="Adult"/>
    <s v="SCMS from RDC"/>
    <x v="1"/>
    <s v="N/A - From RDC"/>
    <s v="Truck"/>
    <m/>
    <d v="2015-06-15T00:00:00"/>
    <d v="2015-01-16T00:00:00"/>
    <d v="2015-01-26T00:00:00"/>
    <x v="46"/>
    <s v="Efavirenz/Lamivudine/Tenofovir Disoproxil Fumarate"/>
    <s v="Generic"/>
    <s v="600/300/300mg"/>
    <s v="Tablet - FDC"/>
    <n v="30"/>
    <n v="350000"/>
    <n v="3416000"/>
    <n v="9.76"/>
    <n v="0.33"/>
    <n v="41041"/>
    <n v="40616.15"/>
    <n v="1"/>
    <x v="8"/>
  </r>
  <r>
    <n v="83867"/>
    <s v="SO-48971"/>
    <x v="979"/>
    <x v="3"/>
    <s v="ARV"/>
    <s v="Adult"/>
    <s v="SCMS from RDC"/>
    <x v="1"/>
    <s v="N/A - From RDC"/>
    <s v="Truck"/>
    <m/>
    <d v="2015-02-16T00:00:00"/>
    <d v="2015-01-24T00:00:00"/>
    <d v="2015-02-03T00:00:00"/>
    <x v="8"/>
    <s v="Efavirenz"/>
    <s v="Generic"/>
    <s v="600mg"/>
    <s v="Tablet"/>
    <n v="30"/>
    <n v="37500"/>
    <n v="120375"/>
    <n v="3.21"/>
    <n v="0.11"/>
    <n v="3961"/>
    <n v="3562.44"/>
    <n v="1"/>
    <x v="8"/>
  </r>
  <r>
    <n v="83868"/>
    <s v="SO-48972"/>
    <x v="980"/>
    <x v="3"/>
    <s v="ARV"/>
    <s v="Adult"/>
    <s v="SCMS from RDC"/>
    <x v="1"/>
    <s v="N/A - From RDC"/>
    <s v="Truck"/>
    <m/>
    <d v="2015-02-02T00:00:00"/>
    <d v="2015-01-24T00:00:00"/>
    <d v="2015-01-27T00:00:00"/>
    <x v="39"/>
    <s v="Lamivudine/Tenofovir Disoproxil Fumarate"/>
    <s v="Generic"/>
    <s v="300/300mg"/>
    <s v="Tablet - FDC"/>
    <n v="30"/>
    <n v="14420"/>
    <n v="66764.600000000006"/>
    <n v="4.63"/>
    <n v="0.15"/>
    <n v="1467"/>
    <n v="1319.21"/>
    <n v="1"/>
    <x v="8"/>
  </r>
  <r>
    <n v="83876"/>
    <s v="SO-48921"/>
    <x v="981"/>
    <x v="0"/>
    <s v="ARV"/>
    <s v="Pediatric"/>
    <s v="SCMS from RDC"/>
    <x v="1"/>
    <s v="N/A - From RDC"/>
    <s v="Truck"/>
    <m/>
    <d v="2015-02-25T00:00:00"/>
    <d v="2015-01-27T00:00:00"/>
    <d v="2015-02-03T00:00:00"/>
    <x v="42"/>
    <s v="Lamivudine/Zidovudine"/>
    <s v="Generic"/>
    <s v="30/60mg"/>
    <s v="Chewable/dispersible tablet - FDC"/>
    <n v="60"/>
    <n v="20000"/>
    <n v="40000"/>
    <n v="2"/>
    <n v="0.03"/>
    <n v="1386"/>
    <n v="7061.2"/>
    <n v="1"/>
    <x v="8"/>
  </r>
  <r>
    <n v="83878"/>
    <s v="SO-48994"/>
    <x v="768"/>
    <x v="3"/>
    <s v="ARV"/>
    <s v="Pediatric"/>
    <s v="SCMS from RDC"/>
    <x v="1"/>
    <s v="N/A - From RDC"/>
    <s v="Truck"/>
    <m/>
    <d v="2015-02-27T00:00:00"/>
    <d v="2015-02-25T00:00:00"/>
    <d v="2015-03-05T00:00:00"/>
    <x v="76"/>
    <s v="Abacavir/Lamivudine"/>
    <s v="Generic"/>
    <s v="60/30mg"/>
    <s v="Tablet - FDC"/>
    <n v="60"/>
    <n v="11106"/>
    <n v="45423.54"/>
    <n v="4.09"/>
    <n v="7.0000000000000007E-2"/>
    <m/>
    <m/>
    <n v="1"/>
    <x v="8"/>
  </r>
  <r>
    <n v="83880"/>
    <s v="SO-50090"/>
    <x v="982"/>
    <x v="3"/>
    <s v="ARV"/>
    <s v="Adult"/>
    <s v="SCMS from RDC"/>
    <x v="1"/>
    <s v="N/A - From RDC"/>
    <s v="Truck"/>
    <m/>
    <d v="2015-02-27T00:00:00"/>
    <d v="2015-02-24T00:00:00"/>
    <d v="2015-02-24T00:00:00"/>
    <x v="46"/>
    <s v="Efavirenz/Lamivudine/Tenofovir Disoproxil Fumarate"/>
    <s v="Generic"/>
    <s v="600/300/300mg"/>
    <s v="Tablet - FDC"/>
    <n v="30"/>
    <n v="2361"/>
    <n v="24200.25"/>
    <n v="10.25"/>
    <n v="0.34"/>
    <n v="1255"/>
    <n v="4438"/>
    <n v="1"/>
    <x v="8"/>
  </r>
  <r>
    <n v="83881"/>
    <s v="SO-50650"/>
    <x v="983"/>
    <x v="3"/>
    <s v="ARV"/>
    <s v="Adult"/>
    <s v="SCMS from RDC"/>
    <x v="1"/>
    <s v="N/A - From RDC"/>
    <s v="Truck"/>
    <m/>
    <d v="2015-02-17T00:00:00"/>
    <d v="2015-01-31T00:00:00"/>
    <d v="2015-02-02T00:00:00"/>
    <x v="0"/>
    <s v="Nevirapine"/>
    <s v="Generic"/>
    <s v="200mg"/>
    <s v="Tablet"/>
    <n v="60"/>
    <n v="10059"/>
    <n v="21928.62"/>
    <n v="2.1800000000000002"/>
    <n v="0.04"/>
    <n v="632"/>
    <n v="2643.5"/>
    <n v="1"/>
    <x v="8"/>
  </r>
  <r>
    <n v="83891"/>
    <s v="SO-49010"/>
    <x v="984"/>
    <x v="3"/>
    <s v="ARV"/>
    <s v="Pediatric"/>
    <s v="SCMS from RDC"/>
    <x v="1"/>
    <s v="N/A - From RDC"/>
    <s v="Truck"/>
    <m/>
    <d v="2015-03-16T00:00:00"/>
    <d v="2015-03-12T00:00:00"/>
    <d v="2015-03-17T00:00:00"/>
    <x v="57"/>
    <s v="Lamivudine/Nevirapine/Zidovudine"/>
    <s v="Generic"/>
    <s v="30/50/60mg"/>
    <s v="Chewable/dispersible tablet - FDC"/>
    <n v="60"/>
    <n v="6384"/>
    <n v="22982.400000000001"/>
    <n v="3.6"/>
    <n v="0.06"/>
    <n v="382"/>
    <n v="1587.3"/>
    <n v="1"/>
    <x v="8"/>
  </r>
  <r>
    <n v="83894"/>
    <s v="SO-50270"/>
    <x v="769"/>
    <x v="6"/>
    <s v="ARV"/>
    <s v="Adult"/>
    <s v="SCMS from RDC"/>
    <x v="1"/>
    <s v="N/A - From RDC"/>
    <s v="Air"/>
    <m/>
    <d v="2015-02-27T00:00:00"/>
    <d v="2015-02-28T00:00:00"/>
    <d v="2015-03-05T00:00:00"/>
    <x v="14"/>
    <s v="Lopinavir/Ritonavir"/>
    <s v="Aluvia"/>
    <s v="200/50mg"/>
    <s v="Tablet"/>
    <n v="120"/>
    <n v="320"/>
    <n v="6048"/>
    <n v="18.899999999999999"/>
    <n v="0.16"/>
    <m/>
    <m/>
    <n v="0"/>
    <x v="8"/>
  </r>
  <r>
    <n v="83897"/>
    <s v="SO-49940"/>
    <x v="771"/>
    <x v="1"/>
    <s v="ARV"/>
    <s v="Pediatric"/>
    <s v="SCMS from RDC"/>
    <x v="1"/>
    <s v="N/A - From RDC"/>
    <s v="Truck"/>
    <m/>
    <d v="2015-03-31T00:00:00"/>
    <d v="2015-03-24T00:00:00"/>
    <d v="2015-03-24T00:00:00"/>
    <x v="79"/>
    <s v="Abacavir/Lamivudine"/>
    <s v="Generic"/>
    <s v="60/30mg"/>
    <s v="Chewable/dispersible tablet - FDC"/>
    <n v="60"/>
    <n v="24174"/>
    <n v="123045.66"/>
    <n v="5.09"/>
    <n v="0.08"/>
    <m/>
    <m/>
    <n v="1"/>
    <x v="8"/>
  </r>
  <r>
    <n v="83899"/>
    <s v="SO-50741"/>
    <x v="985"/>
    <x v="1"/>
    <s v="ARV"/>
    <s v="Pediatric"/>
    <s v="SCMS from RDC"/>
    <x v="1"/>
    <s v="N/A - From RDC"/>
    <s v="Air"/>
    <m/>
    <d v="2015-04-30T00:00:00"/>
    <d v="2015-03-27T00:00:00"/>
    <d v="2015-04-07T00:00:00"/>
    <x v="42"/>
    <s v="Lamivudine/Zidovudine"/>
    <s v="Generic"/>
    <s v="30/60mg"/>
    <s v="Chewable/dispersible tablet - FDC"/>
    <n v="60"/>
    <n v="3813"/>
    <n v="7435.35"/>
    <n v="1.95"/>
    <n v="0.03"/>
    <m/>
    <m/>
    <n v="1"/>
    <x v="8"/>
  </r>
  <r>
    <n v="83903"/>
    <s v="SO-50050"/>
    <x v="879"/>
    <x v="3"/>
    <s v="ARV"/>
    <s v="Pediatric"/>
    <s v="SCMS from RDC"/>
    <x v="1"/>
    <s v="N/A - From RDC"/>
    <s v="Truck"/>
    <m/>
    <d v="2015-06-15T00:00:00"/>
    <d v="2015-05-14T00:00:00"/>
    <d v="2015-05-15T00:00:00"/>
    <x v="76"/>
    <s v="Abacavir/Lamivudine"/>
    <s v="Generic"/>
    <s v="60/30mg"/>
    <s v="Tablet - FDC"/>
    <n v="60"/>
    <n v="28524"/>
    <n v="112669.8"/>
    <n v="3.95"/>
    <n v="7.0000000000000007E-2"/>
    <m/>
    <m/>
    <n v="1"/>
    <x v="8"/>
  </r>
  <r>
    <n v="83904"/>
    <s v="SO-49012"/>
    <x v="986"/>
    <x v="3"/>
    <s v="ARV"/>
    <s v="Pediatric"/>
    <s v="SCMS from RDC"/>
    <x v="1"/>
    <s v="N/A - From RDC"/>
    <s v="Truck"/>
    <m/>
    <d v="2015-04-30T00:00:00"/>
    <d v="2015-04-22T00:00:00"/>
    <d v="2015-04-24T00:00:00"/>
    <x v="57"/>
    <s v="Lamivudine/Nevirapine/Zidovudine"/>
    <s v="Generic"/>
    <s v="30/50/60mg"/>
    <s v="Chewable/dispersible tablet - FDC"/>
    <n v="60"/>
    <n v="832"/>
    <n v="2995.2"/>
    <n v="3.6"/>
    <n v="0.06"/>
    <m/>
    <m/>
    <n v="1"/>
    <x v="8"/>
  </r>
  <r>
    <n v="83905"/>
    <s v="SO-50050"/>
    <x v="879"/>
    <x v="3"/>
    <s v="ARV"/>
    <s v="Adult"/>
    <s v="SCMS from RDC"/>
    <x v="1"/>
    <s v="N/A - From RDC"/>
    <s v="Truck"/>
    <m/>
    <d v="2015-06-15T00:00:00"/>
    <d v="2015-05-14T00:00:00"/>
    <d v="2015-05-15T00:00:00"/>
    <x v="39"/>
    <s v="Lamivudine/Tenofovir Disoproxil Fumarate"/>
    <s v="Generic"/>
    <s v="300/300mg"/>
    <s v="Tablet - FDC"/>
    <n v="30"/>
    <n v="120742"/>
    <n v="554205.78"/>
    <n v="4.59"/>
    <n v="0.15"/>
    <m/>
    <m/>
    <n v="1"/>
    <x v="8"/>
  </r>
  <r>
    <n v="83906"/>
    <s v="SO-50290"/>
    <x v="987"/>
    <x v="6"/>
    <s v="ARV"/>
    <s v="Adult"/>
    <s v="SCMS from RDC"/>
    <x v="1"/>
    <s v="N/A - From RDC"/>
    <s v="Air"/>
    <m/>
    <d v="2015-06-30T00:00:00"/>
    <d v="2015-04-22T00:00:00"/>
    <d v="2015-04-23T00:00:00"/>
    <x v="46"/>
    <s v="Efavirenz/Lamivudine/Tenofovir Disoproxil Fumarate"/>
    <s v="Generic"/>
    <s v="600/300/300mg"/>
    <s v="Tablet - FDC"/>
    <n v="30"/>
    <n v="8190"/>
    <n v="78624"/>
    <n v="9.6"/>
    <n v="0.32"/>
    <n v="1208"/>
    <n v="7564.47"/>
    <n v="1"/>
    <x v="8"/>
  </r>
  <r>
    <n v="83909"/>
    <s v="SO-50671"/>
    <x v="988"/>
    <x v="3"/>
    <s v="ARV"/>
    <s v="Adult"/>
    <s v="SCMS from RDC"/>
    <x v="1"/>
    <s v="N/A - From RDC"/>
    <s v="Truck"/>
    <m/>
    <d v="2015-04-30T00:00:00"/>
    <d v="2015-05-15T00:00:00"/>
    <d v="2015-05-17T00:00:00"/>
    <x v="1"/>
    <s v="Lamivudine/Zidovudine"/>
    <s v="Generic"/>
    <s v="150/300mg"/>
    <s v="Tablet - FDC"/>
    <n v="60"/>
    <n v="45671"/>
    <n v="297774.92"/>
    <n v="6.52"/>
    <n v="0.11"/>
    <n v="4055"/>
    <n v="4112.5600000000004"/>
    <n v="0"/>
    <x v="8"/>
  </r>
  <r>
    <n v="83914"/>
    <s v="SO-51450"/>
    <x v="989"/>
    <x v="5"/>
    <s v="ARV"/>
    <s v="Adult"/>
    <s v="SCMS from RDC"/>
    <x v="1"/>
    <s v="N/A - From RDC"/>
    <s v="Air"/>
    <m/>
    <d v="2015-07-28T00:00:00"/>
    <d v="2015-06-19T00:00:00"/>
    <d v="2015-06-23T00:00:00"/>
    <x v="46"/>
    <s v="Efavirenz/Lamivudine/Tenofovir Disoproxil Fumarate"/>
    <s v="Generic"/>
    <s v="600/300/300mg"/>
    <s v="Tablet - FDC"/>
    <n v="30"/>
    <n v="56400"/>
    <n v="541440"/>
    <n v="9.6"/>
    <n v="0.32"/>
    <m/>
    <m/>
    <n v="1"/>
    <x v="8"/>
  </r>
  <r>
    <n v="83916"/>
    <s v="SO-50291"/>
    <x v="990"/>
    <x v="6"/>
    <s v="ARV"/>
    <s v="Adult"/>
    <s v="SCMS from RDC"/>
    <x v="1"/>
    <s v="N/A - From RDC"/>
    <s v="Air"/>
    <m/>
    <d v="2015-07-31T00:00:00"/>
    <d v="2015-07-10T00:00:00"/>
    <d v="2015-07-13T00:00:00"/>
    <x v="47"/>
    <s v="Lopinavir/Ritonavir"/>
    <s v="Generic"/>
    <s v="200/50mg"/>
    <s v="Tablet"/>
    <n v="120"/>
    <n v="240"/>
    <n v="4646.3999999999996"/>
    <n v="19.36"/>
    <n v="0.16"/>
    <n v="58"/>
    <n v="1289.48"/>
    <n v="1"/>
    <x v="8"/>
  </r>
  <r>
    <n v="83917"/>
    <s v="SO-49942"/>
    <x v="991"/>
    <x v="1"/>
    <s v="ARV"/>
    <s v="Pediatric"/>
    <s v="SCMS from RDC"/>
    <x v="1"/>
    <s v="N/A - From RDC"/>
    <s v="Truck"/>
    <m/>
    <d v="2015-06-30T00:00:00"/>
    <d v="2015-06-29T00:00:00"/>
    <d v="2015-06-30T00:00:00"/>
    <x v="79"/>
    <s v="Abacavir/Lamivudine"/>
    <s v="Generic"/>
    <s v="60/30mg"/>
    <s v="Chewable/dispersible tablet - FDC"/>
    <n v="60"/>
    <n v="11584"/>
    <n v="58962.559999999998"/>
    <n v="5.09"/>
    <n v="0.08"/>
    <n v="1043"/>
    <n v="8819.61"/>
    <n v="1"/>
    <x v="8"/>
  </r>
  <r>
    <n v="83932"/>
    <s v="SO-51741"/>
    <x v="992"/>
    <x v="1"/>
    <s v="ARV"/>
    <s v="Pediatric"/>
    <s v="SCMS from RDC"/>
    <x v="1"/>
    <s v="N/A - From RDC"/>
    <s v="Air"/>
    <m/>
    <d v="2015-09-08T00:00:00"/>
    <d v="2015-08-26T00:00:00"/>
    <d v="2015-09-01T00:00:00"/>
    <x v="57"/>
    <s v="Lamivudine/Nevirapine/Zidovudine"/>
    <s v="Generic"/>
    <s v="30/50/60mg"/>
    <s v="Chewable/dispersible tablet - FDC"/>
    <n v="60"/>
    <n v="3408"/>
    <n v="12098.4"/>
    <n v="3.55"/>
    <n v="0.06"/>
    <m/>
    <m/>
    <n v="1"/>
    <x v="8"/>
  </r>
  <r>
    <n v="83960"/>
    <s v="SO-34150"/>
    <x v="993"/>
    <x v="3"/>
    <s v="ARV"/>
    <s v="Adult"/>
    <s v="SCMS from RDC"/>
    <x v="1"/>
    <s v="N/A - From RDC"/>
    <s v="Air"/>
    <m/>
    <d v="2009-11-21T00:00:00"/>
    <d v="2009-11-12T00:00:00"/>
    <d v="2009-11-12T00:00:00"/>
    <x v="8"/>
    <s v="Efavirenz"/>
    <s v="Generic"/>
    <s v="600mg"/>
    <s v="Tablet"/>
    <n v="30"/>
    <n v="200"/>
    <n v="1156"/>
    <n v="5.78"/>
    <n v="0.19"/>
    <n v="22"/>
    <n v="709.02"/>
    <n v="1"/>
    <x v="3"/>
  </r>
  <r>
    <n v="83967"/>
    <s v="SO-34270"/>
    <x v="779"/>
    <x v="3"/>
    <s v="ARV"/>
    <s v="Adult"/>
    <s v="SCMS from RDC"/>
    <x v="1"/>
    <s v="N/A - From RDC"/>
    <s v="Air"/>
    <m/>
    <d v="2009-12-07T00:00:00"/>
    <d v="2009-11-30T00:00:00"/>
    <d v="2009-11-30T00:00:00"/>
    <x v="1"/>
    <s v="Lamivudine/Zidovudine"/>
    <s v="Generic"/>
    <s v="150/300mg"/>
    <s v="Tablet - FDC"/>
    <n v="60"/>
    <n v="3350"/>
    <n v="29346"/>
    <n v="8.76"/>
    <n v="0.15"/>
    <m/>
    <m/>
    <n v="1"/>
    <x v="3"/>
  </r>
  <r>
    <n v="83970"/>
    <s v="SO-34810"/>
    <x v="994"/>
    <x v="3"/>
    <s v="ARV"/>
    <s v="Adult"/>
    <s v="SCMS from RDC"/>
    <x v="1"/>
    <s v="N/A - From RDC"/>
    <s v="Air"/>
    <m/>
    <d v="2010-02-03T00:00:00"/>
    <d v="2009-12-23T00:00:00"/>
    <d v="2009-12-23T00:00:00"/>
    <x v="3"/>
    <s v="Stavudine"/>
    <s v="Generic"/>
    <s v="30mg"/>
    <s v="Capsule"/>
    <n v="60"/>
    <n v="100"/>
    <n v="146"/>
    <n v="1.46"/>
    <n v="0.02"/>
    <n v="7"/>
    <n v="523.64"/>
    <n v="1"/>
    <x v="3"/>
  </r>
  <r>
    <n v="83973"/>
    <s v="SO-35470"/>
    <x v="995"/>
    <x v="2"/>
    <s v="ARV"/>
    <s v="Adult"/>
    <s v="SCMS from RDC"/>
    <x v="1"/>
    <s v="N/A - From RDC"/>
    <s v="Air"/>
    <m/>
    <d v="2010-02-28T00:00:00"/>
    <d v="2010-01-15T00:00:00"/>
    <d v="2010-01-15T00:00:00"/>
    <x v="1"/>
    <s v="Lamivudine/Zidovudine"/>
    <s v="Generic"/>
    <s v="150/300mg"/>
    <s v="Tablet - FDC"/>
    <n v="60"/>
    <n v="16019"/>
    <n v="140326.44"/>
    <n v="8.76"/>
    <n v="0.15"/>
    <n v="1454"/>
    <n v="5187.5"/>
    <n v="1"/>
    <x v="4"/>
  </r>
  <r>
    <n v="83975"/>
    <s v="SO-34850"/>
    <x v="996"/>
    <x v="3"/>
    <s v="ARV"/>
    <s v="Adult"/>
    <s v="SCMS from RDC"/>
    <x v="1"/>
    <s v="N/A - From RDC"/>
    <s v="Truck"/>
    <m/>
    <d v="2010-02-11T00:00:00"/>
    <d v="2010-01-29T00:00:00"/>
    <d v="2010-01-29T00:00:00"/>
    <x v="1"/>
    <s v="Lamivudine/Zidovudine"/>
    <s v="Generic"/>
    <s v="150/300mg"/>
    <s v="Tablet - FDC"/>
    <n v="60"/>
    <n v="380"/>
    <n v="3328.8"/>
    <n v="8.76"/>
    <n v="0.15"/>
    <n v="67"/>
    <n v="1549.83"/>
    <n v="1"/>
    <x v="4"/>
  </r>
  <r>
    <n v="83985"/>
    <s v="SO-35630"/>
    <x v="997"/>
    <x v="3"/>
    <s v="ARV"/>
    <s v="Adult"/>
    <s v="SCMS from RDC"/>
    <x v="1"/>
    <s v="N/A - From RDC"/>
    <s v="Air"/>
    <m/>
    <d v="2010-03-22T00:00:00"/>
    <d v="2010-03-17T00:00:00"/>
    <d v="2010-03-17T00:00:00"/>
    <x v="8"/>
    <s v="Efavirenz"/>
    <s v="Generic"/>
    <s v="600mg"/>
    <s v="Tablet"/>
    <n v="30"/>
    <n v="5000"/>
    <n v="25650"/>
    <n v="5.13"/>
    <n v="0.17"/>
    <n v="456"/>
    <n v="5186.68"/>
    <n v="1"/>
    <x v="4"/>
  </r>
  <r>
    <n v="83992"/>
    <s v="SO-35000"/>
    <x v="998"/>
    <x v="3"/>
    <s v="ARV"/>
    <s v="Adult"/>
    <s v="SCMS from RDC"/>
    <x v="1"/>
    <s v="N/A - From RDC"/>
    <s v="Truck"/>
    <m/>
    <d v="2010-04-12T00:00:00"/>
    <d v="2010-03-25T00:00:00"/>
    <d v="2010-03-25T00:00:00"/>
    <x v="1"/>
    <s v="Lamivudine/Zidovudine"/>
    <s v="Generic"/>
    <s v="150/300mg"/>
    <s v="Tablet - FDC"/>
    <n v="60"/>
    <n v="4200"/>
    <n v="36792"/>
    <n v="8.76"/>
    <n v="0.15"/>
    <n v="275"/>
    <n v="11991.12"/>
    <n v="1"/>
    <x v="4"/>
  </r>
  <r>
    <n v="83993"/>
    <s v="SO-36250"/>
    <x v="999"/>
    <x v="3"/>
    <s v="ARV"/>
    <s v="Adult"/>
    <s v="SCMS from RDC"/>
    <x v="1"/>
    <s v="N/A - From RDC"/>
    <s v="Air"/>
    <m/>
    <d v="2010-06-04T00:00:00"/>
    <d v="2010-04-12T00:00:00"/>
    <d v="2010-04-12T00:00:00"/>
    <x v="29"/>
    <s v="Zidovudine"/>
    <s v="Generic"/>
    <s v="300mg"/>
    <s v="Tablet"/>
    <n v="60"/>
    <n v="90"/>
    <n v="675"/>
    <n v="7.5"/>
    <n v="0.12"/>
    <n v="4"/>
    <n v="521.52"/>
    <n v="1"/>
    <x v="4"/>
  </r>
  <r>
    <n v="83995"/>
    <s v="SO-36390"/>
    <x v="1000"/>
    <x v="1"/>
    <s v="ARV"/>
    <s v="Adult"/>
    <s v="SCMS from RDC"/>
    <x v="1"/>
    <s v="N/A - From RDC"/>
    <s v="Air"/>
    <m/>
    <d v="2010-06-15T00:00:00"/>
    <d v="2010-04-19T00:00:00"/>
    <d v="2010-04-19T00:00:00"/>
    <x v="11"/>
    <s v="Lamivudine/Nevirapine/Zidovudine"/>
    <s v="Generic"/>
    <s v="150/300/200mg"/>
    <s v="Tablet - FDC"/>
    <n v="60"/>
    <n v="25000"/>
    <n v="280500"/>
    <n v="11.22"/>
    <n v="0.19"/>
    <n v="2930"/>
    <n v="42573.95"/>
    <n v="1"/>
    <x v="4"/>
  </r>
  <r>
    <n v="84004"/>
    <s v="SO-36270"/>
    <x v="1001"/>
    <x v="3"/>
    <s v="ARV"/>
    <s v="Adult"/>
    <s v="SCMS from RDC"/>
    <x v="1"/>
    <s v="N/A - From RDC"/>
    <s v="Air"/>
    <m/>
    <d v="2010-05-31T00:00:00"/>
    <d v="2010-05-19T00:00:00"/>
    <d v="2010-05-19T00:00:00"/>
    <x v="13"/>
    <s v="Lamivudine/Nevirapine/Stavudine"/>
    <s v="Generic"/>
    <s v="150/200/30mg"/>
    <s v="Tablet - FDC"/>
    <n v="60"/>
    <n v="7800"/>
    <n v="47658"/>
    <n v="6.11"/>
    <n v="0.1"/>
    <n v="580"/>
    <n v="6637.05"/>
    <n v="1"/>
    <x v="4"/>
  </r>
  <r>
    <n v="84006"/>
    <s v="SO-36151"/>
    <x v="1002"/>
    <x v="3"/>
    <s v="ARV"/>
    <s v="Adult"/>
    <s v="SCMS from RDC"/>
    <x v="1"/>
    <s v="N/A - From RDC"/>
    <s v="Air"/>
    <m/>
    <d v="2010-06-09T00:00:00"/>
    <d v="2010-05-25T00:00:00"/>
    <d v="2010-05-25T00:00:00"/>
    <x v="11"/>
    <s v="Lamivudine/Nevirapine/Zidovudine"/>
    <s v="Generic"/>
    <s v="150/300/200mg"/>
    <s v="Tablet - FDC"/>
    <n v="60"/>
    <n v="4782"/>
    <n v="53654.04"/>
    <n v="11.22"/>
    <n v="0.19"/>
    <n v="617"/>
    <n v="8676.9"/>
    <n v="1"/>
    <x v="4"/>
  </r>
  <r>
    <n v="84008"/>
    <s v="SO-36140"/>
    <x v="1003"/>
    <x v="3"/>
    <s v="ARV"/>
    <s v="Adult"/>
    <s v="SCMS from RDC"/>
    <x v="1"/>
    <s v="N/A - From RDC"/>
    <s v="Air"/>
    <m/>
    <d v="2010-06-09T00:00:00"/>
    <d v="2010-06-15T00:00:00"/>
    <d v="2010-06-15T00:00:00"/>
    <x v="70"/>
    <s v="Emtricitabine/Tenofovir Disoproxil Fumarate"/>
    <s v="Generic"/>
    <s v="200/300mg"/>
    <s v="Tablet - FDC"/>
    <n v="30"/>
    <n v="2797"/>
    <n v="32864.75"/>
    <n v="11.75"/>
    <n v="0.39"/>
    <n v="210"/>
    <n v="5841.92"/>
    <n v="0"/>
    <x v="4"/>
  </r>
  <r>
    <n v="84009"/>
    <s v="SO-36811"/>
    <x v="1004"/>
    <x v="2"/>
    <s v="ARV"/>
    <s v="Adult"/>
    <s v="SCMS from RDC"/>
    <x v="1"/>
    <s v="N/A - From RDC"/>
    <s v="Air"/>
    <m/>
    <d v="2010-06-30T00:00:00"/>
    <d v="2010-06-18T00:00:00"/>
    <d v="2010-06-18T00:00:00"/>
    <x v="16"/>
    <s v="Lamivudine"/>
    <s v="Generic"/>
    <s v="150mg"/>
    <s v="Tablet"/>
    <n v="60"/>
    <n v="20000"/>
    <n v="46600"/>
    <n v="2.33"/>
    <n v="0.04"/>
    <n v="955"/>
    <n v="6154.8"/>
    <n v="1"/>
    <x v="4"/>
  </r>
  <r>
    <n v="84010"/>
    <s v="SO-36580"/>
    <x v="1005"/>
    <x v="1"/>
    <s v="ARV"/>
    <s v="Adult"/>
    <s v="SCMS from RDC"/>
    <x v="1"/>
    <s v="N/A - From RDC"/>
    <s v="Air"/>
    <m/>
    <d v="2010-07-15T00:00:00"/>
    <d v="2010-07-07T00:00:00"/>
    <d v="2010-07-07T00:00:00"/>
    <x v="11"/>
    <s v="Lamivudine/Nevirapine/Zidovudine"/>
    <s v="Generic"/>
    <s v="150/300/200mg"/>
    <s v="Tablet - FDC"/>
    <n v="60"/>
    <n v="5869"/>
    <n v="65850.179999999993"/>
    <n v="11.22"/>
    <n v="0.19"/>
    <n v="758"/>
    <n v="8929.51"/>
    <n v="1"/>
    <x v="4"/>
  </r>
  <r>
    <n v="84011"/>
    <s v="SO-36180"/>
    <x v="1006"/>
    <x v="3"/>
    <s v="ARV"/>
    <s v="Adult"/>
    <s v="SCMS from RDC"/>
    <x v="1"/>
    <s v="N/A - From RDC"/>
    <s v="Air"/>
    <m/>
    <d v="2010-07-28T00:00:00"/>
    <d v="2010-07-22T00:00:00"/>
    <d v="2010-07-22T00:00:00"/>
    <x v="8"/>
    <s v="Efavirenz"/>
    <s v="Generic"/>
    <s v="600mg"/>
    <s v="Tablet"/>
    <n v="30"/>
    <n v="950"/>
    <n v="4370"/>
    <n v="4.5999999999999996"/>
    <n v="0.15"/>
    <n v="76"/>
    <n v="1017.15"/>
    <n v="1"/>
    <x v="4"/>
  </r>
  <r>
    <n v="84019"/>
    <s v="SO-36030"/>
    <x v="1007"/>
    <x v="0"/>
    <s v="ARV"/>
    <s v="Adult"/>
    <s v="SCMS from RDC"/>
    <x v="1"/>
    <s v="N/A - From RDC"/>
    <s v="Air"/>
    <m/>
    <d v="2010-07-19T00:00:00"/>
    <d v="2010-08-04T00:00:00"/>
    <d v="2010-08-04T00:00:00"/>
    <x v="9"/>
    <s v="Abacavir"/>
    <s v="Generic"/>
    <s v="300mg"/>
    <s v="Tablet"/>
    <n v="60"/>
    <n v="23358"/>
    <n v="400356.12"/>
    <n v="17.14"/>
    <n v="0.28999999999999998"/>
    <n v="2344"/>
    <n v="9309.52"/>
    <n v="0"/>
    <x v="4"/>
  </r>
  <r>
    <n v="84022"/>
    <s v="SO-36043"/>
    <x v="1008"/>
    <x v="0"/>
    <s v="ARV"/>
    <s v="Adult"/>
    <s v="SCMS from RDC"/>
    <x v="1"/>
    <s v="N/A - From RDC"/>
    <s v="Air"/>
    <m/>
    <d v="2010-07-21T00:00:00"/>
    <d v="2010-07-21T00:00:00"/>
    <d v="2010-07-21T00:00:00"/>
    <x v="0"/>
    <s v="Nevirapine"/>
    <s v="Generic"/>
    <s v="200mg"/>
    <s v="Tablet"/>
    <n v="60"/>
    <n v="38500"/>
    <n v="105105"/>
    <n v="2.73"/>
    <n v="0.05"/>
    <n v="2695"/>
    <n v="13457.25"/>
    <n v="1"/>
    <x v="4"/>
  </r>
  <r>
    <n v="84026"/>
    <s v="SO-37100"/>
    <x v="1009"/>
    <x v="2"/>
    <s v="ARV"/>
    <s v="Adult"/>
    <s v="SCMS from RDC"/>
    <x v="1"/>
    <s v="N/A - From RDC"/>
    <s v="Air"/>
    <m/>
    <d v="2010-09-21T00:00:00"/>
    <d v="2010-07-19T00:00:00"/>
    <d v="2010-07-19T00:00:00"/>
    <x v="13"/>
    <s v="Lamivudine/Nevirapine/Stavudine"/>
    <s v="Generic"/>
    <s v="150/200/30mg"/>
    <s v="Tablet - FDC"/>
    <n v="60"/>
    <n v="29315"/>
    <n v="167974.95"/>
    <n v="5.73"/>
    <n v="0.1"/>
    <n v="3931"/>
    <n v="13215.67"/>
    <n v="1"/>
    <x v="4"/>
  </r>
  <r>
    <n v="84031"/>
    <s v="SO-37190"/>
    <x v="1010"/>
    <x v="2"/>
    <s v="ARV"/>
    <s v="Adult"/>
    <s v="SCMS from RDC"/>
    <x v="1"/>
    <s v="N/A - From RDC"/>
    <s v="Air"/>
    <m/>
    <d v="2010-08-17T00:00:00"/>
    <d v="2010-08-09T00:00:00"/>
    <d v="2010-08-09T00:00:00"/>
    <x v="29"/>
    <s v="Zidovudine"/>
    <s v="Generic"/>
    <s v="300mg"/>
    <s v="Tablet"/>
    <n v="60"/>
    <n v="5000"/>
    <n v="36050"/>
    <n v="7.21"/>
    <n v="0.12"/>
    <n v="196"/>
    <n v="1229.52"/>
    <n v="1"/>
    <x v="4"/>
  </r>
  <r>
    <n v="84038"/>
    <s v="SO-37300"/>
    <x v="1011"/>
    <x v="0"/>
    <s v="ARV"/>
    <s v="Adult"/>
    <s v="SCMS from RDC"/>
    <x v="1"/>
    <s v="N/A - From RDC"/>
    <s v="Air"/>
    <m/>
    <d v="2010-09-30T00:00:00"/>
    <d v="2010-09-10T00:00:00"/>
    <d v="2010-09-10T00:00:00"/>
    <x v="8"/>
    <s v="Efavirenz"/>
    <s v="Generic"/>
    <s v="600mg"/>
    <s v="Tablet"/>
    <n v="30"/>
    <n v="15331"/>
    <n v="68222.95"/>
    <n v="4.45"/>
    <n v="0.15"/>
    <n v="4729"/>
    <n v="18390.419999999998"/>
    <n v="1"/>
    <x v="4"/>
  </r>
  <r>
    <n v="84047"/>
    <s v="SO-37460"/>
    <x v="1012"/>
    <x v="3"/>
    <s v="ARV"/>
    <s v="Adult"/>
    <s v="SCMS from RDC"/>
    <x v="1"/>
    <s v="N/A - From RDC"/>
    <s v="Air"/>
    <m/>
    <d v="2010-10-20T00:00:00"/>
    <d v="2010-10-25T00:00:00"/>
    <d v="2010-10-25T00:00:00"/>
    <x v="8"/>
    <s v="Efavirenz"/>
    <s v="Generic"/>
    <s v="600mg"/>
    <s v="Tablet"/>
    <n v="30"/>
    <n v="27304"/>
    <n v="118499.36"/>
    <n v="4.34"/>
    <n v="0.14000000000000001"/>
    <n v="13087"/>
    <n v="56372.66"/>
    <n v="0"/>
    <x v="4"/>
  </r>
  <r>
    <n v="84048"/>
    <s v="SO-37460"/>
    <x v="1012"/>
    <x v="3"/>
    <s v="ARV"/>
    <s v="Adult"/>
    <s v="SCMS from RDC"/>
    <x v="1"/>
    <s v="N/A - From RDC"/>
    <s v="Air"/>
    <m/>
    <d v="2010-10-20T00:00:00"/>
    <d v="2010-10-25T00:00:00"/>
    <d v="2010-10-25T00:00:00"/>
    <x v="11"/>
    <s v="Lamivudine/Nevirapine/Zidovudine"/>
    <s v="Generic"/>
    <s v="150/300/200mg"/>
    <s v="Tablet - FDC"/>
    <n v="60"/>
    <n v="31084"/>
    <n v="348762.48"/>
    <n v="11.22"/>
    <n v="0.19"/>
    <m/>
    <m/>
    <n v="0"/>
    <x v="4"/>
  </r>
  <r>
    <n v="84051"/>
    <s v="SO-37940"/>
    <x v="1013"/>
    <x v="2"/>
    <s v="ARV"/>
    <s v="Adult"/>
    <s v="SCMS from RDC"/>
    <x v="1"/>
    <s v="N/A - From RDC"/>
    <s v="Air"/>
    <m/>
    <d v="2010-11-19T00:00:00"/>
    <d v="2010-11-17T00:00:00"/>
    <d v="2010-11-17T00:00:00"/>
    <x v="29"/>
    <s v="Zidovudine"/>
    <s v="Generic"/>
    <s v="300mg"/>
    <s v="Tablet"/>
    <n v="60"/>
    <n v="1660"/>
    <n v="11968.6"/>
    <n v="7.21"/>
    <n v="0.12"/>
    <n v="90"/>
    <n v="866.71"/>
    <n v="1"/>
    <x v="4"/>
  </r>
  <r>
    <n v="84056"/>
    <s v="SO-38180"/>
    <x v="1014"/>
    <x v="3"/>
    <s v="ARV"/>
    <s v="Adult"/>
    <s v="SCMS from RDC"/>
    <x v="1"/>
    <s v="N/A - From RDC"/>
    <s v="Truck"/>
    <m/>
    <d v="2011-02-07T00:00:00"/>
    <d v="2011-01-14T00:00:00"/>
    <d v="2011-01-14T00:00:00"/>
    <x v="11"/>
    <s v="Lamivudine/Nevirapine/Zidovudine"/>
    <s v="Generic"/>
    <s v="150/300/200mg"/>
    <s v="Tablet - FDC"/>
    <n v="60"/>
    <n v="69202"/>
    <n v="776446.44"/>
    <n v="11.22"/>
    <n v="0.19"/>
    <n v="9299"/>
    <n v="54009.25"/>
    <n v="1"/>
    <x v="9"/>
  </r>
  <r>
    <n v="84060"/>
    <s v="SO-38460"/>
    <x v="1015"/>
    <x v="2"/>
    <s v="ARV"/>
    <s v="Adult"/>
    <s v="SCMS from RDC"/>
    <x v="1"/>
    <s v="N/A - From RDC"/>
    <s v="Air"/>
    <m/>
    <d v="2011-02-09T00:00:00"/>
    <d v="2011-02-07T00:00:00"/>
    <d v="2011-02-07T00:00:00"/>
    <x v="35"/>
    <s v="Tenofovir Disoproxil Fumarate"/>
    <s v="Generic"/>
    <s v="300mg"/>
    <s v="Tablet"/>
    <n v="30"/>
    <n v="6020"/>
    <n v="39551.4"/>
    <n v="6.57"/>
    <n v="0.22"/>
    <n v="542"/>
    <n v="3935.92"/>
    <n v="1"/>
    <x v="9"/>
  </r>
  <r>
    <n v="84068"/>
    <s v="SO-39010"/>
    <x v="1016"/>
    <x v="0"/>
    <s v="ARV"/>
    <s v="Adult"/>
    <s v="SCMS from RDC"/>
    <x v="1"/>
    <s v="N/A - From RDC"/>
    <s v="Air"/>
    <m/>
    <d v="2011-04-07T00:00:00"/>
    <d v="2011-03-31T00:00:00"/>
    <d v="2011-03-31T00:00:00"/>
    <x v="8"/>
    <s v="Efavirenz"/>
    <s v="Generic"/>
    <s v="600mg"/>
    <s v="Tablet"/>
    <n v="30"/>
    <n v="3493"/>
    <n v="14740.46"/>
    <n v="4.22"/>
    <n v="0.14000000000000001"/>
    <n v="2996"/>
    <n v="9639.1"/>
    <n v="1"/>
    <x v="9"/>
  </r>
  <r>
    <n v="84087"/>
    <s v="SO-38420"/>
    <x v="1017"/>
    <x v="2"/>
    <s v="ARV"/>
    <s v="Adult"/>
    <s v="SCMS from RDC"/>
    <x v="1"/>
    <s v="N/A - From RDC"/>
    <s v="Air"/>
    <m/>
    <d v="2011-05-31T00:00:00"/>
    <d v="2011-05-30T00:00:00"/>
    <d v="2011-05-30T00:00:00"/>
    <x v="35"/>
    <s v="Tenofovir Disoproxil Fumarate"/>
    <s v="Generic"/>
    <s v="300mg"/>
    <s v="Tablet"/>
    <n v="30"/>
    <n v="10000"/>
    <n v="65700"/>
    <n v="6.57"/>
    <n v="0.22"/>
    <n v="716"/>
    <n v="2976.29"/>
    <n v="1"/>
    <x v="9"/>
  </r>
  <r>
    <n v="84092"/>
    <s v="SO-39560"/>
    <x v="1018"/>
    <x v="1"/>
    <s v="ARV"/>
    <s v="Pediatric"/>
    <s v="SCMS from RDC"/>
    <x v="1"/>
    <s v="N/A - From RDC"/>
    <s v="Air Charter"/>
    <m/>
    <d v="2011-08-14T00:00:00"/>
    <d v="2011-05-25T00:00:00"/>
    <d v="2011-05-25T00:00:00"/>
    <x v="67"/>
    <s v="Lamivudine"/>
    <s v="Generic"/>
    <s v="10mg/ml"/>
    <s v="Oral solution"/>
    <n v="240"/>
    <n v="1800"/>
    <n v="3330"/>
    <n v="1.85"/>
    <n v="0.01"/>
    <n v="718"/>
    <n v="4370.8"/>
    <n v="1"/>
    <x v="9"/>
  </r>
  <r>
    <n v="84121"/>
    <s v="SO-40911"/>
    <x v="1019"/>
    <x v="3"/>
    <s v="ARV"/>
    <s v="Adult"/>
    <s v="SCMS from RDC"/>
    <x v="1"/>
    <s v="N/A - From RDC"/>
    <s v="Truck"/>
    <m/>
    <d v="2012-01-09T00:00:00"/>
    <d v="2011-12-01T00:00:00"/>
    <d v="2011-12-01T00:00:00"/>
    <x v="8"/>
    <s v="Efavirenz"/>
    <s v="Generic"/>
    <s v="600mg"/>
    <s v="Tablet"/>
    <n v="30"/>
    <n v="10000"/>
    <n v="41200"/>
    <n v="4.12"/>
    <n v="0.14000000000000001"/>
    <n v="1051"/>
    <n v="39130.379999999997"/>
    <n v="1"/>
    <x v="9"/>
  </r>
  <r>
    <n v="84122"/>
    <s v="SO-40620"/>
    <x v="1020"/>
    <x v="0"/>
    <s v="ARV"/>
    <s v="Adult"/>
    <s v="SCMS from RDC"/>
    <x v="1"/>
    <s v="N/A - From RDC"/>
    <s v="Truck"/>
    <m/>
    <d v="2012-01-10T00:00:00"/>
    <d v="2011-12-22T00:00:00"/>
    <d v="2011-12-22T00:00:00"/>
    <x v="70"/>
    <s v="Emtricitabine/Tenofovir Disoproxil Fumarate"/>
    <s v="Generic"/>
    <s v="200/300mg"/>
    <s v="Tablet - FDC"/>
    <n v="30"/>
    <n v="23940"/>
    <n v="214741.8"/>
    <n v="8.9700000000000006"/>
    <n v="0.3"/>
    <m/>
    <m/>
    <n v="1"/>
    <x v="9"/>
  </r>
  <r>
    <n v="84123"/>
    <s v="SO-40611"/>
    <x v="1021"/>
    <x v="0"/>
    <s v="ARV"/>
    <s v="Adult"/>
    <s v="SCMS from RDC"/>
    <x v="1"/>
    <s v="N/A - From RDC"/>
    <s v="Truck"/>
    <m/>
    <d v="2012-02-07T00:00:00"/>
    <d v="2011-12-19T00:00:00"/>
    <d v="2011-12-19T00:00:00"/>
    <x v="29"/>
    <s v="Zidovudine"/>
    <s v="Generic"/>
    <s v="300mg"/>
    <s v="Tablet"/>
    <n v="60"/>
    <n v="6400"/>
    <n v="44928"/>
    <n v="7.02"/>
    <n v="0.12"/>
    <n v="355"/>
    <n v="2682.2"/>
    <n v="1"/>
    <x v="9"/>
  </r>
  <r>
    <n v="84124"/>
    <s v="SO-39750"/>
    <x v="692"/>
    <x v="0"/>
    <s v="ARV"/>
    <s v="Adult"/>
    <s v="SCMS from RDC"/>
    <x v="1"/>
    <s v="N/A - From RDC"/>
    <s v="Air"/>
    <m/>
    <d v="2012-01-30T00:00:00"/>
    <d v="2011-12-22T00:00:00"/>
    <d v="2011-12-22T00:00:00"/>
    <x v="45"/>
    <s v="Efavirenz/Emtricitabine/Tenofovir Disoproxil Fumarate"/>
    <s v="Generic"/>
    <s v="600/200/300mg"/>
    <s v="Tablet - FDC"/>
    <n v="30"/>
    <n v="80000"/>
    <n v="1593600"/>
    <n v="19.920000000000002"/>
    <n v="0.66"/>
    <m/>
    <m/>
    <n v="1"/>
    <x v="9"/>
  </r>
  <r>
    <n v="84125"/>
    <s v="SO-40550"/>
    <x v="1022"/>
    <x v="0"/>
    <s v="ARV"/>
    <s v="Adult"/>
    <s v="SCMS from RDC"/>
    <x v="1"/>
    <s v="N/A - From RDC"/>
    <s v="Truck"/>
    <m/>
    <d v="2012-01-10T00:00:00"/>
    <d v="2011-12-22T00:00:00"/>
    <d v="2011-12-22T00:00:00"/>
    <x v="46"/>
    <s v="Efavirenz/Lamivudine/Tenofovir Disoproxil Fumarate"/>
    <s v="Generic"/>
    <s v="600/300/300mg"/>
    <s v="Tablet - FDC"/>
    <n v="30"/>
    <n v="20000"/>
    <n v="341600"/>
    <n v="17.079999999999998"/>
    <n v="0.56999999999999995"/>
    <n v="2302"/>
    <m/>
    <n v="1"/>
    <x v="9"/>
  </r>
  <r>
    <n v="84145"/>
    <s v="SO-40630"/>
    <x v="1023"/>
    <x v="0"/>
    <s v="ARV"/>
    <s v="Adult"/>
    <s v="SCMS from RDC"/>
    <x v="1"/>
    <s v="N/A - From RDC"/>
    <s v="Truck"/>
    <m/>
    <d v="2012-03-30T00:00:00"/>
    <d v="2012-03-12T00:00:00"/>
    <d v="2012-03-12T00:00:00"/>
    <x v="35"/>
    <s v="Tenofovir Disoproxil Fumarate"/>
    <s v="Generic"/>
    <s v="300mg"/>
    <s v="Tablet"/>
    <n v="30"/>
    <n v="17440"/>
    <n v="95920"/>
    <n v="5.5"/>
    <n v="0.18"/>
    <n v="2612"/>
    <n v="1698.83"/>
    <n v="1"/>
    <x v="5"/>
  </r>
  <r>
    <n v="84146"/>
    <s v="SO-40630"/>
    <x v="1023"/>
    <x v="0"/>
    <s v="ARV"/>
    <s v="Adult"/>
    <s v="SCMS from RDC"/>
    <x v="1"/>
    <s v="N/A - From RDC"/>
    <s v="Truck"/>
    <m/>
    <d v="2012-03-30T00:00:00"/>
    <d v="2012-03-12T00:00:00"/>
    <d v="2012-03-12T00:00:00"/>
    <x v="9"/>
    <s v="Abacavir"/>
    <s v="Generic"/>
    <s v="300mg"/>
    <s v="Tablet"/>
    <n v="60"/>
    <n v="15003"/>
    <n v="219493.89"/>
    <n v="14.63"/>
    <n v="0.24"/>
    <m/>
    <m/>
    <n v="1"/>
    <x v="5"/>
  </r>
  <r>
    <n v="84147"/>
    <s v="SO-40910"/>
    <x v="1024"/>
    <x v="3"/>
    <s v="ARV"/>
    <s v="Adult"/>
    <s v="SCMS from RDC"/>
    <x v="1"/>
    <s v="N/A - From RDC"/>
    <s v="Truck"/>
    <m/>
    <d v="2012-03-09T00:00:00"/>
    <d v="2012-02-15T00:00:00"/>
    <d v="2012-02-15T00:00:00"/>
    <x v="0"/>
    <s v="Nevirapine"/>
    <s v="Generic"/>
    <s v="200mg"/>
    <s v="Tablet"/>
    <n v="60"/>
    <n v="534"/>
    <n v="1377.72"/>
    <n v="2.58"/>
    <n v="0.04"/>
    <n v="30"/>
    <n v="2030"/>
    <n v="1"/>
    <x v="5"/>
  </r>
  <r>
    <n v="84149"/>
    <s v="SO-40531"/>
    <x v="1025"/>
    <x v="0"/>
    <s v="ARV"/>
    <s v="Pediatric"/>
    <s v="SCMS from RDC"/>
    <x v="1"/>
    <s v="N/A - From RDC"/>
    <s v="Truck"/>
    <m/>
    <d v="2012-04-11T00:00:00"/>
    <d v="2012-04-11T00:00:00"/>
    <d v="2012-04-11T00:00:00"/>
    <x v="43"/>
    <s v="Nevirapine"/>
    <s v="Generic"/>
    <s v="10mg/ml"/>
    <s v="Oral suspension"/>
    <n v="240"/>
    <n v="19026"/>
    <n v="37100.699999999997"/>
    <n v="1.95"/>
    <n v="0.01"/>
    <n v="7096"/>
    <n v="3279.29"/>
    <n v="1"/>
    <x v="5"/>
  </r>
  <r>
    <n v="84150"/>
    <s v="SO-40691"/>
    <x v="1026"/>
    <x v="0"/>
    <s v="ARV"/>
    <s v="Pediatric"/>
    <s v="SCMS from RDC"/>
    <x v="1"/>
    <s v="N/A - From RDC"/>
    <s v="Truck"/>
    <m/>
    <d v="2012-03-30T00:00:00"/>
    <d v="2012-03-12T00:00:00"/>
    <d v="2012-03-12T00:00:00"/>
    <x v="57"/>
    <s v="Lamivudine/Nevirapine/Zidovudine"/>
    <s v="Generic"/>
    <s v="30/50/60mg"/>
    <s v="Chewable/dispersible tablet - FDC"/>
    <n v="60"/>
    <n v="163735"/>
    <n v="695873.75"/>
    <n v="4.25"/>
    <n v="7.0000000000000007E-2"/>
    <n v="9208"/>
    <n v="3825.8"/>
    <n v="1"/>
    <x v="5"/>
  </r>
  <r>
    <n v="84151"/>
    <s v="SO-41080"/>
    <x v="698"/>
    <x v="5"/>
    <s v="ARV"/>
    <s v="Adult"/>
    <s v="SCMS from RDC"/>
    <x v="1"/>
    <s v="N/A - From RDC"/>
    <s v="Air"/>
    <m/>
    <d v="2012-03-21T00:00:00"/>
    <d v="2012-03-08T00:00:00"/>
    <d v="2012-03-08T00:00:00"/>
    <x v="0"/>
    <s v="Nevirapine"/>
    <s v="Generic"/>
    <s v="200mg"/>
    <s v="Tablet"/>
    <n v="60"/>
    <n v="200"/>
    <n v="516"/>
    <n v="2.58"/>
    <n v="0.04"/>
    <m/>
    <m/>
    <n v="1"/>
    <x v="5"/>
  </r>
  <r>
    <n v="84152"/>
    <s v="SO-41080"/>
    <x v="698"/>
    <x v="5"/>
    <s v="ARV"/>
    <s v="Adult"/>
    <s v="SCMS from RDC"/>
    <x v="1"/>
    <s v="N/A - From RDC"/>
    <s v="Air"/>
    <m/>
    <d v="2012-03-21T00:00:00"/>
    <d v="2012-03-08T00:00:00"/>
    <d v="2012-03-08T00:00:00"/>
    <x v="16"/>
    <s v="Lamivudine"/>
    <s v="Generic"/>
    <s v="150mg"/>
    <s v="Tablet"/>
    <n v="60"/>
    <n v="200"/>
    <n v="466"/>
    <n v="2.33"/>
    <n v="0.04"/>
    <m/>
    <m/>
    <n v="1"/>
    <x v="5"/>
  </r>
  <r>
    <n v="84154"/>
    <s v="SO-41530"/>
    <x v="812"/>
    <x v="6"/>
    <s v="ARV"/>
    <s v="Adult"/>
    <s v="SCMS from RDC"/>
    <x v="1"/>
    <s v="N/A - From RDC"/>
    <s v="Air"/>
    <m/>
    <d v="2012-04-26T00:00:00"/>
    <d v="2012-05-04T00:00:00"/>
    <d v="2012-05-04T00:00:00"/>
    <x v="0"/>
    <s v="Nevirapine"/>
    <s v="Generic"/>
    <s v="200mg"/>
    <s v="Tablet"/>
    <n v="60"/>
    <n v="1800"/>
    <n v="4518"/>
    <n v="2.5099999999999998"/>
    <n v="0.04"/>
    <m/>
    <m/>
    <n v="0"/>
    <x v="5"/>
  </r>
  <r>
    <n v="84155"/>
    <s v="SO-41540"/>
    <x v="918"/>
    <x v="6"/>
    <s v="ARV"/>
    <s v="Adult"/>
    <s v="SCMS from RDC"/>
    <x v="1"/>
    <s v="N/A - From RDC"/>
    <s v="Air"/>
    <m/>
    <d v="2012-04-26T00:00:00"/>
    <d v="2012-04-09T00:00:00"/>
    <d v="2012-04-09T00:00:00"/>
    <x v="70"/>
    <s v="Emtricitabine/Tenofovir Disoproxil Fumarate"/>
    <s v="Generic"/>
    <s v="200/300mg"/>
    <s v="Tablet - FDC"/>
    <n v="30"/>
    <n v="5150"/>
    <n v="45062.5"/>
    <n v="8.75"/>
    <n v="0.28999999999999998"/>
    <m/>
    <m/>
    <n v="1"/>
    <x v="5"/>
  </r>
  <r>
    <n v="84159"/>
    <s v="SO-41740"/>
    <x v="1027"/>
    <x v="1"/>
    <s v="ARV"/>
    <s v="Pediatric"/>
    <s v="SCMS from RDC"/>
    <x v="1"/>
    <s v="N/A - From RDC"/>
    <s v="Air"/>
    <m/>
    <d v="2012-04-09T00:00:00"/>
    <d v="2012-03-29T00:00:00"/>
    <d v="2012-03-29T00:00:00"/>
    <x v="72"/>
    <s v="Abacavir"/>
    <s v="Generic"/>
    <s v="20mg/ml"/>
    <s v="Oral solution"/>
    <n v="240"/>
    <n v="1489"/>
    <n v="18612.5"/>
    <n v="12.5"/>
    <n v="0.05"/>
    <n v="557"/>
    <n v="5044.26"/>
    <n v="1"/>
    <x v="5"/>
  </r>
  <r>
    <n v="84161"/>
    <s v="SO-41431"/>
    <x v="1028"/>
    <x v="1"/>
    <s v="ARV"/>
    <s v="Pediatric"/>
    <s v="SCMS from RDC"/>
    <x v="1"/>
    <s v="N/A - From RDC"/>
    <s v="Air"/>
    <m/>
    <d v="2012-06-29T00:00:00"/>
    <d v="2012-04-26T00:00:00"/>
    <d v="2012-04-26T00:00:00"/>
    <x v="37"/>
    <s v="Efavirenz"/>
    <s v="Generic"/>
    <s v="200mg"/>
    <s v="Capsule"/>
    <n v="90"/>
    <n v="993"/>
    <n v="8579.52"/>
    <n v="8.64"/>
    <n v="0.1"/>
    <n v="126"/>
    <n v="1675"/>
    <n v="1"/>
    <x v="5"/>
  </r>
  <r>
    <n v="84162"/>
    <s v="SO-40490"/>
    <x v="1029"/>
    <x v="0"/>
    <s v="ARV"/>
    <s v="Pediatric"/>
    <s v="SCMS from RDC"/>
    <x v="1"/>
    <s v="N/A - From RDC"/>
    <s v="Truck"/>
    <m/>
    <d v="2012-06-01T00:00:00"/>
    <d v="2012-06-01T00:00:00"/>
    <d v="2012-06-01T00:00:00"/>
    <x v="81"/>
    <s v="Lamivudine/Nevirapine/Stavudine"/>
    <s v="Generic"/>
    <s v="60/100/12mg"/>
    <s v="Chewable/dispersible tablet - FDC"/>
    <n v="60"/>
    <n v="26300"/>
    <n v="119402"/>
    <n v="4.54"/>
    <n v="0.08"/>
    <n v="2278"/>
    <n v="7865.4"/>
    <n v="1"/>
    <x v="5"/>
  </r>
  <r>
    <n v="84163"/>
    <s v="SO-40530"/>
    <x v="1030"/>
    <x v="0"/>
    <s v="ARV"/>
    <s v="Pediatric"/>
    <s v="SCMS from RDC"/>
    <x v="1"/>
    <s v="N/A - From RDC"/>
    <s v="Truck"/>
    <m/>
    <d v="2012-05-31T00:00:00"/>
    <d v="2012-04-30T00:00:00"/>
    <d v="2012-04-30T00:00:00"/>
    <x v="43"/>
    <s v="Nevirapine"/>
    <s v="Generic"/>
    <s v="10mg/ml"/>
    <s v="Oral suspension"/>
    <n v="240"/>
    <n v="24307"/>
    <n v="47398.65"/>
    <n v="1.95"/>
    <n v="0.01"/>
    <m/>
    <m/>
    <n v="1"/>
    <x v="5"/>
  </r>
  <r>
    <n v="84167"/>
    <s v="SO-41510"/>
    <x v="702"/>
    <x v="3"/>
    <s v="ARV"/>
    <s v="Adult"/>
    <s v="SCMS from RDC"/>
    <x v="1"/>
    <s v="N/A - From RDC"/>
    <s v="Truck"/>
    <m/>
    <d v="2012-07-03T00:00:00"/>
    <d v="2012-05-18T00:00:00"/>
    <d v="2012-05-18T00:00:00"/>
    <x v="1"/>
    <s v="Lamivudine/Zidovudine"/>
    <s v="Generic"/>
    <s v="150/300mg"/>
    <s v="Tablet - FDC"/>
    <n v="60"/>
    <n v="2000"/>
    <n v="15560"/>
    <n v="7.78"/>
    <n v="0.13"/>
    <m/>
    <m/>
    <n v="1"/>
    <x v="5"/>
  </r>
  <r>
    <n v="84176"/>
    <s v="SO-41581"/>
    <x v="1031"/>
    <x v="0"/>
    <s v="ARV"/>
    <s v="Adult"/>
    <s v="SCMS from RDC"/>
    <x v="1"/>
    <s v="N/A - From RDC"/>
    <s v="Truck"/>
    <m/>
    <d v="2012-08-01T00:00:00"/>
    <d v="2012-07-25T00:00:00"/>
    <d v="2012-07-25T00:00:00"/>
    <x v="35"/>
    <s v="Tenofovir Disoproxil Fumarate"/>
    <s v="Generic"/>
    <s v="300mg"/>
    <s v="Tablet"/>
    <n v="30"/>
    <n v="80"/>
    <n v="440"/>
    <n v="5.5"/>
    <n v="0.18"/>
    <n v="841"/>
    <n v="3549.9"/>
    <n v="1"/>
    <x v="5"/>
  </r>
  <r>
    <n v="84178"/>
    <s v="SO-41592"/>
    <x v="1032"/>
    <x v="3"/>
    <s v="ARV"/>
    <s v="Adult"/>
    <s v="SCMS from RDC"/>
    <x v="1"/>
    <s v="N/A - From RDC"/>
    <s v="Truck"/>
    <m/>
    <d v="2012-09-05T00:00:00"/>
    <d v="2012-06-29T00:00:00"/>
    <d v="2012-06-29T00:00:00"/>
    <x v="0"/>
    <s v="Nevirapine"/>
    <s v="Generic"/>
    <s v="200mg"/>
    <s v="Tablet"/>
    <n v="60"/>
    <n v="3262"/>
    <n v="8187.62"/>
    <n v="2.5099999999999998"/>
    <n v="0.04"/>
    <n v="190"/>
    <n v="1095.22"/>
    <n v="1"/>
    <x v="5"/>
  </r>
  <r>
    <n v="84188"/>
    <s v="SO-42630"/>
    <x v="1033"/>
    <x v="3"/>
    <s v="ARV"/>
    <s v="Adult"/>
    <s v="SCMS from RDC"/>
    <x v="1"/>
    <s v="N/A - From RDC"/>
    <s v="Truck"/>
    <m/>
    <d v="2012-09-28T00:00:00"/>
    <d v="2012-10-06T00:00:00"/>
    <d v="2012-10-06T00:00:00"/>
    <x v="0"/>
    <s v="Nevirapine"/>
    <s v="Generic"/>
    <s v="200mg"/>
    <s v="Tablet"/>
    <n v="60"/>
    <n v="18350"/>
    <n v="44774"/>
    <n v="2.44"/>
    <n v="0.04"/>
    <n v="1331"/>
    <n v="7504"/>
    <n v="0"/>
    <x v="5"/>
  </r>
  <r>
    <n v="84189"/>
    <s v="SO-42630"/>
    <x v="1033"/>
    <x v="3"/>
    <s v="ARV"/>
    <s v="Adult"/>
    <s v="SCMS from RDC"/>
    <x v="1"/>
    <s v="N/A - From RDC"/>
    <s v="Truck"/>
    <m/>
    <d v="2012-09-28T00:00:00"/>
    <d v="2012-10-06T00:00:00"/>
    <d v="2012-10-06T00:00:00"/>
    <x v="47"/>
    <s v="Lopinavir/Ritonavir"/>
    <s v="Generic"/>
    <s v="200/50mg"/>
    <s v="Tablet"/>
    <n v="120"/>
    <n v="5000"/>
    <n v="148400"/>
    <n v="29.68"/>
    <n v="0.25"/>
    <m/>
    <m/>
    <n v="0"/>
    <x v="5"/>
  </r>
  <r>
    <n v="84190"/>
    <s v="SO-41596"/>
    <x v="1034"/>
    <x v="3"/>
    <s v="ARV"/>
    <s v="Adult"/>
    <s v="SCMS from RDC"/>
    <x v="1"/>
    <s v="N/A - From RDC"/>
    <s v="Truck"/>
    <m/>
    <d v="2012-10-05T00:00:00"/>
    <d v="2012-09-24T00:00:00"/>
    <d v="2012-09-24T00:00:00"/>
    <x v="39"/>
    <s v="Lamivudine/Tenofovir Disoproxil Fumarate"/>
    <s v="Generic"/>
    <s v="300/300mg"/>
    <s v="Tablet - FDC"/>
    <n v="30"/>
    <n v="5619"/>
    <n v="30117.84"/>
    <n v="5.36"/>
    <n v="0.18"/>
    <n v="596"/>
    <n v="2175.0700000000002"/>
    <n v="1"/>
    <x v="5"/>
  </r>
  <r>
    <n v="84193"/>
    <s v="SO-41590"/>
    <x v="1035"/>
    <x v="3"/>
    <s v="ARV"/>
    <s v="Adult"/>
    <s v="SCMS from RDC"/>
    <x v="1"/>
    <s v="N/A - From RDC"/>
    <s v="Truck"/>
    <m/>
    <d v="2012-11-08T00:00:00"/>
    <d v="2012-11-08T00:00:00"/>
    <d v="2012-11-08T00:00:00"/>
    <x v="8"/>
    <s v="Efavirenz"/>
    <s v="Generic"/>
    <s v="600mg"/>
    <s v="Tablet"/>
    <n v="30"/>
    <n v="8132"/>
    <n v="29600.48"/>
    <n v="3.64"/>
    <n v="0.12"/>
    <n v="690"/>
    <n v="3990"/>
    <n v="1"/>
    <x v="5"/>
  </r>
  <r>
    <n v="84195"/>
    <s v="SO-42650"/>
    <x v="935"/>
    <x v="0"/>
    <s v="ARV"/>
    <s v="Pediatric"/>
    <s v="SCMS from RDC"/>
    <x v="1"/>
    <s v="N/A - From RDC"/>
    <s v="Truck"/>
    <m/>
    <d v="2012-11-30T00:00:00"/>
    <d v="2012-10-31T00:00:00"/>
    <d v="2012-10-31T00:00:00"/>
    <x v="81"/>
    <s v="Lamivudine/Nevirapine/Stavudine"/>
    <s v="Generic"/>
    <s v="60/100/12mg"/>
    <s v="Chewable/dispersible tablet - FDC"/>
    <n v="60"/>
    <n v="13499"/>
    <n v="58045.7"/>
    <n v="4.3"/>
    <n v="7.0000000000000007E-2"/>
    <m/>
    <m/>
    <n v="1"/>
    <x v="5"/>
  </r>
  <r>
    <n v="84198"/>
    <s v="SO-43170"/>
    <x v="1036"/>
    <x v="3"/>
    <s v="ARV"/>
    <s v="Adult"/>
    <s v="SCMS from RDC"/>
    <x v="1"/>
    <s v="N/A - From RDC"/>
    <s v="Air"/>
    <m/>
    <d v="2012-12-06T00:00:00"/>
    <d v="2012-10-29T00:00:00"/>
    <d v="2012-10-29T00:00:00"/>
    <x v="8"/>
    <s v="Efavirenz"/>
    <s v="Generic"/>
    <s v="600mg"/>
    <s v="Tablet"/>
    <n v="30"/>
    <n v="2445"/>
    <n v="9315.4500000000007"/>
    <n v="3.81"/>
    <n v="0.13"/>
    <n v="244"/>
    <n v="2159.1"/>
    <n v="1"/>
    <x v="5"/>
  </r>
  <r>
    <n v="84210"/>
    <s v="SO-42710"/>
    <x v="832"/>
    <x v="1"/>
    <s v="ARV"/>
    <s v="Adult"/>
    <s v="SCMS from RDC"/>
    <x v="1"/>
    <s v="N/A - From RDC"/>
    <s v="Air"/>
    <m/>
    <d v="2013-02-06T00:00:00"/>
    <d v="2013-02-06T00:00:00"/>
    <d v="2013-02-06T00:00:00"/>
    <x v="39"/>
    <s v="Lamivudine/Tenofovir Disoproxil Fumarate"/>
    <s v="Generic"/>
    <s v="300/300mg"/>
    <s v="Tablet - FDC"/>
    <n v="30"/>
    <n v="69691"/>
    <n v="373543.76"/>
    <n v="5.36"/>
    <n v="0.18"/>
    <m/>
    <m/>
    <n v="1"/>
    <x v="6"/>
  </r>
  <r>
    <n v="84212"/>
    <s v="SO-43470"/>
    <x v="1037"/>
    <x v="3"/>
    <s v="ARV"/>
    <s v="Adult"/>
    <s v="SCMS from RDC"/>
    <x v="1"/>
    <s v="N/A - From RDC"/>
    <s v="Air"/>
    <m/>
    <d v="2013-01-31T00:00:00"/>
    <d v="2013-02-01T00:00:00"/>
    <d v="2013-02-01T00:00:00"/>
    <x v="0"/>
    <s v="Nevirapine"/>
    <s v="Generic"/>
    <s v="200mg"/>
    <s v="Tablet"/>
    <n v="60"/>
    <n v="4535"/>
    <n v="10974.7"/>
    <n v="2.42"/>
    <n v="0.04"/>
    <n v="491"/>
    <n v="4002.01"/>
    <n v="0"/>
    <x v="6"/>
  </r>
  <r>
    <n v="84213"/>
    <s v="SO-42431"/>
    <x v="1038"/>
    <x v="1"/>
    <s v="ARV"/>
    <s v="Adult"/>
    <s v="SCMS from RDC"/>
    <x v="1"/>
    <s v="N/A - From RDC"/>
    <s v="Air"/>
    <m/>
    <d v="2013-02-07T00:00:00"/>
    <d v="2013-02-07T00:00:00"/>
    <d v="2013-02-07T00:00:00"/>
    <x v="46"/>
    <s v="Efavirenz/Lamivudine/Tenofovir Disoproxil Fumarate"/>
    <s v="Generic"/>
    <s v="600/300/300mg"/>
    <s v="Tablet - FDC"/>
    <n v="30"/>
    <n v="112007"/>
    <n v="1356404.77"/>
    <n v="12.11"/>
    <n v="0.4"/>
    <n v="12757"/>
    <n v="20994.85"/>
    <n v="1"/>
    <x v="6"/>
  </r>
  <r>
    <n v="84214"/>
    <s v="SO-42810"/>
    <x v="1039"/>
    <x v="3"/>
    <s v="ARV"/>
    <s v="Adult"/>
    <s v="SCMS from RDC"/>
    <x v="1"/>
    <s v="N/A - From RDC"/>
    <s v="Truck"/>
    <m/>
    <d v="2013-02-05T00:00:00"/>
    <d v="2013-02-05T00:00:00"/>
    <d v="2013-02-05T00:00:00"/>
    <x v="46"/>
    <s v="Efavirenz/Lamivudine/Tenofovir Disoproxil Fumarate"/>
    <s v="Generic"/>
    <s v="600/300/300mg"/>
    <s v="Tablet - FDC"/>
    <n v="30"/>
    <n v="112873"/>
    <n v="1366892.03"/>
    <n v="12.11"/>
    <n v="0.4"/>
    <n v="12838"/>
    <n v="111318.14"/>
    <n v="1"/>
    <x v="6"/>
  </r>
  <r>
    <n v="84228"/>
    <s v="SO-43490"/>
    <x v="834"/>
    <x v="3"/>
    <s v="ARV"/>
    <s v="Adult"/>
    <s v="SCMS from RDC"/>
    <x v="1"/>
    <s v="N/A - From RDC"/>
    <s v="Air"/>
    <m/>
    <d v="2013-03-18T00:00:00"/>
    <d v="2013-03-07T00:00:00"/>
    <d v="2013-03-07T00:00:00"/>
    <x v="11"/>
    <s v="Lamivudine/Nevirapine/Zidovudine"/>
    <s v="Generic"/>
    <s v="150/300/200mg"/>
    <s v="Tablet - FDC"/>
    <n v="60"/>
    <n v="7253"/>
    <n v="62230.74"/>
    <n v="8.58"/>
    <n v="0.14000000000000001"/>
    <m/>
    <m/>
    <n v="1"/>
    <x v="6"/>
  </r>
  <r>
    <n v="84229"/>
    <s v="SO-43640"/>
    <x v="722"/>
    <x v="3"/>
    <s v="ARV"/>
    <s v="Adult"/>
    <s v="SCMS from RDC"/>
    <x v="1"/>
    <s v="N/A - From RDC"/>
    <s v="Air"/>
    <m/>
    <d v="2013-04-04T00:00:00"/>
    <d v="2013-03-07T00:00:00"/>
    <d v="2013-03-07T00:00:00"/>
    <x v="39"/>
    <s v="Lamivudine/Tenofovir Disoproxil Fumarate"/>
    <s v="Generic"/>
    <s v="300/300mg"/>
    <s v="Tablet - FDC"/>
    <n v="30"/>
    <n v="32298"/>
    <n v="151800.6"/>
    <n v="4.7"/>
    <n v="0.16"/>
    <m/>
    <m/>
    <n v="1"/>
    <x v="6"/>
  </r>
  <r>
    <n v="84232"/>
    <s v="SO-43950"/>
    <x v="1040"/>
    <x v="3"/>
    <s v="ARV"/>
    <s v="Adult"/>
    <s v="SCMS from RDC"/>
    <x v="1"/>
    <s v="N/A - From RDC"/>
    <s v="Truck"/>
    <m/>
    <d v="2013-03-08T00:00:00"/>
    <d v="2013-03-07T00:00:00"/>
    <d v="2013-03-07T00:00:00"/>
    <x v="11"/>
    <s v="Lamivudine/Nevirapine/Zidovudine"/>
    <s v="Generic"/>
    <s v="150/300/200mg"/>
    <s v="Tablet - FDC"/>
    <n v="60"/>
    <n v="42717"/>
    <n v="366511.86"/>
    <n v="8.58"/>
    <n v="0.14000000000000001"/>
    <n v="5732"/>
    <n v="25118.880000000001"/>
    <n v="1"/>
    <x v="6"/>
  </r>
  <r>
    <n v="84241"/>
    <s v="SO-43941"/>
    <x v="838"/>
    <x v="3"/>
    <s v="ARV"/>
    <s v="Adult"/>
    <s v="SCMS from RDC"/>
    <x v="1"/>
    <s v="N/A - From RDC"/>
    <s v="Air"/>
    <m/>
    <d v="2013-04-25T00:00:00"/>
    <d v="2013-04-25T00:00:00"/>
    <d v="2013-04-25T00:00:00"/>
    <x v="78"/>
    <s v="Abacavir/Lamivudine"/>
    <s v="Generic"/>
    <s v="600/300mg"/>
    <s v="Tablet - FDC"/>
    <n v="30"/>
    <n v="7051"/>
    <n v="98431.96"/>
    <n v="13.96"/>
    <n v="0.47"/>
    <m/>
    <m/>
    <n v="1"/>
    <x v="6"/>
  </r>
  <r>
    <n v="84244"/>
    <s v="SO-44381"/>
    <x v="943"/>
    <x v="0"/>
    <s v="ARV"/>
    <s v="Pediatric"/>
    <s v="SCMS from RDC"/>
    <x v="1"/>
    <s v="N/A - From RDC"/>
    <s v="Truck"/>
    <m/>
    <d v="2013-05-31T00:00:00"/>
    <d v="2013-05-14T00:00:00"/>
    <d v="2013-05-14T00:00:00"/>
    <x v="74"/>
    <s v="Lamivudine/Nevirapine/Stavudine"/>
    <s v="Generic"/>
    <s v="30/50/6mg"/>
    <s v="Chewable/dispersible tablet - FDC"/>
    <n v="60"/>
    <n v="11606"/>
    <n v="26693.8"/>
    <n v="2.2999999999999998"/>
    <n v="0.04"/>
    <m/>
    <m/>
    <n v="1"/>
    <x v="6"/>
  </r>
  <r>
    <n v="84247"/>
    <s v="SO-44670"/>
    <x v="727"/>
    <x v="6"/>
    <s v="ARV"/>
    <s v="Adult"/>
    <s v="SCMS from RDC"/>
    <x v="1"/>
    <s v="N/A - From RDC"/>
    <s v="Air"/>
    <m/>
    <d v="2013-05-31T00:00:00"/>
    <d v="2013-05-23T00:00:00"/>
    <d v="2013-05-23T00:00:00"/>
    <x v="47"/>
    <s v="Lopinavir/Ritonavir"/>
    <s v="Generic"/>
    <s v="200/50mg"/>
    <s v="Tablet"/>
    <n v="120"/>
    <n v="240"/>
    <n v="5942.4"/>
    <n v="24.76"/>
    <n v="0.21"/>
    <m/>
    <m/>
    <n v="1"/>
    <x v="6"/>
  </r>
  <r>
    <n v="84249"/>
    <s v="SO-44100"/>
    <x v="1041"/>
    <x v="5"/>
    <s v="ARV"/>
    <s v="Adult"/>
    <s v="SCMS from RDC"/>
    <x v="1"/>
    <s v="N/A - From RDC"/>
    <s v="Air"/>
    <m/>
    <d v="2013-04-30T00:00:00"/>
    <d v="2013-04-17T00:00:00"/>
    <d v="2013-04-17T00:00:00"/>
    <x v="29"/>
    <s v="Zidovudine"/>
    <s v="Generic"/>
    <s v="300mg"/>
    <s v="Tablet"/>
    <n v="60"/>
    <n v="1466"/>
    <n v="9910.16"/>
    <n v="6.76"/>
    <n v="0.11"/>
    <n v="83"/>
    <n v="2089"/>
    <n v="1"/>
    <x v="6"/>
  </r>
  <r>
    <n v="84251"/>
    <s v="SO-44660"/>
    <x v="840"/>
    <x v="6"/>
    <s v="ARV"/>
    <s v="Adult"/>
    <s v="SCMS from RDC"/>
    <x v="1"/>
    <s v="N/A - From RDC"/>
    <s v="Air"/>
    <m/>
    <d v="2013-06-30T00:00:00"/>
    <d v="2013-05-09T00:00:00"/>
    <d v="2013-05-09T00:00:00"/>
    <x v="70"/>
    <s v="Emtricitabine/Tenofovir Disoproxil Fumarate"/>
    <s v="Generic"/>
    <s v="200/300mg"/>
    <s v="Tablet - FDC"/>
    <n v="30"/>
    <n v="1080"/>
    <n v="6555.6"/>
    <n v="6.07"/>
    <n v="0.2"/>
    <m/>
    <m/>
    <n v="1"/>
    <x v="6"/>
  </r>
  <r>
    <n v="84260"/>
    <s v="SO-44981"/>
    <x v="1042"/>
    <x v="0"/>
    <s v="ARV"/>
    <s v="Pediatric"/>
    <s v="SCMS from RDC"/>
    <x v="1"/>
    <s v="N/A - From RDC"/>
    <s v="Truck"/>
    <m/>
    <d v="2013-08-23T00:00:00"/>
    <d v="2013-05-14T00:00:00"/>
    <d v="2013-05-14T00:00:00"/>
    <x v="74"/>
    <s v="Lamivudine/Nevirapine/Stavudine"/>
    <s v="Generic"/>
    <s v="30/50/6mg"/>
    <s v="Chewable/dispersible tablet - FDC"/>
    <n v="60"/>
    <n v="12917"/>
    <n v="29709.1"/>
    <n v="2.2999999999999998"/>
    <n v="0.04"/>
    <n v="2461"/>
    <n v="3592.8"/>
    <n v="1"/>
    <x v="6"/>
  </r>
  <r>
    <n v="84274"/>
    <s v="SO-43631"/>
    <x v="1043"/>
    <x v="3"/>
    <s v="ARV"/>
    <s v="Adult"/>
    <s v="SCMS from RDC"/>
    <x v="1"/>
    <s v="N/A - From RDC"/>
    <s v="Air"/>
    <m/>
    <d v="2013-07-31T00:00:00"/>
    <d v="2013-07-23T00:00:00"/>
    <d v="2013-07-23T00:00:00"/>
    <x v="46"/>
    <s v="Efavirenz/Lamivudine/Tenofovir Disoproxil Fumarate"/>
    <s v="Generic"/>
    <s v="600/300/300mg"/>
    <s v="Tablet - FDC"/>
    <n v="30"/>
    <n v="35930"/>
    <n v="377983.6"/>
    <n v="10.52"/>
    <n v="0.35"/>
    <n v="4811"/>
    <n v="2486.5"/>
    <n v="1"/>
    <x v="6"/>
  </r>
  <r>
    <n v="84275"/>
    <s v="SO-43910"/>
    <x v="953"/>
    <x v="3"/>
    <s v="ARV"/>
    <s v="Adult"/>
    <s v="SCMS from RDC"/>
    <x v="1"/>
    <s v="N/A - From RDC"/>
    <s v="Truck"/>
    <m/>
    <d v="2013-07-31T00:00:00"/>
    <d v="2013-08-26T00:00:00"/>
    <d v="2013-08-26T00:00:00"/>
    <x v="11"/>
    <s v="Lamivudine/Nevirapine/Zidovudine"/>
    <s v="Generic"/>
    <s v="150/300/200mg"/>
    <s v="Tablet - FDC"/>
    <n v="60"/>
    <n v="44017"/>
    <n v="363580.42"/>
    <n v="8.26"/>
    <n v="0.14000000000000001"/>
    <m/>
    <m/>
    <n v="0"/>
    <x v="6"/>
  </r>
  <r>
    <n v="84280"/>
    <s v="SO-45540"/>
    <x v="1044"/>
    <x v="3"/>
    <s v="ARV"/>
    <s v="Adult"/>
    <s v="SCMS from RDC"/>
    <x v="1"/>
    <s v="N/A - From RDC"/>
    <s v="Truck"/>
    <m/>
    <d v="2013-08-06T00:00:00"/>
    <d v="2013-08-22T00:00:00"/>
    <d v="2013-08-22T00:00:00"/>
    <x v="1"/>
    <s v="Lamivudine/Zidovudine"/>
    <s v="Generic"/>
    <s v="150/300mg"/>
    <s v="Tablet - FDC"/>
    <n v="60"/>
    <n v="45233"/>
    <n v="316631"/>
    <n v="7"/>
    <n v="0.12"/>
    <n v="3984"/>
    <n v="20074.740000000002"/>
    <n v="0"/>
    <x v="6"/>
  </r>
  <r>
    <n v="84288"/>
    <s v="SO-45992"/>
    <x v="1045"/>
    <x v="0"/>
    <s v="ARV"/>
    <s v="Adult"/>
    <s v="SCMS from RDC"/>
    <x v="1"/>
    <s v="N/A - From RDC"/>
    <s v="Truck"/>
    <m/>
    <d v="2013-11-20T00:00:00"/>
    <d v="2013-09-10T00:00:00"/>
    <d v="2013-09-10T00:00:00"/>
    <x v="9"/>
    <s v="Abacavir"/>
    <s v="Generic"/>
    <s v="300mg"/>
    <s v="Tablet"/>
    <n v="60"/>
    <n v="13370"/>
    <n v="153220.20000000001"/>
    <n v="11.46"/>
    <n v="0.19"/>
    <n v="1337"/>
    <n v="10540.22"/>
    <n v="1"/>
    <x v="6"/>
  </r>
  <r>
    <n v="84289"/>
    <s v="SO-45580"/>
    <x v="1046"/>
    <x v="3"/>
    <s v="ARV"/>
    <s v="Adult"/>
    <s v="SCMS from RDC"/>
    <x v="1"/>
    <s v="N/A - From RDC"/>
    <s v="Air"/>
    <m/>
    <d v="2013-09-30T00:00:00"/>
    <d v="2013-10-29T00:00:00"/>
    <d v="2013-11-19T00:00:00"/>
    <x v="14"/>
    <s v="Lopinavir/Ritonavir"/>
    <s v="Aluvia"/>
    <s v="200/50mg"/>
    <s v="Tablet"/>
    <n v="120"/>
    <n v="13040"/>
    <n v="263668.8"/>
    <n v="20.22"/>
    <n v="0.17"/>
    <n v="2638"/>
    <n v="13508.98"/>
    <n v="0"/>
    <x v="6"/>
  </r>
  <r>
    <n v="84291"/>
    <s v="SO-45360"/>
    <x v="1047"/>
    <x v="1"/>
    <s v="ARV"/>
    <s v="Pediatric"/>
    <s v="SCMS from RDC"/>
    <x v="1"/>
    <s v="N/A - From RDC"/>
    <s v="Truck"/>
    <m/>
    <d v="2013-10-15T00:00:00"/>
    <d v="2013-10-15T00:00:00"/>
    <d v="2013-10-29T00:00:00"/>
    <x v="67"/>
    <s v="Lamivudine"/>
    <s v="Generic"/>
    <s v="10mg/ml"/>
    <s v="Oral solution"/>
    <n v="240"/>
    <n v="5495"/>
    <n v="7967.75"/>
    <n v="1.45"/>
    <n v="0.01"/>
    <n v="1960"/>
    <n v="4390.9799999999996"/>
    <n v="1"/>
    <x v="6"/>
  </r>
  <r>
    <n v="84292"/>
    <s v="SO-46190"/>
    <x v="1048"/>
    <x v="3"/>
    <s v="ARV"/>
    <s v="Adult"/>
    <s v="SCMS from RDC"/>
    <x v="1"/>
    <s v="N/A - From RDC"/>
    <s v="Air"/>
    <m/>
    <d v="2013-10-15T00:00:00"/>
    <d v="2013-11-08T00:00:00"/>
    <d v="2013-11-27T00:00:00"/>
    <x v="14"/>
    <s v="Lopinavir/Ritonavir"/>
    <s v="Aluvia"/>
    <s v="200/50mg"/>
    <s v="Tablet"/>
    <n v="120"/>
    <n v="13164"/>
    <n v="266176.08"/>
    <n v="20.22"/>
    <n v="0.17"/>
    <n v="2722"/>
    <n v="8604.7000000000007"/>
    <n v="0"/>
    <x v="6"/>
  </r>
  <r>
    <n v="84296"/>
    <s v="SO-44980"/>
    <x v="740"/>
    <x v="0"/>
    <s v="ARV"/>
    <s v="Pediatric"/>
    <s v="SCMS from RDC"/>
    <x v="1"/>
    <s v="N/A - From RDC"/>
    <s v="Truck"/>
    <m/>
    <d v="2013-10-31T00:00:00"/>
    <d v="2013-11-04T00:00:00"/>
    <d v="2013-11-06T00:00:00"/>
    <x v="54"/>
    <s v="Nevirapine"/>
    <s v="Generic"/>
    <s v="10mg/ml"/>
    <s v="Oral suspension"/>
    <n v="100"/>
    <n v="56540"/>
    <n v="73502"/>
    <n v="1.3"/>
    <n v="0.01"/>
    <m/>
    <m/>
    <n v="0"/>
    <x v="6"/>
  </r>
  <r>
    <n v="84303"/>
    <s v="SO-45400"/>
    <x v="1049"/>
    <x v="1"/>
    <s v="ARV"/>
    <s v="Adult"/>
    <s v="SCMS from RDC"/>
    <x v="1"/>
    <s v="N/A - From RDC"/>
    <s v="Truck"/>
    <m/>
    <d v="2013-11-29T00:00:00"/>
    <d v="2013-11-29T00:00:00"/>
    <d v="2013-12-23T00:00:00"/>
    <x v="11"/>
    <s v="Lamivudine/Nevirapine/Zidovudine"/>
    <s v="Generic"/>
    <s v="150/300/200mg"/>
    <s v="Tablet - FDC"/>
    <n v="60"/>
    <n v="89520"/>
    <n v="768081.6"/>
    <n v="8.58"/>
    <n v="0.14000000000000001"/>
    <n v="10238"/>
    <n v="13380.52"/>
    <n v="1"/>
    <x v="6"/>
  </r>
  <r>
    <n v="84304"/>
    <s v="SO-46680"/>
    <x v="856"/>
    <x v="0"/>
    <s v="ARV"/>
    <s v="Adult"/>
    <s v="SCMS from RDC"/>
    <x v="1"/>
    <s v="N/A - From RDC"/>
    <s v="Truck"/>
    <m/>
    <d v="2013-12-26T00:00:00"/>
    <d v="2013-12-16T00:00:00"/>
    <d v="2014-01-17T00:00:00"/>
    <x v="0"/>
    <s v="Nevirapine"/>
    <s v="Generic"/>
    <s v="200mg"/>
    <s v="Tablet"/>
    <n v="60"/>
    <n v="59498"/>
    <n v="134465.48000000001"/>
    <n v="2.2599999999999998"/>
    <n v="0.04"/>
    <m/>
    <m/>
    <n v="1"/>
    <x v="7"/>
  </r>
  <r>
    <n v="84307"/>
    <s v="SO-45401"/>
    <x v="1050"/>
    <x v="1"/>
    <s v="ARV"/>
    <s v="Pediatric"/>
    <s v="SCMS from RDC"/>
    <x v="1"/>
    <s v="N/A - From RDC"/>
    <s v="Truck"/>
    <m/>
    <d v="2013-11-29T00:00:00"/>
    <d v="2014-02-05T00:00:00"/>
    <d v="2014-02-24T00:00:00"/>
    <x v="67"/>
    <s v="Lamivudine"/>
    <s v="Generic"/>
    <s v="10mg/ml"/>
    <s v="Oral solution"/>
    <n v="240"/>
    <n v="5233"/>
    <n v="7587.85"/>
    <n v="1.45"/>
    <n v="0.01"/>
    <n v="1855"/>
    <n v="6638.3"/>
    <n v="0"/>
    <x v="7"/>
  </r>
  <r>
    <n v="84319"/>
    <s v="SO-46020"/>
    <x v="1051"/>
    <x v="6"/>
    <s v="ARV"/>
    <s v="Adult"/>
    <s v="SCMS from RDC"/>
    <x v="1"/>
    <s v="N/A - From RDC"/>
    <s v="Air"/>
    <m/>
    <d v="2013-11-15T00:00:00"/>
    <d v="2013-11-22T00:00:00"/>
    <d v="2014-01-21T00:00:00"/>
    <x v="47"/>
    <s v="Lopinavir/Ritonavir"/>
    <s v="Generic"/>
    <s v="200/50mg"/>
    <s v="Tablet"/>
    <n v="120"/>
    <n v="88"/>
    <n v="1848"/>
    <n v="21"/>
    <n v="0.18"/>
    <n v="95"/>
    <n v="771.9"/>
    <n v="0"/>
    <x v="7"/>
  </r>
  <r>
    <n v="84321"/>
    <s v="SO-47480"/>
    <x v="1052"/>
    <x v="1"/>
    <s v="ARV"/>
    <s v="Pediatric"/>
    <s v="SCMS from RDC"/>
    <x v="1"/>
    <s v="N/A - From RDC"/>
    <s v="Truck"/>
    <m/>
    <d v="2014-02-28T00:00:00"/>
    <d v="2014-02-25T00:00:00"/>
    <d v="2014-03-07T00:00:00"/>
    <x v="51"/>
    <s v="Efavirenz"/>
    <s v="Generic"/>
    <s v="200mg"/>
    <s v="Tablet"/>
    <n v="90"/>
    <n v="2586"/>
    <n v="24049.8"/>
    <n v="9.3000000000000007"/>
    <n v="0.1"/>
    <n v="164"/>
    <n v="2737.75"/>
    <n v="1"/>
    <x v="7"/>
  </r>
  <r>
    <n v="84322"/>
    <s v="SO-47110"/>
    <x v="1053"/>
    <x v="5"/>
    <s v="ARV"/>
    <s v="Adult"/>
    <s v="SCMS from RDC"/>
    <x v="1"/>
    <s v="N/A - From RDC"/>
    <s v="Air"/>
    <m/>
    <d v="2014-01-22T00:00:00"/>
    <d v="2014-02-11T00:00:00"/>
    <d v="2014-02-13T00:00:00"/>
    <x v="0"/>
    <s v="Nevirapine"/>
    <s v="Generic"/>
    <s v="200mg"/>
    <s v="Tablet"/>
    <n v="60"/>
    <n v="378"/>
    <n v="854.28"/>
    <n v="2.2599999999999998"/>
    <n v="0.04"/>
    <n v="613"/>
    <n v="6333"/>
    <n v="0"/>
    <x v="7"/>
  </r>
  <r>
    <n v="84323"/>
    <s v="SO-46483"/>
    <x v="744"/>
    <x v="1"/>
    <s v="ARV"/>
    <s v="Adult"/>
    <s v="SCMS from RDC"/>
    <x v="1"/>
    <s v="N/A - From RDC"/>
    <s v="Truck"/>
    <m/>
    <d v="2014-01-31T00:00:00"/>
    <d v="2014-02-03T00:00:00"/>
    <d v="2014-02-24T00:00:00"/>
    <x v="39"/>
    <s v="Lamivudine/Tenofovir Disoproxil Fumarate"/>
    <s v="Generic"/>
    <s v="300/300mg"/>
    <s v="Tablet - FDC"/>
    <n v="30"/>
    <n v="1303"/>
    <n v="6124.1"/>
    <n v="4.7"/>
    <n v="0.16"/>
    <m/>
    <m/>
    <n v="0"/>
    <x v="7"/>
  </r>
  <r>
    <n v="84329"/>
    <s v="SO-45520"/>
    <x v="1054"/>
    <x v="3"/>
    <s v="ARV"/>
    <s v="Pediatric"/>
    <s v="SCMS from RDC"/>
    <x v="1"/>
    <s v="N/A - From RDC"/>
    <s v="Air"/>
    <m/>
    <d v="2014-01-31T00:00:00"/>
    <d v="2014-02-17T00:00:00"/>
    <d v="2014-03-04T00:00:00"/>
    <x v="76"/>
    <s v="Abacavir/Lamivudine"/>
    <s v="Generic"/>
    <s v="60/30mg"/>
    <s v="Tablet - FDC"/>
    <n v="60"/>
    <n v="1864"/>
    <n v="7456"/>
    <n v="4"/>
    <n v="7.0000000000000007E-2"/>
    <n v="89"/>
    <n v="790.29"/>
    <n v="0"/>
    <x v="7"/>
  </r>
  <r>
    <n v="84332"/>
    <s v="SO-45999"/>
    <x v="961"/>
    <x v="0"/>
    <s v="ARV"/>
    <s v="Adult"/>
    <s v="SCMS from RDC"/>
    <x v="1"/>
    <s v="N/A - From RDC"/>
    <s v="Truck"/>
    <m/>
    <d v="2014-01-31T00:00:00"/>
    <d v="2014-02-19T00:00:00"/>
    <d v="2014-02-24T00:00:00"/>
    <x v="9"/>
    <s v="Abacavir"/>
    <s v="Generic"/>
    <s v="300mg"/>
    <s v="Tablet"/>
    <n v="60"/>
    <n v="11022"/>
    <n v="125209.92"/>
    <n v="11.36"/>
    <n v="0.19"/>
    <m/>
    <m/>
    <n v="0"/>
    <x v="7"/>
  </r>
  <r>
    <n v="84344"/>
    <s v="SO-46480"/>
    <x v="863"/>
    <x v="1"/>
    <s v="ARV"/>
    <s v="Adult"/>
    <s v="SCMS from RDC"/>
    <x v="1"/>
    <s v="N/A - From RDC"/>
    <s v="Truck"/>
    <m/>
    <d v="2014-03-28T00:00:00"/>
    <d v="2014-04-02T00:00:00"/>
    <d v="2014-04-14T00:00:00"/>
    <x v="11"/>
    <s v="Lamivudine/Nevirapine/Zidovudine"/>
    <s v="Generic"/>
    <s v="150/300/200mg"/>
    <s v="Tablet - FDC"/>
    <n v="60"/>
    <n v="49998"/>
    <n v="412983.48"/>
    <n v="8.26"/>
    <n v="0.14000000000000001"/>
    <m/>
    <m/>
    <n v="0"/>
    <x v="7"/>
  </r>
  <r>
    <n v="84347"/>
    <s v="SO-47100"/>
    <x v="864"/>
    <x v="5"/>
    <s v="ARV"/>
    <s v="Adult"/>
    <s v="SCMS from RDC"/>
    <x v="1"/>
    <s v="N/A - From RDC"/>
    <s v="Air"/>
    <m/>
    <d v="2014-03-31T00:00:00"/>
    <d v="2014-03-21T00:00:00"/>
    <d v="2014-03-26T00:00:00"/>
    <x v="47"/>
    <s v="Lopinavir/Ritonavir"/>
    <s v="Generic"/>
    <s v="200/50mg"/>
    <s v="Tablet"/>
    <n v="120"/>
    <n v="507"/>
    <n v="10175.49"/>
    <n v="20.07"/>
    <n v="0.17"/>
    <m/>
    <m/>
    <n v="1"/>
    <x v="7"/>
  </r>
  <r>
    <n v="84358"/>
    <s v="SO-46486"/>
    <x v="1055"/>
    <x v="1"/>
    <s v="ARV"/>
    <s v="Adult"/>
    <s v="SCMS from RDC"/>
    <x v="1"/>
    <s v="N/A - From RDC"/>
    <s v="Truck"/>
    <m/>
    <d v="2014-05-05T00:00:00"/>
    <d v="2014-05-06T00:00:00"/>
    <d v="2014-06-20T00:00:00"/>
    <x v="11"/>
    <s v="Lamivudine/Nevirapine/Zidovudine"/>
    <s v="Generic"/>
    <s v="150/300/200mg"/>
    <s v="Tablet - FDC"/>
    <n v="60"/>
    <n v="15862"/>
    <n v="128640.82"/>
    <n v="8.11"/>
    <n v="0.14000000000000001"/>
    <n v="1851"/>
    <n v="5445.73"/>
    <n v="0"/>
    <x v="7"/>
  </r>
  <r>
    <n v="84359"/>
    <s v="SO-46485"/>
    <x v="750"/>
    <x v="1"/>
    <s v="ARV"/>
    <s v="Adult"/>
    <s v="SCMS from RDC"/>
    <x v="1"/>
    <s v="N/A - From RDC"/>
    <s v="Truck"/>
    <m/>
    <d v="2014-05-05T00:00:00"/>
    <d v="2014-06-06T00:00:00"/>
    <d v="2014-06-20T00:00:00"/>
    <x v="46"/>
    <s v="Efavirenz/Lamivudine/Tenofovir Disoproxil Fumarate"/>
    <s v="Generic"/>
    <s v="600/300/300mg"/>
    <s v="Tablet - FDC"/>
    <n v="30"/>
    <n v="30205"/>
    <n v="325609.90000000002"/>
    <n v="10.78"/>
    <n v="0.36"/>
    <m/>
    <m/>
    <n v="0"/>
    <x v="7"/>
  </r>
  <r>
    <n v="84367"/>
    <s v="SO-46501"/>
    <x v="1056"/>
    <x v="1"/>
    <s v="ARV"/>
    <s v="Adult"/>
    <s v="SCMS from RDC"/>
    <x v="1"/>
    <s v="N/A - From RDC"/>
    <s v="Truck"/>
    <m/>
    <d v="2014-06-27T00:00:00"/>
    <d v="2014-07-06T00:00:00"/>
    <d v="2014-08-05T00:00:00"/>
    <x v="39"/>
    <s v="Lamivudine/Tenofovir Disoproxil Fumarate"/>
    <s v="Generic"/>
    <s v="300/300mg"/>
    <s v="Tablet - FDC"/>
    <n v="30"/>
    <n v="53705"/>
    <n v="249191.2"/>
    <n v="4.6399999999999997"/>
    <n v="0.15"/>
    <n v="5565"/>
    <n v="34837.800000000003"/>
    <n v="0"/>
    <x v="7"/>
  </r>
  <r>
    <n v="84369"/>
    <s v="SO-46006"/>
    <x v="1057"/>
    <x v="0"/>
    <s v="ARV"/>
    <s v="Adult"/>
    <s v="SCMS from RDC"/>
    <x v="1"/>
    <s v="N/A - From RDC"/>
    <s v="Truck"/>
    <m/>
    <d v="2014-06-30T00:00:00"/>
    <d v="2014-06-10T00:00:00"/>
    <d v="2014-06-12T00:00:00"/>
    <x v="70"/>
    <s v="Emtricitabine/Tenofovir Disoproxil Fumarate"/>
    <s v="Generic"/>
    <s v="200/300mg"/>
    <s v="Tablet - FDC"/>
    <n v="30"/>
    <n v="34733"/>
    <n v="199367.42"/>
    <n v="5.74"/>
    <n v="0.19"/>
    <n v="2746"/>
    <n v="5989.25"/>
    <n v="1"/>
    <x v="7"/>
  </r>
  <r>
    <n v="84370"/>
    <s v="SO-47652"/>
    <x v="1058"/>
    <x v="0"/>
    <s v="ARV"/>
    <s v="Adult"/>
    <s v="SCMS from RDC"/>
    <x v="1"/>
    <s v="N/A - From RDC"/>
    <s v="Truck"/>
    <m/>
    <d v="2014-06-30T00:00:00"/>
    <d v="2014-06-06T00:00:00"/>
    <d v="2014-06-20T00:00:00"/>
    <x v="45"/>
    <s v="Efavirenz/Emtricitabine/Tenofovir Disoproxil Fumarate"/>
    <s v="Generic"/>
    <s v="600/200/300mg"/>
    <s v="Tablet - FDC"/>
    <n v="30"/>
    <n v="43479"/>
    <n v="516965.31"/>
    <n v="11.89"/>
    <n v="0.4"/>
    <n v="4874"/>
    <n v="12435.18"/>
    <n v="1"/>
    <x v="7"/>
  </r>
  <r>
    <n v="84371"/>
    <s v="SO-47670"/>
    <x v="964"/>
    <x v="6"/>
    <s v="ARV"/>
    <s v="Adult"/>
    <s v="SCMS from RDC"/>
    <x v="1"/>
    <s v="N/A - From RDC"/>
    <s v="Air"/>
    <m/>
    <d v="2014-05-30T00:00:00"/>
    <d v="2014-06-25T00:00:00"/>
    <d v="2014-07-01T00:00:00"/>
    <x v="47"/>
    <s v="Lopinavir/Ritonavir"/>
    <s v="Generic"/>
    <s v="200/50mg"/>
    <s v="Tablet"/>
    <n v="120"/>
    <n v="200"/>
    <n v="4008"/>
    <n v="20.04"/>
    <n v="0.17"/>
    <m/>
    <m/>
    <n v="0"/>
    <x v="7"/>
  </r>
  <r>
    <n v="84372"/>
    <s v="SO-46023"/>
    <x v="965"/>
    <x v="6"/>
    <s v="ARV"/>
    <s v="Adult"/>
    <s v="SCMS from RDC"/>
    <x v="1"/>
    <s v="N/A - From RDC"/>
    <s v="Air"/>
    <m/>
    <d v="2014-06-16T00:00:00"/>
    <d v="2014-06-04T00:00:00"/>
    <d v="2014-07-09T00:00:00"/>
    <x v="47"/>
    <s v="Lopinavir/Ritonavir"/>
    <s v="Generic"/>
    <s v="200/50mg"/>
    <s v="Tablet"/>
    <n v="120"/>
    <n v="112"/>
    <n v="2207.52"/>
    <n v="19.71"/>
    <n v="0.16"/>
    <m/>
    <m/>
    <n v="1"/>
    <x v="7"/>
  </r>
  <r>
    <n v="84374"/>
    <s v="SO-46701"/>
    <x v="754"/>
    <x v="0"/>
    <s v="ARV"/>
    <s v="Pediatric"/>
    <s v="SCMS from RDC"/>
    <x v="1"/>
    <s v="N/A - From RDC"/>
    <s v="Air"/>
    <m/>
    <d v="2014-07-31T00:00:00"/>
    <d v="2014-09-25T00:00:00"/>
    <d v="2014-10-06T00:00:00"/>
    <x v="54"/>
    <s v="Nevirapine"/>
    <s v="Generic"/>
    <s v="10mg/ml"/>
    <s v="Oral suspension"/>
    <n v="100"/>
    <n v="43293"/>
    <n v="56280.9"/>
    <n v="1.3"/>
    <n v="0.01"/>
    <m/>
    <m/>
    <n v="0"/>
    <x v="7"/>
  </r>
  <r>
    <n v="84386"/>
    <s v="SO-48610"/>
    <x v="1059"/>
    <x v="6"/>
    <s v="ARV"/>
    <s v="Adult"/>
    <s v="SCMS from RDC"/>
    <x v="1"/>
    <s v="N/A - From RDC"/>
    <s v="Air"/>
    <m/>
    <d v="2014-07-31T00:00:00"/>
    <d v="2014-07-25T00:00:00"/>
    <d v="2014-08-01T00:00:00"/>
    <x v="11"/>
    <s v="Lamivudine/Nevirapine/Zidovudine"/>
    <s v="Generic"/>
    <s v="150/300/200mg"/>
    <s v="Tablet - FDC"/>
    <n v="60"/>
    <n v="1056"/>
    <n v="8564.16"/>
    <n v="8.11"/>
    <n v="0.14000000000000001"/>
    <n v="155"/>
    <n v="994.25"/>
    <n v="1"/>
    <x v="7"/>
  </r>
  <r>
    <n v="84388"/>
    <s v="SO-48811"/>
    <x v="1060"/>
    <x v="1"/>
    <s v="ARV"/>
    <s v="Pediatric"/>
    <s v="SCMS from RDC"/>
    <x v="1"/>
    <s v="N/A - From RDC"/>
    <s v="Truck"/>
    <m/>
    <d v="2014-12-31T00:00:00"/>
    <d v="2014-08-14T00:00:00"/>
    <d v="2014-08-15T00:00:00"/>
    <x v="72"/>
    <s v="Abacavir"/>
    <s v="Generic"/>
    <s v="20mg/ml"/>
    <s v="Oral solution"/>
    <n v="240"/>
    <n v="800"/>
    <n v="6800"/>
    <n v="8.5"/>
    <n v="0.04"/>
    <n v="297"/>
    <n v="2282.79"/>
    <n v="1"/>
    <x v="7"/>
  </r>
  <r>
    <n v="84395"/>
    <s v="SO-47850"/>
    <x v="1061"/>
    <x v="3"/>
    <s v="ARV"/>
    <s v="Adult"/>
    <s v="SCMS from RDC"/>
    <x v="1"/>
    <s v="N/A - From RDC"/>
    <s v="Truck"/>
    <m/>
    <d v="2014-07-31T00:00:00"/>
    <d v="2014-07-15T00:00:00"/>
    <d v="2014-07-17T00:00:00"/>
    <x v="14"/>
    <s v="Lopinavir/Ritonavir"/>
    <s v="Aluvia"/>
    <s v="200/50mg"/>
    <s v="Tablet"/>
    <n v="120"/>
    <n v="3426"/>
    <n v="69273.72"/>
    <n v="20.22"/>
    <n v="0.17"/>
    <n v="698"/>
    <n v="2676"/>
    <n v="1"/>
    <x v="7"/>
  </r>
  <r>
    <n v="84415"/>
    <s v="SO-48770"/>
    <x v="1062"/>
    <x v="1"/>
    <s v="ARV"/>
    <s v="Pediatric"/>
    <s v="SCMS from RDC"/>
    <x v="1"/>
    <s v="N/A - From RDC"/>
    <s v="Air"/>
    <m/>
    <d v="2014-10-15T00:00:00"/>
    <d v="2014-10-14T00:00:00"/>
    <d v="2014-10-20T00:00:00"/>
    <x v="79"/>
    <s v="Abacavir/Lamivudine"/>
    <s v="Generic"/>
    <s v="60/30mg"/>
    <s v="Chewable/dispersible tablet - FDC"/>
    <n v="60"/>
    <n v="8953"/>
    <n v="45570.77"/>
    <n v="5.09"/>
    <n v="0.08"/>
    <n v="805"/>
    <n v="6220.48"/>
    <n v="1"/>
    <x v="7"/>
  </r>
  <r>
    <n v="84420"/>
    <s v="SO-48160"/>
    <x v="1063"/>
    <x v="1"/>
    <s v="ARV"/>
    <s v="Adult"/>
    <s v="SCMS from RDC"/>
    <x v="1"/>
    <s v="N/A - From RDC"/>
    <s v="Truck"/>
    <m/>
    <d v="2014-10-01T00:00:00"/>
    <d v="2014-11-12T00:00:00"/>
    <d v="2014-11-13T00:00:00"/>
    <x v="0"/>
    <s v="Nevirapine"/>
    <s v="Generic"/>
    <s v="200mg"/>
    <s v="Tablet"/>
    <n v="60"/>
    <n v="178258"/>
    <n v="402863.08"/>
    <n v="2.2599999999999998"/>
    <n v="0.04"/>
    <n v="17140"/>
    <n v="23340.84"/>
    <n v="0"/>
    <x v="7"/>
  </r>
  <r>
    <n v="84425"/>
    <s v="SO-48620"/>
    <x v="1064"/>
    <x v="6"/>
    <s v="ARV"/>
    <s v="Adult"/>
    <s v="SCMS from RDC"/>
    <x v="1"/>
    <s v="N/A - From RDC"/>
    <s v="Air"/>
    <m/>
    <d v="2014-11-20T00:00:00"/>
    <d v="2014-11-20T00:00:00"/>
    <d v="2014-11-24T00:00:00"/>
    <x v="46"/>
    <s v="Efavirenz/Lamivudine/Tenofovir Disoproxil Fumarate"/>
    <s v="Generic"/>
    <s v="600/300/300mg"/>
    <s v="Tablet - FDC"/>
    <n v="30"/>
    <n v="3240"/>
    <n v="33210"/>
    <n v="10.25"/>
    <n v="0.34"/>
    <n v="614"/>
    <n v="4373.84"/>
    <n v="1"/>
    <x v="7"/>
  </r>
  <r>
    <n v="84426"/>
    <s v="SO-49941"/>
    <x v="1065"/>
    <x v="1"/>
    <s v="ARV"/>
    <s v="Pediatric"/>
    <s v="SCMS from RDC"/>
    <x v="1"/>
    <s v="N/A - From RDC"/>
    <s v="Truck"/>
    <m/>
    <d v="2015-01-14T00:00:00"/>
    <d v="2014-11-13T00:00:00"/>
    <d v="2014-11-14T00:00:00"/>
    <x v="42"/>
    <s v="Lamivudine/Zidovudine"/>
    <s v="Generic"/>
    <s v="30/60mg"/>
    <s v="Chewable/dispersible tablet - FDC"/>
    <n v="60"/>
    <n v="1766"/>
    <n v="3514.34"/>
    <n v="1.99"/>
    <n v="0.03"/>
    <n v="152"/>
    <n v="1330.99"/>
    <n v="1"/>
    <x v="7"/>
  </r>
  <r>
    <n v="84427"/>
    <s v="SO-48790"/>
    <x v="764"/>
    <x v="1"/>
    <s v="ARV"/>
    <s v="Adult"/>
    <s v="SCMS from RDC"/>
    <x v="1"/>
    <s v="N/A - From RDC"/>
    <s v="Truck"/>
    <m/>
    <d v="2015-02-16T00:00:00"/>
    <d v="2015-01-14T00:00:00"/>
    <d v="2015-01-19T00:00:00"/>
    <x v="0"/>
    <s v="Nevirapine"/>
    <s v="Generic"/>
    <s v="200mg"/>
    <s v="Tablet"/>
    <n v="60"/>
    <n v="21739"/>
    <n v="48043.19"/>
    <n v="2.21"/>
    <n v="0.04"/>
    <m/>
    <m/>
    <n v="1"/>
    <x v="8"/>
  </r>
  <r>
    <n v="84429"/>
    <s v="SO-48973"/>
    <x v="1066"/>
    <x v="3"/>
    <s v="ARV"/>
    <s v="Adult"/>
    <s v="SCMS from RDC"/>
    <x v="1"/>
    <s v="N/A - From RDC"/>
    <s v="Truck"/>
    <m/>
    <d v="2015-01-15T00:00:00"/>
    <d v="2014-12-17T00:00:00"/>
    <d v="2014-12-22T00:00:00"/>
    <x v="8"/>
    <s v="Efavirenz"/>
    <s v="Generic"/>
    <s v="600mg"/>
    <s v="Tablet"/>
    <n v="30"/>
    <n v="52500"/>
    <n v="168525"/>
    <n v="3.21"/>
    <n v="0.11"/>
    <n v="10119"/>
    <n v="6852.08"/>
    <n v="1"/>
    <x v="7"/>
  </r>
  <r>
    <n v="84432"/>
    <s v="SO-49951"/>
    <x v="765"/>
    <x v="1"/>
    <s v="ARV"/>
    <s v="Pediatric"/>
    <s v="SCMS from RDC"/>
    <x v="1"/>
    <s v="N/A - From RDC"/>
    <s v="Truck"/>
    <m/>
    <d v="2015-01-14T00:00:00"/>
    <d v="2014-12-24T00:00:00"/>
    <d v="2015-01-05T00:00:00"/>
    <x v="79"/>
    <s v="Abacavir/Lamivudine"/>
    <s v="Generic"/>
    <s v="60/30mg"/>
    <s v="Chewable/dispersible tablet - FDC"/>
    <n v="60"/>
    <n v="3238"/>
    <n v="16481.419999999998"/>
    <n v="5.09"/>
    <n v="0.08"/>
    <m/>
    <m/>
    <n v="1"/>
    <x v="8"/>
  </r>
  <r>
    <n v="84433"/>
    <s v="SO-48993"/>
    <x v="873"/>
    <x v="3"/>
    <s v="ARV"/>
    <s v="Pediatric"/>
    <s v="SCMS from RDC"/>
    <x v="1"/>
    <s v="N/A - From RDC"/>
    <s v="Truck"/>
    <m/>
    <d v="2015-02-16T00:00:00"/>
    <d v="2015-01-24T00:00:00"/>
    <d v="2015-02-03T00:00:00"/>
    <x v="76"/>
    <s v="Abacavir/Lamivudine"/>
    <s v="Generic"/>
    <s v="60/30mg"/>
    <s v="Tablet - FDC"/>
    <n v="60"/>
    <n v="2368"/>
    <n v="9685.1200000000008"/>
    <n v="4.09"/>
    <n v="7.0000000000000007E-2"/>
    <m/>
    <m/>
    <n v="1"/>
    <x v="8"/>
  </r>
  <r>
    <n v="84434"/>
    <s v="SO-49980"/>
    <x v="1067"/>
    <x v="1"/>
    <s v="ARV"/>
    <s v="Pediatric"/>
    <s v="SCMS from RDC"/>
    <x v="1"/>
    <s v="N/A - From RDC"/>
    <s v="Air"/>
    <m/>
    <d v="2015-01-27T00:00:00"/>
    <d v="2015-01-09T00:00:00"/>
    <d v="2015-01-19T00:00:00"/>
    <x v="43"/>
    <s v="Nevirapine"/>
    <s v="Generic"/>
    <s v="10mg/ml"/>
    <s v="Oral suspension"/>
    <n v="240"/>
    <n v="10401"/>
    <n v="15705.51"/>
    <n v="1.51"/>
    <n v="0.01"/>
    <n v="3880"/>
    <n v="28001.97"/>
    <n v="1"/>
    <x v="8"/>
  </r>
  <r>
    <n v="84435"/>
    <s v="SO-49960"/>
    <x v="1068"/>
    <x v="1"/>
    <s v="ARV"/>
    <s v="Pediatric"/>
    <s v="SCMS from RDC"/>
    <x v="1"/>
    <s v="N/A - From RDC"/>
    <s v="Truck"/>
    <m/>
    <d v="2015-01-31T00:00:00"/>
    <d v="2014-12-24T00:00:00"/>
    <d v="2014-12-31T00:00:00"/>
    <x v="57"/>
    <s v="Lamivudine/Nevirapine/Zidovudine"/>
    <s v="Generic"/>
    <s v="30/50/60mg"/>
    <s v="Chewable/dispersible tablet - FDC"/>
    <n v="60"/>
    <n v="2196"/>
    <n v="7905.6"/>
    <n v="3.6"/>
    <n v="0.06"/>
    <n v="192"/>
    <n v="2232.42"/>
    <n v="1"/>
    <x v="7"/>
  </r>
  <r>
    <n v="84445"/>
    <s v="SO-50630"/>
    <x v="1069"/>
    <x v="3"/>
    <s v="ARV"/>
    <s v="Adult"/>
    <s v="SCMS from RDC"/>
    <x v="1"/>
    <s v="N/A - From RDC"/>
    <s v="Air"/>
    <m/>
    <d v="2015-02-17T00:00:00"/>
    <d v="2015-02-09T00:00:00"/>
    <d v="2015-02-17T00:00:00"/>
    <x v="0"/>
    <s v="Nevirapine"/>
    <s v="Generic"/>
    <s v="200mg"/>
    <s v="Tablet"/>
    <n v="60"/>
    <n v="74896"/>
    <n v="163273.28"/>
    <n v="2.1800000000000002"/>
    <n v="0.04"/>
    <n v="7183"/>
    <n v="41735"/>
    <n v="1"/>
    <x v="8"/>
  </r>
  <r>
    <n v="84451"/>
    <s v="SO-50730"/>
    <x v="1070"/>
    <x v="1"/>
    <s v="ARV"/>
    <s v="Pediatric"/>
    <s v="SCMS from RDC"/>
    <x v="1"/>
    <s v="N/A - From RDC"/>
    <s v="Air"/>
    <m/>
    <d v="2015-03-10T00:00:00"/>
    <d v="2015-03-27T00:00:00"/>
    <d v="2015-03-30T00:00:00"/>
    <x v="57"/>
    <s v="Lamivudine/Nevirapine/Zidovudine"/>
    <s v="Generic"/>
    <s v="30/50/60mg"/>
    <s v="Chewable/dispersible tablet - FDC"/>
    <n v="60"/>
    <n v="10000"/>
    <n v="36000"/>
    <n v="3.6"/>
    <n v="0.06"/>
    <n v="558"/>
    <n v="3989.81"/>
    <n v="0"/>
    <x v="8"/>
  </r>
  <r>
    <n v="84460"/>
    <s v="SO-50280"/>
    <x v="1071"/>
    <x v="6"/>
    <s v="ARV"/>
    <s v="Adult"/>
    <s v="SCMS from RDC"/>
    <x v="1"/>
    <s v="N/A - From RDC"/>
    <s v="Air"/>
    <m/>
    <d v="2015-05-29T00:00:00"/>
    <d v="2015-03-25T00:00:00"/>
    <d v="2015-03-30T00:00:00"/>
    <x v="46"/>
    <s v="Efavirenz/Lamivudine/Tenofovir Disoproxil Fumarate"/>
    <s v="Generic"/>
    <s v="600/300/300mg"/>
    <s v="Tablet - FDC"/>
    <n v="30"/>
    <n v="7380"/>
    <n v="73726.2"/>
    <n v="9.99"/>
    <n v="0.33"/>
    <n v="1115"/>
    <n v="7006.47"/>
    <n v="1"/>
    <x v="8"/>
  </r>
  <r>
    <n v="84465"/>
    <s v="SO-50050"/>
    <x v="879"/>
    <x v="3"/>
    <s v="ARV"/>
    <s v="Pediatric"/>
    <s v="SCMS from RDC"/>
    <x v="1"/>
    <s v="N/A - From RDC"/>
    <s v="Truck"/>
    <m/>
    <d v="2015-06-15T00:00:00"/>
    <d v="2015-05-14T00:00:00"/>
    <d v="2015-05-15T00:00:00"/>
    <x v="42"/>
    <s v="Lamivudine/Zidovudine"/>
    <s v="Generic"/>
    <s v="30/60mg"/>
    <s v="Chewable/dispersible tablet - FDC"/>
    <n v="60"/>
    <n v="8193"/>
    <n v="15730.56"/>
    <n v="1.92"/>
    <n v="0.03"/>
    <m/>
    <m/>
    <n v="1"/>
    <x v="8"/>
  </r>
  <r>
    <n v="84477"/>
    <s v="SO-50700"/>
    <x v="1072"/>
    <x v="1"/>
    <s v="ARV"/>
    <s v="Adult"/>
    <s v="SCMS from RDC"/>
    <x v="1"/>
    <s v="N/A - From RDC"/>
    <s v="Truck"/>
    <m/>
    <d v="2015-06-30T00:00:00"/>
    <d v="2015-06-17T00:00:00"/>
    <d v="2015-06-29T00:00:00"/>
    <x v="1"/>
    <s v="Lamivudine/Zidovudine"/>
    <s v="Generic"/>
    <s v="150/300mg"/>
    <s v="Tablet - FDC"/>
    <n v="60"/>
    <n v="34858"/>
    <n v="227274.16"/>
    <n v="6.52"/>
    <n v="0.11"/>
    <n v="3094"/>
    <m/>
    <n v="1"/>
    <x v="8"/>
  </r>
  <r>
    <n v="84503"/>
    <s v="SO-34160"/>
    <x v="883"/>
    <x v="3"/>
    <s v="ARV"/>
    <s v="Adult"/>
    <s v="SCMS from RDC"/>
    <x v="1"/>
    <s v="N/A - From RDC"/>
    <s v="Air"/>
    <m/>
    <d v="2009-11-20T00:00:00"/>
    <d v="2009-11-10T00:00:00"/>
    <d v="2009-11-10T00:00:00"/>
    <x v="1"/>
    <s v="Lamivudine/Zidovudine"/>
    <s v="Generic"/>
    <s v="150/300mg"/>
    <s v="Tablet - FDC"/>
    <n v="60"/>
    <n v="300"/>
    <n v="2628"/>
    <n v="8.76"/>
    <n v="0.15"/>
    <m/>
    <m/>
    <n v="1"/>
    <x v="3"/>
  </r>
  <r>
    <n v="84508"/>
    <s v="SO-33980"/>
    <x v="1073"/>
    <x v="3"/>
    <s v="ARV"/>
    <s v="Adult"/>
    <s v="SCMS from RDC"/>
    <x v="1"/>
    <s v="N/A - From RDC"/>
    <s v="Air"/>
    <m/>
    <d v="2009-11-27T00:00:00"/>
    <d v="2009-12-02T00:00:00"/>
    <d v="2009-12-02T00:00:00"/>
    <x v="0"/>
    <s v="Nevirapine"/>
    <s v="Generic"/>
    <s v="200mg"/>
    <s v="Tablet"/>
    <n v="60"/>
    <n v="10453"/>
    <n v="30313.7"/>
    <n v="2.9"/>
    <n v="0.05"/>
    <n v="1001"/>
    <n v="3228.26"/>
    <n v="0"/>
    <x v="3"/>
  </r>
  <r>
    <n v="84512"/>
    <s v="SO-34280"/>
    <x v="1074"/>
    <x v="3"/>
    <s v="ARV"/>
    <s v="Adult"/>
    <s v="SCMS from RDC"/>
    <x v="1"/>
    <s v="N/A - From RDC"/>
    <s v="Air"/>
    <m/>
    <d v="2009-12-07T00:00:00"/>
    <d v="2009-12-02T00:00:00"/>
    <d v="2009-12-02T00:00:00"/>
    <x v="0"/>
    <s v="Nevirapine"/>
    <s v="Generic"/>
    <s v="200mg"/>
    <s v="Tablet"/>
    <n v="60"/>
    <n v="1300"/>
    <n v="3770"/>
    <n v="2.9"/>
    <n v="0.05"/>
    <n v="125"/>
    <n v="2697.65"/>
    <n v="1"/>
    <x v="3"/>
  </r>
  <r>
    <n v="84526"/>
    <s v="SO-35610"/>
    <x v="1075"/>
    <x v="3"/>
    <s v="ARV"/>
    <s v="Adult"/>
    <s v="SCMS from RDC"/>
    <x v="1"/>
    <s v="N/A - From RDC"/>
    <s v="Truck"/>
    <m/>
    <d v="2010-02-25T00:00:00"/>
    <d v="2010-02-18T00:00:00"/>
    <d v="2010-02-18T00:00:00"/>
    <x v="11"/>
    <s v="Lamivudine/Nevirapine/Zidovudine"/>
    <s v="Generic"/>
    <s v="150/300/200mg"/>
    <s v="Tablet - FDC"/>
    <n v="60"/>
    <n v="29"/>
    <n v="325.38"/>
    <n v="11.22"/>
    <n v="0.19"/>
    <n v="5134"/>
    <n v="9348"/>
    <n v="1"/>
    <x v="4"/>
  </r>
  <r>
    <n v="84543"/>
    <s v="SO-34950"/>
    <x v="1076"/>
    <x v="3"/>
    <s v="ARV"/>
    <s v="Adult"/>
    <s v="SCMS from RDC"/>
    <x v="1"/>
    <s v="N/A - From RDC"/>
    <s v="Truck"/>
    <m/>
    <d v="2010-04-30T00:00:00"/>
    <d v="2010-03-25T00:00:00"/>
    <d v="2010-03-25T00:00:00"/>
    <x v="8"/>
    <s v="Efavirenz"/>
    <s v="Generic"/>
    <s v="600mg"/>
    <s v="Tablet"/>
    <n v="30"/>
    <n v="4200"/>
    <n v="21546"/>
    <n v="5.13"/>
    <n v="0.17"/>
    <n v="238"/>
    <n v="2021.53"/>
    <n v="1"/>
    <x v="4"/>
  </r>
  <r>
    <n v="84544"/>
    <s v="SO-34970"/>
    <x v="1077"/>
    <x v="3"/>
    <s v="ARV"/>
    <s v="Adult"/>
    <s v="SCMS from RDC"/>
    <x v="1"/>
    <s v="N/A - From RDC"/>
    <s v="Truck"/>
    <m/>
    <d v="2010-04-01T00:00:00"/>
    <d v="2010-03-25T00:00:00"/>
    <d v="2010-03-25T00:00:00"/>
    <x v="11"/>
    <s v="Lamivudine/Nevirapine/Zidovudine"/>
    <s v="Generic"/>
    <s v="150/300/200mg"/>
    <s v="Tablet - FDC"/>
    <n v="60"/>
    <n v="20000"/>
    <n v="224400"/>
    <n v="11.22"/>
    <n v="0.19"/>
    <n v="2356"/>
    <n v="16682.66"/>
    <n v="1"/>
    <x v="4"/>
  </r>
  <r>
    <n v="84545"/>
    <s v="SO-35890"/>
    <x v="1078"/>
    <x v="3"/>
    <s v="ARV"/>
    <s v="Adult"/>
    <s v="SCMS from RDC"/>
    <x v="1"/>
    <s v="N/A - From RDC"/>
    <s v="Truck"/>
    <m/>
    <d v="2010-04-07T00:00:00"/>
    <d v="2010-03-25T00:00:00"/>
    <d v="2010-03-25T00:00:00"/>
    <x v="8"/>
    <s v="Efavirenz"/>
    <s v="Generic"/>
    <s v="600mg"/>
    <s v="Tablet"/>
    <n v="30"/>
    <n v="4500"/>
    <n v="24075"/>
    <n v="5.35"/>
    <n v="0.18"/>
    <n v="350"/>
    <n v="1854"/>
    <n v="1"/>
    <x v="4"/>
  </r>
  <r>
    <n v="84546"/>
    <s v="SO-34860"/>
    <x v="1079"/>
    <x v="3"/>
    <s v="ARV"/>
    <s v="Adult"/>
    <s v="SCMS from RDC"/>
    <x v="1"/>
    <s v="N/A - From RDC"/>
    <s v="Truck"/>
    <m/>
    <d v="2010-04-28T00:00:00"/>
    <d v="2010-03-25T00:00:00"/>
    <d v="2010-03-25T00:00:00"/>
    <x v="11"/>
    <s v="Lamivudine/Nevirapine/Zidovudine"/>
    <s v="Generic"/>
    <s v="150/300/200mg"/>
    <s v="Tablet - FDC"/>
    <n v="60"/>
    <n v="3000"/>
    <n v="33660"/>
    <n v="11.22"/>
    <n v="0.19"/>
    <n v="359"/>
    <n v="3302.05"/>
    <n v="1"/>
    <x v="4"/>
  </r>
  <r>
    <n v="84547"/>
    <s v="SO-36100"/>
    <x v="784"/>
    <x v="3"/>
    <s v="ARV"/>
    <s v="Adult"/>
    <s v="SCMS from RDC"/>
    <x v="1"/>
    <s v="N/A - From RDC"/>
    <s v="Air"/>
    <m/>
    <d v="2010-05-26T00:00:00"/>
    <d v="2010-04-08T00:00:00"/>
    <d v="2010-04-08T00:00:00"/>
    <x v="29"/>
    <s v="Zidovudine"/>
    <s v="Generic"/>
    <s v="300mg"/>
    <s v="Tablet"/>
    <n v="60"/>
    <n v="50"/>
    <n v="375"/>
    <n v="7.5"/>
    <n v="0.12"/>
    <m/>
    <m/>
    <n v="1"/>
    <x v="4"/>
  </r>
  <r>
    <n v="84548"/>
    <s v="SO-36080"/>
    <x v="785"/>
    <x v="3"/>
    <s v="ARV"/>
    <s v="Adult"/>
    <s v="SCMS from RDC"/>
    <x v="1"/>
    <s v="N/A - From RDC"/>
    <s v="Air"/>
    <m/>
    <d v="2010-05-26T00:00:00"/>
    <d v="2010-04-12T00:00:00"/>
    <d v="2010-04-12T00:00:00"/>
    <x v="8"/>
    <s v="Efavirenz"/>
    <s v="Generic"/>
    <s v="600mg"/>
    <s v="Tablet"/>
    <n v="30"/>
    <n v="5000"/>
    <n v="25650"/>
    <n v="5.13"/>
    <n v="0.17"/>
    <m/>
    <m/>
    <n v="1"/>
    <x v="4"/>
  </r>
  <r>
    <n v="84549"/>
    <s v="SO-36210"/>
    <x v="1080"/>
    <x v="0"/>
    <s v="ARV"/>
    <s v="Adult"/>
    <s v="SCMS from RDC"/>
    <x v="1"/>
    <s v="N/A - From RDC"/>
    <s v="Air"/>
    <m/>
    <d v="2010-07-21T00:00:00"/>
    <d v="2010-03-31T00:00:00"/>
    <d v="2010-03-31T00:00:00"/>
    <x v="0"/>
    <s v="Nevirapine"/>
    <s v="Generic"/>
    <s v="200mg"/>
    <s v="Tablet"/>
    <n v="60"/>
    <n v="4800"/>
    <n v="13104"/>
    <n v="2.73"/>
    <n v="0.05"/>
    <n v="460"/>
    <m/>
    <n v="1"/>
    <x v="4"/>
  </r>
  <r>
    <n v="84555"/>
    <s v="SO-35940"/>
    <x v="1081"/>
    <x v="3"/>
    <s v="ARV"/>
    <s v="Adult"/>
    <s v="SCMS from RDC"/>
    <x v="1"/>
    <s v="N/A - From RDC"/>
    <s v="Air"/>
    <m/>
    <d v="2010-05-07T00:00:00"/>
    <d v="2010-05-19T00:00:00"/>
    <d v="2010-05-19T00:00:00"/>
    <x v="13"/>
    <s v="Lamivudine/Nevirapine/Stavudine"/>
    <s v="Generic"/>
    <s v="150/200/30mg"/>
    <s v="Tablet - FDC"/>
    <n v="60"/>
    <n v="200"/>
    <n v="1170"/>
    <n v="5.85"/>
    <n v="0.1"/>
    <n v="21"/>
    <n v="1000.05"/>
    <n v="0"/>
    <x v="4"/>
  </r>
  <r>
    <n v="84556"/>
    <s v="SO-34940"/>
    <x v="892"/>
    <x v="3"/>
    <s v="ARV"/>
    <s v="Adult"/>
    <s v="SCMS from RDC"/>
    <x v="1"/>
    <s v="N/A - From RDC"/>
    <s v="Air"/>
    <m/>
    <d v="2010-05-03T00:00:00"/>
    <d v="2010-05-03T00:00:00"/>
    <d v="2010-05-03T00:00:00"/>
    <x v="8"/>
    <s v="Efavirenz"/>
    <s v="Generic"/>
    <s v="600mg"/>
    <s v="Tablet"/>
    <n v="30"/>
    <n v="1621"/>
    <n v="7699.75"/>
    <n v="4.75"/>
    <n v="0.16"/>
    <m/>
    <m/>
    <n v="1"/>
    <x v="4"/>
  </r>
  <r>
    <n v="84559"/>
    <s v="SO-36260"/>
    <x v="1082"/>
    <x v="3"/>
    <s v="ARV"/>
    <s v="Adult"/>
    <s v="SCMS from RDC"/>
    <x v="1"/>
    <s v="N/A - From RDC"/>
    <s v="Air"/>
    <m/>
    <d v="2010-07-09T00:00:00"/>
    <d v="2010-05-03T00:00:00"/>
    <d v="2010-05-03T00:00:00"/>
    <x v="1"/>
    <s v="Lamivudine/Zidovudine"/>
    <s v="Generic"/>
    <s v="150/300mg"/>
    <s v="Tablet - FDC"/>
    <n v="60"/>
    <n v="3600"/>
    <n v="31536"/>
    <n v="8.76"/>
    <n v="0.15"/>
    <n v="238"/>
    <n v="3299.67"/>
    <n v="1"/>
    <x v="4"/>
  </r>
  <r>
    <n v="84567"/>
    <s v="SO-36090"/>
    <x v="1083"/>
    <x v="3"/>
    <s v="ARV"/>
    <s v="Adult"/>
    <s v="SCMS from RDC"/>
    <x v="1"/>
    <s v="N/A - From RDC"/>
    <s v="Air"/>
    <m/>
    <d v="2010-05-26T00:00:00"/>
    <d v="2010-05-27T00:00:00"/>
    <d v="2010-05-27T00:00:00"/>
    <x v="11"/>
    <s v="Lamivudine/Nevirapine/Zidovudine"/>
    <s v="Generic"/>
    <s v="150/300/200mg"/>
    <s v="Tablet - FDC"/>
    <n v="60"/>
    <n v="20000"/>
    <n v="224400"/>
    <n v="11.22"/>
    <n v="0.19"/>
    <n v="2560"/>
    <n v="20654.810000000001"/>
    <n v="0"/>
    <x v="4"/>
  </r>
  <r>
    <n v="84569"/>
    <s v="SO-36130"/>
    <x v="789"/>
    <x v="3"/>
    <s v="ARV"/>
    <s v="Adult"/>
    <s v="SCMS from RDC"/>
    <x v="1"/>
    <s v="N/A - From RDC"/>
    <s v="Air"/>
    <m/>
    <d v="2010-06-30T00:00:00"/>
    <d v="2010-06-22T00:00:00"/>
    <d v="2010-06-22T00:00:00"/>
    <x v="1"/>
    <s v="Lamivudine/Zidovudine"/>
    <s v="Generic"/>
    <s v="150/300mg"/>
    <s v="Tablet - FDC"/>
    <n v="60"/>
    <n v="700"/>
    <n v="6132"/>
    <n v="8.76"/>
    <n v="0.15"/>
    <m/>
    <m/>
    <n v="1"/>
    <x v="4"/>
  </r>
  <r>
    <n v="84570"/>
    <s v="SO-36832"/>
    <x v="1084"/>
    <x v="3"/>
    <s v="ARV"/>
    <s v="Adult"/>
    <s v="SCMS from RDC"/>
    <x v="1"/>
    <s v="N/A - From RDC"/>
    <s v="Air"/>
    <m/>
    <d v="2010-06-30T00:00:00"/>
    <d v="2010-06-22T00:00:00"/>
    <d v="2010-06-22T00:00:00"/>
    <x v="8"/>
    <s v="Efavirenz"/>
    <s v="Generic"/>
    <s v="600mg"/>
    <s v="Tablet"/>
    <n v="30"/>
    <n v="17550"/>
    <n v="83362.5"/>
    <n v="4.75"/>
    <n v="0.16"/>
    <n v="1325"/>
    <n v="4600.45"/>
    <n v="1"/>
    <x v="4"/>
  </r>
  <r>
    <n v="84588"/>
    <s v="SO-37250"/>
    <x v="793"/>
    <x v="3"/>
    <s v="ARV"/>
    <s v="Adult"/>
    <s v="SCMS from RDC"/>
    <x v="1"/>
    <s v="N/A - From RDC"/>
    <s v="Air"/>
    <m/>
    <d v="2010-10-29T00:00:00"/>
    <d v="2010-09-27T00:00:00"/>
    <d v="2010-09-27T00:00:00"/>
    <x v="1"/>
    <s v="Lamivudine/Zidovudine"/>
    <s v="Generic"/>
    <s v="150/300mg"/>
    <s v="Tablet - FDC"/>
    <n v="60"/>
    <n v="63148"/>
    <n v="539915.4"/>
    <n v="8.5500000000000007"/>
    <n v="0.14000000000000001"/>
    <m/>
    <m/>
    <n v="1"/>
    <x v="4"/>
  </r>
  <r>
    <n v="84589"/>
    <s v="SO-37260"/>
    <x v="1085"/>
    <x v="3"/>
    <s v="ARV"/>
    <s v="Adult"/>
    <s v="SCMS from RDC"/>
    <x v="1"/>
    <s v="N/A - From RDC"/>
    <s v="Air"/>
    <m/>
    <d v="2010-09-30T00:00:00"/>
    <d v="2010-08-23T00:00:00"/>
    <d v="2010-08-23T00:00:00"/>
    <x v="8"/>
    <s v="Efavirenz"/>
    <s v="Generic"/>
    <s v="600mg"/>
    <s v="Tablet"/>
    <n v="30"/>
    <n v="71991"/>
    <n v="320359.95"/>
    <n v="4.45"/>
    <n v="0.15"/>
    <n v="7187"/>
    <n v="16285.97"/>
    <n v="1"/>
    <x v="4"/>
  </r>
  <r>
    <n v="84590"/>
    <s v="SO-37260"/>
    <x v="1085"/>
    <x v="3"/>
    <s v="ARV"/>
    <s v="Adult"/>
    <s v="SCMS from RDC"/>
    <x v="1"/>
    <s v="N/A - From RDC"/>
    <s v="Air"/>
    <m/>
    <d v="2010-09-30T00:00:00"/>
    <d v="2010-08-23T00:00:00"/>
    <d v="2010-08-23T00:00:00"/>
    <x v="1"/>
    <s v="Lamivudine/Zidovudine"/>
    <s v="Generic"/>
    <s v="150/300mg"/>
    <s v="Tablet - FDC"/>
    <n v="60"/>
    <n v="26991"/>
    <n v="230773.05"/>
    <n v="8.5500000000000007"/>
    <n v="0.14000000000000001"/>
    <m/>
    <m/>
    <n v="1"/>
    <x v="4"/>
  </r>
  <r>
    <n v="84595"/>
    <s v="SO-37460"/>
    <x v="1012"/>
    <x v="3"/>
    <s v="ARV"/>
    <s v="Adult"/>
    <s v="SCMS from RDC"/>
    <x v="1"/>
    <s v="N/A - From RDC"/>
    <s v="Air"/>
    <m/>
    <d v="2010-10-20T00:00:00"/>
    <d v="2010-10-25T00:00:00"/>
    <d v="2010-10-25T00:00:00"/>
    <x v="11"/>
    <s v="Lamivudine/Nevirapine/Zidovudine"/>
    <s v="Generic"/>
    <s v="150/300/200mg"/>
    <s v="Tablet - FDC"/>
    <n v="60"/>
    <n v="31932"/>
    <n v="358277.04"/>
    <n v="11.22"/>
    <n v="0.19"/>
    <m/>
    <m/>
    <n v="0"/>
    <x v="4"/>
  </r>
  <r>
    <n v="84596"/>
    <s v="SO-36600"/>
    <x v="1086"/>
    <x v="0"/>
    <s v="ARV"/>
    <s v="Pediatric"/>
    <s v="SCMS from RDC"/>
    <x v="1"/>
    <s v="N/A - From RDC"/>
    <s v="Air"/>
    <m/>
    <d v="2010-12-03T00:00:00"/>
    <d v="2010-12-03T00:00:00"/>
    <d v="2010-12-03T00:00:00"/>
    <x v="28"/>
    <s v="Didanosine"/>
    <s v="Generic"/>
    <s v="100mg"/>
    <s v="Chewable/dispersible tablet"/>
    <n v="60"/>
    <n v="2864"/>
    <n v="22110.080000000002"/>
    <n v="7.72"/>
    <n v="0.13"/>
    <n v="612"/>
    <n v="1979.75"/>
    <n v="1"/>
    <x v="4"/>
  </r>
  <r>
    <n v="84604"/>
    <s v="SO-37470"/>
    <x v="1087"/>
    <x v="3"/>
    <s v="ARV"/>
    <s v="Adult"/>
    <s v="SCMS from RDC"/>
    <x v="1"/>
    <s v="N/A - From RDC"/>
    <s v="Air"/>
    <m/>
    <d v="2010-12-02T00:00:00"/>
    <d v="2010-11-29T00:00:00"/>
    <d v="2010-11-29T00:00:00"/>
    <x v="45"/>
    <s v="Efavirenz/Emtricitabine/Tenofovir Disoproxil Fumarate"/>
    <s v="Generic"/>
    <s v="600/200/300mg"/>
    <s v="Tablet - FDC"/>
    <n v="30"/>
    <n v="2661"/>
    <n v="53007.12"/>
    <n v="19.920000000000002"/>
    <n v="0.66"/>
    <n v="909"/>
    <n v="5166.3900000000003"/>
    <n v="1"/>
    <x v="4"/>
  </r>
  <r>
    <n v="84605"/>
    <s v="SO-37580"/>
    <x v="1088"/>
    <x v="3"/>
    <s v="ARV"/>
    <s v="Adult"/>
    <s v="SCMS from RDC"/>
    <x v="1"/>
    <s v="N/A - From RDC"/>
    <s v="Truck"/>
    <m/>
    <d v="2010-12-02T00:00:00"/>
    <d v="2010-11-29T00:00:00"/>
    <d v="2010-11-29T00:00:00"/>
    <x v="0"/>
    <s v="Nevirapine"/>
    <s v="Generic"/>
    <s v="200mg"/>
    <s v="Tablet"/>
    <n v="60"/>
    <n v="23787"/>
    <n v="63273.42"/>
    <n v="2.66"/>
    <n v="0.04"/>
    <n v="1378"/>
    <n v="2559.88"/>
    <n v="1"/>
    <x v="4"/>
  </r>
  <r>
    <n v="84621"/>
    <s v="SO-37560"/>
    <x v="681"/>
    <x v="3"/>
    <s v="ARV"/>
    <s v="Adult"/>
    <s v="SCMS from RDC"/>
    <x v="1"/>
    <s v="N/A - From RDC"/>
    <s v="Truck"/>
    <m/>
    <d v="2011-02-28T00:00:00"/>
    <d v="2011-03-22T00:00:00"/>
    <d v="2011-03-22T00:00:00"/>
    <x v="11"/>
    <s v="Lamivudine/Nevirapine/Zidovudine"/>
    <s v="Generic"/>
    <s v="150/300/200mg"/>
    <s v="Tablet - FDC"/>
    <n v="60"/>
    <n v="8988"/>
    <n v="100845.36"/>
    <n v="11.22"/>
    <n v="0.19"/>
    <m/>
    <m/>
    <n v="0"/>
    <x v="9"/>
  </r>
  <r>
    <n v="84626"/>
    <s v="SO-37630"/>
    <x v="1089"/>
    <x v="2"/>
    <s v="ARV"/>
    <s v="Adult"/>
    <s v="SCMS from RDC"/>
    <x v="1"/>
    <s v="N/A - From RDC"/>
    <s v="Air"/>
    <m/>
    <d v="2011-03-10T00:00:00"/>
    <d v="2011-03-11T00:00:00"/>
    <d v="2011-03-11T00:00:00"/>
    <x v="14"/>
    <s v="Lopinavir/Ritonavir"/>
    <s v="Aluvia"/>
    <s v="200/50mg"/>
    <s v="Tablet"/>
    <n v="120"/>
    <n v="8000"/>
    <n v="289280"/>
    <n v="36.159999999999997"/>
    <n v="0.3"/>
    <n v="1647"/>
    <n v="3600.65"/>
    <n v="0"/>
    <x v="9"/>
  </r>
  <r>
    <n v="84627"/>
    <s v="SO-38890"/>
    <x v="1090"/>
    <x v="3"/>
    <s v="ARV"/>
    <s v="Adult"/>
    <s v="SCMS from RDC"/>
    <x v="1"/>
    <s v="N/A - From RDC"/>
    <s v="Air"/>
    <m/>
    <d v="2011-04-18T00:00:00"/>
    <d v="2011-03-15T00:00:00"/>
    <d v="2011-03-15T00:00:00"/>
    <x v="29"/>
    <s v="Zidovudine"/>
    <s v="Generic"/>
    <s v="300mg"/>
    <s v="Tablet"/>
    <n v="60"/>
    <n v="46113"/>
    <n v="332474.73"/>
    <n v="7.21"/>
    <n v="0.12"/>
    <n v="2534"/>
    <n v="16629.490000000002"/>
    <n v="1"/>
    <x v="9"/>
  </r>
  <r>
    <n v="84634"/>
    <s v="SO-39010"/>
    <x v="1016"/>
    <x v="0"/>
    <s v="ARV"/>
    <s v="Adult"/>
    <s v="SCMS from RDC"/>
    <x v="1"/>
    <s v="N/A - From RDC"/>
    <s v="Air"/>
    <m/>
    <d v="2011-04-07T00:00:00"/>
    <d v="2011-03-31T00:00:00"/>
    <d v="2011-03-31T00:00:00"/>
    <x v="8"/>
    <s v="Efavirenz"/>
    <s v="Generic"/>
    <s v="600mg"/>
    <s v="Tablet"/>
    <n v="30"/>
    <n v="4738"/>
    <n v="19994.36"/>
    <n v="4.22"/>
    <n v="0.14000000000000001"/>
    <m/>
    <m/>
    <n v="1"/>
    <x v="9"/>
  </r>
  <r>
    <n v="84643"/>
    <s v="SO-39320"/>
    <x v="1091"/>
    <x v="3"/>
    <s v="ARV"/>
    <s v="Adult"/>
    <s v="SCMS from RDC"/>
    <x v="1"/>
    <s v="N/A - From RDC"/>
    <s v="Truck"/>
    <m/>
    <d v="2011-04-20T00:00:00"/>
    <d v="2011-05-03T00:00:00"/>
    <d v="2011-05-03T00:00:00"/>
    <x v="45"/>
    <s v="Efavirenz/Emtricitabine/Tenofovir Disoproxil Fumarate"/>
    <s v="Generic"/>
    <s v="600/200/300mg"/>
    <s v="Tablet - FDC"/>
    <n v="30"/>
    <n v="6600"/>
    <n v="131472"/>
    <n v="19.920000000000002"/>
    <n v="0.66"/>
    <n v="720"/>
    <n v="4647.66"/>
    <n v="0"/>
    <x v="9"/>
  </r>
  <r>
    <n v="84644"/>
    <s v="SO-39140"/>
    <x v="1092"/>
    <x v="3"/>
    <s v="ARV"/>
    <s v="Adult"/>
    <s v="SCMS from RDC"/>
    <x v="1"/>
    <s v="N/A - From RDC"/>
    <s v="Truck"/>
    <m/>
    <d v="2011-06-06T00:00:00"/>
    <d v="2011-06-01T00:00:00"/>
    <d v="2011-06-01T00:00:00"/>
    <x v="39"/>
    <s v="Lamivudine/Tenofovir Disoproxil Fumarate"/>
    <s v="Generic"/>
    <s v="300/300mg"/>
    <s v="Tablet - FDC"/>
    <n v="30"/>
    <n v="2559"/>
    <n v="22570.38"/>
    <n v="8.82"/>
    <n v="0.28999999999999998"/>
    <n v="338"/>
    <n v="3397.95"/>
    <n v="1"/>
    <x v="9"/>
  </r>
  <r>
    <n v="84656"/>
    <s v="SO-39490"/>
    <x v="1093"/>
    <x v="3"/>
    <s v="ARV"/>
    <s v="Adult"/>
    <s v="SCMS from RDC"/>
    <x v="1"/>
    <s v="N/A - From RDC"/>
    <s v="Truck"/>
    <m/>
    <d v="2011-08-01T00:00:00"/>
    <d v="2011-06-28T00:00:00"/>
    <d v="2011-06-28T00:00:00"/>
    <x v="35"/>
    <s v="Tenofovir Disoproxil Fumarate"/>
    <s v="Generic"/>
    <s v="300mg"/>
    <s v="Tablet"/>
    <n v="30"/>
    <n v="2011"/>
    <n v="13212.27"/>
    <n v="6.57"/>
    <n v="0.22"/>
    <n v="126"/>
    <n v="1661"/>
    <n v="1"/>
    <x v="9"/>
  </r>
  <r>
    <n v="84657"/>
    <s v="SO-38160"/>
    <x v="1094"/>
    <x v="0"/>
    <s v="ARV"/>
    <s v="Adult"/>
    <s v="SCMS from RDC"/>
    <x v="1"/>
    <s v="N/A - From RDC"/>
    <s v="Truck"/>
    <m/>
    <d v="2011-04-28T00:00:00"/>
    <d v="2011-07-15T00:00:00"/>
    <d v="2011-07-15T00:00:00"/>
    <x v="45"/>
    <s v="Efavirenz/Emtricitabine/Tenofovir Disoproxil Fumarate"/>
    <s v="Generic"/>
    <s v="600/200/300mg"/>
    <s v="Tablet - FDC"/>
    <n v="30"/>
    <n v="54375"/>
    <n v="1083150"/>
    <n v="19.920000000000002"/>
    <n v="0.66"/>
    <n v="11129"/>
    <n v="13838.17"/>
    <n v="0"/>
    <x v="9"/>
  </r>
  <r>
    <n v="84662"/>
    <s v="SO-40190"/>
    <x v="1095"/>
    <x v="0"/>
    <s v="ARV"/>
    <s v="Adult"/>
    <s v="SCMS from RDC"/>
    <x v="1"/>
    <s v="N/A - From RDC"/>
    <s v="Truck"/>
    <m/>
    <d v="2011-08-05T00:00:00"/>
    <d v="2011-08-16T00:00:00"/>
    <d v="2011-08-16T00:00:00"/>
    <x v="14"/>
    <s v="Lopinavir/Ritonavir"/>
    <s v="Aluvia"/>
    <s v="200/50mg"/>
    <s v="Tablet"/>
    <n v="120"/>
    <n v="4389"/>
    <n v="148084.85999999999"/>
    <n v="33.74"/>
    <n v="0.28000000000000003"/>
    <n v="880"/>
    <n v="3175.7"/>
    <n v="0"/>
    <x v="9"/>
  </r>
  <r>
    <n v="84676"/>
    <s v="SO-40710"/>
    <x v="1096"/>
    <x v="0"/>
    <s v="ARV"/>
    <s v="Adult"/>
    <s v="SCMS from RDC"/>
    <x v="1"/>
    <s v="N/A - From RDC"/>
    <s v="Truck"/>
    <m/>
    <d v="2011-09-29T00:00:00"/>
    <d v="2011-09-23T00:00:00"/>
    <d v="2011-09-23T00:00:00"/>
    <x v="45"/>
    <s v="Efavirenz/Emtricitabine/Tenofovir Disoproxil Fumarate"/>
    <s v="Generic"/>
    <s v="600/200/300mg"/>
    <s v="Tablet - FDC"/>
    <n v="30"/>
    <n v="68235"/>
    <n v="1359241.2"/>
    <n v="19.920000000000002"/>
    <n v="0.66"/>
    <n v="83"/>
    <n v="2094.34"/>
    <n v="1"/>
    <x v="9"/>
  </r>
  <r>
    <n v="84685"/>
    <s v="SO-40911"/>
    <x v="1019"/>
    <x v="3"/>
    <s v="ARV"/>
    <s v="Adult"/>
    <s v="SCMS from RDC"/>
    <x v="1"/>
    <s v="N/A - From RDC"/>
    <s v="Truck"/>
    <m/>
    <d v="2012-01-09T00:00:00"/>
    <d v="2011-12-01T00:00:00"/>
    <d v="2011-12-01T00:00:00"/>
    <x v="1"/>
    <s v="Lamivudine/Zidovudine"/>
    <s v="Generic"/>
    <s v="150/300mg"/>
    <s v="Tablet - FDC"/>
    <n v="60"/>
    <n v="1529"/>
    <n v="12629.54"/>
    <n v="8.26"/>
    <n v="0.14000000000000001"/>
    <m/>
    <m/>
    <n v="1"/>
    <x v="9"/>
  </r>
  <r>
    <n v="84690"/>
    <s v="SO-40641"/>
    <x v="1097"/>
    <x v="0"/>
    <s v="ARV"/>
    <s v="Adult"/>
    <s v="SCMS from RDC"/>
    <x v="1"/>
    <s v="N/A - From RDC"/>
    <s v="Truck"/>
    <m/>
    <d v="2012-03-12T00:00:00"/>
    <d v="2012-03-12T00:00:00"/>
    <d v="2012-03-12T00:00:00"/>
    <x v="9"/>
    <s v="Abacavir"/>
    <s v="Generic"/>
    <s v="300mg"/>
    <s v="Tablet"/>
    <n v="60"/>
    <n v="23940"/>
    <n v="350242.2"/>
    <n v="14.63"/>
    <n v="0.24"/>
    <n v="1500"/>
    <n v="1698.83"/>
    <n v="1"/>
    <x v="5"/>
  </r>
  <r>
    <n v="84709"/>
    <s v="SO-40920"/>
    <x v="1098"/>
    <x v="3"/>
    <s v="ARV"/>
    <s v="Adult"/>
    <s v="SCMS from RDC"/>
    <x v="1"/>
    <s v="N/A - From RDC"/>
    <s v="Truck"/>
    <m/>
    <d v="2012-03-30T00:00:00"/>
    <d v="2012-02-17T00:00:00"/>
    <d v="2012-02-17T00:00:00"/>
    <x v="16"/>
    <s v="Lamivudine"/>
    <s v="Generic"/>
    <s v="150mg"/>
    <s v="Tablet"/>
    <n v="60"/>
    <n v="2596"/>
    <n v="6048.68"/>
    <n v="2.33"/>
    <n v="0.04"/>
    <n v="125"/>
    <n v="1831.41"/>
    <n v="1"/>
    <x v="5"/>
  </r>
  <r>
    <n v="84711"/>
    <s v="SO-40600"/>
    <x v="1099"/>
    <x v="0"/>
    <s v="ARV"/>
    <s v="Adult"/>
    <s v="SCMS from RDC"/>
    <x v="1"/>
    <s v="N/A - From RDC"/>
    <s v="Truck"/>
    <m/>
    <d v="2012-04-11T00:00:00"/>
    <d v="2012-04-11T00:00:00"/>
    <d v="2012-04-11T00:00:00"/>
    <x v="8"/>
    <s v="Efavirenz"/>
    <s v="Generic"/>
    <s v="600mg"/>
    <s v="Tablet"/>
    <n v="30"/>
    <n v="137269"/>
    <n v="579275.18000000005"/>
    <n v="4.22"/>
    <n v="0.14000000000000001"/>
    <n v="8474"/>
    <n v="3279.25"/>
    <n v="1"/>
    <x v="5"/>
  </r>
  <r>
    <n v="84712"/>
    <s v="SO-41530"/>
    <x v="812"/>
    <x v="6"/>
    <s v="ARV"/>
    <s v="Adult"/>
    <s v="SCMS from RDC"/>
    <x v="1"/>
    <s v="N/A - From RDC"/>
    <s v="Air"/>
    <m/>
    <d v="2012-04-26T00:00:00"/>
    <d v="2012-05-04T00:00:00"/>
    <d v="2012-05-04T00:00:00"/>
    <x v="8"/>
    <s v="Efavirenz"/>
    <s v="Generic"/>
    <s v="600mg"/>
    <s v="Tablet"/>
    <n v="30"/>
    <n v="27000"/>
    <n v="111240"/>
    <n v="4.12"/>
    <n v="0.14000000000000001"/>
    <m/>
    <m/>
    <n v="0"/>
    <x v="5"/>
  </r>
  <r>
    <n v="84713"/>
    <s v="SO-41540"/>
    <x v="918"/>
    <x v="6"/>
    <s v="ARV"/>
    <s v="Pediatric"/>
    <s v="SCMS from RDC"/>
    <x v="1"/>
    <s v="N/A - From RDC"/>
    <s v="Air"/>
    <m/>
    <d v="2012-04-26T00:00:00"/>
    <d v="2012-04-09T00:00:00"/>
    <d v="2012-04-09T00:00:00"/>
    <x v="67"/>
    <s v="Lamivudine"/>
    <s v="Generic"/>
    <s v="10mg/ml"/>
    <s v="Oral solution"/>
    <n v="240"/>
    <n v="240"/>
    <n v="444"/>
    <n v="1.85"/>
    <n v="0.01"/>
    <m/>
    <m/>
    <n v="1"/>
    <x v="5"/>
  </r>
  <r>
    <n v="84714"/>
    <s v="SO-40610"/>
    <x v="700"/>
    <x v="0"/>
    <s v="ARV"/>
    <s v="Adult"/>
    <s v="SCMS from RDC"/>
    <x v="1"/>
    <s v="N/A - From RDC"/>
    <s v="Truck"/>
    <m/>
    <d v="2012-05-04T00:00:00"/>
    <d v="2012-04-11T00:00:00"/>
    <d v="2012-04-11T00:00:00"/>
    <x v="1"/>
    <s v="Lamivudine/Zidovudine"/>
    <s v="Generic"/>
    <s v="150/300mg"/>
    <s v="Tablet - FDC"/>
    <n v="60"/>
    <n v="150446"/>
    <n v="1242683.96"/>
    <n v="8.26"/>
    <n v="0.14000000000000001"/>
    <m/>
    <m/>
    <n v="1"/>
    <x v="5"/>
  </r>
  <r>
    <n v="84715"/>
    <s v="SO-40932"/>
    <x v="1100"/>
    <x v="3"/>
    <s v="ARV"/>
    <s v="Adult"/>
    <s v="SCMS from RDC"/>
    <x v="1"/>
    <s v="N/A - From RDC"/>
    <s v="Truck"/>
    <m/>
    <d v="2012-04-16T00:00:00"/>
    <d v="2012-03-27T00:00:00"/>
    <d v="2012-03-27T00:00:00"/>
    <x v="8"/>
    <s v="Efavirenz"/>
    <s v="Generic"/>
    <s v="600mg"/>
    <s v="Tablet"/>
    <n v="30"/>
    <n v="24657"/>
    <n v="101586.84"/>
    <n v="4.12"/>
    <n v="0.14000000000000001"/>
    <n v="1511"/>
    <n v="7403.01"/>
    <n v="1"/>
    <x v="5"/>
  </r>
  <r>
    <n v="84716"/>
    <s v="SO-41640"/>
    <x v="1101"/>
    <x v="3"/>
    <s v="ARV"/>
    <s v="Adult"/>
    <s v="SCMS from RDC"/>
    <x v="1"/>
    <s v="N/A - From RDC"/>
    <s v="Air"/>
    <m/>
    <d v="2012-06-21T00:00:00"/>
    <d v="2012-03-27T00:00:00"/>
    <d v="2012-03-27T00:00:00"/>
    <x v="45"/>
    <s v="Efavirenz/Emtricitabine/Tenofovir Disoproxil Fumarate"/>
    <s v="Generic"/>
    <s v="600/200/300mg"/>
    <s v="Tablet - FDC"/>
    <n v="30"/>
    <n v="11852"/>
    <n v="198283.96"/>
    <n v="16.73"/>
    <n v="0.56000000000000005"/>
    <n v="1342"/>
    <n v="6340.2"/>
    <n v="1"/>
    <x v="5"/>
  </r>
  <r>
    <n v="84719"/>
    <s v="SO-41430"/>
    <x v="1102"/>
    <x v="1"/>
    <s v="ARV"/>
    <s v="Pediatric"/>
    <s v="SCMS from RDC"/>
    <x v="1"/>
    <s v="N/A - From RDC"/>
    <s v="Air"/>
    <m/>
    <d v="2012-06-29T00:00:00"/>
    <d v="2012-04-17T00:00:00"/>
    <d v="2012-04-17T00:00:00"/>
    <x v="37"/>
    <s v="Efavirenz"/>
    <s v="Generic"/>
    <s v="200mg"/>
    <s v="Capsule"/>
    <n v="90"/>
    <n v="487"/>
    <n v="4207.68"/>
    <n v="8.64"/>
    <n v="0.1"/>
    <n v="66"/>
    <n v="585.41999999999996"/>
    <n v="1"/>
    <x v="5"/>
  </r>
  <r>
    <n v="84723"/>
    <s v="SO-41820"/>
    <x v="1103"/>
    <x v="1"/>
    <s v="ARV"/>
    <s v="Adult"/>
    <s v="SCMS from RDC"/>
    <x v="1"/>
    <s v="N/A - From RDC"/>
    <s v="Air"/>
    <m/>
    <d v="2012-06-29T00:00:00"/>
    <d v="2012-05-15T00:00:00"/>
    <d v="2012-05-15T00:00:00"/>
    <x v="8"/>
    <s v="Efavirenz"/>
    <s v="Generic"/>
    <s v="600mg"/>
    <s v="Tablet"/>
    <n v="30"/>
    <n v="24126"/>
    <n v="94332.66"/>
    <n v="3.91"/>
    <n v="0.13"/>
    <n v="1444"/>
    <n v="15842.34"/>
    <n v="1"/>
    <x v="5"/>
  </r>
  <r>
    <n v="84724"/>
    <s v="SO-42090"/>
    <x v="1104"/>
    <x v="1"/>
    <s v="ARV"/>
    <s v="Pediatric"/>
    <s v="SCMS from RDC"/>
    <x v="1"/>
    <s v="N/A - From RDC"/>
    <s v="Air"/>
    <m/>
    <d v="2012-06-08T00:00:00"/>
    <d v="2012-06-01T00:00:00"/>
    <d v="2012-06-01T00:00:00"/>
    <x v="24"/>
    <s v="Abacavir"/>
    <s v="Generic"/>
    <s v="20mg/ml"/>
    <s v="Oral solution"/>
    <n v="240"/>
    <n v="1004"/>
    <n v="8534"/>
    <n v="8.5"/>
    <n v="0.04"/>
    <n v="1"/>
    <n v="3253.88"/>
    <n v="1"/>
    <x v="5"/>
  </r>
  <r>
    <n v="84726"/>
    <s v="SO-42150"/>
    <x v="1105"/>
    <x v="1"/>
    <s v="ARV"/>
    <s v="Adult"/>
    <s v="SCMS from RDC"/>
    <x v="1"/>
    <s v="N/A - From RDC"/>
    <s v="Air"/>
    <m/>
    <d v="2012-06-29T00:00:00"/>
    <d v="2012-06-01T00:00:00"/>
    <d v="2012-06-01T00:00:00"/>
    <x v="1"/>
    <s v="Lamivudine/Zidovudine"/>
    <s v="Generic"/>
    <s v="150/300mg"/>
    <s v="Tablet - FDC"/>
    <n v="60"/>
    <n v="30480"/>
    <n v="237134.4"/>
    <n v="7.78"/>
    <n v="0.13"/>
    <n v="698"/>
    <n v="26845.35"/>
    <n v="1"/>
    <x v="5"/>
  </r>
  <r>
    <n v="84727"/>
    <s v="SO-42050"/>
    <x v="814"/>
    <x v="3"/>
    <s v="ARV"/>
    <s v="Adult"/>
    <s v="SCMS from RDC"/>
    <x v="1"/>
    <s v="N/A - From RDC"/>
    <s v="Air"/>
    <m/>
    <d v="2012-07-04T00:00:00"/>
    <d v="2012-06-12T00:00:00"/>
    <d v="2012-06-12T00:00:00"/>
    <x v="0"/>
    <s v="Nevirapine"/>
    <s v="Generic"/>
    <s v="200mg"/>
    <s v="Tablet"/>
    <n v="60"/>
    <n v="12974"/>
    <n v="31656.560000000001"/>
    <n v="2.44"/>
    <n v="0.04"/>
    <m/>
    <m/>
    <n v="1"/>
    <x v="5"/>
  </r>
  <r>
    <n v="84729"/>
    <s v="SO-42110"/>
    <x v="1106"/>
    <x v="1"/>
    <s v="ARV"/>
    <s v="Adult"/>
    <s v="SCMS from RDC"/>
    <x v="1"/>
    <s v="N/A - From RDC"/>
    <s v="Air"/>
    <m/>
    <d v="2012-06-15T00:00:00"/>
    <d v="2012-06-01T00:00:00"/>
    <d v="2012-06-01T00:00:00"/>
    <x v="9"/>
    <s v="Abacavir"/>
    <s v="Generic"/>
    <s v="300mg"/>
    <s v="Tablet"/>
    <n v="60"/>
    <n v="12000"/>
    <n v="157800"/>
    <n v="13.15"/>
    <n v="0.22"/>
    <n v="1239"/>
    <n v="28202"/>
    <n v="1"/>
    <x v="5"/>
  </r>
  <r>
    <n v="84734"/>
    <s v="SO-41593"/>
    <x v="707"/>
    <x v="3"/>
    <s v="ARV"/>
    <s v="Adult"/>
    <s v="SCMS from RDC"/>
    <x v="1"/>
    <s v="N/A - From RDC"/>
    <s v="Truck"/>
    <m/>
    <d v="2012-09-05T00:00:00"/>
    <d v="2012-07-26T00:00:00"/>
    <d v="2012-07-26T00:00:00"/>
    <x v="45"/>
    <s v="Efavirenz/Emtricitabine/Tenofovir Disoproxil Fumarate"/>
    <s v="Generic"/>
    <s v="600/200/300mg"/>
    <s v="Tablet - FDC"/>
    <n v="30"/>
    <n v="6150"/>
    <n v="92496"/>
    <n v="15.04"/>
    <n v="0.5"/>
    <m/>
    <m/>
    <n v="1"/>
    <x v="5"/>
  </r>
  <r>
    <n v="84735"/>
    <s v="SO-41593"/>
    <x v="707"/>
    <x v="3"/>
    <s v="ARV"/>
    <s v="Adult"/>
    <s v="SCMS from RDC"/>
    <x v="1"/>
    <s v="N/A - From RDC"/>
    <s v="Truck"/>
    <m/>
    <d v="2012-09-05T00:00:00"/>
    <d v="2012-07-26T00:00:00"/>
    <d v="2012-07-26T00:00:00"/>
    <x v="35"/>
    <s v="Tenofovir Disoproxil Fumarate"/>
    <s v="Generic"/>
    <s v="300mg"/>
    <s v="Tablet"/>
    <n v="30"/>
    <n v="804"/>
    <n v="3875.28"/>
    <n v="4.82"/>
    <n v="0.16"/>
    <m/>
    <m/>
    <n v="1"/>
    <x v="5"/>
  </r>
  <r>
    <n v="84740"/>
    <s v="SO-42134"/>
    <x v="1107"/>
    <x v="1"/>
    <s v="ARV"/>
    <s v="Adult"/>
    <s v="SCMS from RDC"/>
    <x v="1"/>
    <s v="N/A - From RDC"/>
    <s v="Air"/>
    <m/>
    <d v="2012-08-31T00:00:00"/>
    <d v="2012-08-23T00:00:00"/>
    <d v="2012-08-23T00:00:00"/>
    <x v="9"/>
    <s v="Abacavir"/>
    <s v="Generic"/>
    <s v="300mg"/>
    <s v="Tablet"/>
    <n v="60"/>
    <n v="6985"/>
    <n v="91852.75"/>
    <n v="13.15"/>
    <n v="0.22"/>
    <n v="718"/>
    <n v="12688.85"/>
    <n v="1"/>
    <x v="5"/>
  </r>
  <r>
    <n v="84741"/>
    <s v="SO-42490"/>
    <x v="823"/>
    <x v="1"/>
    <s v="ARV"/>
    <s v="Adult"/>
    <s v="SCMS from RDC"/>
    <x v="1"/>
    <s v="N/A - From RDC"/>
    <s v="Air"/>
    <m/>
    <d v="2012-08-31T00:00:00"/>
    <d v="2012-08-23T00:00:00"/>
    <d v="2012-08-23T00:00:00"/>
    <x v="8"/>
    <s v="Efavirenz"/>
    <s v="Generic"/>
    <s v="600mg"/>
    <s v="Tablet"/>
    <n v="30"/>
    <n v="2000"/>
    <n v="7820"/>
    <n v="3.91"/>
    <n v="0.13"/>
    <m/>
    <m/>
    <n v="1"/>
    <x v="5"/>
  </r>
  <r>
    <n v="84746"/>
    <s v="SO-41594"/>
    <x v="1108"/>
    <x v="3"/>
    <s v="ARV"/>
    <s v="Adult"/>
    <s v="SCMS from RDC"/>
    <x v="1"/>
    <s v="N/A - From RDC"/>
    <s v="Truck"/>
    <m/>
    <d v="2012-10-30T00:00:00"/>
    <d v="2012-10-30T00:00:00"/>
    <d v="2012-10-30T00:00:00"/>
    <x v="1"/>
    <s v="Lamivudine/Zidovudine"/>
    <s v="Generic"/>
    <s v="150/300mg"/>
    <s v="Tablet - FDC"/>
    <n v="60"/>
    <n v="5154"/>
    <n v="39788.879999999997"/>
    <n v="7.72"/>
    <n v="0.13"/>
    <n v="429"/>
    <n v="3293.34"/>
    <n v="1"/>
    <x v="5"/>
  </r>
  <r>
    <n v="84748"/>
    <s v="SO-43010"/>
    <x v="709"/>
    <x v="0"/>
    <s v="ARV"/>
    <s v="Adult"/>
    <s v="SCMS from RDC"/>
    <x v="1"/>
    <s v="N/A - From RDC"/>
    <s v="Air"/>
    <m/>
    <d v="2012-10-26T00:00:00"/>
    <d v="2012-10-26T00:00:00"/>
    <d v="2012-10-26T00:00:00"/>
    <x v="1"/>
    <s v="Lamivudine/Zidovudine"/>
    <s v="Generic"/>
    <s v="150/300mg"/>
    <s v="Tablet - FDC"/>
    <n v="60"/>
    <n v="147230"/>
    <n v="1136615.6000000001"/>
    <n v="7.72"/>
    <n v="0.13"/>
    <m/>
    <m/>
    <n v="1"/>
    <x v="5"/>
  </r>
  <r>
    <n v="84749"/>
    <s v="SO-43011"/>
    <x v="1109"/>
    <x v="0"/>
    <s v="ARV"/>
    <s v="Adult"/>
    <s v="SCMS from RDC"/>
    <x v="1"/>
    <s v="N/A - From RDC"/>
    <s v="Air"/>
    <m/>
    <d v="2012-10-26T00:00:00"/>
    <d v="2012-10-26T00:00:00"/>
    <d v="2012-10-26T00:00:00"/>
    <x v="8"/>
    <s v="Efavirenz"/>
    <s v="Generic"/>
    <s v="600mg"/>
    <s v="Tablet"/>
    <n v="30"/>
    <n v="90000"/>
    <n v="342900"/>
    <n v="3.81"/>
    <n v="0.13"/>
    <n v="7867"/>
    <n v="21567.19"/>
    <n v="1"/>
    <x v="5"/>
  </r>
  <r>
    <n v="84750"/>
    <s v="SO-42620"/>
    <x v="1110"/>
    <x v="3"/>
    <s v="ARV"/>
    <s v="Adult"/>
    <s v="SCMS from RDC"/>
    <x v="1"/>
    <s v="N/A - From RDC"/>
    <s v="Air"/>
    <m/>
    <d v="2012-10-30T00:00:00"/>
    <d v="2012-10-30T00:00:00"/>
    <d v="2012-10-30T00:00:00"/>
    <x v="0"/>
    <s v="Nevirapine"/>
    <s v="Generic"/>
    <s v="200mg"/>
    <s v="Tablet"/>
    <n v="60"/>
    <n v="36000"/>
    <n v="87840"/>
    <n v="2.44"/>
    <n v="0.04"/>
    <n v="2026"/>
    <n v="10095.9"/>
    <n v="1"/>
    <x v="5"/>
  </r>
  <r>
    <n v="84751"/>
    <s v="SO-42052"/>
    <x v="1111"/>
    <x v="3"/>
    <s v="ARV"/>
    <s v="Adult"/>
    <s v="SCMS from RDC"/>
    <x v="1"/>
    <s v="N/A - From RDC"/>
    <s v="Air"/>
    <m/>
    <d v="2012-10-18T00:00:00"/>
    <d v="2012-10-18T00:00:00"/>
    <d v="2012-10-18T00:00:00"/>
    <x v="0"/>
    <s v="Nevirapine"/>
    <s v="Generic"/>
    <s v="200mg"/>
    <s v="Tablet"/>
    <n v="60"/>
    <n v="635"/>
    <n v="1549.4"/>
    <n v="2.44"/>
    <n v="0.04"/>
    <n v="1779"/>
    <n v="9325.16"/>
    <n v="1"/>
    <x v="5"/>
  </r>
  <r>
    <n v="84755"/>
    <s v="SO-42140"/>
    <x v="830"/>
    <x v="1"/>
    <s v="ARV"/>
    <s v="Adult"/>
    <s v="SCMS from RDC"/>
    <x v="1"/>
    <s v="N/A - From RDC"/>
    <s v="Air"/>
    <m/>
    <d v="2012-10-26T00:00:00"/>
    <d v="2012-10-26T00:00:00"/>
    <d v="2012-10-26T00:00:00"/>
    <x v="47"/>
    <s v="Lopinavir/Ritonavir"/>
    <s v="Generic"/>
    <s v="200/50mg"/>
    <s v="Tablet"/>
    <n v="120"/>
    <n v="965"/>
    <n v="28641.200000000001"/>
    <n v="29.68"/>
    <n v="0.25"/>
    <m/>
    <m/>
    <n v="1"/>
    <x v="5"/>
  </r>
  <r>
    <n v="84758"/>
    <s v="SO-43090"/>
    <x v="715"/>
    <x v="3"/>
    <s v="ARV"/>
    <s v="Adult"/>
    <s v="SCMS from RDC"/>
    <x v="1"/>
    <s v="N/A - From RDC"/>
    <s v="Air"/>
    <m/>
    <d v="2012-10-25T00:00:00"/>
    <d v="2012-10-22T00:00:00"/>
    <d v="2012-10-22T00:00:00"/>
    <x v="1"/>
    <s v="Lamivudine/Zidovudine"/>
    <s v="Generic"/>
    <s v="150/300mg"/>
    <s v="Tablet - FDC"/>
    <n v="60"/>
    <n v="7126"/>
    <n v="55012.72"/>
    <n v="7.72"/>
    <n v="0.13"/>
    <m/>
    <m/>
    <n v="1"/>
    <x v="5"/>
  </r>
  <r>
    <n v="84759"/>
    <s v="SO-42650"/>
    <x v="935"/>
    <x v="0"/>
    <s v="ARV"/>
    <s v="Adult"/>
    <s v="SCMS from RDC"/>
    <x v="1"/>
    <s v="N/A - From RDC"/>
    <s v="Truck"/>
    <m/>
    <d v="2012-11-30T00:00:00"/>
    <d v="2012-10-31T00:00:00"/>
    <d v="2012-10-31T00:00:00"/>
    <x v="9"/>
    <s v="Abacavir"/>
    <s v="Generic"/>
    <s v="300mg"/>
    <s v="Tablet"/>
    <n v="60"/>
    <n v="13784"/>
    <n v="178640.64000000001"/>
    <n v="12.96"/>
    <n v="0.22"/>
    <m/>
    <m/>
    <n v="1"/>
    <x v="5"/>
  </r>
  <r>
    <n v="84760"/>
    <s v="SO-41551"/>
    <x v="936"/>
    <x v="0"/>
    <s v="ARV"/>
    <s v="Pediatric"/>
    <s v="SCMS from RDC"/>
    <x v="1"/>
    <s v="N/A - From RDC"/>
    <s v="Truck"/>
    <m/>
    <d v="2012-11-30T00:00:00"/>
    <d v="2012-11-06T00:00:00"/>
    <d v="2012-11-06T00:00:00"/>
    <x v="74"/>
    <s v="Lamivudine/Nevirapine/Stavudine"/>
    <s v="Generic"/>
    <s v="30/50/6mg"/>
    <s v="Chewable/dispersible tablet - FDC"/>
    <n v="60"/>
    <n v="1975"/>
    <n v="4542.5"/>
    <n v="2.2999999999999998"/>
    <n v="0.04"/>
    <m/>
    <m/>
    <n v="1"/>
    <x v="5"/>
  </r>
  <r>
    <n v="84765"/>
    <s v="SO-42900"/>
    <x v="718"/>
    <x v="3"/>
    <s v="ARV"/>
    <s v="Adult"/>
    <s v="SCMS from RDC"/>
    <x v="1"/>
    <s v="N/A - From RDC"/>
    <s v="Truck"/>
    <m/>
    <d v="2012-12-10T00:00:00"/>
    <d v="2012-11-19T00:00:00"/>
    <d v="2012-11-19T00:00:00"/>
    <x v="39"/>
    <s v="Lamivudine/Tenofovir Disoproxil Fumarate"/>
    <s v="Generic"/>
    <s v="300/300mg"/>
    <s v="Tablet - FDC"/>
    <n v="30"/>
    <n v="22783"/>
    <n v="122116.88"/>
    <n v="5.36"/>
    <n v="0.18"/>
    <m/>
    <m/>
    <n v="1"/>
    <x v="5"/>
  </r>
  <r>
    <n v="84766"/>
    <s v="SO-43510"/>
    <x v="1112"/>
    <x v="3"/>
    <s v="ARV"/>
    <s v="Adult"/>
    <s v="SCMS from RDC"/>
    <x v="1"/>
    <s v="N/A - From RDC"/>
    <s v="Air"/>
    <m/>
    <d v="2012-12-20T00:00:00"/>
    <d v="2012-11-28T00:00:00"/>
    <d v="2012-11-28T00:00:00"/>
    <x v="9"/>
    <s v="Abacavir"/>
    <s v="Generic"/>
    <s v="300mg"/>
    <s v="Tablet"/>
    <n v="60"/>
    <n v="2067"/>
    <n v="26788.32"/>
    <n v="12.96"/>
    <n v="0.22"/>
    <n v="220"/>
    <n v="1616.45"/>
    <n v="1"/>
    <x v="5"/>
  </r>
  <r>
    <n v="84773"/>
    <s v="SO-43190"/>
    <x v="719"/>
    <x v="3"/>
    <s v="ARV"/>
    <s v="Adult"/>
    <s v="SCMS from RDC"/>
    <x v="1"/>
    <s v="N/A - From RDC"/>
    <s v="Air"/>
    <m/>
    <d v="2013-02-01T00:00:00"/>
    <d v="2013-02-01T00:00:00"/>
    <d v="2013-02-01T00:00:00"/>
    <x v="0"/>
    <s v="Nevirapine"/>
    <s v="Generic"/>
    <s v="200mg"/>
    <s v="Tablet"/>
    <n v="60"/>
    <n v="4290"/>
    <n v="10381.799999999999"/>
    <n v="2.42"/>
    <n v="0.04"/>
    <m/>
    <m/>
    <n v="1"/>
    <x v="6"/>
  </r>
  <r>
    <n v="84776"/>
    <s v="SO-43110"/>
    <x v="1113"/>
    <x v="0"/>
    <s v="ARV"/>
    <s v="Pediatric"/>
    <s v="SCMS from RDC"/>
    <x v="1"/>
    <s v="N/A - From RDC"/>
    <s v="Truck"/>
    <m/>
    <d v="2013-02-28T00:00:00"/>
    <d v="2013-02-18T00:00:00"/>
    <d v="2013-02-18T00:00:00"/>
    <x v="81"/>
    <s v="Lamivudine/Nevirapine/Stavudine"/>
    <s v="Generic"/>
    <s v="60/100/12mg"/>
    <s v="Chewable/dispersible tablet - FDC"/>
    <n v="60"/>
    <n v="10727"/>
    <n v="46126.1"/>
    <n v="4.3"/>
    <n v="7.0000000000000007E-2"/>
    <n v="945"/>
    <n v="7579.6"/>
    <n v="1"/>
    <x v="6"/>
  </r>
  <r>
    <n v="84779"/>
    <s v="SO-43160"/>
    <x v="720"/>
    <x v="3"/>
    <s v="ARV"/>
    <s v="Adult"/>
    <s v="SCMS from RDC"/>
    <x v="1"/>
    <s v="N/A - From RDC"/>
    <s v="Air"/>
    <m/>
    <d v="2013-02-02T00:00:00"/>
    <d v="2013-02-02T00:00:00"/>
    <d v="2013-02-02T00:00:00"/>
    <x v="1"/>
    <s v="Lamivudine/Zidovudine"/>
    <s v="Generic"/>
    <s v="150/300mg"/>
    <s v="Tablet - FDC"/>
    <n v="60"/>
    <n v="1485"/>
    <n v="11464.2"/>
    <n v="7.72"/>
    <n v="0.13"/>
    <m/>
    <m/>
    <n v="1"/>
    <x v="6"/>
  </r>
  <r>
    <n v="84785"/>
    <s v="SO-43961"/>
    <x v="939"/>
    <x v="3"/>
    <s v="ARV"/>
    <s v="Adult"/>
    <s v="SCMS from RDC"/>
    <x v="1"/>
    <s v="N/A - From RDC"/>
    <s v="Air"/>
    <m/>
    <d v="2013-02-22T00:00:00"/>
    <d v="2013-02-20T00:00:00"/>
    <d v="2013-02-20T00:00:00"/>
    <x v="47"/>
    <s v="Lopinavir/Ritonavir"/>
    <s v="Generic"/>
    <s v="200/50mg"/>
    <s v="Tablet"/>
    <n v="120"/>
    <n v="12440"/>
    <n v="308014.40000000002"/>
    <n v="24.76"/>
    <n v="0.21"/>
    <m/>
    <m/>
    <n v="1"/>
    <x v="6"/>
  </r>
  <r>
    <n v="84786"/>
    <s v="SO-43961"/>
    <x v="939"/>
    <x v="3"/>
    <s v="ARV"/>
    <s v="Adult"/>
    <s v="SCMS from RDC"/>
    <x v="1"/>
    <s v="N/A - From RDC"/>
    <s v="Air"/>
    <m/>
    <d v="2013-02-22T00:00:00"/>
    <d v="2013-02-20T00:00:00"/>
    <d v="2013-02-20T00:00:00"/>
    <x v="35"/>
    <s v="Tenofovir Disoproxil Fumarate"/>
    <s v="Generic"/>
    <s v="300mg"/>
    <s v="Tablet"/>
    <n v="30"/>
    <n v="240"/>
    <n v="969.6"/>
    <n v="4.04"/>
    <n v="0.13"/>
    <m/>
    <m/>
    <n v="1"/>
    <x v="6"/>
  </r>
  <r>
    <n v="84791"/>
    <s v="SO-43940"/>
    <x v="1114"/>
    <x v="3"/>
    <s v="ARV"/>
    <s v="Adult"/>
    <s v="SCMS from RDC"/>
    <x v="1"/>
    <s v="N/A - From RDC"/>
    <s v="Air"/>
    <m/>
    <d v="2013-03-29T00:00:00"/>
    <d v="2013-03-01T00:00:00"/>
    <d v="2013-03-01T00:00:00"/>
    <x v="1"/>
    <s v="Lamivudine/Zidovudine"/>
    <s v="Generic"/>
    <s v="150/300mg"/>
    <s v="Tablet - FDC"/>
    <n v="60"/>
    <n v="25680"/>
    <n v="186693.6"/>
    <n v="7.27"/>
    <n v="0.12"/>
    <n v="3988"/>
    <n v="39037.699999999997"/>
    <n v="1"/>
    <x v="6"/>
  </r>
  <r>
    <n v="84800"/>
    <s v="SO-43941"/>
    <x v="838"/>
    <x v="3"/>
    <s v="ARV"/>
    <s v="Adult"/>
    <s v="SCMS from RDC"/>
    <x v="1"/>
    <s v="N/A - From RDC"/>
    <s v="Air"/>
    <m/>
    <d v="2013-04-25T00:00:00"/>
    <d v="2013-04-25T00:00:00"/>
    <d v="2013-04-25T00:00:00"/>
    <x v="0"/>
    <s v="Nevirapine"/>
    <s v="Generic"/>
    <s v="200mg"/>
    <s v="Tablet"/>
    <n v="60"/>
    <n v="1276"/>
    <n v="2883.76"/>
    <n v="2.2599999999999998"/>
    <n v="0.04"/>
    <m/>
    <m/>
    <n v="1"/>
    <x v="6"/>
  </r>
  <r>
    <n v="84801"/>
    <s v="SO-44620"/>
    <x v="725"/>
    <x v="5"/>
    <s v="ARV"/>
    <s v="Pediatric"/>
    <s v="SCMS from RDC"/>
    <x v="1"/>
    <s v="N/A - From RDC"/>
    <s v="Air"/>
    <m/>
    <d v="2013-04-17T00:00:00"/>
    <d v="2013-04-23T00:00:00"/>
    <d v="2013-04-23T00:00:00"/>
    <x v="51"/>
    <s v="Efavirenz"/>
    <s v="Generic"/>
    <s v="200mg"/>
    <s v="Tablet"/>
    <n v="90"/>
    <n v="66"/>
    <n v="481.8"/>
    <n v="7.3"/>
    <n v="0.08"/>
    <m/>
    <m/>
    <n v="0"/>
    <x v="6"/>
  </r>
  <r>
    <n v="84803"/>
    <s v="SO-44640"/>
    <x v="942"/>
    <x v="6"/>
    <s v="ARV"/>
    <s v="Pediatric"/>
    <s v="SCMS from RDC"/>
    <x v="1"/>
    <s v="N/A - From RDC"/>
    <s v="Air"/>
    <m/>
    <d v="2013-05-02T00:00:00"/>
    <d v="2013-05-10T00:00:00"/>
    <d v="2013-05-10T00:00:00"/>
    <x v="67"/>
    <s v="Lamivudine"/>
    <s v="Generic"/>
    <s v="10mg/ml"/>
    <s v="Oral solution"/>
    <n v="240"/>
    <n v="552"/>
    <n v="1021.2"/>
    <n v="1.85"/>
    <n v="0.01"/>
    <m/>
    <m/>
    <n v="0"/>
    <x v="6"/>
  </r>
  <r>
    <n v="84810"/>
    <s v="SO-43890"/>
    <x v="728"/>
    <x v="3"/>
    <s v="ARV"/>
    <s v="Adult"/>
    <s v="SCMS from RDC"/>
    <x v="1"/>
    <s v="N/A - From RDC"/>
    <s v="Truck"/>
    <m/>
    <d v="2013-06-07T00:00:00"/>
    <d v="2013-06-07T00:00:00"/>
    <d v="2013-06-07T00:00:00"/>
    <x v="35"/>
    <s v="Tenofovir Disoproxil Fumarate"/>
    <s v="Generic"/>
    <s v="300mg"/>
    <s v="Tablet"/>
    <n v="30"/>
    <n v="192"/>
    <n v="775.68"/>
    <n v="4.04"/>
    <n v="0.13"/>
    <m/>
    <m/>
    <n v="1"/>
    <x v="6"/>
  </r>
  <r>
    <n v="84811"/>
    <s v="SO-43650"/>
    <x v="948"/>
    <x v="3"/>
    <s v="ARV"/>
    <s v="Adult"/>
    <s v="SCMS from RDC"/>
    <x v="1"/>
    <s v="N/A - From RDC"/>
    <s v="Air"/>
    <m/>
    <d v="2013-08-09T00:00:00"/>
    <d v="2013-08-09T00:00:00"/>
    <d v="2013-08-09T00:00:00"/>
    <x v="39"/>
    <s v="Lamivudine/Tenofovir Disoproxil Fumarate"/>
    <s v="Generic"/>
    <s v="300/300mg"/>
    <s v="Tablet - FDC"/>
    <n v="30"/>
    <n v="1613"/>
    <n v="7581.1"/>
    <n v="4.7"/>
    <n v="0.16"/>
    <m/>
    <m/>
    <n v="1"/>
    <x v="6"/>
  </r>
  <r>
    <n v="84813"/>
    <s v="SO-44690"/>
    <x v="1115"/>
    <x v="5"/>
    <s v="ARV"/>
    <s v="Adult"/>
    <s v="SCMS from RDC"/>
    <x v="1"/>
    <s v="N/A - From RDC"/>
    <s v="Air"/>
    <m/>
    <d v="2013-06-28T00:00:00"/>
    <d v="2013-05-17T00:00:00"/>
    <d v="2013-05-17T00:00:00"/>
    <x v="16"/>
    <s v="Lamivudine"/>
    <s v="Generic"/>
    <s v="150mg"/>
    <s v="Tablet"/>
    <n v="60"/>
    <n v="270"/>
    <n v="537.29999999999995"/>
    <n v="1.99"/>
    <n v="0.03"/>
    <n v="15"/>
    <n v="735.24"/>
    <n v="1"/>
    <x v="6"/>
  </r>
  <r>
    <n v="84816"/>
    <s v="SO-43873"/>
    <x v="731"/>
    <x v="3"/>
    <s v="ARV"/>
    <s v="Adult"/>
    <s v="SCMS from RDC"/>
    <x v="1"/>
    <s v="N/A - From RDC"/>
    <s v="Truck"/>
    <m/>
    <d v="2013-06-28T00:00:00"/>
    <d v="2013-06-07T00:00:00"/>
    <d v="2013-06-07T00:00:00"/>
    <x v="1"/>
    <s v="Lamivudine/Zidovudine"/>
    <s v="Generic"/>
    <s v="150/300mg"/>
    <s v="Tablet - FDC"/>
    <n v="60"/>
    <n v="3173"/>
    <n v="22211"/>
    <n v="7"/>
    <n v="0.12"/>
    <m/>
    <m/>
    <n v="1"/>
    <x v="6"/>
  </r>
  <r>
    <n v="84817"/>
    <s v="SO-44981"/>
    <x v="1042"/>
    <x v="0"/>
    <s v="ARV"/>
    <s v="Pediatric"/>
    <s v="SCMS from RDC"/>
    <x v="1"/>
    <s v="N/A - From RDC"/>
    <s v="Truck"/>
    <m/>
    <d v="2013-08-23T00:00:00"/>
    <d v="2013-05-14T00:00:00"/>
    <d v="2013-05-14T00:00:00"/>
    <x v="81"/>
    <s v="Lamivudine/Nevirapine/Stavudine"/>
    <s v="Generic"/>
    <s v="60/100/12mg"/>
    <s v="Chewable/dispersible tablet - FDC"/>
    <n v="60"/>
    <n v="12106"/>
    <n v="52055.8"/>
    <n v="4.3"/>
    <n v="7.0000000000000007E-2"/>
    <m/>
    <m/>
    <n v="1"/>
    <x v="6"/>
  </r>
  <r>
    <n v="84828"/>
    <s v="SO-43632"/>
    <x v="1116"/>
    <x v="3"/>
    <s v="ARV"/>
    <s v="Adult"/>
    <s v="SCMS from RDC"/>
    <x v="1"/>
    <s v="N/A - From RDC"/>
    <s v="Air"/>
    <m/>
    <d v="2013-07-31T00:00:00"/>
    <d v="2013-07-18T00:00:00"/>
    <d v="2013-07-18T00:00:00"/>
    <x v="46"/>
    <s v="Efavirenz/Lamivudine/Tenofovir Disoproxil Fumarate"/>
    <s v="Generic"/>
    <s v="600/300/300mg"/>
    <s v="Tablet - FDC"/>
    <n v="30"/>
    <n v="10415"/>
    <n v="109565.8"/>
    <n v="10.52"/>
    <n v="0.35"/>
    <n v="1400"/>
    <n v="5718.69"/>
    <n v="1"/>
    <x v="6"/>
  </r>
  <r>
    <n v="84838"/>
    <s v="SO-44701"/>
    <x v="1117"/>
    <x v="5"/>
    <s v="ARV"/>
    <s v="Adult"/>
    <s v="SCMS from RDC"/>
    <x v="1"/>
    <s v="N/A - From RDC"/>
    <s v="Truck"/>
    <m/>
    <d v="2013-08-26T00:00:00"/>
    <d v="2013-08-26T00:00:00"/>
    <d v="2013-08-26T00:00:00"/>
    <x v="0"/>
    <s v="Nevirapine"/>
    <s v="Generic"/>
    <s v="200mg"/>
    <s v="Tablet"/>
    <n v="60"/>
    <n v="225"/>
    <n v="508.5"/>
    <n v="2.2599999999999998"/>
    <n v="0.04"/>
    <n v="81"/>
    <n v="1641"/>
    <n v="1"/>
    <x v="6"/>
  </r>
  <r>
    <n v="84839"/>
    <s v="SO-45152"/>
    <x v="1118"/>
    <x v="6"/>
    <s v="ARV"/>
    <s v="Adult"/>
    <s v="SCMS from RDC"/>
    <x v="1"/>
    <s v="N/A - From RDC"/>
    <s v="Air"/>
    <m/>
    <d v="2013-08-16T00:00:00"/>
    <d v="2013-08-22T00:00:00"/>
    <d v="2013-08-22T00:00:00"/>
    <x v="11"/>
    <s v="Lamivudine/Nevirapine/Zidovudine"/>
    <s v="Generic"/>
    <s v="150/300/200mg"/>
    <s v="Tablet - FDC"/>
    <n v="60"/>
    <n v="960"/>
    <n v="7958.4"/>
    <n v="8.2899999999999991"/>
    <n v="0.14000000000000001"/>
    <n v="111"/>
    <n v="1047.3399999999999"/>
    <n v="0"/>
    <x v="6"/>
  </r>
  <r>
    <n v="84841"/>
    <s v="SO-45870"/>
    <x v="954"/>
    <x v="3"/>
    <s v="ARV"/>
    <s v="Adult"/>
    <s v="SCMS from RDC"/>
    <x v="1"/>
    <s v="N/A - From RDC"/>
    <s v="Air"/>
    <m/>
    <d v="2013-08-29T00:00:00"/>
    <d v="2013-09-13T00:00:00"/>
    <d v="2013-09-13T00:00:00"/>
    <x v="14"/>
    <s v="Lopinavir/Ritonavir"/>
    <s v="Aluvia"/>
    <s v="200/50mg"/>
    <s v="Tablet"/>
    <n v="120"/>
    <n v="12022"/>
    <n v="243084.84"/>
    <n v="20.22"/>
    <n v="0.17"/>
    <m/>
    <m/>
    <n v="0"/>
    <x v="6"/>
  </r>
  <r>
    <n v="84846"/>
    <s v="SO-44983"/>
    <x v="848"/>
    <x v="0"/>
    <s v="ARV"/>
    <s v="Adult"/>
    <s v="SCMS from RDC"/>
    <x v="1"/>
    <s v="N/A - From RDC"/>
    <s v="Truck"/>
    <m/>
    <d v="2013-10-15T00:00:00"/>
    <d v="2013-09-10T00:00:00"/>
    <d v="2013-09-10T00:00:00"/>
    <x v="70"/>
    <s v="Emtricitabine/Tenofovir Disoproxil Fumarate"/>
    <s v="Generic"/>
    <s v="200/300mg"/>
    <s v="Tablet - FDC"/>
    <n v="30"/>
    <n v="19086"/>
    <n v="112034.82"/>
    <n v="5.87"/>
    <n v="0.2"/>
    <m/>
    <m/>
    <n v="1"/>
    <x v="6"/>
  </r>
  <r>
    <n v="84847"/>
    <s v="SO-44983"/>
    <x v="848"/>
    <x v="0"/>
    <s v="ARV"/>
    <s v="Adult"/>
    <s v="SCMS from RDC"/>
    <x v="1"/>
    <s v="N/A - From RDC"/>
    <s v="Truck"/>
    <m/>
    <d v="2013-10-15T00:00:00"/>
    <d v="2013-09-10T00:00:00"/>
    <d v="2013-09-10T00:00:00"/>
    <x v="9"/>
    <s v="Abacavir"/>
    <s v="Generic"/>
    <s v="300mg"/>
    <s v="Tablet"/>
    <n v="60"/>
    <n v="3342"/>
    <n v="38299.32"/>
    <n v="11.46"/>
    <n v="0.19"/>
    <m/>
    <m/>
    <n v="1"/>
    <x v="6"/>
  </r>
  <r>
    <n v="84848"/>
    <s v="SO-45541"/>
    <x v="849"/>
    <x v="3"/>
    <s v="ARV"/>
    <s v="Adult"/>
    <s v="SCMS from RDC"/>
    <x v="1"/>
    <s v="N/A - From RDC"/>
    <s v="Truck"/>
    <m/>
    <d v="2013-09-12T00:00:00"/>
    <d v="2013-10-16T00:00:00"/>
    <d v="2013-10-29T00:00:00"/>
    <x v="9"/>
    <s v="Abacavir"/>
    <s v="Generic"/>
    <s v="300mg"/>
    <s v="Tablet"/>
    <n v="60"/>
    <n v="2880"/>
    <n v="33004.800000000003"/>
    <n v="11.46"/>
    <n v="0.19"/>
    <m/>
    <m/>
    <n v="0"/>
    <x v="6"/>
  </r>
  <r>
    <n v="84850"/>
    <s v="SO-44984"/>
    <x v="851"/>
    <x v="0"/>
    <s v="ARV"/>
    <s v="Pediatric"/>
    <s v="SCMS from RDC"/>
    <x v="1"/>
    <s v="N/A - From RDC"/>
    <s v="Truck"/>
    <m/>
    <d v="2013-10-31T00:00:00"/>
    <d v="2013-09-27T00:00:00"/>
    <d v="2013-09-27T00:00:00"/>
    <x v="57"/>
    <s v="Lamivudine/Nevirapine/Zidovudine"/>
    <s v="Generic"/>
    <s v="30/50/60mg"/>
    <s v="Chewable/dispersible tablet - FDC"/>
    <n v="60"/>
    <n v="80322"/>
    <n v="312452.58"/>
    <n v="3.89"/>
    <n v="0.06"/>
    <m/>
    <m/>
    <n v="1"/>
    <x v="6"/>
  </r>
  <r>
    <n v="84860"/>
    <s v="SO-44990"/>
    <x v="1119"/>
    <x v="0"/>
    <s v="ARV"/>
    <s v="Pediatric"/>
    <s v="SCMS from RDC"/>
    <x v="1"/>
    <s v="N/A - From RDC"/>
    <s v="Truck"/>
    <m/>
    <d v="2013-10-28T00:00:00"/>
    <d v="2013-11-01T00:00:00"/>
    <d v="2013-11-06T00:00:00"/>
    <x v="51"/>
    <s v="Efavirenz"/>
    <s v="Generic"/>
    <s v="200mg"/>
    <s v="Tablet"/>
    <n v="90"/>
    <n v="5117"/>
    <n v="47588.1"/>
    <n v="9.3000000000000007"/>
    <n v="0.1"/>
    <n v="333"/>
    <n v="1956"/>
    <n v="0"/>
    <x v="6"/>
  </r>
  <r>
    <n v="84868"/>
    <s v="SO-45390"/>
    <x v="741"/>
    <x v="1"/>
    <s v="ARV"/>
    <s v="Pediatric"/>
    <s v="SCMS from RDC"/>
    <x v="1"/>
    <s v="N/A - From RDC"/>
    <s v="Truck"/>
    <m/>
    <d v="2014-01-31T00:00:00"/>
    <d v="2013-12-23T00:00:00"/>
    <d v="2014-01-17T00:00:00"/>
    <x v="72"/>
    <s v="Abacavir"/>
    <s v="Generic"/>
    <s v="20mg/ml"/>
    <s v="Oral solution"/>
    <n v="240"/>
    <n v="6816"/>
    <n v="58004.160000000003"/>
    <n v="8.51"/>
    <n v="0.04"/>
    <m/>
    <m/>
    <n v="1"/>
    <x v="7"/>
  </r>
  <r>
    <n v="84873"/>
    <s v="SO-45381"/>
    <x v="1120"/>
    <x v="1"/>
    <s v="ARV"/>
    <s v="Adult"/>
    <s v="SCMS from RDC"/>
    <x v="1"/>
    <s v="N/A - From RDC"/>
    <s v="Truck"/>
    <m/>
    <d v="2014-01-17T00:00:00"/>
    <d v="2014-01-17T00:00:00"/>
    <d v="2014-01-27T00:00:00"/>
    <x v="46"/>
    <s v="Efavirenz/Lamivudine/Tenofovir Disoproxil Fumarate"/>
    <s v="Generic"/>
    <s v="600/300/300mg"/>
    <s v="Tablet - FDC"/>
    <n v="30"/>
    <n v="64500"/>
    <n v="719175"/>
    <n v="11.15"/>
    <n v="0.37"/>
    <n v="7248"/>
    <n v="11571.94"/>
    <n v="1"/>
    <x v="7"/>
  </r>
  <r>
    <n v="84874"/>
    <s v="SO-45995"/>
    <x v="858"/>
    <x v="0"/>
    <s v="ARV"/>
    <s v="Pediatric"/>
    <s v="SCMS from RDC"/>
    <x v="1"/>
    <s v="N/A - From RDC"/>
    <s v="Truck"/>
    <m/>
    <d v="2013-12-31T00:00:00"/>
    <d v="2014-02-25T00:00:00"/>
    <d v="2014-03-13T00:00:00"/>
    <x v="74"/>
    <s v="Lamivudine/Nevirapine/Stavudine"/>
    <s v="Generic"/>
    <s v="30/50/6mg"/>
    <s v="Chewable/dispersible tablet - FDC"/>
    <n v="60"/>
    <n v="9301"/>
    <n v="21392.3"/>
    <n v="2.2999999999999998"/>
    <n v="0.04"/>
    <m/>
    <m/>
    <n v="0"/>
    <x v="7"/>
  </r>
  <r>
    <n v="84875"/>
    <s v="SO-45995"/>
    <x v="858"/>
    <x v="0"/>
    <s v="ARV"/>
    <s v="Pediatric"/>
    <s v="SCMS from RDC"/>
    <x v="1"/>
    <s v="N/A - From RDC"/>
    <s v="Truck"/>
    <m/>
    <d v="2013-12-31T00:00:00"/>
    <d v="2014-02-25T00:00:00"/>
    <d v="2014-03-13T00:00:00"/>
    <x v="81"/>
    <s v="Lamivudine/Nevirapine/Stavudine"/>
    <s v="Generic"/>
    <s v="60/100/12mg"/>
    <s v="Chewable/dispersible tablet - FDC"/>
    <n v="60"/>
    <n v="7894"/>
    <n v="33944.199999999997"/>
    <n v="4.3"/>
    <n v="7.0000000000000007E-2"/>
    <m/>
    <m/>
    <n v="0"/>
    <x v="7"/>
  </r>
  <r>
    <n v="84877"/>
    <s v="SO-46020"/>
    <x v="1051"/>
    <x v="6"/>
    <s v="ARV"/>
    <s v="Adult"/>
    <s v="SCMS from RDC"/>
    <x v="1"/>
    <s v="N/A - From RDC"/>
    <s v="Air"/>
    <m/>
    <d v="2013-11-15T00:00:00"/>
    <d v="2013-11-22T00:00:00"/>
    <d v="2014-01-21T00:00:00"/>
    <x v="47"/>
    <s v="Lopinavir/Ritonavir"/>
    <s v="Generic"/>
    <s v="200/50mg"/>
    <s v="Tablet"/>
    <n v="120"/>
    <n v="27"/>
    <n v="567"/>
    <n v="21"/>
    <n v="0.18"/>
    <m/>
    <m/>
    <n v="0"/>
    <x v="7"/>
  </r>
  <r>
    <n v="84889"/>
    <s v="SO-45994"/>
    <x v="1121"/>
    <x v="0"/>
    <s v="ARV"/>
    <s v="Pediatric"/>
    <s v="SCMS from RDC"/>
    <x v="1"/>
    <s v="N/A - From RDC"/>
    <s v="Truck"/>
    <m/>
    <d v="2014-05-29T00:00:00"/>
    <d v="2014-05-07T00:00:00"/>
    <d v="2014-06-13T00:00:00"/>
    <x v="79"/>
    <s v="Abacavir/Lamivudine"/>
    <s v="Generic"/>
    <s v="60/30mg"/>
    <s v="Chewable/dispersible tablet - FDC"/>
    <n v="60"/>
    <n v="25000"/>
    <n v="157500"/>
    <n v="6.3"/>
    <n v="0.1"/>
    <n v="2266"/>
    <n v="2352.52"/>
    <n v="1"/>
    <x v="7"/>
  </r>
  <r>
    <n v="84890"/>
    <s v="SO-46671"/>
    <x v="1122"/>
    <x v="0"/>
    <s v="ARV"/>
    <s v="Adult"/>
    <s v="SCMS from RDC"/>
    <x v="1"/>
    <s v="N/A - From RDC"/>
    <s v="Truck"/>
    <m/>
    <d v="2014-02-14T00:00:00"/>
    <d v="2014-02-21T00:00:00"/>
    <d v="2014-03-07T00:00:00"/>
    <x v="9"/>
    <s v="Abacavir"/>
    <s v="Generic"/>
    <s v="300mg"/>
    <s v="Tablet"/>
    <n v="60"/>
    <n v="16357"/>
    <n v="185815.52"/>
    <n v="11.36"/>
    <n v="0.19"/>
    <n v="1635"/>
    <n v="6007.2"/>
    <n v="0"/>
    <x v="7"/>
  </r>
  <r>
    <n v="84891"/>
    <s v="SO-45531"/>
    <x v="1123"/>
    <x v="3"/>
    <s v="ARV"/>
    <s v="Adult"/>
    <s v="SCMS from RDC"/>
    <x v="1"/>
    <s v="N/A - From RDC"/>
    <s v="Truck"/>
    <m/>
    <d v="2014-01-31T00:00:00"/>
    <d v="2014-03-19T00:00:00"/>
    <d v="2014-03-20T00:00:00"/>
    <x v="39"/>
    <s v="Lamivudine/Tenofovir Disoproxil Fumarate"/>
    <s v="Generic"/>
    <s v="300/300mg"/>
    <s v="Tablet - FDC"/>
    <n v="30"/>
    <n v="52800"/>
    <n v="248160"/>
    <n v="4.7"/>
    <n v="0.16"/>
    <n v="5412"/>
    <n v="6951.84"/>
    <n v="0"/>
    <x v="7"/>
  </r>
  <r>
    <n v="84905"/>
    <s v="SO-47100"/>
    <x v="864"/>
    <x v="5"/>
    <s v="ARV"/>
    <s v="Adult"/>
    <s v="SCMS from RDC"/>
    <x v="1"/>
    <s v="N/A - From RDC"/>
    <s v="Air"/>
    <m/>
    <d v="2014-03-31T00:00:00"/>
    <d v="2014-03-21T00:00:00"/>
    <d v="2014-03-26T00:00:00"/>
    <x v="1"/>
    <s v="Lamivudine/Zidovudine"/>
    <s v="Generic"/>
    <s v="150/300mg"/>
    <s v="Tablet - FDC"/>
    <n v="60"/>
    <n v="1702"/>
    <n v="11454.46"/>
    <n v="6.73"/>
    <n v="0.11"/>
    <m/>
    <m/>
    <n v="1"/>
    <x v="7"/>
  </r>
  <r>
    <n v="84909"/>
    <s v="SO-46870"/>
    <x v="748"/>
    <x v="3"/>
    <s v="ARV"/>
    <s v="Adult"/>
    <s v="SCMS from RDC"/>
    <x v="1"/>
    <s v="N/A - From RDC"/>
    <s v="Truck"/>
    <m/>
    <d v="2014-04-20T00:00:00"/>
    <d v="2014-04-18T00:00:00"/>
    <d v="2014-04-28T00:00:00"/>
    <x v="1"/>
    <s v="Lamivudine/Zidovudine"/>
    <s v="Generic"/>
    <s v="150/300mg"/>
    <s v="Tablet - FDC"/>
    <n v="60"/>
    <n v="3757"/>
    <n v="25284.61"/>
    <n v="6.73"/>
    <n v="0.11"/>
    <m/>
    <m/>
    <n v="1"/>
    <x v="7"/>
  </r>
  <r>
    <n v="84910"/>
    <s v="SO-46720"/>
    <x v="1124"/>
    <x v="0"/>
    <s v="ARV"/>
    <s v="Adult"/>
    <s v="SCMS from RDC"/>
    <x v="1"/>
    <s v="N/A - From RDC"/>
    <s v="Truck"/>
    <m/>
    <d v="2014-05-15T00:00:00"/>
    <d v="2014-05-07T00:00:00"/>
    <d v="2014-06-13T00:00:00"/>
    <x v="47"/>
    <s v="Lopinavir/Ritonavir"/>
    <s v="Generic"/>
    <s v="200/50mg"/>
    <s v="Tablet"/>
    <n v="120"/>
    <n v="33086"/>
    <n v="664036.02"/>
    <n v="20.07"/>
    <n v="0.17"/>
    <n v="5065"/>
    <n v="2352.52"/>
    <n v="1"/>
    <x v="7"/>
  </r>
  <r>
    <n v="84926"/>
    <s v="SO-46560"/>
    <x v="1125"/>
    <x v="1"/>
    <s v="ARV"/>
    <s v="Adult"/>
    <s v="SCMS from RDC"/>
    <x v="1"/>
    <s v="N/A - From RDC"/>
    <s v="Truck"/>
    <m/>
    <d v="2014-06-16T00:00:00"/>
    <d v="2014-05-17T00:00:00"/>
    <d v="2014-06-23T00:00:00"/>
    <x v="46"/>
    <s v="Efavirenz/Lamivudine/Tenofovir Disoproxil Fumarate"/>
    <s v="Generic"/>
    <s v="600/300/300mg"/>
    <s v="Tablet - FDC"/>
    <n v="30"/>
    <n v="61123"/>
    <n v="658905.93999999994"/>
    <n v="10.78"/>
    <n v="0.36"/>
    <n v="8281"/>
    <n v="14311"/>
    <n v="1"/>
    <x v="7"/>
  </r>
  <r>
    <n v="84929"/>
    <s v="SO-45391"/>
    <x v="1126"/>
    <x v="1"/>
    <s v="ARV"/>
    <s v="Adult"/>
    <s v="SCMS from RDC"/>
    <x v="1"/>
    <s v="N/A - From RDC"/>
    <s v="Truck"/>
    <m/>
    <d v="2014-05-30T00:00:00"/>
    <d v="2014-07-03T00:00:00"/>
    <d v="2014-07-09T00:00:00"/>
    <x v="0"/>
    <s v="Nevirapine"/>
    <s v="Generic"/>
    <s v="200mg"/>
    <s v="Tablet"/>
    <n v="60"/>
    <n v="30666"/>
    <n v="67771.86"/>
    <n v="2.21"/>
    <n v="0.04"/>
    <n v="1878"/>
    <n v="11085.83"/>
    <n v="0"/>
    <x v="7"/>
  </r>
  <r>
    <n v="84935"/>
    <s v="SO-46023"/>
    <x v="965"/>
    <x v="6"/>
    <s v="ARV"/>
    <s v="Adult"/>
    <s v="SCMS from RDC"/>
    <x v="1"/>
    <s v="N/A - From RDC"/>
    <s v="Air"/>
    <m/>
    <d v="2014-06-16T00:00:00"/>
    <d v="2014-06-04T00:00:00"/>
    <d v="2014-07-09T00:00:00"/>
    <x v="8"/>
    <s v="Efavirenz"/>
    <s v="Generic"/>
    <s v="600mg"/>
    <s v="Tablet"/>
    <n v="30"/>
    <n v="573"/>
    <n v="1839.33"/>
    <n v="3.21"/>
    <n v="0.11"/>
    <m/>
    <m/>
    <n v="1"/>
    <x v="7"/>
  </r>
  <r>
    <n v="84940"/>
    <s v="SO-46721"/>
    <x v="1127"/>
    <x v="0"/>
    <s v="ARV"/>
    <s v="Adult"/>
    <s v="SCMS from RDC"/>
    <x v="1"/>
    <s v="N/A - From RDC"/>
    <s v="Truck"/>
    <m/>
    <d v="2014-06-30T00:00:00"/>
    <d v="2014-06-24T00:00:00"/>
    <d v="2014-07-01T00:00:00"/>
    <x v="14"/>
    <s v="Lopinavir/Ritonavir"/>
    <s v="Aluvia"/>
    <s v="200/50mg"/>
    <s v="Tablet"/>
    <n v="120"/>
    <n v="14758"/>
    <n v="278926.2"/>
    <n v="18.899999999999999"/>
    <n v="0.16"/>
    <n v="3030"/>
    <n v="2994.62"/>
    <n v="1"/>
    <x v="7"/>
  </r>
  <r>
    <n v="84942"/>
    <s v="SO-46701"/>
    <x v="754"/>
    <x v="0"/>
    <s v="ARV"/>
    <s v="Pediatric"/>
    <s v="SCMS from RDC"/>
    <x v="1"/>
    <s v="N/A - From RDC"/>
    <s v="Air"/>
    <m/>
    <d v="2014-07-31T00:00:00"/>
    <d v="2014-09-25T00:00:00"/>
    <d v="2014-10-06T00:00:00"/>
    <x v="54"/>
    <s v="Nevirapine"/>
    <s v="Generic"/>
    <s v="10mg/ml"/>
    <s v="Oral suspension"/>
    <n v="100"/>
    <n v="28464"/>
    <n v="37003.199999999997"/>
    <n v="1.3"/>
    <n v="0.01"/>
    <m/>
    <m/>
    <n v="0"/>
    <x v="7"/>
  </r>
  <r>
    <n v="84956"/>
    <s v="SO-49120"/>
    <x v="756"/>
    <x v="5"/>
    <s v="ARV"/>
    <s v="Pediatric"/>
    <s v="SCMS from RDC"/>
    <x v="1"/>
    <s v="N/A - From RDC"/>
    <s v="Air"/>
    <m/>
    <d v="2014-09-01T00:00:00"/>
    <d v="2014-09-01T00:00:00"/>
    <d v="2014-09-02T00:00:00"/>
    <x v="79"/>
    <s v="Abacavir/Lamivudine"/>
    <s v="Generic"/>
    <s v="60/30mg"/>
    <s v="Chewable/dispersible tablet - FDC"/>
    <n v="60"/>
    <n v="3274"/>
    <n v="18432.62"/>
    <n v="5.63"/>
    <n v="0.09"/>
    <m/>
    <m/>
    <n v="1"/>
    <x v="7"/>
  </r>
  <r>
    <n v="84966"/>
    <s v="SO-48760"/>
    <x v="1128"/>
    <x v="1"/>
    <s v="ARV"/>
    <s v="Pediatric"/>
    <s v="SCMS from RDC"/>
    <x v="1"/>
    <s v="N/A - From RDC"/>
    <s v="Air"/>
    <m/>
    <d v="2014-07-30T00:00:00"/>
    <d v="2014-08-01T00:00:00"/>
    <d v="2014-08-22T00:00:00"/>
    <x v="57"/>
    <s v="Lamivudine/Nevirapine/Zidovudine"/>
    <s v="Generic"/>
    <s v="30/50/60mg"/>
    <s v="Chewable/dispersible tablet - FDC"/>
    <n v="60"/>
    <n v="2274"/>
    <n v="8527.5"/>
    <n v="3.75"/>
    <n v="0.06"/>
    <n v="100"/>
    <n v="1511.4"/>
    <n v="0"/>
    <x v="7"/>
  </r>
  <r>
    <n v="84968"/>
    <s v="SO-46674"/>
    <x v="1129"/>
    <x v="0"/>
    <s v="ARV"/>
    <s v="Pediatric"/>
    <s v="SCMS from RDC"/>
    <x v="1"/>
    <s v="N/A - From RDC"/>
    <s v="Truck"/>
    <m/>
    <d v="2014-08-29T00:00:00"/>
    <d v="2014-09-29T00:00:00"/>
    <d v="2014-10-06T00:00:00"/>
    <x v="57"/>
    <s v="Lamivudine/Nevirapine/Zidovudine"/>
    <s v="Generic"/>
    <s v="30/50/60mg"/>
    <s v="Chewable/dispersible tablet - FDC"/>
    <n v="60"/>
    <n v="20000"/>
    <n v="74600"/>
    <n v="3.73"/>
    <n v="0.06"/>
    <n v="3431"/>
    <n v="19379.939999999999"/>
    <n v="0"/>
    <x v="7"/>
  </r>
  <r>
    <n v="84972"/>
    <s v="SO-45350"/>
    <x v="1130"/>
    <x v="1"/>
    <s v="ARV"/>
    <s v="Pediatric"/>
    <s v="SCMS from RDC"/>
    <x v="1"/>
    <s v="N/A - From RDC"/>
    <s v="Air"/>
    <m/>
    <d v="2014-09-15T00:00:00"/>
    <d v="2014-09-19T00:00:00"/>
    <d v="2014-09-19T00:00:00"/>
    <x v="80"/>
    <s v="Zidovudine"/>
    <s v="Generic"/>
    <s v="10mg/ml"/>
    <s v="Oral solution"/>
    <n v="240"/>
    <n v="2125"/>
    <n v="4462.5"/>
    <n v="2.1"/>
    <n v="0.01"/>
    <n v="796"/>
    <n v="5603.78"/>
    <n v="0"/>
    <x v="7"/>
  </r>
  <r>
    <n v="84978"/>
    <s v="SO-47840"/>
    <x v="1131"/>
    <x v="3"/>
    <s v="ARV"/>
    <s v="Pediatric"/>
    <s v="SCMS from RDC"/>
    <x v="1"/>
    <s v="N/A - From RDC"/>
    <s v="Truck"/>
    <m/>
    <d v="2014-10-31T00:00:00"/>
    <d v="2014-09-25T00:00:00"/>
    <d v="2014-09-26T00:00:00"/>
    <x v="42"/>
    <s v="Lamivudine/Zidovudine"/>
    <s v="Generic"/>
    <s v="30/60mg"/>
    <s v="Chewable/dispersible tablet - FDC"/>
    <n v="60"/>
    <n v="4000"/>
    <n v="8600"/>
    <n v="2.15"/>
    <n v="0.04"/>
    <n v="474"/>
    <n v="1332.7"/>
    <n v="1"/>
    <x v="7"/>
  </r>
  <r>
    <n v="84984"/>
    <s v="SO-48630"/>
    <x v="761"/>
    <x v="6"/>
    <s v="ARV"/>
    <s v="Adult"/>
    <s v="SCMS from RDC"/>
    <x v="1"/>
    <s v="N/A - From RDC"/>
    <s v="Air"/>
    <m/>
    <d v="2014-10-31T00:00:00"/>
    <d v="2014-10-15T00:00:00"/>
    <d v="2014-10-28T00:00:00"/>
    <x v="1"/>
    <s v="Lamivudine/Zidovudine"/>
    <s v="Generic"/>
    <s v="150/300mg"/>
    <s v="Tablet - FDC"/>
    <n v="60"/>
    <n v="2532"/>
    <n v="16711.2"/>
    <n v="6.6"/>
    <n v="0.11"/>
    <m/>
    <m/>
    <n v="1"/>
    <x v="7"/>
  </r>
  <r>
    <n v="84995"/>
    <s v="SO-47656"/>
    <x v="1132"/>
    <x v="0"/>
    <s v="ARV"/>
    <s v="Adult"/>
    <s v="SCMS from RDC"/>
    <x v="1"/>
    <s v="N/A - From RDC"/>
    <s v="Truck"/>
    <m/>
    <d v="2015-01-30T00:00:00"/>
    <d v="2015-01-23T00:00:00"/>
    <d v="2015-01-28T00:00:00"/>
    <x v="45"/>
    <s v="Efavirenz/Emtricitabine/Tenofovir Disoproxil Fumarate"/>
    <s v="Generic"/>
    <s v="600/200/300mg"/>
    <s v="Tablet - FDC"/>
    <n v="30"/>
    <n v="12783"/>
    <n v="151989.87"/>
    <n v="11.89"/>
    <n v="0.4"/>
    <n v="1371"/>
    <n v="7585.82"/>
    <n v="1"/>
    <x v="8"/>
  </r>
  <r>
    <n v="85002"/>
    <s v="SO-48992"/>
    <x v="1133"/>
    <x v="3"/>
    <s v="ARV"/>
    <s v="Adult"/>
    <s v="SCMS from RDC"/>
    <x v="1"/>
    <s v="N/A - From RDC"/>
    <s v="Truck"/>
    <m/>
    <d v="2015-01-30T00:00:00"/>
    <d v="2015-01-05T00:00:00"/>
    <d v="2015-01-06T00:00:00"/>
    <x v="46"/>
    <s v="Efavirenz/Lamivudine/Tenofovir Disoproxil Fumarate"/>
    <s v="Generic"/>
    <s v="600/300/300mg"/>
    <s v="Tablet - FDC"/>
    <n v="30"/>
    <n v="45000"/>
    <n v="485100"/>
    <n v="10.78"/>
    <n v="0.36"/>
    <n v="5083"/>
    <n v="6948.04"/>
    <n v="1"/>
    <x v="8"/>
  </r>
  <r>
    <n v="85003"/>
    <s v="SO-48993"/>
    <x v="873"/>
    <x v="3"/>
    <s v="ARV"/>
    <s v="Adult"/>
    <s v="SCMS from RDC"/>
    <x v="1"/>
    <s v="N/A - From RDC"/>
    <s v="Truck"/>
    <m/>
    <d v="2015-02-16T00:00:00"/>
    <d v="2015-01-24T00:00:00"/>
    <d v="2015-02-03T00:00:00"/>
    <x v="14"/>
    <s v="Lopinavir/Ritonavir"/>
    <s v="Aluvia"/>
    <s v="200/50mg"/>
    <s v="Tablet"/>
    <n v="120"/>
    <n v="3663"/>
    <n v="69230.7"/>
    <n v="18.899999999999999"/>
    <n v="0.16"/>
    <m/>
    <m/>
    <n v="1"/>
    <x v="8"/>
  </r>
  <r>
    <n v="85010"/>
    <s v="SO-50060"/>
    <x v="1134"/>
    <x v="3"/>
    <s v="ARV"/>
    <s v="Pediatric"/>
    <s v="SCMS from RDC"/>
    <x v="1"/>
    <s v="N/A - From RDC"/>
    <s v="Truck"/>
    <m/>
    <d v="2015-02-16T00:00:00"/>
    <d v="2015-01-30T00:00:00"/>
    <d v="2015-02-02T00:00:00"/>
    <x v="42"/>
    <s v="Lamivudine/Zidovudine"/>
    <s v="Generic"/>
    <s v="30/60mg"/>
    <s v="Chewable/dispersible tablet - FDC"/>
    <n v="60"/>
    <n v="6000"/>
    <n v="11940"/>
    <n v="1.99"/>
    <n v="0.03"/>
    <n v="404"/>
    <n v="2055.25"/>
    <n v="1"/>
    <x v="8"/>
  </r>
  <r>
    <n v="85011"/>
    <s v="SO-48920"/>
    <x v="1135"/>
    <x v="0"/>
    <s v="ARV"/>
    <s v="Pediatric"/>
    <s v="SCMS from RDC"/>
    <x v="1"/>
    <s v="N/A - From RDC"/>
    <s v="Truck"/>
    <m/>
    <d v="2015-02-16T00:00:00"/>
    <d v="2015-03-12T00:00:00"/>
    <d v="2015-03-16T00:00:00"/>
    <x v="42"/>
    <s v="Lamivudine/Zidovudine"/>
    <s v="Generic"/>
    <s v="30/60mg"/>
    <s v="Chewable/dispersible tablet - FDC"/>
    <n v="60"/>
    <n v="19389"/>
    <n v="38778"/>
    <n v="2"/>
    <n v="0.03"/>
    <n v="1293"/>
    <n v="4916"/>
    <n v="0"/>
    <x v="8"/>
  </r>
  <r>
    <n v="85013"/>
    <s v="SO-50620"/>
    <x v="1136"/>
    <x v="3"/>
    <s v="ARV"/>
    <s v="Adult"/>
    <s v="SCMS from RDC"/>
    <x v="1"/>
    <s v="N/A - From RDC"/>
    <s v="Air"/>
    <m/>
    <d v="2015-02-03T00:00:00"/>
    <d v="2015-02-10T00:00:00"/>
    <d v="2015-02-16T00:00:00"/>
    <x v="14"/>
    <s v="Lopinavir/Ritonavir"/>
    <s v="Aluvia"/>
    <s v="200/50mg"/>
    <s v="Tablet"/>
    <n v="120"/>
    <n v="11607"/>
    <n v="219372.3"/>
    <n v="18.899999999999999"/>
    <n v="0.16"/>
    <n v="2653"/>
    <n v="14056.46"/>
    <n v="0"/>
    <x v="8"/>
  </r>
  <r>
    <n v="85018"/>
    <s v="SO-50270"/>
    <x v="769"/>
    <x v="6"/>
    <s v="ARV"/>
    <s v="Adult"/>
    <s v="SCMS from RDC"/>
    <x v="1"/>
    <s v="N/A - From RDC"/>
    <s v="Air"/>
    <m/>
    <d v="2015-02-27T00:00:00"/>
    <d v="2015-02-28T00:00:00"/>
    <d v="2015-03-05T00:00:00"/>
    <x v="46"/>
    <s v="Efavirenz/Lamivudine/Tenofovir Disoproxil Fumarate"/>
    <s v="Generic"/>
    <s v="600/300/300mg"/>
    <s v="Tablet - FDC"/>
    <n v="30"/>
    <n v="9360"/>
    <n v="89856"/>
    <n v="9.6"/>
    <n v="0.32"/>
    <m/>
    <m/>
    <n v="0"/>
    <x v="8"/>
  </r>
  <r>
    <n v="85019"/>
    <s v="SO-50740"/>
    <x v="1137"/>
    <x v="1"/>
    <s v="ARV"/>
    <s v="Pediatric"/>
    <s v="SCMS from RDC"/>
    <x v="1"/>
    <s v="N/A - From RDC"/>
    <s v="Air"/>
    <m/>
    <d v="2015-03-31T00:00:00"/>
    <d v="2015-03-20T00:00:00"/>
    <d v="2015-03-23T00:00:00"/>
    <x v="42"/>
    <s v="Lamivudine/Zidovudine"/>
    <s v="Generic"/>
    <s v="30/60mg"/>
    <s v="Chewable/dispersible tablet - FDC"/>
    <n v="60"/>
    <n v="1700"/>
    <n v="3315"/>
    <n v="1.95"/>
    <n v="0.03"/>
    <n v="268"/>
    <n v="1061.3699999999999"/>
    <n v="1"/>
    <x v="8"/>
  </r>
  <r>
    <n v="85026"/>
    <s v="SO-48995"/>
    <x v="1138"/>
    <x v="3"/>
    <s v="ARV"/>
    <s v="Adult"/>
    <s v="SCMS from RDC"/>
    <x v="1"/>
    <s v="N/A - From RDC"/>
    <s v="Truck"/>
    <m/>
    <d v="2015-04-30T00:00:00"/>
    <d v="2015-04-22T00:00:00"/>
    <d v="2015-04-24T00:00:00"/>
    <x v="39"/>
    <s v="Lamivudine/Tenofovir Disoproxil Fumarate"/>
    <s v="Generic"/>
    <s v="300/300mg"/>
    <s v="Tablet - FDC"/>
    <n v="30"/>
    <n v="13549"/>
    <n v="62189.91"/>
    <n v="4.59"/>
    <n v="0.15"/>
    <n v="1354"/>
    <m/>
    <n v="1"/>
    <x v="8"/>
  </r>
  <r>
    <n v="85038"/>
    <s v="SO-50053"/>
    <x v="1139"/>
    <x v="3"/>
    <s v="ARV"/>
    <s v="Pediatric"/>
    <s v="SCMS from RDC"/>
    <x v="1"/>
    <s v="N/A - From RDC"/>
    <s v="Truck"/>
    <m/>
    <d v="2015-07-15T00:00:00"/>
    <d v="2015-07-09T00:00:00"/>
    <d v="2015-07-13T00:00:00"/>
    <x v="79"/>
    <s v="Abacavir/Lamivudine"/>
    <s v="Generic"/>
    <s v="60/30mg"/>
    <s v="Chewable/dispersible tablet - FDC"/>
    <n v="60"/>
    <n v="14476"/>
    <n v="57180.2"/>
    <n v="3.95"/>
    <n v="7.0000000000000007E-2"/>
    <n v="839"/>
    <n v="8402.24"/>
    <n v="1"/>
    <x v="8"/>
  </r>
  <r>
    <n v="85043"/>
    <s v="SO-50052"/>
    <x v="774"/>
    <x v="3"/>
    <s v="ARV"/>
    <s v="Pediatric"/>
    <s v="SCMS from RDC"/>
    <x v="1"/>
    <s v="N/A - From RDC"/>
    <s v="Truck"/>
    <m/>
    <d v="2015-07-31T00:00:00"/>
    <d v="2015-07-23T00:00:00"/>
    <d v="2015-07-23T00:00:00"/>
    <x v="42"/>
    <s v="Lamivudine/Zidovudine"/>
    <s v="Generic"/>
    <s v="30/60mg"/>
    <s v="Chewable/dispersible tablet - FDC"/>
    <n v="60"/>
    <n v="5126"/>
    <n v="9841.92"/>
    <n v="1.92"/>
    <n v="0.03"/>
    <m/>
    <m/>
    <n v="1"/>
    <x v="8"/>
  </r>
  <r>
    <n v="85047"/>
    <s v="SO-50055"/>
    <x v="776"/>
    <x v="3"/>
    <s v="ARV"/>
    <s v="Adult"/>
    <s v="SCMS from RDC"/>
    <x v="1"/>
    <s v="N/A - From RDC"/>
    <s v="Truck"/>
    <m/>
    <d v="2015-08-14T00:00:00"/>
    <d v="2015-08-08T00:00:00"/>
    <d v="2015-08-10T00:00:00"/>
    <x v="14"/>
    <s v="Lopinavir/Ritonavir"/>
    <s v="Aluvia"/>
    <s v="200/50mg"/>
    <s v="Tablet"/>
    <n v="120"/>
    <n v="8452"/>
    <n v="157545.28"/>
    <n v="18.64"/>
    <n v="0.16"/>
    <m/>
    <m/>
    <n v="1"/>
    <x v="8"/>
  </r>
  <r>
    <n v="85065"/>
    <s v="SO-33010"/>
    <x v="661"/>
    <x v="3"/>
    <s v="ARV"/>
    <s v="Adult"/>
    <s v="SCMS from RDC"/>
    <x v="1"/>
    <s v="N/A - From RDC"/>
    <s v="Air"/>
    <m/>
    <d v="2009-10-08T00:00:00"/>
    <d v="2009-10-08T00:00:00"/>
    <d v="2009-10-08T00:00:00"/>
    <x v="0"/>
    <s v="Nevirapine"/>
    <s v="Generic"/>
    <s v="200mg"/>
    <s v="Tablet"/>
    <n v="60"/>
    <n v="100"/>
    <n v="290"/>
    <n v="2.9"/>
    <n v="0.05"/>
    <m/>
    <m/>
    <n v="1"/>
    <x v="3"/>
  </r>
  <r>
    <n v="85076"/>
    <s v="SO-34010"/>
    <x v="1140"/>
    <x v="3"/>
    <s v="ARV"/>
    <s v="Adult"/>
    <s v="SCMS from RDC"/>
    <x v="1"/>
    <s v="N/A - From RDC"/>
    <s v="Air"/>
    <m/>
    <d v="2009-11-30T00:00:00"/>
    <d v="2009-12-02T00:00:00"/>
    <d v="2009-12-02T00:00:00"/>
    <x v="8"/>
    <s v="Efavirenz"/>
    <s v="Generic"/>
    <s v="600mg"/>
    <s v="Tablet"/>
    <n v="30"/>
    <n v="5000"/>
    <n v="28900"/>
    <n v="5.78"/>
    <n v="0.19"/>
    <n v="907"/>
    <n v="9044.65"/>
    <n v="0"/>
    <x v="3"/>
  </r>
  <r>
    <n v="85080"/>
    <s v="SO-34960"/>
    <x v="1141"/>
    <x v="3"/>
    <s v="ARV"/>
    <s v="Adult"/>
    <s v="SCMS from RDC"/>
    <x v="1"/>
    <s v="N/A - From RDC"/>
    <s v="Air"/>
    <m/>
    <d v="2010-02-15T00:00:00"/>
    <d v="2010-01-15T00:00:00"/>
    <d v="2010-01-15T00:00:00"/>
    <x v="39"/>
    <s v="Lamivudine/Tenofovir Disoproxil Fumarate"/>
    <s v="Generic"/>
    <s v="300/300mg"/>
    <s v="Tablet - FDC"/>
    <n v="30"/>
    <n v="2000"/>
    <n v="20000"/>
    <n v="10"/>
    <n v="0.33"/>
    <n v="168"/>
    <n v="2990.92"/>
    <n v="1"/>
    <x v="4"/>
  </r>
  <r>
    <n v="85085"/>
    <s v="SO-34850"/>
    <x v="996"/>
    <x v="3"/>
    <s v="ARV"/>
    <s v="Adult"/>
    <s v="SCMS from RDC"/>
    <x v="1"/>
    <s v="N/A - From RDC"/>
    <s v="Truck"/>
    <m/>
    <d v="2010-02-11T00:00:00"/>
    <d v="2010-01-29T00:00:00"/>
    <d v="2010-01-29T00:00:00"/>
    <x v="0"/>
    <s v="Nevirapine"/>
    <s v="Generic"/>
    <s v="200mg"/>
    <s v="Tablet"/>
    <n v="60"/>
    <n v="200"/>
    <n v="546"/>
    <n v="2.73"/>
    <n v="0.05"/>
    <m/>
    <m/>
    <n v="1"/>
    <x v="4"/>
  </r>
  <r>
    <n v="85086"/>
    <s v="SO-35610"/>
    <x v="1075"/>
    <x v="3"/>
    <s v="ARV"/>
    <s v="Adult"/>
    <s v="SCMS from RDC"/>
    <x v="1"/>
    <s v="N/A - From RDC"/>
    <s v="Truck"/>
    <m/>
    <d v="2010-02-25T00:00:00"/>
    <d v="2010-02-18T00:00:00"/>
    <d v="2010-02-18T00:00:00"/>
    <x v="11"/>
    <s v="Lamivudine/Nevirapine/Zidovudine"/>
    <s v="Generic"/>
    <s v="150/300/200mg"/>
    <s v="Tablet - FDC"/>
    <n v="60"/>
    <n v="21658"/>
    <n v="243002.76"/>
    <n v="11.22"/>
    <n v="0.19"/>
    <m/>
    <m/>
    <n v="1"/>
    <x v="4"/>
  </r>
  <r>
    <n v="85087"/>
    <s v="SO-35610"/>
    <x v="1075"/>
    <x v="3"/>
    <s v="ARV"/>
    <s v="Adult"/>
    <s v="SCMS from RDC"/>
    <x v="1"/>
    <s v="N/A - From RDC"/>
    <s v="Truck"/>
    <m/>
    <d v="2010-02-25T00:00:00"/>
    <d v="2010-02-18T00:00:00"/>
    <d v="2010-02-18T00:00:00"/>
    <x v="11"/>
    <s v="Lamivudine/Nevirapine/Zidovudine"/>
    <s v="Generic"/>
    <s v="150/300/200mg"/>
    <s v="Tablet - FDC"/>
    <n v="60"/>
    <n v="19942"/>
    <n v="223749.24"/>
    <n v="11.22"/>
    <n v="0.19"/>
    <m/>
    <m/>
    <n v="1"/>
    <x v="4"/>
  </r>
  <r>
    <n v="85094"/>
    <s v="SO-35970"/>
    <x v="665"/>
    <x v="3"/>
    <s v="ARV"/>
    <s v="Adult"/>
    <s v="SCMS from RDC"/>
    <x v="1"/>
    <s v="N/A - From RDC"/>
    <s v="Air"/>
    <m/>
    <d v="2010-03-19T00:00:00"/>
    <d v="2010-03-17T00:00:00"/>
    <d v="2010-03-17T00:00:00"/>
    <x v="8"/>
    <s v="Efavirenz"/>
    <s v="Generic"/>
    <s v="600mg"/>
    <s v="Tablet"/>
    <n v="30"/>
    <n v="26697"/>
    <n v="136955.60999999999"/>
    <n v="5.13"/>
    <n v="0.17"/>
    <m/>
    <m/>
    <n v="1"/>
    <x v="4"/>
  </r>
  <r>
    <n v="85101"/>
    <s v="SO-34990"/>
    <x v="1142"/>
    <x v="3"/>
    <s v="ARV"/>
    <s v="Adult"/>
    <s v="SCMS from RDC"/>
    <x v="1"/>
    <s v="N/A - From RDC"/>
    <s v="Truck"/>
    <m/>
    <d v="2010-03-26T00:00:00"/>
    <d v="2010-03-25T00:00:00"/>
    <d v="2010-03-25T00:00:00"/>
    <x v="39"/>
    <s v="Lamivudine/Tenofovir Disoproxil Fumarate"/>
    <s v="Generic"/>
    <s v="300/300mg"/>
    <s v="Tablet - FDC"/>
    <n v="30"/>
    <n v="3680"/>
    <n v="36800"/>
    <n v="10"/>
    <n v="0.33"/>
    <n v="328"/>
    <n v="3522.52"/>
    <n v="1"/>
    <x v="4"/>
  </r>
  <r>
    <n v="85102"/>
    <s v="SO-36160"/>
    <x v="667"/>
    <x v="3"/>
    <s v="ARV"/>
    <s v="Adult"/>
    <s v="SCMS from RDC"/>
    <x v="1"/>
    <s v="N/A - From RDC"/>
    <s v="Air"/>
    <m/>
    <d v="2010-06-23T00:00:00"/>
    <d v="2010-04-08T00:00:00"/>
    <d v="2010-04-08T00:00:00"/>
    <x v="31"/>
    <s v="Lamivudine/Stavudine"/>
    <s v="Generic"/>
    <s v="150/30mg"/>
    <s v="Tablet - FDC"/>
    <n v="60"/>
    <n v="70"/>
    <n v="238"/>
    <n v="3.4"/>
    <n v="0.06"/>
    <m/>
    <m/>
    <n v="1"/>
    <x v="4"/>
  </r>
  <r>
    <n v="85103"/>
    <s v="SO-36110"/>
    <x v="1143"/>
    <x v="3"/>
    <s v="ARV"/>
    <s v="Adult"/>
    <s v="SCMS from RDC"/>
    <x v="1"/>
    <s v="N/A - From RDC"/>
    <s v="Air"/>
    <m/>
    <d v="2010-06-02T00:00:00"/>
    <d v="2010-04-22T00:00:00"/>
    <d v="2010-04-22T00:00:00"/>
    <x v="1"/>
    <s v="Lamivudine/Zidovudine"/>
    <s v="Generic"/>
    <s v="150/300mg"/>
    <s v="Tablet - FDC"/>
    <n v="60"/>
    <n v="1600"/>
    <n v="14016"/>
    <n v="8.76"/>
    <n v="0.15"/>
    <n v="13"/>
    <n v="1758.6"/>
    <n v="1"/>
    <x v="4"/>
  </r>
  <r>
    <n v="85110"/>
    <s v="SO-34981"/>
    <x v="1144"/>
    <x v="3"/>
    <s v="ARV"/>
    <s v="Adult"/>
    <s v="SCMS from RDC"/>
    <x v="1"/>
    <s v="N/A - From RDC"/>
    <s v="Air"/>
    <m/>
    <d v="2010-05-03T00:00:00"/>
    <d v="2010-05-03T00:00:00"/>
    <d v="2010-05-03T00:00:00"/>
    <x v="11"/>
    <s v="Lamivudine/Nevirapine/Zidovudine"/>
    <s v="Generic"/>
    <s v="150/300/200mg"/>
    <s v="Tablet - FDC"/>
    <n v="60"/>
    <n v="17000"/>
    <n v="190740"/>
    <n v="11.22"/>
    <n v="0.19"/>
    <n v="2156"/>
    <n v="14467.75"/>
    <n v="1"/>
    <x v="4"/>
  </r>
  <r>
    <n v="85111"/>
    <s v="SO-36280"/>
    <x v="1145"/>
    <x v="3"/>
    <s v="ARV"/>
    <s v="Adult"/>
    <s v="SCMS from RDC"/>
    <x v="1"/>
    <s v="N/A - From RDC"/>
    <s v="Air"/>
    <m/>
    <d v="2010-06-11T00:00:00"/>
    <d v="2010-05-03T00:00:00"/>
    <d v="2010-05-03T00:00:00"/>
    <x v="1"/>
    <s v="Lamivudine/Zidovudine"/>
    <s v="Generic"/>
    <s v="150/300mg"/>
    <s v="Tablet - FDC"/>
    <n v="60"/>
    <n v="5000"/>
    <n v="43800"/>
    <n v="8.76"/>
    <n v="0.15"/>
    <n v="338"/>
    <n v="4159.7299999999996"/>
    <n v="1"/>
    <x v="4"/>
  </r>
  <r>
    <n v="85112"/>
    <s v="SO-36590"/>
    <x v="1146"/>
    <x v="0"/>
    <s v="ARV"/>
    <s v="Pediatric"/>
    <s v="SCMS from RDC"/>
    <x v="1"/>
    <s v="N/A - From RDC"/>
    <s v="Air"/>
    <m/>
    <d v="2010-07-29T00:00:00"/>
    <d v="2010-05-25T00:00:00"/>
    <d v="2010-05-25T00:00:00"/>
    <x v="28"/>
    <s v="Didanosine"/>
    <s v="Generic"/>
    <s v="100mg"/>
    <s v="Chewable/dispersible tablet"/>
    <n v="60"/>
    <n v="2159"/>
    <n v="16667.48"/>
    <n v="7.72"/>
    <n v="0.13"/>
    <n v="454"/>
    <n v="3219.93"/>
    <n v="1"/>
    <x v="4"/>
  </r>
  <r>
    <n v="85121"/>
    <s v="SO-36141"/>
    <x v="1147"/>
    <x v="3"/>
    <s v="ARV"/>
    <s v="Adult"/>
    <s v="SCMS from RDC"/>
    <x v="1"/>
    <s v="N/A - From RDC"/>
    <s v="Air"/>
    <m/>
    <d v="2010-06-30T00:00:00"/>
    <d v="2010-06-22T00:00:00"/>
    <d v="2010-06-22T00:00:00"/>
    <x v="70"/>
    <s v="Emtricitabine/Tenofovir Disoproxil Fumarate"/>
    <s v="Generic"/>
    <s v="200/300mg"/>
    <s v="Tablet - FDC"/>
    <n v="30"/>
    <n v="1500"/>
    <n v="17625"/>
    <n v="11.75"/>
    <n v="0.39"/>
    <n v="109"/>
    <n v="2288.29"/>
    <n v="1"/>
    <x v="4"/>
  </r>
  <r>
    <n v="85123"/>
    <s v="SO-36132"/>
    <x v="1148"/>
    <x v="3"/>
    <s v="ARV"/>
    <s v="Adult"/>
    <s v="SCMS from RDC"/>
    <x v="1"/>
    <s v="N/A - From RDC"/>
    <s v="Air"/>
    <m/>
    <d v="2010-06-30T00:00:00"/>
    <d v="2010-06-15T00:00:00"/>
    <d v="2010-06-15T00:00:00"/>
    <x v="0"/>
    <s v="Nevirapine"/>
    <s v="Generic"/>
    <s v="200mg"/>
    <s v="Tablet"/>
    <n v="60"/>
    <n v="2500"/>
    <n v="6825"/>
    <n v="2.73"/>
    <n v="0.05"/>
    <n v="132"/>
    <n v="3661.42"/>
    <n v="1"/>
    <x v="4"/>
  </r>
  <r>
    <n v="85130"/>
    <s v="SO-36131"/>
    <x v="896"/>
    <x v="3"/>
    <s v="ARV"/>
    <s v="Adult"/>
    <s v="SCMS from RDC"/>
    <x v="1"/>
    <s v="N/A - From RDC"/>
    <s v="Air"/>
    <m/>
    <d v="2010-08-04T00:00:00"/>
    <d v="2010-07-19T00:00:00"/>
    <d v="2010-07-19T00:00:00"/>
    <x v="70"/>
    <s v="Emtricitabine/Tenofovir Disoproxil Fumarate"/>
    <s v="Generic"/>
    <s v="200/300mg"/>
    <s v="Tablet - FDC"/>
    <n v="30"/>
    <n v="2500"/>
    <n v="29375"/>
    <n v="11.75"/>
    <n v="0.39"/>
    <m/>
    <m/>
    <n v="1"/>
    <x v="4"/>
  </r>
  <r>
    <n v="85133"/>
    <s v="SO-36070"/>
    <x v="897"/>
    <x v="3"/>
    <s v="ARV"/>
    <s v="Adult"/>
    <s v="SCMS from RDC"/>
    <x v="1"/>
    <s v="N/A - From RDC"/>
    <s v="Air"/>
    <m/>
    <d v="2010-08-04T00:00:00"/>
    <d v="2010-08-02T00:00:00"/>
    <d v="2010-08-02T00:00:00"/>
    <x v="8"/>
    <s v="Efavirenz"/>
    <s v="Generic"/>
    <s v="600mg"/>
    <s v="Tablet"/>
    <n v="30"/>
    <n v="3000"/>
    <n v="13350"/>
    <n v="4.45"/>
    <n v="0.15"/>
    <m/>
    <m/>
    <n v="1"/>
    <x v="4"/>
  </r>
  <r>
    <n v="85134"/>
    <s v="SO-36070"/>
    <x v="897"/>
    <x v="3"/>
    <s v="ARV"/>
    <s v="Adult"/>
    <s v="SCMS from RDC"/>
    <x v="1"/>
    <s v="N/A - From RDC"/>
    <s v="Air"/>
    <m/>
    <d v="2010-08-04T00:00:00"/>
    <d v="2010-08-02T00:00:00"/>
    <d v="2010-08-02T00:00:00"/>
    <x v="0"/>
    <s v="Nevirapine"/>
    <s v="Generic"/>
    <s v="200mg"/>
    <s v="Tablet"/>
    <n v="60"/>
    <n v="3000"/>
    <n v="8190"/>
    <n v="2.73"/>
    <n v="0.05"/>
    <m/>
    <m/>
    <n v="1"/>
    <x v="4"/>
  </r>
  <r>
    <n v="85139"/>
    <s v="SO-36071"/>
    <x v="1149"/>
    <x v="3"/>
    <s v="ARV"/>
    <s v="Adult"/>
    <s v="SCMS from RDC"/>
    <x v="1"/>
    <s v="N/A - From RDC"/>
    <s v="Air"/>
    <m/>
    <d v="2010-08-29T00:00:00"/>
    <d v="2010-08-27T00:00:00"/>
    <d v="2010-08-27T00:00:00"/>
    <x v="70"/>
    <s v="Emtricitabine/Tenofovir Disoproxil Fumarate"/>
    <s v="Generic"/>
    <s v="200/300mg"/>
    <s v="Tablet - FDC"/>
    <n v="30"/>
    <n v="4000"/>
    <n v="47000"/>
    <n v="11.75"/>
    <n v="0.39"/>
    <n v="365"/>
    <n v="6068.75"/>
    <n v="1"/>
    <x v="4"/>
  </r>
  <r>
    <n v="85142"/>
    <s v="SO-37250"/>
    <x v="793"/>
    <x v="3"/>
    <s v="ARV"/>
    <s v="Adult"/>
    <s v="SCMS from RDC"/>
    <x v="1"/>
    <s v="N/A - From RDC"/>
    <s v="Air"/>
    <m/>
    <d v="2010-10-29T00:00:00"/>
    <d v="2010-09-27T00:00:00"/>
    <d v="2010-09-27T00:00:00"/>
    <x v="1"/>
    <s v="Lamivudine/Zidovudine"/>
    <s v="Generic"/>
    <s v="150/300mg"/>
    <s v="Tablet - FDC"/>
    <n v="60"/>
    <n v="4399"/>
    <n v="37611.449999999997"/>
    <n v="8.5500000000000007"/>
    <n v="0.14000000000000001"/>
    <m/>
    <m/>
    <n v="1"/>
    <x v="4"/>
  </r>
  <r>
    <n v="85143"/>
    <s v="SO-37260"/>
    <x v="1085"/>
    <x v="3"/>
    <s v="ARV"/>
    <s v="Adult"/>
    <s v="SCMS from RDC"/>
    <x v="1"/>
    <s v="N/A - From RDC"/>
    <s v="Air"/>
    <m/>
    <d v="2010-09-30T00:00:00"/>
    <d v="2010-08-23T00:00:00"/>
    <d v="2010-08-23T00:00:00"/>
    <x v="8"/>
    <s v="Efavirenz"/>
    <s v="Generic"/>
    <s v="600mg"/>
    <s v="Tablet"/>
    <n v="30"/>
    <n v="667"/>
    <n v="2968.15"/>
    <n v="4.45"/>
    <n v="0.15"/>
    <m/>
    <m/>
    <n v="1"/>
    <x v="4"/>
  </r>
  <r>
    <n v="85145"/>
    <s v="SO-37280"/>
    <x v="1150"/>
    <x v="3"/>
    <s v="ARV"/>
    <s v="Adult"/>
    <s v="SCMS from RDC"/>
    <x v="1"/>
    <s v="N/A - From RDC"/>
    <s v="Air"/>
    <m/>
    <d v="2010-09-30T00:00:00"/>
    <d v="2010-09-02T00:00:00"/>
    <d v="2010-09-02T00:00:00"/>
    <x v="1"/>
    <s v="Lamivudine/Zidovudine"/>
    <s v="Generic"/>
    <s v="150/300mg"/>
    <s v="Tablet - FDC"/>
    <n v="60"/>
    <n v="40213"/>
    <n v="343821.15"/>
    <n v="8.5500000000000007"/>
    <n v="0.14000000000000001"/>
    <n v="3457"/>
    <n v="35689.71"/>
    <n v="1"/>
    <x v="4"/>
  </r>
  <r>
    <n v="85154"/>
    <s v="SO-37460"/>
    <x v="1012"/>
    <x v="3"/>
    <s v="ARV"/>
    <s v="Adult"/>
    <s v="SCMS from RDC"/>
    <x v="1"/>
    <s v="N/A - From RDC"/>
    <s v="Air"/>
    <m/>
    <d v="2010-10-20T00:00:00"/>
    <d v="2010-10-25T00:00:00"/>
    <d v="2010-10-25T00:00:00"/>
    <x v="1"/>
    <s v="Lamivudine/Zidovudine"/>
    <s v="Generic"/>
    <s v="150/300mg"/>
    <s v="Tablet - FDC"/>
    <n v="60"/>
    <n v="21506"/>
    <n v="183876.3"/>
    <n v="8.5500000000000007"/>
    <n v="0.14000000000000001"/>
    <m/>
    <m/>
    <n v="0"/>
    <x v="4"/>
  </r>
  <r>
    <n v="85155"/>
    <s v="SO-37460"/>
    <x v="1012"/>
    <x v="3"/>
    <s v="ARV"/>
    <s v="Adult"/>
    <s v="SCMS from RDC"/>
    <x v="1"/>
    <s v="N/A - From RDC"/>
    <s v="Air"/>
    <m/>
    <d v="2010-10-20T00:00:00"/>
    <d v="2010-10-25T00:00:00"/>
    <d v="2010-10-25T00:00:00"/>
    <x v="70"/>
    <s v="Emtricitabine/Tenofovir Disoproxil Fumarate"/>
    <s v="Generic"/>
    <s v="200/300mg"/>
    <s v="Tablet - FDC"/>
    <n v="30"/>
    <n v="8375"/>
    <n v="98406.25"/>
    <n v="11.75"/>
    <n v="0.39"/>
    <m/>
    <m/>
    <n v="0"/>
    <x v="4"/>
  </r>
  <r>
    <n v="85169"/>
    <s v="SO-37930"/>
    <x v="1151"/>
    <x v="3"/>
    <s v="ARV"/>
    <s v="Adult"/>
    <s v="SCMS from RDC"/>
    <x v="1"/>
    <s v="N/A - From RDC"/>
    <s v="Truck"/>
    <m/>
    <d v="2011-01-14T00:00:00"/>
    <d v="2011-01-14T00:00:00"/>
    <d v="2011-01-14T00:00:00"/>
    <x v="11"/>
    <s v="Lamivudine/Nevirapine/Zidovudine"/>
    <s v="Generic"/>
    <s v="150/300/200mg"/>
    <s v="Tablet - FDC"/>
    <n v="60"/>
    <n v="9255"/>
    <n v="103841.1"/>
    <n v="11.22"/>
    <n v="0.19"/>
    <n v="1243"/>
    <n v="6120.6"/>
    <n v="1"/>
    <x v="9"/>
  </r>
  <r>
    <n v="85176"/>
    <s v="SO-36610"/>
    <x v="1152"/>
    <x v="0"/>
    <s v="ARV"/>
    <s v="Pediatric"/>
    <s v="SCMS from RDC"/>
    <x v="1"/>
    <s v="N/A - From RDC"/>
    <s v="Air"/>
    <m/>
    <d v="2011-02-28T00:00:00"/>
    <d v="2011-02-28T00:00:00"/>
    <d v="2011-02-28T00:00:00"/>
    <x v="28"/>
    <s v="Didanosine"/>
    <s v="Generic"/>
    <s v="100mg"/>
    <s v="Chewable/dispersible tablet"/>
    <n v="60"/>
    <n v="2292"/>
    <n v="17694.240000000002"/>
    <n v="7.72"/>
    <n v="0.13"/>
    <n v="617"/>
    <n v="1647"/>
    <n v="1"/>
    <x v="9"/>
  </r>
  <r>
    <n v="85179"/>
    <s v="SO-37560"/>
    <x v="681"/>
    <x v="3"/>
    <s v="ARV"/>
    <s v="Adult"/>
    <s v="SCMS from RDC"/>
    <x v="1"/>
    <s v="N/A - From RDC"/>
    <s v="Truck"/>
    <m/>
    <d v="2011-02-28T00:00:00"/>
    <d v="2011-03-22T00:00:00"/>
    <d v="2011-03-22T00:00:00"/>
    <x v="1"/>
    <s v="Lamivudine/Zidovudine"/>
    <s v="Generic"/>
    <s v="150/300mg"/>
    <s v="Tablet - FDC"/>
    <n v="60"/>
    <n v="6361"/>
    <n v="52541.86"/>
    <n v="8.26"/>
    <n v="0.14000000000000001"/>
    <m/>
    <m/>
    <n v="0"/>
    <x v="9"/>
  </r>
  <r>
    <n v="85181"/>
    <s v="SO-38760"/>
    <x v="904"/>
    <x v="3"/>
    <s v="ARV"/>
    <s v="Adult"/>
    <s v="SCMS from RDC"/>
    <x v="1"/>
    <s v="N/A - From RDC"/>
    <s v="Truck"/>
    <m/>
    <d v="2011-03-31T00:00:00"/>
    <d v="2011-04-01T00:00:00"/>
    <d v="2011-04-01T00:00:00"/>
    <x v="0"/>
    <s v="Nevirapine"/>
    <s v="Generic"/>
    <s v="200mg"/>
    <s v="Tablet"/>
    <n v="60"/>
    <n v="11979"/>
    <n v="30067.29"/>
    <n v="2.5099999999999998"/>
    <n v="0.04"/>
    <m/>
    <m/>
    <n v="0"/>
    <x v="9"/>
  </r>
  <r>
    <n v="85184"/>
    <s v="SO-39330"/>
    <x v="1153"/>
    <x v="3"/>
    <s v="ARV"/>
    <s v="Adult"/>
    <s v="SCMS from RDC"/>
    <x v="1"/>
    <s v="N/A - From RDC"/>
    <s v="Truck"/>
    <m/>
    <d v="2011-05-11T00:00:00"/>
    <d v="2011-05-24T00:00:00"/>
    <d v="2011-05-24T00:00:00"/>
    <x v="8"/>
    <s v="Efavirenz"/>
    <s v="Generic"/>
    <s v="600mg"/>
    <s v="Tablet"/>
    <n v="30"/>
    <n v="45000"/>
    <n v="194400"/>
    <n v="4.32"/>
    <n v="0.14000000000000001"/>
    <n v="5075"/>
    <n v="23711.16"/>
    <n v="0"/>
    <x v="9"/>
  </r>
  <r>
    <n v="85186"/>
    <s v="SO-39140"/>
    <x v="1092"/>
    <x v="3"/>
    <s v="ARV"/>
    <s v="Adult"/>
    <s v="SCMS from RDC"/>
    <x v="1"/>
    <s v="N/A - From RDC"/>
    <s v="Truck"/>
    <m/>
    <d v="2011-06-06T00:00:00"/>
    <d v="2011-06-01T00:00:00"/>
    <d v="2011-06-01T00:00:00"/>
    <x v="8"/>
    <s v="Efavirenz"/>
    <s v="Generic"/>
    <s v="600mg"/>
    <s v="Tablet"/>
    <n v="30"/>
    <n v="2950"/>
    <n v="12449"/>
    <n v="4.22"/>
    <n v="0.14000000000000001"/>
    <m/>
    <m/>
    <n v="1"/>
    <x v="9"/>
  </r>
  <r>
    <n v="85188"/>
    <s v="SO-39440"/>
    <x v="1154"/>
    <x v="0"/>
    <s v="ARV"/>
    <s v="Adult"/>
    <s v="SCMS from RDC"/>
    <x v="1"/>
    <s v="N/A - From RDC"/>
    <s v="Truck"/>
    <m/>
    <d v="2011-04-28T00:00:00"/>
    <d v="2011-06-01T00:00:00"/>
    <d v="2011-06-01T00:00:00"/>
    <x v="45"/>
    <s v="Efavirenz/Emtricitabine/Tenofovir Disoproxil Fumarate"/>
    <s v="Generic"/>
    <s v="600/200/300mg"/>
    <s v="Tablet - FDC"/>
    <n v="30"/>
    <n v="28200"/>
    <n v="561744"/>
    <n v="19.920000000000002"/>
    <n v="0.66"/>
    <n v="3076"/>
    <n v="3859"/>
    <n v="0"/>
    <x v="9"/>
  </r>
  <r>
    <n v="85190"/>
    <s v="SO-39770"/>
    <x v="685"/>
    <x v="2"/>
    <s v="ARV"/>
    <s v="Adult"/>
    <s v="SCMS from RDC"/>
    <x v="1"/>
    <s v="N/A - From RDC"/>
    <s v="Air"/>
    <m/>
    <d v="2011-06-21T00:00:00"/>
    <d v="2011-06-01T00:00:00"/>
    <d v="2011-06-01T00:00:00"/>
    <x v="8"/>
    <s v="Efavirenz"/>
    <s v="Generic"/>
    <s v="600mg"/>
    <s v="Tablet"/>
    <n v="30"/>
    <n v="49142"/>
    <n v="207379.24"/>
    <n v="4.22"/>
    <n v="0.14000000000000001"/>
    <m/>
    <m/>
    <n v="1"/>
    <x v="9"/>
  </r>
  <r>
    <n v="85191"/>
    <s v="SO-39900"/>
    <x v="1155"/>
    <x v="2"/>
    <s v="ARV"/>
    <s v="Adult"/>
    <s v="SCMS from RDC"/>
    <x v="1"/>
    <s v="N/A - From RDC"/>
    <s v="Air"/>
    <m/>
    <d v="2011-06-21T00:00:00"/>
    <d v="2011-06-01T00:00:00"/>
    <d v="2011-06-01T00:00:00"/>
    <x v="8"/>
    <s v="Efavirenz"/>
    <s v="Generic"/>
    <s v="600mg"/>
    <s v="Tablet"/>
    <n v="30"/>
    <n v="10158"/>
    <n v="42866.76"/>
    <n v="4.22"/>
    <n v="0.14000000000000001"/>
    <m/>
    <m/>
    <n v="1"/>
    <x v="9"/>
  </r>
  <r>
    <n v="85202"/>
    <s v="SO-38172"/>
    <x v="1156"/>
    <x v="0"/>
    <s v="ARV"/>
    <s v="Adult"/>
    <s v="SCMS from RDC"/>
    <x v="1"/>
    <s v="N/A - From RDC"/>
    <s v="Truck"/>
    <m/>
    <d v="2011-10-03T00:00:00"/>
    <d v="2011-09-23T00:00:00"/>
    <d v="2011-09-23T00:00:00"/>
    <x v="45"/>
    <s v="Efavirenz/Emtricitabine/Tenofovir Disoproxil Fumarate"/>
    <s v="Generic"/>
    <s v="600/200/300mg"/>
    <s v="Tablet - FDC"/>
    <n v="30"/>
    <n v="3428"/>
    <n v="68285.759999999995"/>
    <n v="19.920000000000002"/>
    <n v="0.66"/>
    <n v="396"/>
    <n v="1047.17"/>
    <n v="1"/>
    <x v="9"/>
  </r>
  <r>
    <n v="85208"/>
    <s v="SO-40480"/>
    <x v="1157"/>
    <x v="0"/>
    <s v="ARV"/>
    <s v="Pediatric"/>
    <s v="SCMS from RDC"/>
    <x v="1"/>
    <s v="N/A - From RDC"/>
    <s v="Truck"/>
    <m/>
    <d v="2011-12-20T00:00:00"/>
    <d v="2011-12-12T00:00:00"/>
    <d v="2011-12-12T00:00:00"/>
    <x v="57"/>
    <s v="Lamivudine/Nevirapine/Zidovudine"/>
    <s v="Generic"/>
    <s v="30/50/60mg"/>
    <s v="Chewable/dispersible tablet - FDC"/>
    <n v="60"/>
    <n v="9940"/>
    <n v="42245"/>
    <n v="4.25"/>
    <n v="7.0000000000000007E-2"/>
    <n v="562"/>
    <n v="6614.27"/>
    <n v="1"/>
    <x v="9"/>
  </r>
  <r>
    <n v="85210"/>
    <s v="SO-40980"/>
    <x v="1158"/>
    <x v="1"/>
    <s v="ARV"/>
    <s v="Adult"/>
    <s v="SCMS from RDC"/>
    <x v="1"/>
    <s v="N/A - From RDC"/>
    <s v="Truck"/>
    <m/>
    <d v="2011-12-08T00:00:00"/>
    <d v="2011-11-25T00:00:00"/>
    <d v="2011-11-25T00:00:00"/>
    <x v="49"/>
    <s v="Didanosine"/>
    <s v="Generic"/>
    <s v="400mg"/>
    <s v="Delayed-release capsules"/>
    <n v="30"/>
    <n v="263"/>
    <n v="5260"/>
    <n v="20"/>
    <n v="0.67"/>
    <n v="21"/>
    <n v="14622.43"/>
    <n v="1"/>
    <x v="9"/>
  </r>
  <r>
    <n v="85212"/>
    <s v="SO-41070"/>
    <x v="1159"/>
    <x v="4"/>
    <s v="ARV"/>
    <s v="Pediatric"/>
    <s v="SCMS from RDC"/>
    <x v="1"/>
    <s v="N/A - From RDC"/>
    <s v="Air"/>
    <m/>
    <d v="2011-11-30T00:00:00"/>
    <d v="2011-11-11T00:00:00"/>
    <d v="2011-11-11T00:00:00"/>
    <x v="43"/>
    <s v="Nevirapine"/>
    <s v="Generic"/>
    <s v="10mg/ml"/>
    <s v="Oral suspension"/>
    <n v="240"/>
    <n v="4000"/>
    <n v="7800"/>
    <n v="1.95"/>
    <n v="0.01"/>
    <n v="1496"/>
    <n v="5752.74"/>
    <n v="1"/>
    <x v="9"/>
  </r>
  <r>
    <n v="85213"/>
    <s v="SO-41040"/>
    <x v="804"/>
    <x v="1"/>
    <s v="ARV"/>
    <s v="Adult"/>
    <s v="SCMS from RDC"/>
    <x v="1"/>
    <s v="N/A - From RDC"/>
    <s v="Air"/>
    <m/>
    <d v="2011-12-05T00:00:00"/>
    <d v="2011-12-02T00:00:00"/>
    <d v="2011-12-02T00:00:00"/>
    <x v="29"/>
    <s v="Zidovudine"/>
    <s v="Generic"/>
    <s v="300mg"/>
    <s v="Tablet"/>
    <n v="60"/>
    <n v="90"/>
    <n v="631.79999999999995"/>
    <n v="7.02"/>
    <n v="0.12"/>
    <m/>
    <m/>
    <n v="1"/>
    <x v="9"/>
  </r>
  <r>
    <n v="85236"/>
    <s v="SO-40540"/>
    <x v="1160"/>
    <x v="0"/>
    <s v="ARV"/>
    <s v="Pediatric"/>
    <s v="SCMS from RDC"/>
    <x v="1"/>
    <s v="N/A - From RDC"/>
    <s v="Truck"/>
    <m/>
    <d v="2012-03-30T00:00:00"/>
    <d v="2012-03-12T00:00:00"/>
    <d v="2012-03-12T00:00:00"/>
    <x v="37"/>
    <s v="Efavirenz"/>
    <s v="Generic"/>
    <s v="200mg"/>
    <s v="Capsule"/>
    <n v="90"/>
    <n v="6510"/>
    <n v="57743.7"/>
    <n v="8.8699999999999992"/>
    <n v="0.1"/>
    <n v="830"/>
    <n v="1698.83"/>
    <n v="1"/>
    <x v="5"/>
  </r>
  <r>
    <n v="85238"/>
    <s v="SO-40613"/>
    <x v="697"/>
    <x v="0"/>
    <s v="ARV"/>
    <s v="Adult"/>
    <s v="SCMS from RDC"/>
    <x v="1"/>
    <s v="N/A - From RDC"/>
    <s v="Truck"/>
    <m/>
    <d v="2012-04-06T00:00:00"/>
    <d v="2012-02-14T00:00:00"/>
    <d v="2012-02-14T00:00:00"/>
    <x v="29"/>
    <s v="Zidovudine"/>
    <s v="Generic"/>
    <s v="300mg"/>
    <s v="Tablet"/>
    <n v="60"/>
    <n v="39402"/>
    <n v="276602.03999999998"/>
    <n v="7.02"/>
    <n v="0.12"/>
    <m/>
    <m/>
    <n v="1"/>
    <x v="5"/>
  </r>
  <r>
    <n v="85242"/>
    <s v="SO-40481"/>
    <x v="1161"/>
    <x v="0"/>
    <s v="ARV"/>
    <s v="Pediatric"/>
    <s v="SCMS from RDC"/>
    <x v="1"/>
    <s v="N/A - From RDC"/>
    <s v="Truck"/>
    <m/>
    <d v="2012-04-11T00:00:00"/>
    <d v="2012-04-11T00:00:00"/>
    <d v="2012-04-11T00:00:00"/>
    <x v="57"/>
    <s v="Lamivudine/Nevirapine/Zidovudine"/>
    <s v="Generic"/>
    <s v="30/50/60mg"/>
    <s v="Chewable/dispersible tablet - FDC"/>
    <n v="60"/>
    <n v="11262"/>
    <n v="47863.5"/>
    <n v="4.25"/>
    <n v="7.0000000000000007E-2"/>
    <n v="641"/>
    <n v="3279.25"/>
    <n v="1"/>
    <x v="5"/>
  </r>
  <r>
    <n v="85244"/>
    <s v="SO-41530"/>
    <x v="812"/>
    <x v="6"/>
    <s v="ARV"/>
    <s v="Adult"/>
    <s v="SCMS from RDC"/>
    <x v="1"/>
    <s v="N/A - From RDC"/>
    <s v="Air"/>
    <m/>
    <d v="2012-04-26T00:00:00"/>
    <d v="2012-05-04T00:00:00"/>
    <d v="2012-05-04T00:00:00"/>
    <x v="14"/>
    <s v="Lopinavir/Ritonavir"/>
    <s v="Aluvia"/>
    <s v="200/50mg"/>
    <s v="Tablet"/>
    <n v="120"/>
    <n v="240"/>
    <n v="8097.6"/>
    <n v="33.74"/>
    <n v="0.28000000000000003"/>
    <m/>
    <m/>
    <n v="0"/>
    <x v="5"/>
  </r>
  <r>
    <n v="85245"/>
    <s v="SO-41520"/>
    <x v="699"/>
    <x v="3"/>
    <s v="ARV"/>
    <s v="Adult"/>
    <s v="SCMS from RDC"/>
    <x v="1"/>
    <s v="N/A - From RDC"/>
    <s v="Truck"/>
    <m/>
    <d v="2012-04-24T00:00:00"/>
    <d v="2012-02-27T00:00:00"/>
    <d v="2012-02-27T00:00:00"/>
    <x v="1"/>
    <s v="Lamivudine/Zidovudine"/>
    <s v="Generic"/>
    <s v="150/300mg"/>
    <s v="Tablet - FDC"/>
    <n v="60"/>
    <n v="2900"/>
    <n v="23200"/>
    <n v="8"/>
    <n v="0.13"/>
    <m/>
    <m/>
    <n v="1"/>
    <x v="5"/>
  </r>
  <r>
    <n v="85249"/>
    <s v="SO-40931"/>
    <x v="919"/>
    <x v="3"/>
    <s v="ARV"/>
    <s v="Adult"/>
    <s v="SCMS from RDC"/>
    <x v="1"/>
    <s v="N/A - From RDC"/>
    <s v="Truck"/>
    <m/>
    <d v="2012-05-16T00:00:00"/>
    <d v="2012-03-27T00:00:00"/>
    <d v="2012-03-27T00:00:00"/>
    <x v="11"/>
    <s v="Lamivudine/Nevirapine/Zidovudine"/>
    <s v="Generic"/>
    <s v="150/300/200mg"/>
    <s v="Tablet - FDC"/>
    <n v="60"/>
    <n v="12762"/>
    <n v="140382"/>
    <n v="11"/>
    <n v="0.18"/>
    <m/>
    <m/>
    <n v="1"/>
    <x v="5"/>
  </r>
  <r>
    <n v="85276"/>
    <s v="SO-42580"/>
    <x v="705"/>
    <x v="3"/>
    <s v="ARV"/>
    <s v="Adult"/>
    <s v="SCMS from RDC"/>
    <x v="1"/>
    <s v="N/A - From RDC"/>
    <s v="Air"/>
    <m/>
    <d v="2012-07-05T00:00:00"/>
    <d v="2012-07-16T00:00:00"/>
    <d v="2012-07-16T00:00:00"/>
    <x v="0"/>
    <s v="Nevirapine"/>
    <s v="Generic"/>
    <s v="200mg"/>
    <s v="Tablet"/>
    <n v="60"/>
    <n v="36000"/>
    <n v="87840"/>
    <n v="2.44"/>
    <n v="0.04"/>
    <m/>
    <m/>
    <n v="0"/>
    <x v="5"/>
  </r>
  <r>
    <n v="85279"/>
    <s v="SO-41593"/>
    <x v="707"/>
    <x v="3"/>
    <s v="ARV"/>
    <s v="Adult"/>
    <s v="SCMS from RDC"/>
    <x v="1"/>
    <s v="N/A - From RDC"/>
    <s v="Truck"/>
    <m/>
    <d v="2012-09-05T00:00:00"/>
    <d v="2012-07-26T00:00:00"/>
    <d v="2012-07-26T00:00:00"/>
    <x v="16"/>
    <s v="Lamivudine"/>
    <s v="Generic"/>
    <s v="150mg"/>
    <s v="Tablet"/>
    <n v="60"/>
    <n v="834"/>
    <n v="1851.48"/>
    <n v="2.2200000000000002"/>
    <n v="0.04"/>
    <m/>
    <m/>
    <n v="1"/>
    <x v="5"/>
  </r>
  <r>
    <n v="85280"/>
    <s v="SO-42081"/>
    <x v="1162"/>
    <x v="3"/>
    <s v="ARV"/>
    <s v="Adult"/>
    <s v="SCMS from RDC"/>
    <x v="1"/>
    <s v="N/A - From RDC"/>
    <s v="Air"/>
    <m/>
    <d v="2012-08-17T00:00:00"/>
    <d v="2012-08-07T00:00:00"/>
    <d v="2012-08-07T00:00:00"/>
    <x v="1"/>
    <s v="Lamivudine/Zidovudine"/>
    <s v="Generic"/>
    <s v="150/300mg"/>
    <s v="Tablet - FDC"/>
    <n v="60"/>
    <n v="26574"/>
    <n v="206745.72"/>
    <n v="7.78"/>
    <n v="0.13"/>
    <n v="2369"/>
    <n v="19980.62"/>
    <n v="1"/>
    <x v="5"/>
  </r>
  <r>
    <n v="85283"/>
    <s v="SO-41560"/>
    <x v="1163"/>
    <x v="0"/>
    <s v="ARV"/>
    <s v="Pediatric"/>
    <s v="SCMS from RDC"/>
    <x v="1"/>
    <s v="N/A - From RDC"/>
    <s v="Truck"/>
    <m/>
    <d v="2012-09-04T00:00:00"/>
    <d v="2012-08-22T00:00:00"/>
    <d v="2012-08-22T00:00:00"/>
    <x v="73"/>
    <s v="Lamivudine/Zidovudine"/>
    <s v="Generic"/>
    <s v="30/60mg"/>
    <s v="Tablet - FDC"/>
    <n v="60"/>
    <n v="38347"/>
    <n v="105837.72"/>
    <n v="2.76"/>
    <n v="0.05"/>
    <n v="1502"/>
    <n v="6900.62"/>
    <n v="1"/>
    <x v="5"/>
  </r>
  <r>
    <n v="85288"/>
    <s v="SO-42761"/>
    <x v="1164"/>
    <x v="1"/>
    <s v="ARV"/>
    <s v="Adult"/>
    <s v="SCMS from RDC"/>
    <x v="1"/>
    <s v="N/A - From RDC"/>
    <s v="Air"/>
    <m/>
    <d v="2012-10-31T00:00:00"/>
    <d v="2012-08-06T00:00:00"/>
    <d v="2012-08-06T00:00:00"/>
    <x v="47"/>
    <s v="Lopinavir/Ritonavir"/>
    <s v="Generic"/>
    <s v="200/50mg"/>
    <s v="Tablet"/>
    <n v="120"/>
    <n v="7541"/>
    <n v="223816.88"/>
    <n v="29.68"/>
    <n v="0.25"/>
    <n v="2003"/>
    <n v="32401.62"/>
    <n v="1"/>
    <x v="5"/>
  </r>
  <r>
    <n v="85302"/>
    <s v="SO-42880"/>
    <x v="1165"/>
    <x v="3"/>
    <s v="ARV"/>
    <s v="Adult"/>
    <s v="SCMS from RDC"/>
    <x v="1"/>
    <s v="N/A - From RDC"/>
    <s v="Truck"/>
    <m/>
    <d v="2012-10-12T00:00:00"/>
    <d v="2012-09-25T00:00:00"/>
    <d v="2012-09-25T00:00:00"/>
    <x v="0"/>
    <s v="Nevirapine"/>
    <s v="Generic"/>
    <s v="200mg"/>
    <s v="Tablet"/>
    <n v="60"/>
    <n v="22783"/>
    <n v="55134.86"/>
    <n v="2.42"/>
    <n v="0.04"/>
    <n v="1285"/>
    <n v="6265.36"/>
    <n v="1"/>
    <x v="5"/>
  </r>
  <r>
    <n v="85303"/>
    <s v="SO-42890"/>
    <x v="1166"/>
    <x v="3"/>
    <s v="ARV"/>
    <s v="Adult"/>
    <s v="SCMS from RDC"/>
    <x v="1"/>
    <s v="N/A - From RDC"/>
    <s v="Truck"/>
    <m/>
    <d v="2012-10-15T00:00:00"/>
    <d v="2012-10-12T00:00:00"/>
    <d v="2012-10-12T00:00:00"/>
    <x v="0"/>
    <s v="Nevirapine"/>
    <s v="Generic"/>
    <s v="200mg"/>
    <s v="Tablet"/>
    <n v="60"/>
    <n v="26432"/>
    <n v="63965.440000000002"/>
    <n v="2.42"/>
    <n v="0.04"/>
    <n v="1499"/>
    <n v="10915.97"/>
    <n v="1"/>
    <x v="5"/>
  </r>
  <r>
    <n v="85304"/>
    <s v="SO-42720"/>
    <x v="1167"/>
    <x v="1"/>
    <s v="ARV"/>
    <s v="Adult"/>
    <s v="SCMS from RDC"/>
    <x v="1"/>
    <s v="N/A - From RDC"/>
    <s v="Air"/>
    <m/>
    <d v="2012-09-28T00:00:00"/>
    <d v="2012-10-10T00:00:00"/>
    <d v="2012-10-10T00:00:00"/>
    <x v="8"/>
    <s v="Efavirenz"/>
    <s v="Generic"/>
    <s v="600mg"/>
    <s v="Tablet"/>
    <n v="30"/>
    <n v="50400"/>
    <n v="197064"/>
    <n v="3.91"/>
    <n v="0.13"/>
    <n v="3090"/>
    <n v="16603.900000000001"/>
    <n v="0"/>
    <x v="5"/>
  </r>
  <r>
    <n v="85305"/>
    <s v="SO-43050"/>
    <x v="931"/>
    <x v="5"/>
    <s v="ARV"/>
    <s v="Adult"/>
    <s v="SCMS from RDC"/>
    <x v="1"/>
    <s v="N/A - From RDC"/>
    <s v="Air"/>
    <m/>
    <d v="2012-10-18T00:00:00"/>
    <d v="2012-10-03T00:00:00"/>
    <d v="2012-10-03T00:00:00"/>
    <x v="0"/>
    <s v="Nevirapine"/>
    <s v="Generic"/>
    <s v="200mg"/>
    <s v="Tablet"/>
    <n v="60"/>
    <n v="300"/>
    <n v="726"/>
    <n v="2.42"/>
    <n v="0.04"/>
    <m/>
    <m/>
    <n v="1"/>
    <x v="5"/>
  </r>
  <r>
    <n v="85306"/>
    <s v="SO-42100"/>
    <x v="714"/>
    <x v="1"/>
    <s v="ARV"/>
    <s v="Adult"/>
    <s v="SCMS from RDC"/>
    <x v="1"/>
    <s v="N/A - From RDC"/>
    <s v="Air"/>
    <m/>
    <d v="2012-10-19T00:00:00"/>
    <d v="2012-10-18T00:00:00"/>
    <d v="2012-10-18T00:00:00"/>
    <x v="39"/>
    <s v="Lamivudine/Tenofovir Disoproxil Fumarate"/>
    <s v="Generic"/>
    <s v="300/300mg"/>
    <s v="Tablet - FDC"/>
    <n v="30"/>
    <n v="11492"/>
    <n v="63665.68"/>
    <n v="5.54"/>
    <n v="0.18"/>
    <m/>
    <m/>
    <n v="1"/>
    <x v="5"/>
  </r>
  <r>
    <n v="85319"/>
    <s v="SO-43500"/>
    <x v="1168"/>
    <x v="3"/>
    <s v="ARV"/>
    <s v="Adult"/>
    <s v="SCMS from RDC"/>
    <x v="1"/>
    <s v="N/A - From RDC"/>
    <s v="Air"/>
    <m/>
    <d v="2013-02-02T00:00:00"/>
    <d v="2013-02-02T00:00:00"/>
    <d v="2013-02-02T00:00:00"/>
    <x v="16"/>
    <s v="Lamivudine"/>
    <s v="Generic"/>
    <s v="150mg"/>
    <s v="Tablet"/>
    <n v="60"/>
    <n v="2131"/>
    <n v="4602.96"/>
    <n v="2.16"/>
    <n v="0.04"/>
    <n v="117"/>
    <n v="2005.48"/>
    <n v="1"/>
    <x v="6"/>
  </r>
  <r>
    <n v="85320"/>
    <s v="SO-43120"/>
    <x v="1169"/>
    <x v="0"/>
    <s v="ARV"/>
    <s v="Adult"/>
    <s v="SCMS from RDC"/>
    <x v="1"/>
    <s v="N/A - From RDC"/>
    <s v="Truck"/>
    <m/>
    <d v="2013-03-04T00:00:00"/>
    <d v="2013-03-04T00:00:00"/>
    <d v="2013-03-04T00:00:00"/>
    <x v="47"/>
    <s v="Lopinavir/Ritonavir"/>
    <s v="Generic"/>
    <s v="200/50mg"/>
    <s v="Tablet"/>
    <n v="120"/>
    <n v="574"/>
    <n v="15325.8"/>
    <n v="26.7"/>
    <n v="0.22"/>
    <n v="4758"/>
    <n v="6031.15"/>
    <n v="1"/>
    <x v="6"/>
  </r>
  <r>
    <n v="85332"/>
    <s v="SO-43940"/>
    <x v="1114"/>
    <x v="3"/>
    <s v="ARV"/>
    <s v="Adult"/>
    <s v="SCMS from RDC"/>
    <x v="1"/>
    <s v="N/A - From RDC"/>
    <s v="Air"/>
    <m/>
    <d v="2013-03-29T00:00:00"/>
    <d v="2013-03-01T00:00:00"/>
    <d v="2013-03-01T00:00:00"/>
    <x v="46"/>
    <s v="Efavirenz/Lamivudine/Tenofovir Disoproxil Fumarate"/>
    <s v="Generic"/>
    <s v="600/300/300mg"/>
    <s v="Tablet - FDC"/>
    <n v="30"/>
    <n v="14704"/>
    <n v="178065.44"/>
    <n v="12.11"/>
    <n v="0.4"/>
    <m/>
    <m/>
    <n v="1"/>
    <x v="6"/>
  </r>
  <r>
    <n v="85338"/>
    <s v="SO-43960"/>
    <x v="941"/>
    <x v="3"/>
    <s v="ARV"/>
    <s v="Adult"/>
    <s v="SCMS from RDC"/>
    <x v="1"/>
    <s v="N/A - From RDC"/>
    <s v="Air"/>
    <m/>
    <d v="2013-03-09T00:00:00"/>
    <d v="2013-03-07T00:00:00"/>
    <d v="2013-03-07T00:00:00"/>
    <x v="0"/>
    <s v="Nevirapine"/>
    <s v="Generic"/>
    <s v="200mg"/>
    <s v="Tablet"/>
    <n v="60"/>
    <n v="7875"/>
    <n v="17797.5"/>
    <n v="2.2599999999999998"/>
    <n v="0.04"/>
    <m/>
    <m/>
    <n v="1"/>
    <x v="6"/>
  </r>
  <r>
    <n v="85343"/>
    <s v="SO-43871"/>
    <x v="837"/>
    <x v="3"/>
    <s v="ARV"/>
    <s v="Pediatric"/>
    <s v="SCMS from RDC"/>
    <x v="1"/>
    <s v="N/A - From RDC"/>
    <s v="Truck"/>
    <m/>
    <d v="2013-06-28T00:00:00"/>
    <d v="2013-03-20T00:00:00"/>
    <d v="2013-03-20T00:00:00"/>
    <x v="73"/>
    <s v="Lamivudine/Zidovudine"/>
    <s v="Generic"/>
    <s v="30/60mg"/>
    <s v="Tablet - FDC"/>
    <n v="60"/>
    <n v="2125"/>
    <n v="4802.5"/>
    <n v="2.2599999999999998"/>
    <n v="0.04"/>
    <m/>
    <m/>
    <n v="1"/>
    <x v="6"/>
  </r>
  <r>
    <n v="85349"/>
    <s v="SO-44370"/>
    <x v="1170"/>
    <x v="0"/>
    <s v="ARV"/>
    <s v="Adult"/>
    <s v="SCMS from RDC"/>
    <x v="1"/>
    <s v="N/A - From RDC"/>
    <s v="Truck"/>
    <m/>
    <d v="2013-05-31T00:00:00"/>
    <d v="2013-04-22T00:00:00"/>
    <d v="2013-04-22T00:00:00"/>
    <x v="70"/>
    <s v="Emtricitabine/Tenofovir Disoproxil Fumarate"/>
    <s v="Generic"/>
    <s v="200/300mg"/>
    <s v="Tablet - FDC"/>
    <n v="30"/>
    <n v="31512"/>
    <n v="191277.84"/>
    <n v="6.07"/>
    <n v="0.2"/>
    <n v="2635"/>
    <n v="3300.95"/>
    <n v="1"/>
    <x v="6"/>
  </r>
  <r>
    <n v="85350"/>
    <s v="SO-44790"/>
    <x v="1171"/>
    <x v="3"/>
    <s v="ARV"/>
    <s v="Pediatric"/>
    <s v="SCMS from RDC"/>
    <x v="1"/>
    <s v="N/A - From RDC"/>
    <s v="Truck"/>
    <m/>
    <d v="2013-04-16T00:00:00"/>
    <d v="2013-04-25T00:00:00"/>
    <d v="2013-04-25T00:00:00"/>
    <x v="43"/>
    <s v="Nevirapine"/>
    <s v="Generic"/>
    <s v="10mg/ml"/>
    <s v="Oral suspension"/>
    <n v="240"/>
    <n v="36229"/>
    <n v="70646.55"/>
    <n v="1.95"/>
    <n v="0.01"/>
    <n v="13310"/>
    <n v="12203.29"/>
    <n v="0"/>
    <x v="6"/>
  </r>
  <r>
    <n v="85351"/>
    <s v="SO-43122"/>
    <x v="1172"/>
    <x v="0"/>
    <s v="ARV"/>
    <s v="Adult"/>
    <s v="SCMS from RDC"/>
    <x v="1"/>
    <s v="N/A - From RDC"/>
    <s v="Truck"/>
    <m/>
    <d v="2013-05-31T00:00:00"/>
    <d v="2013-05-09T00:00:00"/>
    <d v="2013-05-09T00:00:00"/>
    <x v="35"/>
    <s v="Tenofovir Disoproxil Fumarate"/>
    <s v="Generic"/>
    <s v="300mg"/>
    <s v="Tablet"/>
    <n v="30"/>
    <n v="1980"/>
    <n v="7999.2"/>
    <n v="4.04"/>
    <n v="0.13"/>
    <n v="126"/>
    <n v="1382"/>
    <n v="1"/>
    <x v="6"/>
  </r>
  <r>
    <n v="85353"/>
    <s v="SO-44670"/>
    <x v="727"/>
    <x v="6"/>
    <s v="ARV"/>
    <s v="Adult"/>
    <s v="SCMS from RDC"/>
    <x v="1"/>
    <s v="N/A - From RDC"/>
    <s v="Air"/>
    <m/>
    <d v="2013-05-31T00:00:00"/>
    <d v="2013-05-23T00:00:00"/>
    <d v="2013-05-23T00:00:00"/>
    <x v="0"/>
    <s v="Nevirapine"/>
    <s v="Generic"/>
    <s v="200mg"/>
    <s v="Tablet"/>
    <n v="60"/>
    <n v="450"/>
    <n v="1017"/>
    <n v="2.2599999999999998"/>
    <n v="0.04"/>
    <m/>
    <m/>
    <n v="1"/>
    <x v="6"/>
  </r>
  <r>
    <n v="85354"/>
    <s v="SO-43890"/>
    <x v="728"/>
    <x v="3"/>
    <s v="ARV"/>
    <s v="Adult"/>
    <s v="SCMS from RDC"/>
    <x v="1"/>
    <s v="N/A - From RDC"/>
    <s v="Truck"/>
    <m/>
    <d v="2013-06-07T00:00:00"/>
    <d v="2013-06-07T00:00:00"/>
    <d v="2013-06-07T00:00:00"/>
    <x v="8"/>
    <s v="Efavirenz"/>
    <s v="Generic"/>
    <s v="600mg"/>
    <s v="Tablet"/>
    <n v="30"/>
    <n v="24912"/>
    <n v="82956.960000000006"/>
    <n v="3.33"/>
    <n v="0.11"/>
    <m/>
    <m/>
    <n v="1"/>
    <x v="6"/>
  </r>
  <r>
    <n v="85355"/>
    <s v="SO-43890"/>
    <x v="728"/>
    <x v="3"/>
    <s v="ARV"/>
    <s v="Adult"/>
    <s v="SCMS from RDC"/>
    <x v="1"/>
    <s v="N/A - From RDC"/>
    <s v="Truck"/>
    <m/>
    <d v="2013-06-07T00:00:00"/>
    <d v="2013-06-07T00:00:00"/>
    <d v="2013-06-07T00:00:00"/>
    <x v="11"/>
    <s v="Lamivudine/Nevirapine/Zidovudine"/>
    <s v="Generic"/>
    <s v="150/300/200mg"/>
    <s v="Tablet - FDC"/>
    <n v="60"/>
    <n v="68736"/>
    <n v="589754.88"/>
    <n v="8.58"/>
    <n v="0.14000000000000001"/>
    <m/>
    <m/>
    <n v="1"/>
    <x v="6"/>
  </r>
  <r>
    <n v="85356"/>
    <s v="SO-44630"/>
    <x v="729"/>
    <x v="5"/>
    <s v="ARV"/>
    <s v="Adult"/>
    <s v="SCMS from RDC"/>
    <x v="1"/>
    <s v="N/A - From RDC"/>
    <s v="Air"/>
    <m/>
    <d v="2013-04-30T00:00:00"/>
    <d v="2013-04-24T00:00:00"/>
    <d v="2013-04-24T00:00:00"/>
    <x v="46"/>
    <s v="Efavirenz/Lamivudine/Tenofovir Disoproxil Fumarate"/>
    <s v="Generic"/>
    <s v="600/300/300mg"/>
    <s v="Tablet - FDC"/>
    <n v="30"/>
    <n v="1278"/>
    <n v="13444.56"/>
    <n v="10.52"/>
    <n v="0.35"/>
    <m/>
    <m/>
    <n v="1"/>
    <x v="6"/>
  </r>
  <r>
    <n v="85357"/>
    <s v="SO-43880"/>
    <x v="1173"/>
    <x v="3"/>
    <s v="ARV"/>
    <s v="Adult"/>
    <s v="SCMS from RDC"/>
    <x v="1"/>
    <s v="N/A - From RDC"/>
    <s v="Truck"/>
    <m/>
    <d v="2013-06-04T00:00:00"/>
    <d v="2013-06-04T00:00:00"/>
    <d v="2013-06-04T00:00:00"/>
    <x v="39"/>
    <s v="Lamivudine/Tenofovir Disoproxil Fumarate"/>
    <s v="Generic"/>
    <s v="300/300mg"/>
    <s v="Tablet - FDC"/>
    <n v="30"/>
    <n v="26940"/>
    <n v="126618"/>
    <n v="4.7"/>
    <n v="0.16"/>
    <n v="2517"/>
    <n v="11803.13"/>
    <n v="1"/>
    <x v="6"/>
  </r>
  <r>
    <n v="85359"/>
    <s v="SO-43872"/>
    <x v="1174"/>
    <x v="3"/>
    <s v="ARV"/>
    <s v="Pediatric"/>
    <s v="SCMS from RDC"/>
    <x v="1"/>
    <s v="N/A - From RDC"/>
    <s v="Truck"/>
    <m/>
    <d v="2013-06-28T00:00:00"/>
    <d v="2013-05-15T00:00:00"/>
    <d v="2013-05-15T00:00:00"/>
    <x v="57"/>
    <s v="Lamivudine/Nevirapine/Zidovudine"/>
    <s v="Generic"/>
    <s v="30/50/60mg"/>
    <s v="Chewable/dispersible tablet - FDC"/>
    <n v="60"/>
    <n v="5861"/>
    <n v="24323.15"/>
    <n v="4.1500000000000004"/>
    <n v="7.0000000000000007E-2"/>
    <n v="345"/>
    <n v="3426.68"/>
    <n v="1"/>
    <x v="6"/>
  </r>
  <r>
    <n v="85362"/>
    <s v="SO-44760"/>
    <x v="1175"/>
    <x v="1"/>
    <s v="ARV"/>
    <s v="Pediatric"/>
    <s v="SCMS from RDC"/>
    <x v="1"/>
    <s v="N/A - From RDC"/>
    <s v="Air"/>
    <m/>
    <d v="2013-06-28T00:00:00"/>
    <d v="2013-05-24T00:00:00"/>
    <d v="2013-05-24T00:00:00"/>
    <x v="80"/>
    <s v="Zidovudine"/>
    <s v="Generic"/>
    <s v="10mg/ml"/>
    <s v="Oral solution"/>
    <n v="240"/>
    <n v="3000"/>
    <n v="6300"/>
    <n v="2.1"/>
    <n v="0.01"/>
    <n v="1151"/>
    <n v="7086.88"/>
    <n v="1"/>
    <x v="6"/>
  </r>
  <r>
    <n v="85381"/>
    <s v="SO-44992"/>
    <x v="1176"/>
    <x v="0"/>
    <s v="ARV"/>
    <s v="Pediatric"/>
    <s v="SCMS from RDC"/>
    <x v="1"/>
    <s v="N/A - From RDC"/>
    <s v="Truck"/>
    <m/>
    <d v="2013-09-11T00:00:00"/>
    <d v="2013-09-11T00:00:00"/>
    <d v="2013-09-11T00:00:00"/>
    <x v="76"/>
    <s v="Abacavir/Lamivudine"/>
    <s v="Generic"/>
    <s v="60/30mg"/>
    <s v="Tablet - FDC"/>
    <n v="60"/>
    <n v="578"/>
    <n v="2312"/>
    <n v="4"/>
    <n v="7.0000000000000007E-2"/>
    <n v="24"/>
    <n v="1506.5"/>
    <n v="1"/>
    <x v="6"/>
  </r>
  <r>
    <n v="85383"/>
    <s v="SO-44701"/>
    <x v="1117"/>
    <x v="5"/>
    <s v="ARV"/>
    <s v="Adult"/>
    <s v="SCMS from RDC"/>
    <x v="1"/>
    <s v="N/A - From RDC"/>
    <s v="Truck"/>
    <m/>
    <d v="2013-08-26T00:00:00"/>
    <d v="2013-08-26T00:00:00"/>
    <d v="2013-08-26T00:00:00"/>
    <x v="1"/>
    <s v="Lamivudine/Zidovudine"/>
    <s v="Generic"/>
    <s v="150/300mg"/>
    <s v="Tablet - FDC"/>
    <n v="60"/>
    <n v="240"/>
    <n v="1744.8"/>
    <n v="7.27"/>
    <n v="0.12"/>
    <m/>
    <m/>
    <n v="1"/>
    <x v="6"/>
  </r>
  <r>
    <n v="85384"/>
    <s v="SO-45970"/>
    <x v="1177"/>
    <x v="0"/>
    <s v="ARV"/>
    <s v="Adult"/>
    <s v="SCMS from RDC"/>
    <x v="1"/>
    <s v="N/A - From RDC"/>
    <s v="Air"/>
    <m/>
    <d v="2013-10-16T00:00:00"/>
    <d v="2013-09-05T00:00:00"/>
    <d v="2013-09-05T00:00:00"/>
    <x v="11"/>
    <s v="Lamivudine/Nevirapine/Zidovudine"/>
    <s v="Generic"/>
    <s v="150/300/200mg"/>
    <s v="Tablet - FDC"/>
    <n v="60"/>
    <n v="60000"/>
    <n v="495600"/>
    <n v="8.26"/>
    <n v="0.14000000000000001"/>
    <n v="7857"/>
    <n v="40857.69"/>
    <n v="1"/>
    <x v="6"/>
  </r>
  <r>
    <n v="85385"/>
    <s v="SO-45870"/>
    <x v="954"/>
    <x v="3"/>
    <s v="ARV"/>
    <s v="Adult"/>
    <s v="SCMS from RDC"/>
    <x v="1"/>
    <s v="N/A - From RDC"/>
    <s v="Air"/>
    <m/>
    <d v="2013-08-29T00:00:00"/>
    <d v="2013-09-13T00:00:00"/>
    <d v="2013-09-13T00:00:00"/>
    <x v="11"/>
    <s v="Lamivudine/Nevirapine/Zidovudine"/>
    <s v="Generic"/>
    <s v="150/300/200mg"/>
    <s v="Tablet - FDC"/>
    <n v="60"/>
    <n v="100000"/>
    <n v="858000"/>
    <n v="8.58"/>
    <n v="0.14000000000000001"/>
    <m/>
    <m/>
    <n v="0"/>
    <x v="6"/>
  </r>
  <r>
    <n v="85388"/>
    <s v="SO-45180"/>
    <x v="1178"/>
    <x v="6"/>
    <s v="ARV"/>
    <s v="Pediatric"/>
    <s v="SCMS from RDC"/>
    <x v="1"/>
    <s v="N/A - From RDC"/>
    <s v="Air"/>
    <m/>
    <d v="2013-07-09T00:00:00"/>
    <d v="2013-08-23T00:00:00"/>
    <d v="2013-08-23T00:00:00"/>
    <x v="67"/>
    <s v="Lamivudine"/>
    <s v="Generic"/>
    <s v="10mg/ml"/>
    <s v="Oral solution"/>
    <n v="240"/>
    <n v="927"/>
    <n v="1714.95"/>
    <n v="1.85"/>
    <n v="0.01"/>
    <n v="891"/>
    <n v="4674.58"/>
    <n v="0"/>
    <x v="6"/>
  </r>
  <r>
    <n v="85389"/>
    <s v="SO-45180"/>
    <x v="1178"/>
    <x v="6"/>
    <s v="ARV"/>
    <s v="Pediatric"/>
    <s v="SCMS from RDC"/>
    <x v="1"/>
    <s v="N/A - From RDC"/>
    <s v="Air"/>
    <m/>
    <d v="2013-07-09T00:00:00"/>
    <d v="2013-08-23T00:00:00"/>
    <d v="2013-08-23T00:00:00"/>
    <x v="80"/>
    <s v="Zidovudine"/>
    <s v="Generic"/>
    <s v="10mg/ml"/>
    <s v="Oral solution"/>
    <n v="240"/>
    <n v="1480"/>
    <n v="3108"/>
    <n v="2.1"/>
    <n v="0.01"/>
    <m/>
    <m/>
    <n v="0"/>
    <x v="6"/>
  </r>
  <r>
    <n v="85393"/>
    <s v="SO-45480"/>
    <x v="1179"/>
    <x v="3"/>
    <s v="ARV"/>
    <s v="Adult"/>
    <s v="SCMS from RDC"/>
    <x v="1"/>
    <s v="N/A - From RDC"/>
    <s v="Air"/>
    <m/>
    <d v="2013-09-05T00:00:00"/>
    <d v="2013-09-05T00:00:00"/>
    <d v="2013-09-05T00:00:00"/>
    <x v="11"/>
    <s v="Lamivudine/Nevirapine/Zidovudine"/>
    <s v="Generic"/>
    <s v="150/300/200mg"/>
    <s v="Tablet - FDC"/>
    <n v="60"/>
    <n v="50000"/>
    <n v="413000"/>
    <n v="8.26"/>
    <n v="0.14000000000000001"/>
    <n v="6481"/>
    <n v="36226.26"/>
    <n v="1"/>
    <x v="6"/>
  </r>
  <r>
    <n v="85394"/>
    <s v="SO-45460"/>
    <x v="1180"/>
    <x v="3"/>
    <s v="ARV"/>
    <s v="Adult"/>
    <s v="SCMS from RDC"/>
    <x v="1"/>
    <s v="N/A - From RDC"/>
    <s v="Air"/>
    <m/>
    <d v="2013-09-02T00:00:00"/>
    <d v="2013-09-02T00:00:00"/>
    <d v="2013-09-02T00:00:00"/>
    <x v="11"/>
    <s v="Lamivudine/Nevirapine/Zidovudine"/>
    <s v="Generic"/>
    <s v="150/300/200mg"/>
    <s v="Tablet - FDC"/>
    <n v="60"/>
    <n v="59680"/>
    <n v="512054.4"/>
    <n v="8.58"/>
    <n v="0.14000000000000001"/>
    <n v="9886"/>
    <n v="58707"/>
    <n v="1"/>
    <x v="6"/>
  </r>
  <r>
    <n v="85397"/>
    <s v="SO-45150"/>
    <x v="1181"/>
    <x v="6"/>
    <s v="ARV"/>
    <s v="Adult"/>
    <s v="SCMS from RDC"/>
    <x v="1"/>
    <s v="N/A - From RDC"/>
    <s v="Air"/>
    <m/>
    <d v="2013-08-30T00:00:00"/>
    <d v="2013-08-27T00:00:00"/>
    <d v="2013-08-27T00:00:00"/>
    <x v="70"/>
    <s v="Emtricitabine/Tenofovir Disoproxil Fumarate"/>
    <s v="Generic"/>
    <s v="200/300mg"/>
    <s v="Tablet - FDC"/>
    <n v="30"/>
    <n v="2562"/>
    <n v="15551.34"/>
    <n v="6.07"/>
    <n v="0.2"/>
    <n v="240"/>
    <n v="1634.38"/>
    <n v="1"/>
    <x v="6"/>
  </r>
  <r>
    <n v="85398"/>
    <s v="SO-44380"/>
    <x v="1182"/>
    <x v="0"/>
    <s v="ARV"/>
    <s v="Pediatric"/>
    <s v="SCMS from RDC"/>
    <x v="1"/>
    <s v="N/A - From RDC"/>
    <s v="Truck"/>
    <m/>
    <d v="2013-10-15T00:00:00"/>
    <d v="2013-09-05T00:00:00"/>
    <d v="2013-09-05T00:00:00"/>
    <x v="43"/>
    <s v="Nevirapine"/>
    <s v="Generic"/>
    <s v="10mg/ml"/>
    <s v="Oral suspension"/>
    <n v="240"/>
    <n v="14146"/>
    <n v="27584.7"/>
    <n v="1.95"/>
    <n v="0.01"/>
    <n v="5475"/>
    <n v="17114.5"/>
    <n v="1"/>
    <x v="6"/>
  </r>
  <r>
    <n v="85414"/>
    <s v="SO-46050"/>
    <x v="1183"/>
    <x v="6"/>
    <s v="ARV"/>
    <s v="Adult"/>
    <s v="SCMS from RDC"/>
    <x v="1"/>
    <s v="N/A - From RDC"/>
    <s v="Air"/>
    <m/>
    <d v="2013-12-29T00:00:00"/>
    <d v="2013-11-20T00:00:00"/>
    <d v="2013-11-27T00:00:00"/>
    <x v="46"/>
    <s v="Efavirenz/Lamivudine/Tenofovir Disoproxil Fumarate"/>
    <s v="Generic"/>
    <s v="600/300/300mg"/>
    <s v="Tablet - FDC"/>
    <n v="30"/>
    <n v="6120"/>
    <n v="68238"/>
    <n v="11.15"/>
    <n v="0.37"/>
    <n v="820"/>
    <n v="4581.26"/>
    <n v="1"/>
    <x v="6"/>
  </r>
  <r>
    <n v="85415"/>
    <s v="SO-45570"/>
    <x v="1184"/>
    <x v="3"/>
    <s v="ARV"/>
    <s v="Adult"/>
    <s v="SCMS from RDC"/>
    <x v="1"/>
    <s v="N/A - From RDC"/>
    <s v="Truck"/>
    <m/>
    <d v="2013-11-29T00:00:00"/>
    <d v="2013-11-13T00:00:00"/>
    <d v="2013-11-27T00:00:00"/>
    <x v="9"/>
    <s v="Abacavir"/>
    <s v="Generic"/>
    <s v="300mg"/>
    <s v="Tablet"/>
    <n v="60"/>
    <n v="990"/>
    <n v="11345.4"/>
    <n v="11.46"/>
    <n v="0.19"/>
    <n v="597"/>
    <n v="2279.5"/>
    <n v="1"/>
    <x v="6"/>
  </r>
  <r>
    <n v="85419"/>
    <s v="SO-46680"/>
    <x v="856"/>
    <x v="0"/>
    <s v="ARV"/>
    <s v="Adult"/>
    <s v="SCMS from RDC"/>
    <x v="1"/>
    <s v="N/A - From RDC"/>
    <s v="Truck"/>
    <m/>
    <d v="2013-12-26T00:00:00"/>
    <d v="2013-12-16T00:00:00"/>
    <d v="2014-01-17T00:00:00"/>
    <x v="0"/>
    <s v="Nevirapine"/>
    <s v="Generic"/>
    <s v="200mg"/>
    <s v="Tablet"/>
    <n v="60"/>
    <n v="72518"/>
    <n v="163890.68"/>
    <n v="2.2599999999999998"/>
    <n v="0.04"/>
    <m/>
    <m/>
    <n v="1"/>
    <x v="7"/>
  </r>
  <r>
    <n v="85420"/>
    <s v="SO-45993"/>
    <x v="1185"/>
    <x v="0"/>
    <s v="ARV"/>
    <s v="Pediatric"/>
    <s v="SCMS from RDC"/>
    <x v="1"/>
    <s v="N/A - From RDC"/>
    <s v="Truck"/>
    <m/>
    <d v="2013-12-31T00:00:00"/>
    <d v="2014-01-09T00:00:00"/>
    <d v="2014-01-31T00:00:00"/>
    <x v="57"/>
    <s v="Lamivudine/Nevirapine/Zidovudine"/>
    <s v="Generic"/>
    <s v="30/50/60mg"/>
    <s v="Chewable/dispersible tablet - FDC"/>
    <n v="60"/>
    <n v="50000"/>
    <n v="194500"/>
    <n v="3.89"/>
    <n v="0.06"/>
    <n v="2791"/>
    <n v="10167.540000000001"/>
    <n v="0"/>
    <x v="7"/>
  </r>
  <r>
    <n v="85427"/>
    <s v="SO-45741"/>
    <x v="857"/>
    <x v="0"/>
    <s v="ARV"/>
    <s v="Adult"/>
    <s v="SCMS from RDC"/>
    <x v="1"/>
    <s v="N/A - From RDC"/>
    <s v="Truck"/>
    <m/>
    <d v="2014-01-31T00:00:00"/>
    <d v="2014-01-20T00:00:00"/>
    <d v="2014-01-29T00:00:00"/>
    <x v="46"/>
    <s v="Efavirenz/Lamivudine/Tenofovir Disoproxil Fumarate"/>
    <s v="Generic"/>
    <s v="600/300/300mg"/>
    <s v="Tablet - FDC"/>
    <n v="30"/>
    <n v="5531"/>
    <n v="61670.65"/>
    <n v="11.15"/>
    <n v="0.37"/>
    <m/>
    <m/>
    <n v="1"/>
    <x v="7"/>
  </r>
  <r>
    <n v="85430"/>
    <s v="SO-46020"/>
    <x v="1051"/>
    <x v="6"/>
    <s v="ARV"/>
    <s v="Adult"/>
    <s v="SCMS from RDC"/>
    <x v="1"/>
    <s v="N/A - From RDC"/>
    <s v="Air"/>
    <m/>
    <d v="2013-11-15T00:00:00"/>
    <d v="2013-11-22T00:00:00"/>
    <d v="2014-01-21T00:00:00"/>
    <x v="0"/>
    <s v="Nevirapine"/>
    <s v="Generic"/>
    <s v="200mg"/>
    <s v="Tablet"/>
    <n v="60"/>
    <n v="687"/>
    <n v="1552.62"/>
    <n v="2.2599999999999998"/>
    <n v="0.04"/>
    <m/>
    <m/>
    <n v="0"/>
    <x v="7"/>
  </r>
  <r>
    <n v="85432"/>
    <s v="SO-47110"/>
    <x v="1053"/>
    <x v="5"/>
    <s v="ARV"/>
    <s v="Pediatric"/>
    <s v="SCMS from RDC"/>
    <x v="1"/>
    <s v="N/A - From RDC"/>
    <s v="Air"/>
    <m/>
    <d v="2014-01-22T00:00:00"/>
    <d v="2014-02-11T00:00:00"/>
    <d v="2014-02-13T00:00:00"/>
    <x v="51"/>
    <s v="Efavirenz"/>
    <s v="Generic"/>
    <s v="200mg"/>
    <s v="Tablet"/>
    <n v="90"/>
    <n v="66"/>
    <n v="613.79999999999995"/>
    <n v="9.3000000000000007"/>
    <n v="0.1"/>
    <m/>
    <m/>
    <n v="0"/>
    <x v="7"/>
  </r>
  <r>
    <n v="85438"/>
    <s v="SO-46881"/>
    <x v="1186"/>
    <x v="3"/>
    <s v="ARV"/>
    <s v="Adult"/>
    <s v="SCMS from RDC"/>
    <x v="1"/>
    <s v="N/A - From RDC"/>
    <s v="Air"/>
    <m/>
    <d v="2014-02-28T00:00:00"/>
    <d v="2014-02-21T00:00:00"/>
    <d v="2014-04-04T00:00:00"/>
    <x v="0"/>
    <s v="Nevirapine"/>
    <s v="Generic"/>
    <s v="200mg"/>
    <s v="Tablet"/>
    <n v="60"/>
    <n v="23819"/>
    <n v="53830.94"/>
    <n v="2.2599999999999998"/>
    <n v="0.04"/>
    <n v="1447"/>
    <n v="8854.24"/>
    <n v="1"/>
    <x v="7"/>
  </r>
  <r>
    <n v="85448"/>
    <s v="SO-46480"/>
    <x v="863"/>
    <x v="1"/>
    <s v="ARV"/>
    <s v="Adult"/>
    <s v="SCMS from RDC"/>
    <x v="1"/>
    <s v="N/A - From RDC"/>
    <s v="Truck"/>
    <m/>
    <d v="2014-03-28T00:00:00"/>
    <d v="2014-04-02T00:00:00"/>
    <d v="2014-04-14T00:00:00"/>
    <x v="39"/>
    <s v="Lamivudine/Tenofovir Disoproxil Fumarate"/>
    <s v="Generic"/>
    <s v="300/300mg"/>
    <s v="Tablet - FDC"/>
    <n v="30"/>
    <n v="36406"/>
    <n v="171108.2"/>
    <n v="4.7"/>
    <n v="0.16"/>
    <m/>
    <m/>
    <n v="0"/>
    <x v="7"/>
  </r>
  <r>
    <n v="85457"/>
    <s v="SO-47653"/>
    <x v="1187"/>
    <x v="0"/>
    <s v="ARV"/>
    <s v="Adult"/>
    <s v="SCMS from RDC"/>
    <x v="1"/>
    <s v="N/A - From RDC"/>
    <s v="Truck"/>
    <m/>
    <d v="2014-06-30T00:00:00"/>
    <d v="2014-08-15T00:00:00"/>
    <d v="2014-09-08T00:00:00"/>
    <x v="45"/>
    <s v="Efavirenz/Emtricitabine/Tenofovir Disoproxil Fumarate"/>
    <s v="Generic"/>
    <s v="600/200/300mg"/>
    <s v="Tablet - FDC"/>
    <n v="30"/>
    <n v="76134"/>
    <n v="905233.26"/>
    <n v="11.89"/>
    <n v="0.4"/>
    <n v="9400"/>
    <n v="43758.8"/>
    <n v="0"/>
    <x v="7"/>
  </r>
  <r>
    <n v="85461"/>
    <s v="SO-48290"/>
    <x v="1188"/>
    <x v="0"/>
    <s v="ARV"/>
    <s v="Adult"/>
    <s v="SCMS from RDC"/>
    <x v="1"/>
    <s v="N/A - From RDC"/>
    <s v="Truck"/>
    <m/>
    <d v="2014-09-15T00:00:00"/>
    <d v="2014-09-25T00:00:00"/>
    <d v="2014-11-07T00:00:00"/>
    <x v="70"/>
    <s v="Emtricitabine/Tenofovir Disoproxil Fumarate"/>
    <s v="Generic"/>
    <s v="200/300mg"/>
    <s v="Tablet - FDC"/>
    <n v="30"/>
    <n v="1542"/>
    <n v="8851.08"/>
    <n v="5.74"/>
    <n v="0.19"/>
    <n v="9400"/>
    <n v="2317.16"/>
    <n v="0"/>
    <x v="7"/>
  </r>
  <r>
    <n v="85468"/>
    <s v="SO-46873"/>
    <x v="1189"/>
    <x v="3"/>
    <s v="ARV"/>
    <s v="Adult"/>
    <s v="SCMS from RDC"/>
    <x v="1"/>
    <s v="N/A - From RDC"/>
    <s v="Truck"/>
    <m/>
    <d v="2014-05-20T00:00:00"/>
    <d v="2014-05-08T00:00:00"/>
    <d v="2014-06-13T00:00:00"/>
    <x v="1"/>
    <s v="Lamivudine/Zidovudine"/>
    <s v="Generic"/>
    <s v="150/300mg"/>
    <s v="Tablet - FDC"/>
    <n v="60"/>
    <n v="114630"/>
    <n v="771459.9"/>
    <n v="6.73"/>
    <n v="0.11"/>
    <n v="10166"/>
    <n v="4909.97"/>
    <n v="1"/>
    <x v="7"/>
  </r>
  <r>
    <n v="85472"/>
    <s v="SO-47651"/>
    <x v="1190"/>
    <x v="0"/>
    <s v="ARV"/>
    <s v="Adult"/>
    <s v="SCMS from RDC"/>
    <x v="1"/>
    <s v="N/A - From RDC"/>
    <s v="Truck"/>
    <m/>
    <d v="2014-06-30T00:00:00"/>
    <d v="2014-06-24T00:00:00"/>
    <d v="2014-08-21T00:00:00"/>
    <x v="45"/>
    <s v="Efavirenz/Emtricitabine/Tenofovir Disoproxil Fumarate"/>
    <s v="Generic"/>
    <s v="600/200/300mg"/>
    <s v="Tablet - FDC"/>
    <n v="30"/>
    <n v="50000"/>
    <n v="594500"/>
    <n v="11.89"/>
    <n v="0.4"/>
    <n v="5446"/>
    <n v="27804.65"/>
    <n v="1"/>
    <x v="7"/>
  </r>
  <r>
    <n v="85474"/>
    <s v="SO-45743"/>
    <x v="1191"/>
    <x v="0"/>
    <s v="ARV"/>
    <s v="Adult"/>
    <s v="SCMS from RDC"/>
    <x v="1"/>
    <s v="N/A - From RDC"/>
    <s v="Truck"/>
    <m/>
    <d v="2014-06-01T00:00:00"/>
    <d v="2014-06-05T00:00:00"/>
    <d v="2014-06-12T00:00:00"/>
    <x v="46"/>
    <s v="Efavirenz/Lamivudine/Tenofovir Disoproxil Fumarate"/>
    <s v="Generic"/>
    <s v="600/300/300mg"/>
    <s v="Tablet - FDC"/>
    <n v="30"/>
    <n v="151208"/>
    <n v="1590708.16"/>
    <n v="10.52"/>
    <n v="0.35"/>
    <n v="20501"/>
    <n v="13765.17"/>
    <n v="0"/>
    <x v="7"/>
  </r>
  <r>
    <n v="85480"/>
    <s v="SO-46871"/>
    <x v="1192"/>
    <x v="3"/>
    <s v="ARV"/>
    <s v="Adult"/>
    <s v="SCMS from RDC"/>
    <x v="1"/>
    <s v="N/A - From RDC"/>
    <s v="Truck"/>
    <m/>
    <d v="2014-06-30T00:00:00"/>
    <d v="2014-06-30T00:00:00"/>
    <d v="2014-07-01T00:00:00"/>
    <x v="11"/>
    <s v="Lamivudine/Nevirapine/Zidovudine"/>
    <s v="Generic"/>
    <s v="150/300/200mg"/>
    <s v="Tablet - FDC"/>
    <n v="60"/>
    <n v="212934"/>
    <n v="1758834.84"/>
    <n v="8.26"/>
    <n v="0.14000000000000001"/>
    <n v="27953"/>
    <n v="19248.7"/>
    <n v="1"/>
    <x v="7"/>
  </r>
  <r>
    <n v="85499"/>
    <s v="SO-48600"/>
    <x v="1193"/>
    <x v="6"/>
    <s v="ARV"/>
    <s v="Adult"/>
    <s v="SCMS from RDC"/>
    <x v="1"/>
    <s v="N/A - From RDC"/>
    <s v="Air"/>
    <m/>
    <d v="2014-08-30T00:00:00"/>
    <d v="2014-09-05T00:00:00"/>
    <d v="2014-09-18T00:00:00"/>
    <x v="47"/>
    <s v="Lopinavir/Ritonavir"/>
    <s v="Generic"/>
    <s v="200/50mg"/>
    <s v="Tablet"/>
    <n v="120"/>
    <n v="200"/>
    <n v="4008"/>
    <n v="20.04"/>
    <n v="0.17"/>
    <n v="53"/>
    <n v="1621.53"/>
    <n v="0"/>
    <x v="7"/>
  </r>
  <r>
    <n v="85500"/>
    <s v="SO-48771"/>
    <x v="1194"/>
    <x v="1"/>
    <s v="ARV"/>
    <s v="Pediatric"/>
    <s v="SCMS from RDC"/>
    <x v="1"/>
    <s v="N/A - From RDC"/>
    <s v="Truck"/>
    <m/>
    <d v="2014-09-30T00:00:00"/>
    <d v="2014-07-16T00:00:00"/>
    <d v="2014-07-21T00:00:00"/>
    <x v="76"/>
    <s v="Abacavir/Lamivudine"/>
    <s v="Generic"/>
    <s v="60/30mg"/>
    <s v="Tablet - FDC"/>
    <n v="60"/>
    <n v="1419"/>
    <n v="6385.5"/>
    <n v="4.5"/>
    <n v="0.08"/>
    <n v="71"/>
    <n v="961.06"/>
    <n v="1"/>
    <x v="7"/>
  </r>
  <r>
    <n v="85503"/>
    <s v="SO-46675"/>
    <x v="1195"/>
    <x v="0"/>
    <s v="ARV"/>
    <s v="Pediatric"/>
    <s v="SCMS from RDC"/>
    <x v="1"/>
    <s v="N/A - From RDC"/>
    <s v="Truck"/>
    <m/>
    <d v="2014-08-29T00:00:00"/>
    <d v="2014-09-23T00:00:00"/>
    <d v="2014-11-24T00:00:00"/>
    <x v="57"/>
    <s v="Lamivudine/Nevirapine/Zidovudine"/>
    <s v="Generic"/>
    <s v="30/50/60mg"/>
    <s v="Chewable/dispersible tablet - FDC"/>
    <n v="60"/>
    <n v="17000"/>
    <n v="63410"/>
    <n v="3.73"/>
    <n v="0.06"/>
    <n v="931"/>
    <n v="6002"/>
    <n v="0"/>
    <x v="7"/>
  </r>
  <r>
    <n v="85520"/>
    <s v="SO-46702"/>
    <x v="1196"/>
    <x v="0"/>
    <s v="ARV"/>
    <s v="Pediatric"/>
    <s v="SCMS from RDC"/>
    <x v="1"/>
    <s v="N/A - From RDC"/>
    <s v="Truck"/>
    <m/>
    <d v="2014-08-29T00:00:00"/>
    <d v="2014-09-29T00:00:00"/>
    <d v="2014-10-06T00:00:00"/>
    <x v="57"/>
    <s v="Lamivudine/Nevirapine/Zidovudine"/>
    <s v="Generic"/>
    <s v="30/50/60mg"/>
    <s v="Chewable/dispersible tablet - FDC"/>
    <n v="60"/>
    <n v="57859"/>
    <n v="215814.07"/>
    <n v="3.73"/>
    <n v="0.06"/>
    <n v="3090"/>
    <n v="17858.3"/>
    <n v="0"/>
    <x v="7"/>
  </r>
  <r>
    <n v="85527"/>
    <s v="SO-47960"/>
    <x v="1197"/>
    <x v="0"/>
    <s v="ARV"/>
    <s v="Adult"/>
    <s v="SCMS from RDC"/>
    <x v="1"/>
    <s v="N/A - From RDC"/>
    <s v="Truck"/>
    <m/>
    <d v="2014-11-03T00:00:00"/>
    <d v="2014-10-28T00:00:00"/>
    <d v="2014-10-31T00:00:00"/>
    <x v="9"/>
    <s v="Abacavir"/>
    <s v="Generic"/>
    <s v="300mg"/>
    <s v="Tablet"/>
    <n v="60"/>
    <n v="2469"/>
    <n v="27726.87"/>
    <n v="11.23"/>
    <n v="0.19"/>
    <n v="230"/>
    <n v="1163.2"/>
    <n v="1"/>
    <x v="7"/>
  </r>
  <r>
    <n v="85529"/>
    <s v="SO-47650"/>
    <x v="1198"/>
    <x v="0"/>
    <s v="ARV"/>
    <s v="Adult"/>
    <s v="SCMS from RDC"/>
    <x v="1"/>
    <s v="N/A - From RDC"/>
    <s v="Truck"/>
    <m/>
    <d v="2014-11-03T00:00:00"/>
    <d v="2014-10-17T00:00:00"/>
    <d v="2014-11-07T00:00:00"/>
    <x v="45"/>
    <s v="Efavirenz/Emtricitabine/Tenofovir Disoproxil Fumarate"/>
    <s v="Generic"/>
    <s v="600/200/300mg"/>
    <s v="Tablet - FDC"/>
    <n v="30"/>
    <n v="17851"/>
    <n v="212248.39"/>
    <n v="11.89"/>
    <n v="0.4"/>
    <n v="2117"/>
    <n v="1663.18"/>
    <n v="1"/>
    <x v="7"/>
  </r>
  <r>
    <n v="85530"/>
    <s v="SO-48960"/>
    <x v="1199"/>
    <x v="3"/>
    <s v="ARV"/>
    <s v="Adult"/>
    <s v="SCMS from RDC"/>
    <x v="1"/>
    <s v="N/A - From RDC"/>
    <s v="Air"/>
    <m/>
    <d v="2014-09-30T00:00:00"/>
    <d v="2014-10-01T00:00:00"/>
    <d v="2014-10-21T00:00:00"/>
    <x v="62"/>
    <s v="Abacavir/Lamivudine"/>
    <s v="Generic"/>
    <s v="600/300mg"/>
    <s v="Tablet - FDC"/>
    <n v="30"/>
    <n v="3273"/>
    <n v="44250.96"/>
    <n v="13.52"/>
    <n v="0.45"/>
    <n v="389"/>
    <n v="2786.61"/>
    <n v="0"/>
    <x v="7"/>
  </r>
  <r>
    <n v="85534"/>
    <s v="SO-47655"/>
    <x v="1200"/>
    <x v="0"/>
    <s v="ARV"/>
    <s v="Pediatric"/>
    <s v="SCMS from RDC"/>
    <x v="1"/>
    <s v="N/A - From RDC"/>
    <s v="Truck"/>
    <m/>
    <d v="2014-11-28T00:00:00"/>
    <d v="2014-11-19T00:00:00"/>
    <d v="2014-11-20T00:00:00"/>
    <x v="42"/>
    <s v="Lamivudine/Zidovudine"/>
    <s v="Generic"/>
    <s v="30/60mg"/>
    <s v="Chewable/dispersible tablet - FDC"/>
    <n v="60"/>
    <n v="34374"/>
    <n v="73904.100000000006"/>
    <n v="2.15"/>
    <n v="0.04"/>
    <n v="2346"/>
    <n v="1462.81"/>
    <n v="1"/>
    <x v="7"/>
  </r>
  <r>
    <n v="85541"/>
    <s v="SO-49020"/>
    <x v="1201"/>
    <x v="3"/>
    <s v="ARV"/>
    <s v="Adult"/>
    <s v="SCMS from RDC"/>
    <x v="1"/>
    <s v="N/A - From RDC"/>
    <s v="Truck"/>
    <m/>
    <d v="2014-10-31T00:00:00"/>
    <d v="2014-11-25T00:00:00"/>
    <d v="2014-11-28T00:00:00"/>
    <x v="62"/>
    <s v="Abacavir/Lamivudine"/>
    <s v="Generic"/>
    <s v="600/300mg"/>
    <s v="Tablet - FDC"/>
    <n v="30"/>
    <n v="5403"/>
    <n v="73048.56"/>
    <n v="13.52"/>
    <n v="0.45"/>
    <n v="490"/>
    <n v="2016.1"/>
    <n v="0"/>
    <x v="7"/>
  </r>
  <r>
    <n v="85566"/>
    <s v="SO-50270"/>
    <x v="769"/>
    <x v="6"/>
    <s v="ARV"/>
    <s v="Pediatric"/>
    <s v="SCMS from RDC"/>
    <x v="1"/>
    <s v="N/A - From RDC"/>
    <s v="Air"/>
    <m/>
    <d v="2015-02-27T00:00:00"/>
    <d v="2015-02-28T00:00:00"/>
    <d v="2015-03-05T00:00:00"/>
    <x v="42"/>
    <s v="Lamivudine/Zidovudine"/>
    <s v="Generic"/>
    <s v="30/60mg"/>
    <s v="Chewable/dispersible tablet - FDC"/>
    <n v="60"/>
    <n v="325"/>
    <n v="646.75"/>
    <n v="1.99"/>
    <n v="0.03"/>
    <m/>
    <m/>
    <n v="0"/>
    <x v="8"/>
  </r>
  <r>
    <n v="85567"/>
    <s v="SO-48810"/>
    <x v="770"/>
    <x v="1"/>
    <s v="ARV"/>
    <s v="Adult"/>
    <s v="SCMS from RDC"/>
    <x v="1"/>
    <s v="N/A - From RDC"/>
    <s v="Truck"/>
    <m/>
    <d v="2015-03-31T00:00:00"/>
    <d v="2015-03-24T00:00:00"/>
    <d v="2015-03-24T00:00:00"/>
    <x v="39"/>
    <s v="Lamivudine/Tenofovir Disoproxil Fumarate"/>
    <s v="Generic"/>
    <s v="300/300mg"/>
    <s v="Tablet - FDC"/>
    <n v="30"/>
    <n v="13653"/>
    <n v="62667.27"/>
    <n v="4.59"/>
    <n v="0.15"/>
    <m/>
    <m/>
    <n v="1"/>
    <x v="8"/>
  </r>
  <r>
    <n v="85572"/>
    <s v="SO-50280"/>
    <x v="1071"/>
    <x v="6"/>
    <s v="ARV"/>
    <s v="Adult"/>
    <s v="SCMS from RDC"/>
    <x v="1"/>
    <s v="N/A - From RDC"/>
    <s v="Air"/>
    <m/>
    <d v="2015-05-29T00:00:00"/>
    <d v="2015-03-25T00:00:00"/>
    <d v="2015-03-30T00:00:00"/>
    <x v="39"/>
    <s v="Lamivudine/Tenofovir Disoproxil Fumarate"/>
    <s v="Generic"/>
    <s v="300/300mg"/>
    <s v="Tablet - FDC"/>
    <n v="30"/>
    <n v="240"/>
    <n v="1101.5999999999999"/>
    <n v="4.59"/>
    <n v="0.15"/>
    <m/>
    <m/>
    <n v="1"/>
    <x v="8"/>
  </r>
  <r>
    <n v="85580"/>
    <s v="SO-50711"/>
    <x v="1202"/>
    <x v="1"/>
    <s v="ARV"/>
    <s v="Pediatric"/>
    <s v="SCMS from RDC"/>
    <x v="1"/>
    <s v="N/A - From RDC"/>
    <s v="Truck"/>
    <m/>
    <d v="2015-04-06T00:00:00"/>
    <d v="2015-04-20T00:00:00"/>
    <d v="2015-04-20T00:00:00"/>
    <x v="24"/>
    <s v="Abacavir"/>
    <s v="Generic"/>
    <s v="20mg/ml"/>
    <s v="Oral solution"/>
    <n v="240"/>
    <n v="2966"/>
    <n v="20257.78"/>
    <n v="6.83"/>
    <n v="0.03"/>
    <n v="1067"/>
    <n v="6310.4"/>
    <n v="0"/>
    <x v="8"/>
  </r>
  <r>
    <n v="85584"/>
    <s v="SO-50290"/>
    <x v="987"/>
    <x v="6"/>
    <s v="ARV"/>
    <s v="Pediatric"/>
    <s v="SCMS from RDC"/>
    <x v="1"/>
    <s v="N/A - From RDC"/>
    <s v="Air"/>
    <m/>
    <d v="2015-06-30T00:00:00"/>
    <d v="2015-04-22T00:00:00"/>
    <d v="2015-04-23T00:00:00"/>
    <x v="42"/>
    <s v="Lamivudine/Zidovudine"/>
    <s v="Generic"/>
    <s v="30/60mg"/>
    <s v="Chewable/dispersible tablet - FDC"/>
    <n v="60"/>
    <n v="164"/>
    <n v="314.88"/>
    <n v="1.92"/>
    <n v="0.03"/>
    <m/>
    <m/>
    <n v="1"/>
    <x v="8"/>
  </r>
  <r>
    <n v="85585"/>
    <s v="SO-50290"/>
    <x v="987"/>
    <x v="6"/>
    <s v="ARV"/>
    <s v="Adult"/>
    <s v="SCMS from RDC"/>
    <x v="1"/>
    <s v="N/A - From RDC"/>
    <s v="Air"/>
    <m/>
    <d v="2015-06-30T00:00:00"/>
    <d v="2015-04-22T00:00:00"/>
    <d v="2015-04-23T00:00:00"/>
    <x v="39"/>
    <s v="Lamivudine/Tenofovir Disoproxil Fumarate"/>
    <s v="Generic"/>
    <s v="300/300mg"/>
    <s v="Tablet - FDC"/>
    <n v="30"/>
    <n v="240"/>
    <n v="1101.5999999999999"/>
    <n v="4.59"/>
    <n v="0.15"/>
    <m/>
    <m/>
    <n v="1"/>
    <x v="8"/>
  </r>
  <r>
    <n v="85586"/>
    <s v="SO-50080"/>
    <x v="773"/>
    <x v="3"/>
    <s v="ARV"/>
    <s v="Adult"/>
    <s v="SCMS from RDC"/>
    <x v="1"/>
    <s v="N/A - From RDC"/>
    <s v="Truck"/>
    <m/>
    <d v="2015-04-30T00:00:00"/>
    <d v="2015-04-22T00:00:00"/>
    <d v="2015-04-24T00:00:00"/>
    <x v="46"/>
    <s v="Efavirenz/Lamivudine/Tenofovir Disoproxil Fumarate"/>
    <s v="Generic"/>
    <s v="600/300/300mg"/>
    <s v="Tablet - FDC"/>
    <n v="30"/>
    <n v="101900"/>
    <n v="978240"/>
    <n v="9.6"/>
    <n v="0.32"/>
    <m/>
    <m/>
    <n v="1"/>
    <x v="8"/>
  </r>
  <r>
    <n v="85587"/>
    <s v="SO-50050"/>
    <x v="879"/>
    <x v="3"/>
    <s v="ARV"/>
    <s v="Adult"/>
    <s v="SCMS from RDC"/>
    <x v="1"/>
    <s v="N/A - From RDC"/>
    <s v="Truck"/>
    <m/>
    <d v="2015-06-15T00:00:00"/>
    <d v="2015-05-14T00:00:00"/>
    <d v="2015-05-15T00:00:00"/>
    <x v="0"/>
    <s v="Nevirapine"/>
    <s v="Generic"/>
    <s v="200mg"/>
    <s v="Tablet"/>
    <n v="60"/>
    <n v="79258"/>
    <n v="172782.44"/>
    <n v="2.1800000000000002"/>
    <n v="0.04"/>
    <m/>
    <m/>
    <n v="1"/>
    <x v="8"/>
  </r>
  <r>
    <n v="85599"/>
    <s v="SO-50720"/>
    <x v="1203"/>
    <x v="1"/>
    <s v="ARV"/>
    <s v="Adult"/>
    <s v="SCMS from RDC"/>
    <x v="1"/>
    <s v="N/A - From RDC"/>
    <s v="Truck"/>
    <m/>
    <d v="2015-06-30T00:00:00"/>
    <d v="2015-06-17T00:00:00"/>
    <d v="2015-06-29T00:00:00"/>
    <x v="46"/>
    <s v="Efavirenz/Lamivudine/Tenofovir Disoproxil Fumarate"/>
    <s v="Generic"/>
    <s v="600/300/300mg"/>
    <s v="Tablet - FDC"/>
    <n v="30"/>
    <n v="294399"/>
    <n v="2826230.4"/>
    <n v="9.6"/>
    <n v="0.32"/>
    <n v="33500"/>
    <m/>
    <n v="1"/>
    <x v="8"/>
  </r>
  <r>
    <n v="85601"/>
    <s v="SO-51460"/>
    <x v="881"/>
    <x v="5"/>
    <s v="ARV"/>
    <s v="Pediatric"/>
    <s v="SCMS from RDC"/>
    <x v="1"/>
    <s v="N/A - From RDC"/>
    <s v="Air"/>
    <m/>
    <d v="2015-06-25T00:00:00"/>
    <d v="2015-06-19T00:00:00"/>
    <d v="2015-06-23T00:00:00"/>
    <x v="57"/>
    <s v="Lamivudine/Nevirapine/Zidovudine"/>
    <s v="Generic"/>
    <s v="30/50/60mg"/>
    <s v="Chewable/dispersible tablet - FDC"/>
    <n v="60"/>
    <n v="4471"/>
    <n v="16095.6"/>
    <n v="3.6"/>
    <n v="0.06"/>
    <m/>
    <m/>
    <n v="1"/>
    <x v="8"/>
  </r>
  <r>
    <n v="85602"/>
    <s v="SO-51540"/>
    <x v="882"/>
    <x v="1"/>
    <s v="ARV"/>
    <s v="Adult"/>
    <s v="SCMS from RDC"/>
    <x v="1"/>
    <s v="N/A - From RDC"/>
    <s v="Air"/>
    <m/>
    <d v="2015-08-18T00:00:00"/>
    <d v="2015-08-06T00:00:00"/>
    <d v="2015-08-11T00:00:00"/>
    <x v="11"/>
    <s v="Lamivudine/Nevirapine/Zidovudine"/>
    <s v="Generic"/>
    <s v="150/300/200mg"/>
    <s v="Tablet - FDC"/>
    <n v="60"/>
    <n v="8998"/>
    <n v="72973.78"/>
    <n v="8.11"/>
    <n v="0.14000000000000001"/>
    <m/>
    <m/>
    <n v="1"/>
    <x v="8"/>
  </r>
  <r>
    <n v="85603"/>
    <s v="SO-51550"/>
    <x v="1204"/>
    <x v="1"/>
    <s v="ARV"/>
    <s v="Pediatric"/>
    <s v="SCMS from RDC"/>
    <x v="1"/>
    <s v="N/A - From RDC"/>
    <s v="Air"/>
    <m/>
    <d v="2015-09-30T00:00:00"/>
    <d v="2015-08-03T00:00:00"/>
    <d v="2015-08-11T00:00:00"/>
    <x v="79"/>
    <s v="Abacavir/Lamivudine"/>
    <s v="Generic"/>
    <s v="60/30mg"/>
    <s v="Chewable/dispersible tablet - FDC"/>
    <n v="60"/>
    <n v="28622"/>
    <n v="145685.98000000001"/>
    <n v="5.09"/>
    <n v="0.08"/>
    <m/>
    <m/>
    <n v="1"/>
    <x v="8"/>
  </r>
  <r>
    <n v="85628"/>
    <s v="SO-33010"/>
    <x v="661"/>
    <x v="3"/>
    <s v="ARV"/>
    <s v="Adult"/>
    <s v="SCMS from RDC"/>
    <x v="1"/>
    <s v="N/A - From RDC"/>
    <s v="Air"/>
    <m/>
    <d v="2009-10-08T00:00:00"/>
    <d v="2009-10-08T00:00:00"/>
    <d v="2009-10-08T00:00:00"/>
    <x v="39"/>
    <s v="Lamivudine/Tenofovir Disoproxil Fumarate"/>
    <s v="Generic"/>
    <s v="300/300mg"/>
    <s v="Tablet - FDC"/>
    <n v="30"/>
    <n v="280"/>
    <n v="2800"/>
    <n v="10"/>
    <n v="0.33"/>
    <m/>
    <m/>
    <n v="1"/>
    <x v="3"/>
  </r>
  <r>
    <n v="85629"/>
    <s v="SO-33180"/>
    <x v="1205"/>
    <x v="3"/>
    <s v="ARV"/>
    <s v="Adult"/>
    <s v="SCMS from RDC"/>
    <x v="1"/>
    <s v="N/A - From RDC"/>
    <s v="Air"/>
    <m/>
    <d v="2009-10-08T00:00:00"/>
    <d v="2009-10-08T00:00:00"/>
    <d v="2009-10-08T00:00:00"/>
    <x v="8"/>
    <s v="Efavirenz"/>
    <s v="Generic"/>
    <s v="600mg"/>
    <s v="Tablet"/>
    <n v="30"/>
    <n v="200"/>
    <n v="1370"/>
    <n v="6.85"/>
    <n v="0.23"/>
    <n v="18"/>
    <n v="1140.08"/>
    <n v="1"/>
    <x v="3"/>
  </r>
  <r>
    <n v="85633"/>
    <s v="SO-33860"/>
    <x v="778"/>
    <x v="3"/>
    <s v="ARV"/>
    <s v="Adult"/>
    <s v="SCMS from RDC"/>
    <x v="1"/>
    <s v="N/A - From RDC"/>
    <s v="Air"/>
    <m/>
    <d v="2009-12-03T00:00:00"/>
    <d v="2009-11-30T00:00:00"/>
    <d v="2009-11-30T00:00:00"/>
    <x v="1"/>
    <s v="Lamivudine/Zidovudine"/>
    <s v="Generic"/>
    <s v="150/300mg"/>
    <s v="Tablet - FDC"/>
    <n v="60"/>
    <n v="16577"/>
    <n v="145214.51999999999"/>
    <n v="8.76"/>
    <n v="0.15"/>
    <m/>
    <m/>
    <n v="1"/>
    <x v="3"/>
  </r>
  <r>
    <n v="85638"/>
    <s v="SO-34010"/>
    <x v="1140"/>
    <x v="3"/>
    <s v="ARV"/>
    <s v="Adult"/>
    <s v="SCMS from RDC"/>
    <x v="1"/>
    <s v="N/A - From RDC"/>
    <s v="Air"/>
    <m/>
    <d v="2009-11-30T00:00:00"/>
    <d v="2009-12-02T00:00:00"/>
    <d v="2009-12-02T00:00:00"/>
    <x v="1"/>
    <s v="Lamivudine/Zidovudine"/>
    <s v="Generic"/>
    <s v="150/300mg"/>
    <s v="Tablet - FDC"/>
    <n v="60"/>
    <n v="3360"/>
    <n v="29433.599999999999"/>
    <n v="8.76"/>
    <n v="0.15"/>
    <m/>
    <m/>
    <n v="0"/>
    <x v="3"/>
  </r>
  <r>
    <n v="85639"/>
    <s v="SO-34010"/>
    <x v="1140"/>
    <x v="3"/>
    <s v="ARV"/>
    <s v="Adult"/>
    <s v="SCMS from RDC"/>
    <x v="1"/>
    <s v="N/A - From RDC"/>
    <s v="Air"/>
    <m/>
    <d v="2009-11-30T00:00:00"/>
    <d v="2009-12-02T00:00:00"/>
    <d v="2009-12-02T00:00:00"/>
    <x v="0"/>
    <s v="Nevirapine"/>
    <s v="Generic"/>
    <s v="200mg"/>
    <s v="Tablet"/>
    <n v="60"/>
    <n v="2000"/>
    <n v="5800"/>
    <n v="2.9"/>
    <n v="0.05"/>
    <m/>
    <m/>
    <n v="0"/>
    <x v="3"/>
  </r>
  <r>
    <n v="85643"/>
    <s v="SO-34630"/>
    <x v="1206"/>
    <x v="3"/>
    <s v="ARV"/>
    <s v="Adult"/>
    <s v="SCMS from RDC"/>
    <x v="1"/>
    <s v="N/A - From RDC"/>
    <s v="Air"/>
    <m/>
    <d v="2010-01-15T00:00:00"/>
    <d v="2010-01-22T00:00:00"/>
    <d v="2010-01-22T00:00:00"/>
    <x v="11"/>
    <s v="Lamivudine/Nevirapine/Zidovudine"/>
    <s v="Generic"/>
    <s v="150/300/200mg"/>
    <s v="Tablet - FDC"/>
    <n v="60"/>
    <n v="5500"/>
    <n v="61710"/>
    <n v="11.22"/>
    <n v="0.19"/>
    <n v="708"/>
    <n v="2524"/>
    <n v="0"/>
    <x v="4"/>
  </r>
  <r>
    <n v="85648"/>
    <s v="SO-33880"/>
    <x v="1207"/>
    <x v="3"/>
    <s v="ARV"/>
    <s v="Adult"/>
    <s v="SCMS from RDC"/>
    <x v="1"/>
    <s v="N/A - From RDC"/>
    <s v="Air"/>
    <m/>
    <d v="2010-02-25T00:00:00"/>
    <d v="2010-01-15T00:00:00"/>
    <d v="2010-01-15T00:00:00"/>
    <x v="16"/>
    <s v="Lamivudine"/>
    <s v="Generic"/>
    <s v="150mg"/>
    <s v="Tablet"/>
    <n v="60"/>
    <n v="6985"/>
    <n v="17043.400000000001"/>
    <n v="2.44"/>
    <n v="0.04"/>
    <n v="336"/>
    <n v="2528.69"/>
    <n v="1"/>
    <x v="4"/>
  </r>
  <r>
    <n v="85649"/>
    <s v="SO-34780"/>
    <x v="1208"/>
    <x v="3"/>
    <s v="ARV"/>
    <s v="Adult"/>
    <s v="SCMS from RDC"/>
    <x v="1"/>
    <s v="N/A - From RDC"/>
    <s v="Air"/>
    <m/>
    <d v="2010-02-03T00:00:00"/>
    <d v="2010-02-03T00:00:00"/>
    <d v="2010-02-03T00:00:00"/>
    <x v="11"/>
    <s v="Lamivudine/Nevirapine/Zidovudine"/>
    <s v="Generic"/>
    <s v="150/300/200mg"/>
    <s v="Tablet - FDC"/>
    <n v="60"/>
    <n v="31000"/>
    <n v="351850"/>
    <n v="11.35"/>
    <n v="0.19"/>
    <n v="3941"/>
    <n v="42656.07"/>
    <n v="1"/>
    <x v="4"/>
  </r>
  <r>
    <n v="85651"/>
    <s v="SO-34080"/>
    <x v="1209"/>
    <x v="3"/>
    <s v="ARV"/>
    <s v="Adult"/>
    <s v="SCMS from RDC"/>
    <x v="1"/>
    <s v="N/A - From RDC"/>
    <s v="Truck"/>
    <m/>
    <d v="2010-03-19T00:00:00"/>
    <d v="2010-01-29T00:00:00"/>
    <d v="2010-01-29T00:00:00"/>
    <x v="0"/>
    <s v="Nevirapine"/>
    <s v="Generic"/>
    <s v="200mg"/>
    <s v="Tablet"/>
    <n v="60"/>
    <n v="5184"/>
    <n v="15033.6"/>
    <n v="2.9"/>
    <n v="0.05"/>
    <n v="507"/>
    <n v="1576.8"/>
    <n v="1"/>
    <x v="4"/>
  </r>
  <r>
    <n v="85654"/>
    <s v="SO-35870"/>
    <x v="664"/>
    <x v="3"/>
    <s v="ARV"/>
    <s v="Adult"/>
    <s v="SCMS from RDC"/>
    <x v="1"/>
    <s v="N/A - From RDC"/>
    <s v="Air"/>
    <m/>
    <d v="2010-03-18T00:00:00"/>
    <d v="2010-03-17T00:00:00"/>
    <d v="2010-03-17T00:00:00"/>
    <x v="1"/>
    <s v="Lamivudine/Zidovudine"/>
    <s v="Generic"/>
    <s v="150/300mg"/>
    <s v="Tablet - FDC"/>
    <n v="60"/>
    <n v="3000"/>
    <n v="26280"/>
    <n v="8.76"/>
    <n v="0.15"/>
    <m/>
    <m/>
    <n v="1"/>
    <x v="4"/>
  </r>
  <r>
    <n v="85669"/>
    <s v="SO-36240"/>
    <x v="1210"/>
    <x v="3"/>
    <s v="ARV"/>
    <s v="Adult"/>
    <s v="SCMS from RDC"/>
    <x v="1"/>
    <s v="N/A - From RDC"/>
    <s v="Air"/>
    <m/>
    <d v="2010-06-04T00:00:00"/>
    <d v="2010-04-15T00:00:00"/>
    <d v="2010-04-15T00:00:00"/>
    <x v="70"/>
    <s v="Emtricitabine/Tenofovir Disoproxil Fumarate"/>
    <s v="Generic"/>
    <s v="200/300mg"/>
    <s v="Tablet - FDC"/>
    <n v="30"/>
    <n v="1300"/>
    <n v="15275"/>
    <n v="11.75"/>
    <n v="0.39"/>
    <n v="105"/>
    <n v="2393.54"/>
    <n v="1"/>
    <x v="4"/>
  </r>
  <r>
    <n v="85676"/>
    <s v="SO-36050"/>
    <x v="1211"/>
    <x v="3"/>
    <s v="ARV"/>
    <s v="Adult"/>
    <s v="SCMS from RDC"/>
    <x v="1"/>
    <s v="N/A - From RDC"/>
    <s v="Air"/>
    <m/>
    <d v="2010-06-30T00:00:00"/>
    <d v="2010-06-22T00:00:00"/>
    <d v="2010-06-22T00:00:00"/>
    <x v="70"/>
    <s v="Emtricitabine/Tenofovir Disoproxil Fumarate"/>
    <s v="Generic"/>
    <s v="200/300mg"/>
    <s v="Tablet - FDC"/>
    <n v="30"/>
    <n v="6000"/>
    <n v="70500"/>
    <n v="11.75"/>
    <n v="0.39"/>
    <n v="493"/>
    <n v="7879.03"/>
    <n v="1"/>
    <x v="4"/>
  </r>
  <r>
    <n v="85680"/>
    <s v="SO-36041"/>
    <x v="1212"/>
    <x v="0"/>
    <s v="ARV"/>
    <s v="Adult"/>
    <s v="SCMS from RDC"/>
    <x v="1"/>
    <s v="N/A - From RDC"/>
    <s v="Air"/>
    <m/>
    <d v="2010-07-21T00:00:00"/>
    <d v="2010-07-08T00:00:00"/>
    <d v="2010-07-08T00:00:00"/>
    <x v="0"/>
    <s v="Nevirapine"/>
    <s v="Generic"/>
    <s v="200mg"/>
    <s v="Tablet"/>
    <n v="60"/>
    <n v="20124"/>
    <n v="54938.52"/>
    <n v="2.73"/>
    <n v="0.05"/>
    <n v="2262"/>
    <n v="10536.12"/>
    <n v="1"/>
    <x v="4"/>
  </r>
  <r>
    <n v="85693"/>
    <s v="SO-36070"/>
    <x v="897"/>
    <x v="3"/>
    <s v="ARV"/>
    <s v="Adult"/>
    <s v="SCMS from RDC"/>
    <x v="1"/>
    <s v="N/A - From RDC"/>
    <s v="Air"/>
    <m/>
    <d v="2010-08-04T00:00:00"/>
    <d v="2010-08-02T00:00:00"/>
    <d v="2010-08-02T00:00:00"/>
    <x v="1"/>
    <s v="Lamivudine/Zidovudine"/>
    <s v="Generic"/>
    <s v="150/300mg"/>
    <s v="Tablet - FDC"/>
    <n v="60"/>
    <n v="3000"/>
    <n v="26280"/>
    <n v="8.76"/>
    <n v="0.15"/>
    <m/>
    <m/>
    <n v="1"/>
    <x v="4"/>
  </r>
  <r>
    <n v="85702"/>
    <s v="SO-37260"/>
    <x v="1085"/>
    <x v="3"/>
    <s v="ARV"/>
    <s v="Adult"/>
    <s v="SCMS from RDC"/>
    <x v="1"/>
    <s v="N/A - From RDC"/>
    <s v="Air"/>
    <m/>
    <d v="2010-09-30T00:00:00"/>
    <d v="2010-08-23T00:00:00"/>
    <d v="2010-08-23T00:00:00"/>
    <x v="1"/>
    <s v="Lamivudine/Zidovudine"/>
    <s v="Generic"/>
    <s v="150/300mg"/>
    <s v="Tablet - FDC"/>
    <n v="60"/>
    <n v="2999"/>
    <n v="25641.45"/>
    <n v="8.5500000000000007"/>
    <n v="0.14000000000000001"/>
    <m/>
    <m/>
    <n v="1"/>
    <x v="4"/>
  </r>
  <r>
    <n v="85705"/>
    <s v="SO-36680"/>
    <x v="1213"/>
    <x v="2"/>
    <s v="ARV"/>
    <s v="Adult"/>
    <s v="SCMS from RDC"/>
    <x v="1"/>
    <s v="N/A - From RDC"/>
    <s v="Air"/>
    <m/>
    <d v="2010-09-15T00:00:00"/>
    <d v="2010-09-13T00:00:00"/>
    <d v="2010-09-13T00:00:00"/>
    <x v="16"/>
    <s v="Lamivudine"/>
    <s v="Generic"/>
    <s v="150mg"/>
    <s v="Tablet"/>
    <n v="60"/>
    <n v="1800"/>
    <n v="4194"/>
    <n v="2.33"/>
    <n v="0.04"/>
    <n v="74"/>
    <n v="530.36"/>
    <n v="1"/>
    <x v="4"/>
  </r>
  <r>
    <n v="85712"/>
    <s v="SO-37270"/>
    <x v="1214"/>
    <x v="3"/>
    <s v="ARV"/>
    <s v="Adult"/>
    <s v="SCMS from RDC"/>
    <x v="1"/>
    <s v="N/A - From RDC"/>
    <s v="Truck"/>
    <m/>
    <d v="2010-10-29T00:00:00"/>
    <d v="2010-10-15T00:00:00"/>
    <d v="2010-10-15T00:00:00"/>
    <x v="11"/>
    <s v="Lamivudine/Nevirapine/Zidovudine"/>
    <s v="Generic"/>
    <s v="150/300/200mg"/>
    <s v="Tablet - FDC"/>
    <n v="60"/>
    <n v="30000"/>
    <n v="336600"/>
    <n v="11.22"/>
    <n v="0.19"/>
    <n v="4050"/>
    <n v="15759.47"/>
    <n v="1"/>
    <x v="4"/>
  </r>
  <r>
    <n v="85714"/>
    <s v="SO-37180"/>
    <x v="1215"/>
    <x v="0"/>
    <s v="ARV"/>
    <s v="Adult"/>
    <s v="SCMS from RDC"/>
    <x v="1"/>
    <s v="N/A - From RDC"/>
    <s v="Truck"/>
    <m/>
    <d v="2010-11-30T00:00:00"/>
    <d v="2010-12-03T00:00:00"/>
    <d v="2010-12-03T00:00:00"/>
    <x v="0"/>
    <s v="Nevirapine"/>
    <s v="Generic"/>
    <s v="200mg"/>
    <s v="Tablet"/>
    <n v="60"/>
    <n v="110000"/>
    <n v="283800"/>
    <n v="2.58"/>
    <n v="0.04"/>
    <n v="12543"/>
    <n v="1979.75"/>
    <n v="0"/>
    <x v="4"/>
  </r>
  <r>
    <n v="85721"/>
    <s v="SO-37510"/>
    <x v="1216"/>
    <x v="3"/>
    <s v="ARV"/>
    <s v="Adult"/>
    <s v="SCMS from RDC"/>
    <x v="1"/>
    <s v="N/A - From RDC"/>
    <s v="Air"/>
    <m/>
    <d v="2010-11-26T00:00:00"/>
    <d v="2010-11-23T00:00:00"/>
    <d v="2010-11-23T00:00:00"/>
    <x v="11"/>
    <s v="Lamivudine/Nevirapine/Zidovudine"/>
    <s v="Generic"/>
    <s v="150/300/200mg"/>
    <s v="Tablet - FDC"/>
    <n v="60"/>
    <n v="115745"/>
    <n v="1298658.8999999999"/>
    <n v="11.22"/>
    <n v="0.19"/>
    <n v="15500"/>
    <n v="83195.98"/>
    <n v="1"/>
    <x v="4"/>
  </r>
  <r>
    <n v="85722"/>
    <s v="SO-37620"/>
    <x v="795"/>
    <x v="2"/>
    <s v="ARV"/>
    <s v="Adult"/>
    <s v="SCMS from RDC"/>
    <x v="1"/>
    <s v="N/A - From RDC"/>
    <s v="Air"/>
    <m/>
    <d v="2010-11-19T00:00:00"/>
    <d v="2010-11-08T00:00:00"/>
    <d v="2010-11-08T00:00:00"/>
    <x v="29"/>
    <s v="Zidovudine"/>
    <s v="Generic"/>
    <s v="300mg"/>
    <s v="Tablet"/>
    <n v="60"/>
    <n v="500"/>
    <n v="3605"/>
    <n v="7.21"/>
    <n v="0.12"/>
    <m/>
    <m/>
    <n v="1"/>
    <x v="4"/>
  </r>
  <r>
    <n v="85736"/>
    <s v="SO-36610"/>
    <x v="1152"/>
    <x v="0"/>
    <s v="ARV"/>
    <s v="Pediatric"/>
    <s v="SCMS from RDC"/>
    <x v="1"/>
    <s v="N/A - From RDC"/>
    <s v="Air"/>
    <m/>
    <d v="2011-02-28T00:00:00"/>
    <d v="2011-02-28T00:00:00"/>
    <d v="2011-02-28T00:00:00"/>
    <x v="28"/>
    <s v="Didanosine"/>
    <s v="Generic"/>
    <s v="100mg"/>
    <s v="Chewable/dispersible tablet"/>
    <n v="60"/>
    <n v="625"/>
    <n v="4825"/>
    <n v="7.72"/>
    <n v="0.13"/>
    <m/>
    <m/>
    <n v="1"/>
    <x v="9"/>
  </r>
  <r>
    <n v="85737"/>
    <s v="SO-37910"/>
    <x v="1217"/>
    <x v="0"/>
    <s v="ARV"/>
    <s v="Adult"/>
    <s v="SCMS from RDC"/>
    <x v="1"/>
    <s v="N/A - From RDC"/>
    <s v="Truck"/>
    <m/>
    <d v="2011-02-28T00:00:00"/>
    <d v="2011-02-28T00:00:00"/>
    <d v="2011-02-28T00:00:00"/>
    <x v="0"/>
    <s v="Nevirapine"/>
    <s v="Generic"/>
    <s v="200mg"/>
    <s v="Tablet"/>
    <n v="60"/>
    <n v="36576"/>
    <n v="94366.080000000002"/>
    <n v="2.58"/>
    <n v="0.04"/>
    <n v="4145"/>
    <n v="1647"/>
    <n v="1"/>
    <x v="9"/>
  </r>
  <r>
    <n v="85746"/>
    <s v="SO-38430"/>
    <x v="1218"/>
    <x v="2"/>
    <s v="ARV"/>
    <s v="Adult"/>
    <s v="SCMS from RDC"/>
    <x v="1"/>
    <s v="N/A - From RDC"/>
    <s v="Air"/>
    <m/>
    <d v="2011-03-10T00:00:00"/>
    <d v="2011-03-11T00:00:00"/>
    <d v="2011-03-11T00:00:00"/>
    <x v="14"/>
    <s v="Lopinavir/Ritonavir"/>
    <s v="Aluvia"/>
    <s v="200/50mg"/>
    <s v="Tablet"/>
    <n v="120"/>
    <n v="2680"/>
    <n v="96908.800000000003"/>
    <n v="36.159999999999997"/>
    <n v="0.3"/>
    <n v="549"/>
    <n v="3600.65"/>
    <n v="0"/>
    <x v="9"/>
  </r>
  <r>
    <n v="85747"/>
    <s v="SO-38880"/>
    <x v="1219"/>
    <x v="3"/>
    <s v="ARV"/>
    <s v="Adult"/>
    <s v="SCMS from RDC"/>
    <x v="1"/>
    <s v="N/A - From RDC"/>
    <s v="Air"/>
    <m/>
    <d v="2011-03-11T00:00:00"/>
    <d v="2011-03-22T00:00:00"/>
    <d v="2011-03-22T00:00:00"/>
    <x v="29"/>
    <s v="Zidovudine"/>
    <s v="Generic"/>
    <s v="300mg"/>
    <s v="Tablet"/>
    <n v="60"/>
    <n v="10000"/>
    <n v="72100"/>
    <n v="7.21"/>
    <n v="0.12"/>
    <n v="1108"/>
    <n v="10648.62"/>
    <n v="0"/>
    <x v="9"/>
  </r>
  <r>
    <n v="85761"/>
    <s v="SO-39660"/>
    <x v="1220"/>
    <x v="3"/>
    <s v="ARV"/>
    <s v="Pediatric"/>
    <s v="SCMS from RDC"/>
    <x v="1"/>
    <s v="N/A - From RDC"/>
    <s v="Air"/>
    <m/>
    <d v="2011-06-15T00:00:00"/>
    <d v="2011-05-31T00:00:00"/>
    <d v="2011-05-31T00:00:00"/>
    <x v="43"/>
    <s v="Nevirapine"/>
    <s v="Generic"/>
    <s v="10mg/ml"/>
    <s v="Oral suspension"/>
    <n v="240"/>
    <n v="20000"/>
    <n v="39000"/>
    <n v="1.95"/>
    <n v="0.01"/>
    <n v="7464"/>
    <n v="4605.4399999999996"/>
    <n v="1"/>
    <x v="9"/>
  </r>
  <r>
    <n v="85780"/>
    <s v="SO-40220"/>
    <x v="1221"/>
    <x v="3"/>
    <s v="ARV"/>
    <s v="Adult"/>
    <s v="SCMS from RDC"/>
    <x v="1"/>
    <s v="N/A - From RDC"/>
    <s v="Truck"/>
    <m/>
    <d v="2011-09-22T00:00:00"/>
    <d v="2011-08-26T00:00:00"/>
    <d v="2011-08-26T00:00:00"/>
    <x v="16"/>
    <s v="Lamivudine"/>
    <s v="Generic"/>
    <s v="150mg"/>
    <s v="Tablet"/>
    <n v="60"/>
    <n v="1946"/>
    <n v="4534.18"/>
    <n v="2.33"/>
    <n v="0.04"/>
    <n v="195"/>
    <n v="2070.6799999999998"/>
    <n v="1"/>
    <x v="9"/>
  </r>
  <r>
    <n v="85781"/>
    <s v="SO-39751"/>
    <x v="1222"/>
    <x v="0"/>
    <s v="ARV"/>
    <s v="Adult"/>
    <s v="SCMS from RDC"/>
    <x v="1"/>
    <s v="N/A - From RDC"/>
    <s v="Air"/>
    <m/>
    <d v="2011-09-30T00:00:00"/>
    <d v="2011-08-30T00:00:00"/>
    <d v="2011-08-30T00:00:00"/>
    <x v="35"/>
    <s v="Tenofovir Disoproxil Fumarate"/>
    <s v="Generic"/>
    <s v="300mg"/>
    <s v="Tablet"/>
    <n v="30"/>
    <n v="4279"/>
    <n v="28113.03"/>
    <n v="6.57"/>
    <n v="0.22"/>
    <n v="259"/>
    <n v="1553.64"/>
    <n v="1"/>
    <x v="9"/>
  </r>
  <r>
    <n v="85782"/>
    <s v="SO-38802"/>
    <x v="1223"/>
    <x v="3"/>
    <s v="ARV"/>
    <s v="Adult"/>
    <s v="SCMS from RDC"/>
    <x v="1"/>
    <s v="N/A - From RDC"/>
    <s v="Truck"/>
    <m/>
    <d v="2011-08-05T00:00:00"/>
    <d v="2011-08-24T00:00:00"/>
    <d v="2011-08-24T00:00:00"/>
    <x v="1"/>
    <s v="Lamivudine/Zidovudine"/>
    <s v="Generic"/>
    <s v="150/300mg"/>
    <s v="Tablet - FDC"/>
    <n v="60"/>
    <n v="32000"/>
    <n v="264320"/>
    <n v="8.26"/>
    <n v="0.14000000000000001"/>
    <n v="3026"/>
    <n v="14406.99"/>
    <n v="0"/>
    <x v="9"/>
  </r>
  <r>
    <n v="85789"/>
    <s v="SO-38803"/>
    <x v="1224"/>
    <x v="3"/>
    <s v="ARV"/>
    <s v="Adult"/>
    <s v="SCMS from RDC"/>
    <x v="1"/>
    <s v="N/A - From RDC"/>
    <s v="Truck"/>
    <m/>
    <d v="2011-09-30T00:00:00"/>
    <d v="2011-09-26T00:00:00"/>
    <d v="2011-09-26T00:00:00"/>
    <x v="39"/>
    <s v="Lamivudine/Tenofovir Disoproxil Fumarate"/>
    <s v="Generic"/>
    <s v="300/300mg"/>
    <s v="Tablet - FDC"/>
    <n v="30"/>
    <n v="5000"/>
    <n v="41150"/>
    <n v="8.23"/>
    <n v="0.27"/>
    <n v="607"/>
    <n v="4911.3900000000003"/>
    <n v="1"/>
    <x v="9"/>
  </r>
  <r>
    <n v="85795"/>
    <s v="SO-39752"/>
    <x v="1225"/>
    <x v="0"/>
    <s v="ARV"/>
    <s v="Adult"/>
    <s v="SCMS from RDC"/>
    <x v="1"/>
    <s v="N/A - From RDC"/>
    <s v="Air"/>
    <m/>
    <d v="2011-09-30T00:00:00"/>
    <d v="2011-09-23T00:00:00"/>
    <d v="2011-09-23T00:00:00"/>
    <x v="45"/>
    <s v="Efavirenz/Emtricitabine/Tenofovir Disoproxil Fumarate"/>
    <s v="Generic"/>
    <s v="600/200/300mg"/>
    <s v="Tablet - FDC"/>
    <n v="30"/>
    <n v="6840"/>
    <n v="136252.79999999999"/>
    <n v="19.920000000000002"/>
    <n v="0.66"/>
    <n v="778"/>
    <m/>
    <n v="1"/>
    <x v="9"/>
  </r>
  <r>
    <n v="85828"/>
    <s v="SO-40520"/>
    <x v="1226"/>
    <x v="0"/>
    <s v="ARV"/>
    <s v="Pediatric"/>
    <s v="SCMS from RDC"/>
    <x v="1"/>
    <s v="N/A - From RDC"/>
    <s v="Truck"/>
    <m/>
    <d v="2012-03-30T00:00:00"/>
    <d v="2012-03-12T00:00:00"/>
    <d v="2012-03-12T00:00:00"/>
    <x v="43"/>
    <s v="Nevirapine"/>
    <s v="Generic"/>
    <s v="10mg/ml"/>
    <s v="Oral suspension"/>
    <n v="240"/>
    <n v="32554"/>
    <n v="63480.3"/>
    <n v="1.95"/>
    <n v="0.01"/>
    <m/>
    <m/>
    <n v="1"/>
    <x v="5"/>
  </r>
  <r>
    <n v="85835"/>
    <s v="SO-40943"/>
    <x v="1227"/>
    <x v="3"/>
    <s v="ARV"/>
    <s v="Adult"/>
    <s v="SCMS from RDC"/>
    <x v="1"/>
    <s v="N/A - From RDC"/>
    <s v="Truck"/>
    <m/>
    <d v="2012-03-30T00:00:00"/>
    <d v="2012-02-27T00:00:00"/>
    <d v="2012-02-27T00:00:00"/>
    <x v="29"/>
    <s v="Zidovudine"/>
    <s v="Generic"/>
    <s v="300mg"/>
    <s v="Tablet"/>
    <n v="60"/>
    <n v="4398"/>
    <n v="30873.96"/>
    <n v="7.02"/>
    <n v="0.12"/>
    <n v="224"/>
    <n v="1933.3"/>
    <n v="1"/>
    <x v="5"/>
  </r>
  <r>
    <n v="85837"/>
    <s v="SO-40942"/>
    <x v="1228"/>
    <x v="3"/>
    <s v="ARV"/>
    <s v="Adult"/>
    <s v="SCMS from RDC"/>
    <x v="1"/>
    <s v="N/A - From RDC"/>
    <s v="Truck"/>
    <m/>
    <d v="2012-03-30T00:00:00"/>
    <d v="2012-03-09T00:00:00"/>
    <d v="2012-03-09T00:00:00"/>
    <x v="39"/>
    <s v="Lamivudine/Tenofovir Disoproxil Fumarate"/>
    <s v="Generic"/>
    <s v="300/300mg"/>
    <s v="Tablet - FDC"/>
    <n v="30"/>
    <n v="5785"/>
    <n v="35172.800000000003"/>
    <n v="6.08"/>
    <n v="0.2"/>
    <n v="460"/>
    <n v="3571.6"/>
    <n v="1"/>
    <x v="5"/>
  </r>
  <r>
    <n v="85838"/>
    <s v="SO-41080"/>
    <x v="698"/>
    <x v="5"/>
    <s v="ARV"/>
    <s v="Pediatric"/>
    <s v="SCMS from RDC"/>
    <x v="1"/>
    <s v="N/A - From RDC"/>
    <s v="Air"/>
    <m/>
    <d v="2012-03-21T00:00:00"/>
    <d v="2012-03-08T00:00:00"/>
    <d v="2012-03-08T00:00:00"/>
    <x v="43"/>
    <s v="Nevirapine"/>
    <s v="Generic"/>
    <s v="10mg/ml"/>
    <s v="Oral suspension"/>
    <n v="240"/>
    <n v="6000"/>
    <n v="11700"/>
    <n v="1.95"/>
    <n v="0.01"/>
    <m/>
    <m/>
    <n v="1"/>
    <x v="5"/>
  </r>
  <r>
    <n v="85839"/>
    <s v="SO-40502"/>
    <x v="1229"/>
    <x v="0"/>
    <s v="ARV"/>
    <s v="Pediatric"/>
    <s v="SCMS from RDC"/>
    <x v="1"/>
    <s v="N/A - From RDC"/>
    <s v="Truck"/>
    <m/>
    <d v="2012-04-30T00:00:00"/>
    <d v="2012-04-11T00:00:00"/>
    <d v="2012-04-11T00:00:00"/>
    <x v="73"/>
    <s v="Lamivudine/Zidovudine"/>
    <s v="Generic"/>
    <s v="30/60mg"/>
    <s v="Tablet - FDC"/>
    <n v="60"/>
    <n v="34054"/>
    <n v="101821.46"/>
    <n v="2.99"/>
    <n v="0.05"/>
    <n v="1309"/>
    <n v="3279.25"/>
    <n v="1"/>
    <x v="5"/>
  </r>
  <r>
    <n v="85841"/>
    <s v="SO-41420"/>
    <x v="1230"/>
    <x v="1"/>
    <s v="ARV"/>
    <s v="Pediatric"/>
    <s v="SCMS from RDC"/>
    <x v="1"/>
    <s v="N/A - From RDC"/>
    <s v="Air"/>
    <m/>
    <d v="2012-03-12T00:00:00"/>
    <d v="2012-02-28T00:00:00"/>
    <d v="2012-02-28T00:00:00"/>
    <x v="37"/>
    <s v="Efavirenz"/>
    <s v="Generic"/>
    <s v="200mg"/>
    <s v="Capsule"/>
    <n v="90"/>
    <n v="2520"/>
    <n v="21772.799999999999"/>
    <n v="8.64"/>
    <n v="0.1"/>
    <n v="318"/>
    <n v="2716.08"/>
    <n v="1"/>
    <x v="5"/>
  </r>
  <r>
    <n v="85843"/>
    <s v="SO-40491"/>
    <x v="1231"/>
    <x v="0"/>
    <s v="ARV"/>
    <s v="Pediatric"/>
    <s v="SCMS from RDC"/>
    <x v="1"/>
    <s v="N/A - From RDC"/>
    <s v="Truck"/>
    <m/>
    <d v="2012-05-08T00:00:00"/>
    <d v="2012-04-11T00:00:00"/>
    <d v="2012-04-11T00:00:00"/>
    <x v="57"/>
    <s v="Lamivudine/Nevirapine/Zidovudine"/>
    <s v="Generic"/>
    <s v="30/50/60mg"/>
    <s v="Chewable/dispersible tablet - FDC"/>
    <n v="60"/>
    <n v="5603"/>
    <n v="23812.75"/>
    <n v="4.25"/>
    <n v="7.0000000000000007E-2"/>
    <n v="316"/>
    <n v="3279.25"/>
    <n v="1"/>
    <x v="5"/>
  </r>
  <r>
    <n v="85844"/>
    <s v="SO-41530"/>
    <x v="812"/>
    <x v="6"/>
    <s v="ARV"/>
    <s v="Pediatric"/>
    <s v="SCMS from RDC"/>
    <x v="1"/>
    <s v="N/A - From RDC"/>
    <s v="Air"/>
    <m/>
    <d v="2012-04-26T00:00:00"/>
    <d v="2012-05-04T00:00:00"/>
    <d v="2012-05-04T00:00:00"/>
    <x v="43"/>
    <s v="Nevirapine"/>
    <s v="Generic"/>
    <s v="10mg/ml"/>
    <s v="Oral suspension"/>
    <n v="240"/>
    <n v="170"/>
    <n v="331.5"/>
    <n v="1.95"/>
    <n v="0.01"/>
    <m/>
    <m/>
    <n v="0"/>
    <x v="5"/>
  </r>
  <r>
    <n v="85845"/>
    <s v="SO-41530"/>
    <x v="812"/>
    <x v="6"/>
    <s v="ARV"/>
    <s v="Adult"/>
    <s v="SCMS from RDC"/>
    <x v="1"/>
    <s v="N/A - From RDC"/>
    <s v="Air"/>
    <m/>
    <d v="2012-04-26T00:00:00"/>
    <d v="2012-05-04T00:00:00"/>
    <d v="2012-05-04T00:00:00"/>
    <x v="11"/>
    <s v="Lamivudine/Nevirapine/Zidovudine"/>
    <s v="Generic"/>
    <s v="150/300/200mg"/>
    <s v="Tablet - FDC"/>
    <n v="60"/>
    <n v="10000"/>
    <n v="110000"/>
    <n v="11"/>
    <n v="0.18"/>
    <m/>
    <m/>
    <n v="0"/>
    <x v="5"/>
  </r>
  <r>
    <n v="85846"/>
    <s v="SO-40610"/>
    <x v="700"/>
    <x v="0"/>
    <s v="ARV"/>
    <s v="Adult"/>
    <s v="SCMS from RDC"/>
    <x v="1"/>
    <s v="N/A - From RDC"/>
    <s v="Truck"/>
    <m/>
    <d v="2012-05-04T00:00:00"/>
    <d v="2012-04-11T00:00:00"/>
    <d v="2012-04-11T00:00:00"/>
    <x v="29"/>
    <s v="Zidovudine"/>
    <s v="Generic"/>
    <s v="300mg"/>
    <s v="Tablet"/>
    <n v="60"/>
    <n v="137759"/>
    <n v="967068.18"/>
    <n v="7.02"/>
    <n v="0.12"/>
    <m/>
    <m/>
    <n v="1"/>
    <x v="5"/>
  </r>
  <r>
    <n v="85847"/>
    <s v="SO-41630"/>
    <x v="813"/>
    <x v="3"/>
    <s v="ARV"/>
    <s v="Adult"/>
    <s v="SCMS from RDC"/>
    <x v="1"/>
    <s v="N/A - From RDC"/>
    <s v="Air"/>
    <m/>
    <d v="2012-05-03T00:00:00"/>
    <d v="2012-03-27T00:00:00"/>
    <d v="2012-03-27T00:00:00"/>
    <x v="39"/>
    <s v="Lamivudine/Tenofovir Disoproxil Fumarate"/>
    <s v="Generic"/>
    <s v="300/300mg"/>
    <s v="Tablet - FDC"/>
    <n v="30"/>
    <n v="12959"/>
    <n v="78790.720000000001"/>
    <n v="6.08"/>
    <n v="0.2"/>
    <m/>
    <m/>
    <n v="1"/>
    <x v="5"/>
  </r>
  <r>
    <n v="85849"/>
    <s v="SO-40931"/>
    <x v="919"/>
    <x v="3"/>
    <s v="ARV"/>
    <s v="Adult"/>
    <s v="SCMS from RDC"/>
    <x v="1"/>
    <s v="N/A - From RDC"/>
    <s v="Truck"/>
    <m/>
    <d v="2012-05-16T00:00:00"/>
    <d v="2012-03-27T00:00:00"/>
    <d v="2012-03-27T00:00:00"/>
    <x v="39"/>
    <s v="Lamivudine/Tenofovir Disoproxil Fumarate"/>
    <s v="Generic"/>
    <s v="300/300mg"/>
    <s v="Tablet - FDC"/>
    <n v="30"/>
    <n v="22872"/>
    <n v="139061.76000000001"/>
    <n v="6.08"/>
    <n v="0.2"/>
    <m/>
    <m/>
    <n v="1"/>
    <x v="5"/>
  </r>
  <r>
    <n v="85856"/>
    <s v="SO-41510"/>
    <x v="702"/>
    <x v="3"/>
    <s v="ARV"/>
    <s v="Adult"/>
    <s v="SCMS from RDC"/>
    <x v="1"/>
    <s v="N/A - From RDC"/>
    <s v="Truck"/>
    <m/>
    <d v="2012-07-03T00:00:00"/>
    <d v="2012-05-18T00:00:00"/>
    <d v="2012-05-18T00:00:00"/>
    <x v="11"/>
    <s v="Lamivudine/Nevirapine/Zidovudine"/>
    <s v="Generic"/>
    <s v="150/300/200mg"/>
    <s v="Tablet - FDC"/>
    <n v="60"/>
    <n v="3275"/>
    <n v="33699.75"/>
    <n v="10.29"/>
    <n v="0.17"/>
    <m/>
    <m/>
    <n v="1"/>
    <x v="5"/>
  </r>
  <r>
    <n v="85857"/>
    <s v="SO-41610"/>
    <x v="703"/>
    <x v="3"/>
    <s v="ARV"/>
    <s v="Adult"/>
    <s v="SCMS from RDC"/>
    <x v="1"/>
    <s v="N/A - From RDC"/>
    <s v="Truck"/>
    <m/>
    <d v="2012-06-29T00:00:00"/>
    <d v="2012-05-22T00:00:00"/>
    <d v="2012-05-22T00:00:00"/>
    <x v="14"/>
    <s v="Lopinavir/Ritonavir"/>
    <s v="Aluvia"/>
    <s v="200/50mg"/>
    <s v="Tablet"/>
    <n v="120"/>
    <n v="917"/>
    <n v="28261.94"/>
    <n v="30.82"/>
    <n v="0.26"/>
    <m/>
    <m/>
    <n v="1"/>
    <x v="5"/>
  </r>
  <r>
    <n v="85872"/>
    <s v="SO-41581"/>
    <x v="1031"/>
    <x v="0"/>
    <s v="ARV"/>
    <s v="Adult"/>
    <s v="SCMS from RDC"/>
    <x v="1"/>
    <s v="N/A - From RDC"/>
    <s v="Truck"/>
    <m/>
    <d v="2012-08-01T00:00:00"/>
    <d v="2012-07-25T00:00:00"/>
    <d v="2012-07-25T00:00:00"/>
    <x v="35"/>
    <s v="Tenofovir Disoproxil Fumarate"/>
    <s v="Generic"/>
    <s v="300mg"/>
    <s v="Tablet"/>
    <n v="30"/>
    <n v="10000"/>
    <n v="55000"/>
    <n v="5.5"/>
    <n v="0.18"/>
    <m/>
    <m/>
    <n v="1"/>
    <x v="5"/>
  </r>
  <r>
    <n v="85873"/>
    <s v="SO-40471"/>
    <x v="1232"/>
    <x v="0"/>
    <s v="ARV"/>
    <s v="Pediatric"/>
    <s v="SCMS from RDC"/>
    <x v="1"/>
    <s v="N/A - From RDC"/>
    <s v="Truck"/>
    <m/>
    <d v="2012-08-15T00:00:00"/>
    <d v="2012-07-25T00:00:00"/>
    <d v="2012-07-25T00:00:00"/>
    <x v="43"/>
    <s v="Nevirapine"/>
    <s v="Generic"/>
    <s v="10mg/ml"/>
    <s v="Oral suspension"/>
    <n v="240"/>
    <n v="29504"/>
    <n v="57532.800000000003"/>
    <n v="1.95"/>
    <n v="0.01"/>
    <n v="10913"/>
    <n v="3853.89"/>
    <n v="1"/>
    <x v="5"/>
  </r>
  <r>
    <n v="85876"/>
    <s v="SO-41591"/>
    <x v="1233"/>
    <x v="3"/>
    <s v="ARV"/>
    <s v="Adult"/>
    <s v="SCMS from RDC"/>
    <x v="1"/>
    <s v="N/A - From RDC"/>
    <s v="Truck"/>
    <m/>
    <d v="2012-09-05T00:00:00"/>
    <d v="2012-07-30T00:00:00"/>
    <d v="2012-07-30T00:00:00"/>
    <x v="11"/>
    <s v="Lamivudine/Nevirapine/Zidovudine"/>
    <s v="Generic"/>
    <s v="150/300/200mg"/>
    <s v="Tablet - FDC"/>
    <n v="60"/>
    <n v="4879"/>
    <n v="47862.99"/>
    <n v="9.81"/>
    <n v="0.16"/>
    <n v="637"/>
    <n v="5081.05"/>
    <n v="1"/>
    <x v="5"/>
  </r>
  <r>
    <n v="85879"/>
    <s v="SO-41580"/>
    <x v="927"/>
    <x v="0"/>
    <s v="ARV"/>
    <s v="Adult"/>
    <s v="SCMS from RDC"/>
    <x v="1"/>
    <s v="N/A - From RDC"/>
    <s v="Truck"/>
    <m/>
    <d v="2012-08-31T00:00:00"/>
    <d v="2012-08-22T00:00:00"/>
    <d v="2012-08-22T00:00:00"/>
    <x v="70"/>
    <s v="Emtricitabine/Tenofovir Disoproxil Fumarate"/>
    <s v="Generic"/>
    <s v="200/300mg"/>
    <s v="Tablet - FDC"/>
    <n v="30"/>
    <n v="66931"/>
    <n v="475879.41"/>
    <n v="7.11"/>
    <n v="0.24"/>
    <m/>
    <m/>
    <n v="1"/>
    <x v="5"/>
  </r>
  <r>
    <n v="85882"/>
    <s v="SO-42750"/>
    <x v="1234"/>
    <x v="1"/>
    <s v="ARV"/>
    <s v="Adult"/>
    <s v="SCMS from RDC"/>
    <x v="1"/>
    <s v="N/A - From RDC"/>
    <s v="Air"/>
    <m/>
    <d v="2012-08-31T00:00:00"/>
    <d v="2012-08-16T00:00:00"/>
    <d v="2012-08-16T00:00:00"/>
    <x v="29"/>
    <s v="Zidovudine"/>
    <s v="Generic"/>
    <s v="300mg"/>
    <s v="Tablet"/>
    <n v="60"/>
    <n v="90"/>
    <n v="608.4"/>
    <n v="6.76"/>
    <n v="0.11"/>
    <n v="5"/>
    <n v="721.36"/>
    <n v="1"/>
    <x v="5"/>
  </r>
  <r>
    <n v="85884"/>
    <s v="SO-42570"/>
    <x v="821"/>
    <x v="3"/>
    <s v="ARV"/>
    <s v="Adult"/>
    <s v="SCMS from RDC"/>
    <x v="1"/>
    <s v="N/A - From RDC"/>
    <s v="Air"/>
    <m/>
    <d v="2012-10-30T00:00:00"/>
    <d v="2012-10-30T00:00:00"/>
    <d v="2012-10-30T00:00:00"/>
    <x v="39"/>
    <s v="Lamivudine/Tenofovir Disoproxil Fumarate"/>
    <s v="Generic"/>
    <s v="300/300mg"/>
    <s v="Tablet - FDC"/>
    <n v="30"/>
    <n v="40000"/>
    <n v="221600"/>
    <n v="5.54"/>
    <n v="0.18"/>
    <m/>
    <m/>
    <n v="1"/>
    <x v="5"/>
  </r>
  <r>
    <n v="85885"/>
    <s v="SO-42133"/>
    <x v="1235"/>
    <x v="1"/>
    <s v="ARV"/>
    <s v="Adult"/>
    <s v="SCMS from RDC"/>
    <x v="1"/>
    <s v="N/A - From RDC"/>
    <s v="Air"/>
    <m/>
    <d v="2012-08-24T00:00:00"/>
    <d v="2012-08-16T00:00:00"/>
    <d v="2012-08-16T00:00:00"/>
    <x v="9"/>
    <s v="Abacavir"/>
    <s v="Generic"/>
    <s v="300mg"/>
    <s v="Tablet"/>
    <n v="60"/>
    <n v="10537"/>
    <n v="138561.54999999999"/>
    <n v="13.15"/>
    <n v="0.22"/>
    <n v="1048"/>
    <n v="18613.689999999999"/>
    <n v="1"/>
    <x v="5"/>
  </r>
  <r>
    <n v="85889"/>
    <s v="SO-42740"/>
    <x v="1236"/>
    <x v="1"/>
    <s v="ARV"/>
    <s v="Adult"/>
    <s v="SCMS from RDC"/>
    <x v="1"/>
    <s v="N/A - From RDC"/>
    <s v="Air"/>
    <m/>
    <d v="2012-11-30T00:00:00"/>
    <d v="2012-09-14T00:00:00"/>
    <d v="2012-09-14T00:00:00"/>
    <x v="8"/>
    <s v="Efavirenz"/>
    <s v="Generic"/>
    <s v="600mg"/>
    <s v="Tablet"/>
    <n v="30"/>
    <n v="51240"/>
    <n v="200348.4"/>
    <n v="3.91"/>
    <n v="0.13"/>
    <n v="4331"/>
    <n v="8684.7000000000007"/>
    <n v="1"/>
    <x v="5"/>
  </r>
  <r>
    <n v="85896"/>
    <s v="SO-41595"/>
    <x v="1237"/>
    <x v="3"/>
    <s v="ARV"/>
    <s v="Adult"/>
    <s v="SCMS from RDC"/>
    <x v="1"/>
    <s v="N/A - From RDC"/>
    <s v="Truck"/>
    <m/>
    <d v="2012-09-24T00:00:00"/>
    <d v="2012-09-24T00:00:00"/>
    <d v="2012-09-24T00:00:00"/>
    <x v="1"/>
    <s v="Lamivudine/Zidovudine"/>
    <s v="Generic"/>
    <s v="150/300mg"/>
    <s v="Tablet - FDC"/>
    <n v="60"/>
    <n v="1319"/>
    <n v="10552"/>
    <n v="8"/>
    <n v="0.13"/>
    <n v="108"/>
    <n v="1618.01"/>
    <n v="1"/>
    <x v="5"/>
  </r>
  <r>
    <n v="85897"/>
    <s v="SO-42052"/>
    <x v="1111"/>
    <x v="3"/>
    <s v="ARV"/>
    <s v="Adult"/>
    <s v="SCMS from RDC"/>
    <x v="1"/>
    <s v="N/A - From RDC"/>
    <s v="Air"/>
    <m/>
    <d v="2012-10-18T00:00:00"/>
    <d v="2012-10-18T00:00:00"/>
    <d v="2012-10-18T00:00:00"/>
    <x v="0"/>
    <s v="Nevirapine"/>
    <s v="Generic"/>
    <s v="200mg"/>
    <s v="Tablet"/>
    <n v="60"/>
    <n v="30348"/>
    <n v="74049.119999999995"/>
    <n v="2.44"/>
    <n v="0.04"/>
    <m/>
    <m/>
    <n v="1"/>
    <x v="5"/>
  </r>
  <r>
    <n v="85899"/>
    <s v="SO-42480"/>
    <x v="828"/>
    <x v="1"/>
    <s v="ARV"/>
    <s v="Adult"/>
    <s v="SCMS from RDC"/>
    <x v="1"/>
    <s v="N/A - From RDC"/>
    <s v="Air"/>
    <m/>
    <d v="2012-09-28T00:00:00"/>
    <d v="2012-09-13T00:00:00"/>
    <d v="2012-09-13T00:00:00"/>
    <x v="0"/>
    <s v="Nevirapine"/>
    <s v="Generic"/>
    <s v="200mg"/>
    <s v="Tablet"/>
    <n v="60"/>
    <n v="10078"/>
    <n v="24590.32"/>
    <n v="2.44"/>
    <n v="0.04"/>
    <m/>
    <m/>
    <n v="1"/>
    <x v="5"/>
  </r>
  <r>
    <n v="85903"/>
    <s v="SO-43060"/>
    <x v="932"/>
    <x v="5"/>
    <s v="ARV"/>
    <s v="Adult"/>
    <s v="SCMS from RDC"/>
    <x v="1"/>
    <s v="N/A - From RDC"/>
    <s v="Air"/>
    <m/>
    <d v="2012-11-30T00:00:00"/>
    <d v="2012-11-30T00:00:00"/>
    <d v="2012-11-30T00:00:00"/>
    <x v="16"/>
    <s v="Lamivudine"/>
    <s v="Generic"/>
    <s v="150mg"/>
    <s v="Tablet"/>
    <n v="60"/>
    <n v="270"/>
    <n v="599.4"/>
    <n v="2.2200000000000002"/>
    <n v="0.04"/>
    <m/>
    <m/>
    <n v="1"/>
    <x v="5"/>
  </r>
  <r>
    <n v="85908"/>
    <s v="SO-41550"/>
    <x v="1238"/>
    <x v="0"/>
    <s v="ARV"/>
    <s v="Pediatric"/>
    <s v="SCMS from RDC"/>
    <x v="1"/>
    <s v="N/A - From RDC"/>
    <s v="Truck"/>
    <m/>
    <d v="2012-11-30T00:00:00"/>
    <d v="2012-11-06T00:00:00"/>
    <d v="2012-11-06T00:00:00"/>
    <x v="74"/>
    <s v="Lamivudine/Nevirapine/Stavudine"/>
    <s v="Generic"/>
    <s v="30/50/6mg"/>
    <s v="Chewable/dispersible tablet - FDC"/>
    <n v="60"/>
    <n v="17600"/>
    <n v="40480"/>
    <n v="2.2999999999999998"/>
    <n v="0.04"/>
    <n v="3526"/>
    <n v="8977"/>
    <n v="1"/>
    <x v="5"/>
  </r>
  <r>
    <n v="85909"/>
    <s v="SO-43170"/>
    <x v="1036"/>
    <x v="3"/>
    <s v="ARV"/>
    <s v="Adult"/>
    <s v="SCMS from RDC"/>
    <x v="1"/>
    <s v="N/A - From RDC"/>
    <s v="Air"/>
    <m/>
    <d v="2012-12-06T00:00:00"/>
    <d v="2012-10-29T00:00:00"/>
    <d v="2012-10-29T00:00:00"/>
    <x v="0"/>
    <s v="Nevirapine"/>
    <s v="Generic"/>
    <s v="200mg"/>
    <s v="Tablet"/>
    <n v="60"/>
    <n v="510"/>
    <n v="1234.2"/>
    <n v="2.42"/>
    <n v="0.04"/>
    <m/>
    <m/>
    <n v="1"/>
    <x v="5"/>
  </r>
  <r>
    <n v="85913"/>
    <s v="SO-42700"/>
    <x v="1239"/>
    <x v="1"/>
    <s v="ARV"/>
    <s v="Adult"/>
    <s v="SCMS from RDC"/>
    <x v="1"/>
    <s v="N/A - From RDC"/>
    <s v="Air"/>
    <m/>
    <d v="2013-01-16T00:00:00"/>
    <d v="2013-01-16T00:00:00"/>
    <d v="2013-01-16T00:00:00"/>
    <x v="31"/>
    <s v="Lamivudine/Stavudine"/>
    <s v="Generic"/>
    <s v="150/30mg"/>
    <s v="Tablet - FDC"/>
    <n v="60"/>
    <n v="5468"/>
    <n v="16130.6"/>
    <n v="2.95"/>
    <n v="0.05"/>
    <n v="437"/>
    <n v="2928.4"/>
    <n v="1"/>
    <x v="6"/>
  </r>
  <r>
    <n v="85914"/>
    <s v="SO-42420"/>
    <x v="1240"/>
    <x v="1"/>
    <s v="ARV"/>
    <s v="Adult"/>
    <s v="SCMS from RDC"/>
    <x v="1"/>
    <s v="N/A - From RDC"/>
    <s v="Air"/>
    <m/>
    <d v="2013-01-16T00:00:00"/>
    <d v="2013-01-16T00:00:00"/>
    <d v="2013-01-16T00:00:00"/>
    <x v="31"/>
    <s v="Lamivudine/Stavudine"/>
    <s v="Generic"/>
    <s v="150/30mg"/>
    <s v="Tablet - FDC"/>
    <n v="60"/>
    <n v="13152"/>
    <n v="38798.400000000001"/>
    <n v="2.95"/>
    <n v="0.05"/>
    <n v="1045"/>
    <n v="6152"/>
    <n v="1"/>
    <x v="6"/>
  </r>
  <r>
    <n v="85919"/>
    <s v="SO-42901"/>
    <x v="1241"/>
    <x v="3"/>
    <s v="ARV"/>
    <s v="Adult"/>
    <s v="SCMS from RDC"/>
    <x v="1"/>
    <s v="N/A - From RDC"/>
    <s v="Truck"/>
    <m/>
    <d v="2013-02-05T00:00:00"/>
    <d v="2013-02-05T00:00:00"/>
    <d v="2013-02-05T00:00:00"/>
    <x v="39"/>
    <s v="Lamivudine/Tenofovir Disoproxil Fumarate"/>
    <s v="Generic"/>
    <s v="300/300mg"/>
    <s v="Tablet - FDC"/>
    <n v="30"/>
    <n v="48"/>
    <n v="257.27999999999997"/>
    <n v="5.36"/>
    <n v="0.18"/>
    <n v="5"/>
    <n v="673.25"/>
    <n v="1"/>
    <x v="6"/>
  </r>
  <r>
    <n v="85922"/>
    <s v="SO-43470"/>
    <x v="1037"/>
    <x v="3"/>
    <s v="ARV"/>
    <s v="Adult"/>
    <s v="SCMS from RDC"/>
    <x v="1"/>
    <s v="N/A - From RDC"/>
    <s v="Air"/>
    <m/>
    <d v="2013-01-31T00:00:00"/>
    <d v="2013-02-01T00:00:00"/>
    <d v="2013-02-01T00:00:00"/>
    <x v="0"/>
    <s v="Nevirapine"/>
    <s v="Generic"/>
    <s v="200mg"/>
    <s v="Tablet"/>
    <n v="60"/>
    <n v="699"/>
    <n v="1691.58"/>
    <n v="2.42"/>
    <n v="0.04"/>
    <m/>
    <m/>
    <n v="0"/>
    <x v="6"/>
  </r>
  <r>
    <n v="85924"/>
    <s v="SO-43160"/>
    <x v="720"/>
    <x v="3"/>
    <s v="ARV"/>
    <s v="Adult"/>
    <s v="SCMS from RDC"/>
    <x v="1"/>
    <s v="N/A - From RDC"/>
    <s v="Air"/>
    <m/>
    <d v="2013-02-02T00:00:00"/>
    <d v="2013-02-02T00:00:00"/>
    <d v="2013-02-02T00:00:00"/>
    <x v="11"/>
    <s v="Lamivudine/Nevirapine/Zidovudine"/>
    <s v="Generic"/>
    <s v="150/300/200mg"/>
    <s v="Tablet - FDC"/>
    <n v="60"/>
    <n v="3235"/>
    <n v="31120.7"/>
    <n v="9.6199999999999992"/>
    <n v="0.16"/>
    <m/>
    <m/>
    <n v="1"/>
    <x v="6"/>
  </r>
  <r>
    <n v="85926"/>
    <s v="SO-43100"/>
    <x v="1242"/>
    <x v="0"/>
    <s v="ARV"/>
    <s v="Adult"/>
    <s v="SCMS from RDC"/>
    <x v="1"/>
    <s v="N/A - From RDC"/>
    <s v="Truck"/>
    <m/>
    <d v="2013-03-11T00:00:00"/>
    <d v="2013-02-18T00:00:00"/>
    <d v="2013-02-18T00:00:00"/>
    <x v="45"/>
    <s v="Efavirenz/Emtricitabine/Tenofovir Disoproxil Fumarate"/>
    <s v="Generic"/>
    <s v="600/200/300mg"/>
    <s v="Tablet - FDC"/>
    <n v="30"/>
    <n v="65379"/>
    <n v="895038.51"/>
    <n v="13.69"/>
    <n v="0.46"/>
    <n v="7385"/>
    <m/>
    <n v="1"/>
    <x v="6"/>
  </r>
  <r>
    <n v="85927"/>
    <s v="SO-43930"/>
    <x v="1243"/>
    <x v="3"/>
    <s v="ARV"/>
    <s v="Pediatric"/>
    <s v="SCMS from RDC"/>
    <x v="1"/>
    <s v="N/A - From RDC"/>
    <s v="Air"/>
    <m/>
    <d v="2013-02-22T00:00:00"/>
    <d v="2013-02-25T00:00:00"/>
    <d v="2013-02-25T00:00:00"/>
    <x v="73"/>
    <s v="Lamivudine/Zidovudine"/>
    <s v="Generic"/>
    <s v="30/60mg"/>
    <s v="Tablet - FDC"/>
    <n v="60"/>
    <n v="2512"/>
    <n v="5677.12"/>
    <n v="2.2599999999999998"/>
    <n v="0.04"/>
    <n v="177"/>
    <n v="3255.61"/>
    <n v="0"/>
    <x v="6"/>
  </r>
  <r>
    <n v="85932"/>
    <s v="SO-43961"/>
    <x v="939"/>
    <x v="3"/>
    <s v="ARV"/>
    <s v="Adult"/>
    <s v="SCMS from RDC"/>
    <x v="1"/>
    <s v="N/A - From RDC"/>
    <s v="Air"/>
    <m/>
    <d v="2013-02-22T00:00:00"/>
    <d v="2013-02-20T00:00:00"/>
    <d v="2013-02-20T00:00:00"/>
    <x v="8"/>
    <s v="Efavirenz"/>
    <s v="Generic"/>
    <s v="600mg"/>
    <s v="Tablet"/>
    <n v="30"/>
    <n v="9354"/>
    <n v="33300.239999999998"/>
    <n v="3.56"/>
    <n v="0.12"/>
    <m/>
    <m/>
    <n v="1"/>
    <x v="6"/>
  </r>
  <r>
    <n v="85936"/>
    <s v="SO-43520"/>
    <x v="1244"/>
    <x v="3"/>
    <s v="ARV"/>
    <s v="Adult"/>
    <s v="SCMS from RDC"/>
    <x v="1"/>
    <s v="N/A - From RDC"/>
    <s v="Air"/>
    <m/>
    <d v="2013-03-04T00:00:00"/>
    <d v="2013-03-04T00:00:00"/>
    <d v="2013-03-04T00:00:00"/>
    <x v="47"/>
    <s v="Lopinavir/Ritonavir"/>
    <s v="Generic"/>
    <s v="200/50mg"/>
    <s v="Tablet"/>
    <n v="120"/>
    <n v="8494"/>
    <n v="210311.44"/>
    <n v="24.76"/>
    <n v="0.21"/>
    <n v="2089"/>
    <n v="17032.59"/>
    <n v="1"/>
    <x v="6"/>
  </r>
  <r>
    <n v="85942"/>
    <s v="SO-43940"/>
    <x v="1114"/>
    <x v="3"/>
    <s v="ARV"/>
    <s v="Pediatric"/>
    <s v="SCMS from RDC"/>
    <x v="1"/>
    <s v="N/A - From RDC"/>
    <s v="Air"/>
    <m/>
    <d v="2013-03-29T00:00:00"/>
    <d v="2013-03-01T00:00:00"/>
    <d v="2013-03-01T00:00:00"/>
    <x v="51"/>
    <s v="Efavirenz"/>
    <s v="Generic"/>
    <s v="200mg"/>
    <s v="Tablet"/>
    <n v="90"/>
    <n v="257"/>
    <n v="1876.1"/>
    <n v="7.3"/>
    <n v="0.08"/>
    <m/>
    <m/>
    <n v="1"/>
    <x v="6"/>
  </r>
  <r>
    <n v="85956"/>
    <s v="SO-44381"/>
    <x v="943"/>
    <x v="0"/>
    <s v="ARV"/>
    <s v="Adult"/>
    <s v="SCMS from RDC"/>
    <x v="1"/>
    <s v="N/A - From RDC"/>
    <s v="Truck"/>
    <m/>
    <d v="2013-05-31T00:00:00"/>
    <d v="2013-05-14T00:00:00"/>
    <d v="2013-05-14T00:00:00"/>
    <x v="45"/>
    <s v="Efavirenz/Emtricitabine/Tenofovir Disoproxil Fumarate"/>
    <s v="Generic"/>
    <s v="600/200/300mg"/>
    <s v="Tablet - FDC"/>
    <n v="30"/>
    <n v="19014"/>
    <n v="260301.66"/>
    <n v="13.69"/>
    <n v="0.46"/>
    <m/>
    <m/>
    <n v="1"/>
    <x v="6"/>
  </r>
  <r>
    <n v="85960"/>
    <s v="SO-44630"/>
    <x v="729"/>
    <x v="5"/>
    <s v="ARV"/>
    <s v="Adult"/>
    <s v="SCMS from RDC"/>
    <x v="1"/>
    <s v="N/A - From RDC"/>
    <s v="Air"/>
    <m/>
    <d v="2013-04-30T00:00:00"/>
    <d v="2013-04-24T00:00:00"/>
    <d v="2013-04-24T00:00:00"/>
    <x v="47"/>
    <s v="Lopinavir/Ritonavir"/>
    <s v="Generic"/>
    <s v="200/50mg"/>
    <s v="Tablet"/>
    <n v="120"/>
    <n v="507"/>
    <n v="12553.32"/>
    <n v="24.76"/>
    <n v="0.21"/>
    <m/>
    <m/>
    <n v="1"/>
    <x v="6"/>
  </r>
  <r>
    <n v="85961"/>
    <s v="SO-44630"/>
    <x v="729"/>
    <x v="5"/>
    <s v="ARV"/>
    <s v="Pediatric"/>
    <s v="SCMS from RDC"/>
    <x v="1"/>
    <s v="N/A - From RDC"/>
    <s v="Air"/>
    <m/>
    <d v="2013-04-30T00:00:00"/>
    <d v="2013-04-24T00:00:00"/>
    <d v="2013-04-24T00:00:00"/>
    <x v="73"/>
    <s v="Lamivudine/Zidovudine"/>
    <s v="Generic"/>
    <s v="30/60mg"/>
    <s v="Tablet - FDC"/>
    <n v="60"/>
    <n v="132"/>
    <n v="298.32"/>
    <n v="2.2599999999999998"/>
    <n v="0.04"/>
    <m/>
    <m/>
    <n v="1"/>
    <x v="6"/>
  </r>
  <r>
    <n v="85965"/>
    <s v="SO-43621"/>
    <x v="1245"/>
    <x v="3"/>
    <s v="ARV"/>
    <s v="Adult"/>
    <s v="SCMS from RDC"/>
    <x v="1"/>
    <s v="N/A - From RDC"/>
    <s v="Air"/>
    <m/>
    <d v="2013-05-09T00:00:00"/>
    <d v="2013-05-22T00:00:00"/>
    <d v="2013-05-22T00:00:00"/>
    <x v="46"/>
    <s v="Efavirenz/Lamivudine/Tenofovir Disoproxil Fumarate"/>
    <s v="Generic"/>
    <s v="600/300/300mg"/>
    <s v="Tablet - FDC"/>
    <n v="30"/>
    <n v="61394"/>
    <n v="645864.88"/>
    <n v="10.52"/>
    <n v="0.35"/>
    <n v="8115"/>
    <n v="13817.65"/>
    <n v="0"/>
    <x v="6"/>
  </r>
  <r>
    <n v="85967"/>
    <s v="SO-43881"/>
    <x v="1246"/>
    <x v="3"/>
    <s v="ARV"/>
    <s v="Adult"/>
    <s v="SCMS from RDC"/>
    <x v="1"/>
    <s v="N/A - From RDC"/>
    <s v="Truck"/>
    <m/>
    <d v="2013-05-31T00:00:00"/>
    <d v="2013-05-30T00:00:00"/>
    <d v="2013-05-30T00:00:00"/>
    <x v="39"/>
    <s v="Lamivudine/Tenofovir Disoproxil Fumarate"/>
    <s v="Generic"/>
    <s v="300/300mg"/>
    <s v="Tablet - FDC"/>
    <n v="30"/>
    <n v="1380"/>
    <n v="6486"/>
    <n v="4.7"/>
    <n v="0.16"/>
    <n v="142"/>
    <n v="1034.6400000000001"/>
    <n v="1"/>
    <x v="6"/>
  </r>
  <r>
    <n v="85972"/>
    <s v="SO-43140"/>
    <x v="1247"/>
    <x v="0"/>
    <s v="ARV"/>
    <s v="Pediatric"/>
    <s v="SCMS from RDC"/>
    <x v="1"/>
    <s v="N/A - From RDC"/>
    <s v="Truck"/>
    <m/>
    <d v="2013-06-28T00:00:00"/>
    <d v="2013-05-23T00:00:00"/>
    <d v="2013-05-23T00:00:00"/>
    <x v="43"/>
    <s v="Nevirapine"/>
    <s v="Generic"/>
    <s v="10mg/ml"/>
    <s v="Oral suspension"/>
    <n v="240"/>
    <n v="24977"/>
    <n v="48705.15"/>
    <n v="1.95"/>
    <n v="0.01"/>
    <n v="9174"/>
    <n v="7185.6"/>
    <n v="1"/>
    <x v="6"/>
  </r>
  <r>
    <n v="85986"/>
    <s v="SO-45170"/>
    <x v="844"/>
    <x v="6"/>
    <s v="ARV"/>
    <s v="Adult"/>
    <s v="SCMS from RDC"/>
    <x v="1"/>
    <s v="N/A - From RDC"/>
    <s v="Air"/>
    <m/>
    <d v="2013-08-24T00:00:00"/>
    <d v="2013-08-26T00:00:00"/>
    <d v="2013-08-26T00:00:00"/>
    <x v="1"/>
    <s v="Lamivudine/Zidovudine"/>
    <s v="Generic"/>
    <s v="150/300mg"/>
    <s v="Tablet - FDC"/>
    <n v="60"/>
    <n v="8040"/>
    <n v="56280"/>
    <n v="7"/>
    <n v="0.12"/>
    <m/>
    <m/>
    <n v="0"/>
    <x v="6"/>
  </r>
  <r>
    <n v="85987"/>
    <s v="SO-45460"/>
    <x v="1180"/>
    <x v="3"/>
    <s v="ARV"/>
    <s v="Adult"/>
    <s v="SCMS from RDC"/>
    <x v="1"/>
    <s v="N/A - From RDC"/>
    <s v="Air"/>
    <m/>
    <d v="2013-09-02T00:00:00"/>
    <d v="2013-09-02T00:00:00"/>
    <d v="2013-09-02T00:00:00"/>
    <x v="11"/>
    <s v="Lamivudine/Nevirapine/Zidovudine"/>
    <s v="Generic"/>
    <s v="150/300/200mg"/>
    <s v="Tablet - FDC"/>
    <n v="60"/>
    <n v="14010"/>
    <n v="120205.8"/>
    <n v="8.58"/>
    <n v="0.14000000000000001"/>
    <m/>
    <m/>
    <n v="1"/>
    <x v="6"/>
  </r>
  <r>
    <n v="85993"/>
    <s v="SO-45450"/>
    <x v="1248"/>
    <x v="3"/>
    <s v="ARV"/>
    <s v="Adult"/>
    <s v="SCMS from RDC"/>
    <x v="1"/>
    <s v="N/A - From RDC"/>
    <s v="Air"/>
    <m/>
    <d v="2013-09-27T00:00:00"/>
    <d v="2013-09-27T00:00:00"/>
    <d v="2013-09-27T00:00:00"/>
    <x v="0"/>
    <s v="Nevirapine"/>
    <s v="Generic"/>
    <s v="200mg"/>
    <s v="Tablet"/>
    <n v="60"/>
    <n v="47925"/>
    <n v="108310.5"/>
    <n v="2.2599999999999998"/>
    <n v="0.04"/>
    <n v="2933"/>
    <n v="20719.009999999998"/>
    <n v="1"/>
    <x v="6"/>
  </r>
  <r>
    <n v="85994"/>
    <s v="SO-44993"/>
    <x v="738"/>
    <x v="0"/>
    <s v="ARV"/>
    <s v="Pediatric"/>
    <s v="SCMS from RDC"/>
    <x v="1"/>
    <s v="N/A - From RDC"/>
    <s v="Truck"/>
    <m/>
    <d v="2013-10-25T00:00:00"/>
    <d v="2013-10-01T00:00:00"/>
    <d v="2013-10-09T00:00:00"/>
    <x v="75"/>
    <s v="Lamivudine/Stavudine"/>
    <s v="Generic"/>
    <s v="30/6mg"/>
    <s v="Chewable/dispersible tablet - FDC"/>
    <n v="60"/>
    <n v="926"/>
    <n v="1759.4"/>
    <n v="1.9"/>
    <n v="0.03"/>
    <m/>
    <m/>
    <n v="1"/>
    <x v="6"/>
  </r>
  <r>
    <n v="85997"/>
    <s v="SO-45000"/>
    <x v="1249"/>
    <x v="0"/>
    <s v="ARV"/>
    <s v="Adult"/>
    <s v="SCMS from RDC"/>
    <x v="1"/>
    <s v="N/A - From RDC"/>
    <s v="Truck"/>
    <m/>
    <d v="2013-10-31T00:00:00"/>
    <d v="2013-10-08T00:00:00"/>
    <d v="2013-10-23T00:00:00"/>
    <x v="14"/>
    <s v="Lopinavir/Ritonavir"/>
    <s v="Aluvia"/>
    <s v="200/50mg"/>
    <s v="Tablet"/>
    <n v="120"/>
    <n v="17167"/>
    <n v="347116.74"/>
    <n v="20.22"/>
    <n v="0.17"/>
    <n v="3547"/>
    <n v="6052.1"/>
    <n v="1"/>
    <x v="6"/>
  </r>
  <r>
    <n v="86003"/>
    <s v="SO-46470"/>
    <x v="1250"/>
    <x v="1"/>
    <s v="ARV"/>
    <s v="Adult"/>
    <s v="SCMS from RDC"/>
    <x v="1"/>
    <s v="N/A - From RDC"/>
    <s v="Air"/>
    <m/>
    <d v="2013-10-31T00:00:00"/>
    <d v="2013-10-24T00:00:00"/>
    <d v="2013-11-19T00:00:00"/>
    <x v="78"/>
    <s v="Abacavir/Lamivudine"/>
    <s v="Generic"/>
    <s v="600/300mg"/>
    <s v="Tablet - FDC"/>
    <n v="30"/>
    <n v="3316"/>
    <n v="44832.32"/>
    <n v="13.52"/>
    <n v="0.45"/>
    <n v="292"/>
    <n v="2593.56"/>
    <n v="1"/>
    <x v="6"/>
  </r>
  <r>
    <n v="86005"/>
    <s v="SO-45542"/>
    <x v="1251"/>
    <x v="3"/>
    <s v="ARV"/>
    <s v="Adult"/>
    <s v="SCMS from RDC"/>
    <x v="1"/>
    <s v="N/A - From RDC"/>
    <s v="Truck"/>
    <m/>
    <d v="2013-10-21T00:00:00"/>
    <d v="2013-11-08T00:00:00"/>
    <d v="2013-11-27T00:00:00"/>
    <x v="39"/>
    <s v="Lamivudine/Tenofovir Disoproxil Fumarate"/>
    <s v="Generic"/>
    <s v="300/300mg"/>
    <s v="Tablet - FDC"/>
    <n v="30"/>
    <n v="21709"/>
    <n v="102032.3"/>
    <n v="4.7"/>
    <n v="0.16"/>
    <n v="1713"/>
    <n v="5591.3"/>
    <n v="0"/>
    <x v="6"/>
  </r>
  <r>
    <n v="86008"/>
    <s v="SO-44980"/>
    <x v="740"/>
    <x v="0"/>
    <s v="ARV"/>
    <s v="Adult"/>
    <s v="SCMS from RDC"/>
    <x v="1"/>
    <s v="N/A - From RDC"/>
    <s v="Truck"/>
    <m/>
    <d v="2013-10-31T00:00:00"/>
    <d v="2013-11-04T00:00:00"/>
    <d v="2013-11-06T00:00:00"/>
    <x v="70"/>
    <s v="Emtricitabine/Tenofovir Disoproxil Fumarate"/>
    <s v="Generic"/>
    <s v="200/300mg"/>
    <s v="Tablet - FDC"/>
    <n v="30"/>
    <n v="3478"/>
    <n v="21111.46"/>
    <n v="6.07"/>
    <n v="0.2"/>
    <m/>
    <m/>
    <n v="0"/>
    <x v="6"/>
  </r>
  <r>
    <n v="86015"/>
    <s v="SO-46830"/>
    <x v="958"/>
    <x v="3"/>
    <s v="ARV"/>
    <s v="Pediatric"/>
    <s v="SCMS from RDC"/>
    <x v="1"/>
    <s v="N/A - From RDC"/>
    <s v="Truck"/>
    <m/>
    <d v="2013-12-16T00:00:00"/>
    <d v="2013-12-20T00:00:00"/>
    <d v="2014-01-17T00:00:00"/>
    <x v="73"/>
    <s v="Lamivudine/Zidovudine"/>
    <s v="Generic"/>
    <s v="30/60mg"/>
    <s v="Tablet - FDC"/>
    <n v="60"/>
    <n v="4160"/>
    <n v="8944"/>
    <n v="2.15"/>
    <n v="0.04"/>
    <m/>
    <m/>
    <n v="0"/>
    <x v="7"/>
  </r>
  <r>
    <n v="86018"/>
    <s v="SO-45560"/>
    <x v="1252"/>
    <x v="3"/>
    <s v="ARV"/>
    <s v="Adult"/>
    <s v="SCMS from RDC"/>
    <x v="1"/>
    <s v="N/A - From RDC"/>
    <s v="Truck"/>
    <m/>
    <d v="2013-12-31T00:00:00"/>
    <d v="2013-11-28T00:00:00"/>
    <d v="2013-12-23T00:00:00"/>
    <x v="8"/>
    <s v="Efavirenz"/>
    <s v="Generic"/>
    <s v="600mg"/>
    <s v="Tablet"/>
    <n v="30"/>
    <n v="66864"/>
    <n v="222657.12"/>
    <n v="3.33"/>
    <n v="0.11"/>
    <n v="4067"/>
    <n v="6976.78"/>
    <n v="1"/>
    <x v="6"/>
  </r>
  <r>
    <n v="86019"/>
    <s v="SO-45181"/>
    <x v="1253"/>
    <x v="6"/>
    <s v="ARV"/>
    <s v="Pediatric"/>
    <s v="SCMS from RDC"/>
    <x v="1"/>
    <s v="N/A - From RDC"/>
    <s v="Air"/>
    <m/>
    <d v="2013-12-31T00:00:00"/>
    <d v="2014-02-17T00:00:00"/>
    <d v="2014-02-24T00:00:00"/>
    <x v="67"/>
    <s v="Lamivudine"/>
    <s v="Generic"/>
    <s v="10mg/ml"/>
    <s v="Oral solution"/>
    <n v="240"/>
    <n v="549"/>
    <n v="796.05"/>
    <n v="1.45"/>
    <n v="0.01"/>
    <n v="201"/>
    <n v="1530.81"/>
    <n v="0"/>
    <x v="7"/>
  </r>
  <r>
    <n v="86025"/>
    <s v="SO-46481"/>
    <x v="1254"/>
    <x v="1"/>
    <s v="ARV"/>
    <s v="Adult"/>
    <s v="SCMS from RDC"/>
    <x v="1"/>
    <s v="N/A - From RDC"/>
    <s v="Truck"/>
    <m/>
    <d v="2013-12-17T00:00:00"/>
    <d v="2013-12-11T00:00:00"/>
    <d v="2014-01-09T00:00:00"/>
    <x v="14"/>
    <s v="Lopinavir/Ritonavir"/>
    <s v="Aluvia"/>
    <s v="200/50mg"/>
    <s v="Tablet"/>
    <n v="120"/>
    <n v="11193"/>
    <n v="226322.46"/>
    <n v="20.22"/>
    <n v="0.17"/>
    <n v="2518"/>
    <n v="33986.07"/>
    <n v="1"/>
    <x v="7"/>
  </r>
  <r>
    <n v="86027"/>
    <s v="SO-45995"/>
    <x v="858"/>
    <x v="0"/>
    <s v="ARV"/>
    <s v="Adult"/>
    <s v="SCMS from RDC"/>
    <x v="1"/>
    <s v="N/A - From RDC"/>
    <s v="Truck"/>
    <m/>
    <d v="2013-12-31T00:00:00"/>
    <d v="2014-02-25T00:00:00"/>
    <d v="2014-03-13T00:00:00"/>
    <x v="70"/>
    <s v="Emtricitabine/Tenofovir Disoproxil Fumarate"/>
    <s v="Generic"/>
    <s v="200/300mg"/>
    <s v="Tablet - FDC"/>
    <n v="30"/>
    <n v="337"/>
    <n v="1978.19"/>
    <n v="5.87"/>
    <n v="0.2"/>
    <m/>
    <m/>
    <n v="0"/>
    <x v="7"/>
  </r>
  <r>
    <n v="86029"/>
    <s v="SO-45997"/>
    <x v="1255"/>
    <x v="0"/>
    <s v="ARV"/>
    <s v="Pediatric"/>
    <s v="SCMS from RDC"/>
    <x v="1"/>
    <s v="N/A - From RDC"/>
    <s v="Truck"/>
    <m/>
    <d v="2014-01-31T00:00:00"/>
    <d v="2014-03-07T00:00:00"/>
    <d v="2014-03-12T00:00:00"/>
    <x v="74"/>
    <s v="Lamivudine/Nevirapine/Stavudine"/>
    <s v="Generic"/>
    <s v="30/50/6mg"/>
    <s v="Chewable/dispersible tablet - FDC"/>
    <n v="60"/>
    <n v="9312"/>
    <n v="21417.599999999999"/>
    <n v="2.2999999999999998"/>
    <n v="0.04"/>
    <n v="1221"/>
    <n v="4847.8"/>
    <n v="0"/>
    <x v="7"/>
  </r>
  <r>
    <n v="86030"/>
    <s v="SO-47110"/>
    <x v="1053"/>
    <x v="5"/>
    <s v="ARV"/>
    <s v="Adult"/>
    <s v="SCMS from RDC"/>
    <x v="1"/>
    <s v="N/A - From RDC"/>
    <s v="Air"/>
    <m/>
    <d v="2014-01-22T00:00:00"/>
    <d v="2014-02-11T00:00:00"/>
    <d v="2014-02-13T00:00:00"/>
    <x v="8"/>
    <s v="Efavirenz"/>
    <s v="Generic"/>
    <s v="600mg"/>
    <s v="Tablet"/>
    <n v="30"/>
    <n v="2100"/>
    <n v="6993"/>
    <n v="3.33"/>
    <n v="0.11"/>
    <m/>
    <m/>
    <n v="0"/>
    <x v="7"/>
  </r>
  <r>
    <n v="86031"/>
    <s v="SO-46483"/>
    <x v="744"/>
    <x v="1"/>
    <s v="ARV"/>
    <s v="Adult"/>
    <s v="SCMS from RDC"/>
    <x v="1"/>
    <s v="N/A - From RDC"/>
    <s v="Truck"/>
    <m/>
    <d v="2014-01-31T00:00:00"/>
    <d v="2014-02-03T00:00:00"/>
    <d v="2014-02-24T00:00:00"/>
    <x v="11"/>
    <s v="Lamivudine/Nevirapine/Zidovudine"/>
    <s v="Generic"/>
    <s v="150/300/200mg"/>
    <s v="Tablet - FDC"/>
    <n v="60"/>
    <n v="26540"/>
    <n v="219220.4"/>
    <n v="8.26"/>
    <n v="0.14000000000000001"/>
    <m/>
    <m/>
    <n v="0"/>
    <x v="7"/>
  </r>
  <r>
    <n v="86033"/>
    <s v="SO-46000"/>
    <x v="745"/>
    <x v="0"/>
    <s v="ARV"/>
    <s v="Pediatric"/>
    <s v="SCMS from RDC"/>
    <x v="1"/>
    <s v="N/A - From RDC"/>
    <s v="Truck"/>
    <m/>
    <d v="2014-01-31T00:00:00"/>
    <d v="2014-02-19T00:00:00"/>
    <d v="2014-02-24T00:00:00"/>
    <x v="76"/>
    <s v="Abacavir/Lamivudine"/>
    <s v="Generic"/>
    <s v="60/30mg"/>
    <s v="Tablet - FDC"/>
    <n v="60"/>
    <n v="9458"/>
    <n v="37832"/>
    <n v="4"/>
    <n v="7.0000000000000007E-2"/>
    <m/>
    <m/>
    <n v="0"/>
    <x v="7"/>
  </r>
  <r>
    <n v="86034"/>
    <s v="SO-46180"/>
    <x v="1256"/>
    <x v="3"/>
    <s v="ARV"/>
    <s v="Pediatric"/>
    <s v="SCMS from RDC"/>
    <x v="1"/>
    <s v="N/A - From RDC"/>
    <s v="Truck"/>
    <m/>
    <d v="2014-01-31T00:00:00"/>
    <d v="2014-01-30T00:00:00"/>
    <d v="2014-02-03T00:00:00"/>
    <x v="54"/>
    <s v="Nevirapine"/>
    <s v="Generic"/>
    <s v="10mg/ml"/>
    <s v="Oral suspension"/>
    <n v="100"/>
    <n v="45285"/>
    <n v="58870.5"/>
    <n v="1.3"/>
    <n v="0.01"/>
    <n v="8998"/>
    <n v="5458.45"/>
    <n v="1"/>
    <x v="7"/>
  </r>
  <r>
    <n v="86042"/>
    <s v="SO-45999"/>
    <x v="961"/>
    <x v="0"/>
    <s v="ARV"/>
    <s v="Pediatric"/>
    <s v="SCMS from RDC"/>
    <x v="1"/>
    <s v="N/A - From RDC"/>
    <s v="Truck"/>
    <m/>
    <d v="2014-01-31T00:00:00"/>
    <d v="2014-02-19T00:00:00"/>
    <d v="2014-02-24T00:00:00"/>
    <x v="54"/>
    <s v="Nevirapine"/>
    <s v="Generic"/>
    <s v="10mg/ml"/>
    <s v="Oral suspension"/>
    <n v="100"/>
    <n v="13171"/>
    <n v="17122.3"/>
    <n v="1.3"/>
    <n v="0.01"/>
    <m/>
    <m/>
    <n v="0"/>
    <x v="7"/>
  </r>
  <r>
    <n v="86043"/>
    <s v="SO-46484"/>
    <x v="1257"/>
    <x v="1"/>
    <s v="ARV"/>
    <s v="Adult"/>
    <s v="SCMS from RDC"/>
    <x v="1"/>
    <s v="N/A - From RDC"/>
    <s v="Truck"/>
    <m/>
    <d v="2014-01-31T00:00:00"/>
    <d v="2014-02-25T00:00:00"/>
    <d v="2014-03-13T00:00:00"/>
    <x v="47"/>
    <s v="Lopinavir/Ritonavir"/>
    <s v="Generic"/>
    <s v="200/50mg"/>
    <s v="Tablet"/>
    <n v="120"/>
    <n v="5247"/>
    <n v="107458.56"/>
    <n v="20.48"/>
    <n v="0.17"/>
    <n v="1382"/>
    <n v="8456.9599999999991"/>
    <n v="0"/>
    <x v="7"/>
  </r>
  <r>
    <n v="86058"/>
    <s v="SO-47830"/>
    <x v="1258"/>
    <x v="1"/>
    <s v="ARV"/>
    <s v="Adult"/>
    <s v="SCMS from RDC"/>
    <x v="1"/>
    <s v="N/A - From RDC"/>
    <s v="Air"/>
    <m/>
    <d v="2014-03-25T00:00:00"/>
    <d v="2014-04-02T00:00:00"/>
    <d v="2014-04-14T00:00:00"/>
    <x v="1"/>
    <s v="Lamivudine/Zidovudine"/>
    <s v="Generic"/>
    <s v="150/300mg"/>
    <s v="Tablet - FDC"/>
    <n v="60"/>
    <n v="18000"/>
    <n v="121140"/>
    <n v="6.73"/>
    <n v="0.11"/>
    <n v="1643"/>
    <n v="12995.06"/>
    <n v="0"/>
    <x v="7"/>
  </r>
  <r>
    <n v="86059"/>
    <s v="SO-46880"/>
    <x v="1259"/>
    <x v="3"/>
    <s v="ARV"/>
    <s v="Adult"/>
    <s v="SCMS from RDC"/>
    <x v="1"/>
    <s v="N/A - From RDC"/>
    <s v="Truck"/>
    <m/>
    <d v="2014-04-30T00:00:00"/>
    <d v="2014-04-18T00:00:00"/>
    <d v="2014-05-07T00:00:00"/>
    <x v="47"/>
    <s v="Lopinavir/Ritonavir"/>
    <s v="Generic"/>
    <s v="200/50mg"/>
    <s v="Tablet"/>
    <n v="120"/>
    <n v="26960"/>
    <n v="541087.19999999995"/>
    <n v="20.07"/>
    <n v="0.17"/>
    <m/>
    <m/>
    <n v="1"/>
    <x v="7"/>
  </r>
  <r>
    <n v="86063"/>
    <s v="SO-46870"/>
    <x v="748"/>
    <x v="3"/>
    <s v="ARV"/>
    <s v="Adult"/>
    <s v="SCMS from RDC"/>
    <x v="1"/>
    <s v="N/A - From RDC"/>
    <s v="Truck"/>
    <m/>
    <d v="2014-04-20T00:00:00"/>
    <d v="2014-04-18T00:00:00"/>
    <d v="2014-04-28T00:00:00"/>
    <x v="11"/>
    <s v="Lamivudine/Nevirapine/Zidovudine"/>
    <s v="Generic"/>
    <s v="150/300/200mg"/>
    <s v="Tablet - FDC"/>
    <n v="60"/>
    <n v="50000"/>
    <n v="413000"/>
    <n v="8.26"/>
    <n v="0.14000000000000001"/>
    <m/>
    <m/>
    <n v="1"/>
    <x v="7"/>
  </r>
  <r>
    <n v="86067"/>
    <s v="SO-46872"/>
    <x v="1260"/>
    <x v="3"/>
    <s v="ARV"/>
    <s v="Adult"/>
    <s v="SCMS from RDC"/>
    <x v="1"/>
    <s v="N/A - From RDC"/>
    <s v="Truck"/>
    <m/>
    <d v="2014-03-21T00:00:00"/>
    <d v="2014-04-18T00:00:00"/>
    <d v="2014-04-28T00:00:00"/>
    <x v="11"/>
    <s v="Lamivudine/Nevirapine/Zidovudine"/>
    <s v="Generic"/>
    <s v="150/300/200mg"/>
    <s v="Tablet - FDC"/>
    <n v="60"/>
    <n v="34138"/>
    <n v="281979.88"/>
    <n v="8.26"/>
    <n v="0.14000000000000001"/>
    <n v="4009"/>
    <n v="4947.38"/>
    <n v="0"/>
    <x v="7"/>
  </r>
  <r>
    <n v="86073"/>
    <s v="SO-47970"/>
    <x v="1261"/>
    <x v="1"/>
    <s v="ARV"/>
    <s v="Pediatric"/>
    <s v="SCMS from RDC"/>
    <x v="1"/>
    <s v="N/A - From RDC"/>
    <s v="Air"/>
    <m/>
    <d v="2014-06-04T00:00:00"/>
    <d v="2014-06-04T00:00:00"/>
    <d v="2014-07-10T00:00:00"/>
    <x v="73"/>
    <s v="Lamivudine/Zidovudine"/>
    <s v="Generic"/>
    <s v="30/60mg"/>
    <s v="Tablet - FDC"/>
    <n v="60"/>
    <n v="373"/>
    <n v="746"/>
    <n v="2"/>
    <n v="0.03"/>
    <n v="14"/>
    <n v="1284.7"/>
    <n v="1"/>
    <x v="7"/>
  </r>
  <r>
    <n v="86078"/>
    <s v="SO-46500"/>
    <x v="1262"/>
    <x v="1"/>
    <s v="ARV"/>
    <s v="Adult"/>
    <s v="SCMS from RDC"/>
    <x v="1"/>
    <s v="N/A - From RDC"/>
    <s v="Truck"/>
    <m/>
    <d v="2014-05-05T00:00:00"/>
    <d v="2014-06-06T00:00:00"/>
    <d v="2014-06-20T00:00:00"/>
    <x v="39"/>
    <s v="Lamivudine/Tenofovir Disoproxil Fumarate"/>
    <s v="Generic"/>
    <s v="300/300mg"/>
    <s v="Tablet - FDC"/>
    <n v="30"/>
    <n v="97619"/>
    <n v="452952.16"/>
    <n v="4.6399999999999997"/>
    <n v="0.15"/>
    <n v="9905"/>
    <n v="5445.73"/>
    <n v="0"/>
    <x v="7"/>
  </r>
  <r>
    <n v="86082"/>
    <s v="SO-47662"/>
    <x v="1263"/>
    <x v="0"/>
    <s v="ARV"/>
    <s v="Pediatric"/>
    <s v="SCMS from RDC"/>
    <x v="1"/>
    <s v="N/A - From RDC"/>
    <s v="Truck"/>
    <m/>
    <d v="2014-07-29T00:00:00"/>
    <d v="2014-08-02T00:00:00"/>
    <d v="2014-08-04T00:00:00"/>
    <x v="57"/>
    <s v="Lamivudine/Nevirapine/Zidovudine"/>
    <s v="Generic"/>
    <s v="30/50/60mg"/>
    <s v="Chewable/dispersible tablet - FDC"/>
    <n v="60"/>
    <n v="14789"/>
    <n v="55458.75"/>
    <n v="3.75"/>
    <n v="0.06"/>
    <n v="825"/>
    <n v="5137.0600000000004"/>
    <n v="0"/>
    <x v="7"/>
  </r>
  <r>
    <n v="86089"/>
    <s v="SO-46875"/>
    <x v="753"/>
    <x v="3"/>
    <s v="ARV"/>
    <s v="Adult"/>
    <s v="SCMS from RDC"/>
    <x v="1"/>
    <s v="N/A - From RDC"/>
    <s v="Truck"/>
    <m/>
    <d v="2014-06-30T00:00:00"/>
    <d v="2014-06-30T00:00:00"/>
    <d v="2014-07-01T00:00:00"/>
    <x v="11"/>
    <s v="Lamivudine/Nevirapine/Zidovudine"/>
    <s v="Generic"/>
    <s v="150/300/200mg"/>
    <s v="Tablet - FDC"/>
    <n v="60"/>
    <n v="52898"/>
    <n v="429002.78"/>
    <n v="8.11"/>
    <n v="0.14000000000000001"/>
    <m/>
    <m/>
    <n v="1"/>
    <x v="7"/>
  </r>
  <r>
    <n v="86090"/>
    <s v="SO-46875"/>
    <x v="753"/>
    <x v="3"/>
    <s v="ARV"/>
    <s v="Adult"/>
    <s v="SCMS from RDC"/>
    <x v="1"/>
    <s v="N/A - From RDC"/>
    <s v="Truck"/>
    <m/>
    <d v="2014-06-30T00:00:00"/>
    <d v="2014-06-30T00:00:00"/>
    <d v="2014-07-01T00:00:00"/>
    <x v="11"/>
    <s v="Lamivudine/Nevirapine/Zidovudine"/>
    <s v="Generic"/>
    <s v="150/300/200mg"/>
    <s v="Tablet - FDC"/>
    <n v="60"/>
    <n v="30"/>
    <n v="243.3"/>
    <n v="8.11"/>
    <n v="0.14000000000000001"/>
    <m/>
    <m/>
    <n v="1"/>
    <x v="7"/>
  </r>
  <r>
    <n v="86103"/>
    <s v="SO-49370"/>
    <x v="1264"/>
    <x v="5"/>
    <s v="ARV"/>
    <s v="Adult"/>
    <s v="SCMS from RDC"/>
    <x v="1"/>
    <s v="N/A - From RDC"/>
    <s v="Air"/>
    <m/>
    <d v="2014-10-02T00:00:00"/>
    <d v="2014-10-17T00:00:00"/>
    <d v="2014-11-13T00:00:00"/>
    <x v="46"/>
    <s v="Efavirenz/Lamivudine/Tenofovir Disoproxil Fumarate"/>
    <s v="Generic"/>
    <s v="600/300/300mg"/>
    <s v="Tablet - FDC"/>
    <n v="30"/>
    <n v="7764"/>
    <n v="83695.92"/>
    <n v="10.78"/>
    <n v="0.36"/>
    <n v="1347"/>
    <n v="14522.43"/>
    <n v="0"/>
    <x v="7"/>
  </r>
  <r>
    <n v="86110"/>
    <s v="SO-48161"/>
    <x v="970"/>
    <x v="1"/>
    <s v="ARV"/>
    <s v="Adult"/>
    <s v="SCMS from RDC"/>
    <x v="1"/>
    <s v="N/A - From RDC"/>
    <s v="Truck"/>
    <m/>
    <d v="2014-08-19T00:00:00"/>
    <d v="2014-08-13T00:00:00"/>
    <d v="2014-08-14T00:00:00"/>
    <x v="0"/>
    <s v="Nevirapine"/>
    <s v="Generic"/>
    <s v="200mg"/>
    <s v="Tablet"/>
    <n v="60"/>
    <n v="88809"/>
    <n v="200708.34"/>
    <n v="2.2599999999999998"/>
    <n v="0.04"/>
    <m/>
    <m/>
    <n v="1"/>
    <x v="7"/>
  </r>
  <r>
    <n v="86113"/>
    <s v="SO-47980"/>
    <x v="1265"/>
    <x v="1"/>
    <s v="ARV"/>
    <s v="Pediatric"/>
    <s v="SCMS from RDC"/>
    <x v="1"/>
    <s v="N/A - From RDC"/>
    <s v="Air"/>
    <m/>
    <d v="2014-07-17T00:00:00"/>
    <d v="2014-07-17T00:00:00"/>
    <d v="2014-10-28T00:00:00"/>
    <x v="73"/>
    <s v="Lamivudine/Zidovudine"/>
    <s v="Generic"/>
    <s v="30/60mg"/>
    <s v="Tablet - FDC"/>
    <n v="60"/>
    <n v="362"/>
    <n v="720.38"/>
    <n v="1.99"/>
    <n v="0.03"/>
    <n v="16"/>
    <n v="919.81"/>
    <n v="1"/>
    <x v="7"/>
  </r>
  <r>
    <n v="86129"/>
    <s v="SO-48591"/>
    <x v="1266"/>
    <x v="6"/>
    <s v="ARV"/>
    <s v="Adult"/>
    <s v="SCMS from RDC"/>
    <x v="1"/>
    <s v="N/A - From RDC"/>
    <s v="Air"/>
    <m/>
    <d v="2014-08-31T00:00:00"/>
    <d v="2014-07-25T00:00:00"/>
    <d v="2014-08-01T00:00:00"/>
    <x v="0"/>
    <s v="Nevirapine"/>
    <s v="Generic"/>
    <s v="200mg"/>
    <s v="Tablet"/>
    <n v="60"/>
    <n v="525"/>
    <n v="1160.25"/>
    <n v="2.21"/>
    <n v="0.04"/>
    <n v="35"/>
    <n v="638.65"/>
    <n v="1"/>
    <x v="7"/>
  </r>
  <r>
    <n v="86133"/>
    <s v="SO-49640"/>
    <x v="1267"/>
    <x v="0"/>
    <s v="ARV"/>
    <s v="Pediatric"/>
    <s v="SCMS from RDC"/>
    <x v="1"/>
    <s v="N/A - From RDC"/>
    <s v="Truck"/>
    <m/>
    <d v="2014-11-11T00:00:00"/>
    <d v="2014-10-17T00:00:00"/>
    <d v="2014-11-07T00:00:00"/>
    <x v="57"/>
    <s v="Lamivudine/Nevirapine/Zidovudine"/>
    <s v="Generic"/>
    <s v="30/50/60mg"/>
    <s v="Chewable/dispersible tablet - FDC"/>
    <n v="60"/>
    <n v="54976"/>
    <n v="206160"/>
    <n v="3.75"/>
    <n v="0.06"/>
    <n v="2356"/>
    <n v="2151.27"/>
    <n v="1"/>
    <x v="7"/>
  </r>
  <r>
    <n v="86136"/>
    <s v="SO-46710"/>
    <x v="1268"/>
    <x v="0"/>
    <s v="ARV"/>
    <s v="Adult"/>
    <s v="SCMS from RDC"/>
    <x v="1"/>
    <s v="N/A - From RDC"/>
    <s v="Truck"/>
    <m/>
    <d v="2014-11-03T00:00:00"/>
    <d v="2014-10-17T00:00:00"/>
    <d v="2014-11-07T00:00:00"/>
    <x v="9"/>
    <s v="Abacavir"/>
    <s v="Generic"/>
    <s v="300mg"/>
    <s v="Tablet"/>
    <n v="60"/>
    <n v="24876"/>
    <n v="285078.96000000002"/>
    <n v="11.46"/>
    <n v="0.19"/>
    <n v="2345"/>
    <n v="2456.7399999999998"/>
    <n v="1"/>
    <x v="7"/>
  </r>
  <r>
    <n v="86137"/>
    <s v="SO-48960"/>
    <x v="1199"/>
    <x v="3"/>
    <s v="ARV"/>
    <s v="Adult"/>
    <s v="SCMS from RDC"/>
    <x v="1"/>
    <s v="N/A - From RDC"/>
    <s v="Air"/>
    <m/>
    <d v="2014-09-30T00:00:00"/>
    <d v="2014-10-01T00:00:00"/>
    <d v="2014-10-21T00:00:00"/>
    <x v="29"/>
    <s v="Zidovudine"/>
    <s v="Generic"/>
    <s v="300mg"/>
    <s v="Tablet"/>
    <n v="60"/>
    <n v="1000"/>
    <n v="5440"/>
    <n v="5.44"/>
    <n v="0.09"/>
    <m/>
    <m/>
    <n v="0"/>
    <x v="7"/>
  </r>
  <r>
    <n v="86144"/>
    <s v="SO-48620"/>
    <x v="1064"/>
    <x v="6"/>
    <s v="ARV"/>
    <s v="Adult"/>
    <s v="SCMS from RDC"/>
    <x v="1"/>
    <s v="N/A - From RDC"/>
    <s v="Air"/>
    <m/>
    <d v="2014-11-20T00:00:00"/>
    <d v="2014-11-20T00:00:00"/>
    <d v="2014-11-24T00:00:00"/>
    <x v="11"/>
    <s v="Lamivudine/Nevirapine/Zidovudine"/>
    <s v="Generic"/>
    <s v="150/300/200mg"/>
    <s v="Tablet - FDC"/>
    <n v="60"/>
    <n v="1536"/>
    <n v="12456.96"/>
    <n v="8.11"/>
    <n v="0.14000000000000001"/>
    <m/>
    <m/>
    <n v="1"/>
    <x v="7"/>
  </r>
  <r>
    <n v="86151"/>
    <s v="SO-48993"/>
    <x v="873"/>
    <x v="3"/>
    <s v="ARV"/>
    <s v="Adult"/>
    <s v="SCMS from RDC"/>
    <x v="1"/>
    <s v="N/A - From RDC"/>
    <s v="Truck"/>
    <m/>
    <d v="2015-02-16T00:00:00"/>
    <d v="2015-01-24T00:00:00"/>
    <d v="2015-02-03T00:00:00"/>
    <x v="8"/>
    <s v="Efavirenz"/>
    <s v="Generic"/>
    <s v="600mg"/>
    <s v="Tablet"/>
    <n v="30"/>
    <n v="7500"/>
    <n v="24075"/>
    <n v="3.21"/>
    <n v="0.11"/>
    <m/>
    <m/>
    <n v="1"/>
    <x v="8"/>
  </r>
  <r>
    <n v="86154"/>
    <s v="SO-50051"/>
    <x v="978"/>
    <x v="3"/>
    <s v="ARV"/>
    <s v="Adult"/>
    <s v="SCMS from RDC"/>
    <x v="1"/>
    <s v="N/A - From RDC"/>
    <s v="Truck"/>
    <m/>
    <d v="2015-06-15T00:00:00"/>
    <d v="2015-01-16T00:00:00"/>
    <d v="2015-01-26T00:00:00"/>
    <x v="46"/>
    <s v="Efavirenz/Lamivudine/Tenofovir Disoproxil Fumarate"/>
    <s v="Generic"/>
    <s v="600/300/300mg"/>
    <s v="Tablet - FDC"/>
    <n v="30"/>
    <n v="13000"/>
    <n v="126880"/>
    <n v="9.76"/>
    <n v="0.33"/>
    <m/>
    <m/>
    <n v="1"/>
    <x v="8"/>
  </r>
  <r>
    <n v="86155"/>
    <s v="SO-50091"/>
    <x v="1269"/>
    <x v="3"/>
    <s v="ARV"/>
    <s v="Adult"/>
    <s v="SCMS from RDC"/>
    <x v="1"/>
    <s v="N/A - From RDC"/>
    <s v="Truck"/>
    <m/>
    <d v="2015-01-30T00:00:00"/>
    <d v="2015-01-16T00:00:00"/>
    <d v="2015-01-19T00:00:00"/>
    <x v="46"/>
    <s v="Efavirenz/Lamivudine/Tenofovir Disoproxil Fumarate"/>
    <s v="Generic"/>
    <s v="600/300/300mg"/>
    <s v="Tablet - FDC"/>
    <n v="30"/>
    <n v="85000"/>
    <n v="829600"/>
    <n v="9.76"/>
    <n v="0.33"/>
    <m/>
    <m/>
    <n v="1"/>
    <x v="8"/>
  </r>
  <r>
    <n v="86162"/>
    <s v="SO-50090"/>
    <x v="982"/>
    <x v="3"/>
    <s v="ARV"/>
    <s v="Adult"/>
    <s v="SCMS from RDC"/>
    <x v="1"/>
    <s v="N/A - From RDC"/>
    <s v="Truck"/>
    <m/>
    <d v="2015-02-27T00:00:00"/>
    <d v="2015-02-24T00:00:00"/>
    <d v="2015-02-24T00:00:00"/>
    <x v="62"/>
    <s v="Abacavir/Lamivudine"/>
    <s v="Generic"/>
    <s v="600/300mg"/>
    <s v="Tablet - FDC"/>
    <n v="30"/>
    <n v="10300"/>
    <n v="139256"/>
    <n v="13.52"/>
    <n v="0.45"/>
    <m/>
    <m/>
    <n v="1"/>
    <x v="8"/>
  </r>
  <r>
    <n v="86174"/>
    <s v="SO-50270"/>
    <x v="769"/>
    <x v="6"/>
    <s v="ARV"/>
    <s v="Adult"/>
    <s v="SCMS from RDC"/>
    <x v="1"/>
    <s v="N/A - From RDC"/>
    <s v="Air"/>
    <m/>
    <d v="2015-02-27T00:00:00"/>
    <d v="2015-02-28T00:00:00"/>
    <d v="2015-03-05T00:00:00"/>
    <x v="11"/>
    <s v="Lamivudine/Nevirapine/Zidovudine"/>
    <s v="Generic"/>
    <s v="150/300/200mg"/>
    <s v="Tablet - FDC"/>
    <n v="60"/>
    <n v="1728"/>
    <n v="13340.16"/>
    <n v="7.72"/>
    <n v="0.13"/>
    <m/>
    <m/>
    <n v="0"/>
    <x v="8"/>
  </r>
  <r>
    <n v="86188"/>
    <s v="SO-50670"/>
    <x v="1270"/>
    <x v="3"/>
    <s v="ARV"/>
    <s v="Adult"/>
    <s v="SCMS from RDC"/>
    <x v="1"/>
    <s v="N/A - From RDC"/>
    <s v="Truck"/>
    <m/>
    <d v="2015-04-30T00:00:00"/>
    <d v="2015-04-22T00:00:00"/>
    <d v="2015-04-24T00:00:00"/>
    <x v="11"/>
    <s v="Lamivudine/Nevirapine/Zidovudine"/>
    <s v="Generic"/>
    <s v="150/300/200mg"/>
    <s v="Tablet - FDC"/>
    <n v="60"/>
    <n v="44102"/>
    <n v="340467.44"/>
    <n v="7.72"/>
    <n v="0.13"/>
    <n v="8221"/>
    <m/>
    <n v="1"/>
    <x v="8"/>
  </r>
  <r>
    <n v="86189"/>
    <s v="SO-50050"/>
    <x v="879"/>
    <x v="3"/>
    <s v="ARV"/>
    <s v="Adult"/>
    <s v="SCMS from RDC"/>
    <x v="1"/>
    <s v="N/A - From RDC"/>
    <s v="Truck"/>
    <m/>
    <d v="2015-06-15T00:00:00"/>
    <d v="2015-05-14T00:00:00"/>
    <d v="2015-05-15T00:00:00"/>
    <x v="8"/>
    <s v="Efavirenz"/>
    <s v="Generic"/>
    <s v="600mg"/>
    <s v="Tablet"/>
    <n v="30"/>
    <n v="2"/>
    <n v="6.24"/>
    <n v="3.12"/>
    <n v="0.1"/>
    <m/>
    <m/>
    <n v="1"/>
    <x v="8"/>
  </r>
  <r>
    <n v="86193"/>
    <s v="SO-50721"/>
    <x v="1271"/>
    <x v="1"/>
    <s v="ARV"/>
    <s v="Pediatric"/>
    <s v="SCMS from RDC"/>
    <x v="1"/>
    <s v="N/A - From RDC"/>
    <s v="Truck"/>
    <m/>
    <d v="2015-06-30T00:00:00"/>
    <d v="2015-05-05T00:00:00"/>
    <d v="2015-05-06T00:00:00"/>
    <x v="51"/>
    <s v="Efavirenz"/>
    <s v="Generic"/>
    <s v="200mg"/>
    <s v="Tablet"/>
    <n v="90"/>
    <n v="2118"/>
    <n v="19697.400000000001"/>
    <n v="9.3000000000000007"/>
    <n v="0.1"/>
    <m/>
    <m/>
    <n v="1"/>
    <x v="8"/>
  </r>
  <r>
    <n v="86208"/>
    <s v="SO-50660"/>
    <x v="775"/>
    <x v="3"/>
    <s v="ARV"/>
    <s v="Adult"/>
    <s v="SCMS from RDC"/>
    <x v="1"/>
    <s v="N/A - From RDC"/>
    <s v="Truck"/>
    <m/>
    <d v="2015-07-31T00:00:00"/>
    <d v="2015-07-23T00:00:00"/>
    <d v="2015-07-23T00:00:00"/>
    <x v="11"/>
    <s v="Lamivudine/Nevirapine/Zidovudine"/>
    <s v="Generic"/>
    <s v="150/300/200mg"/>
    <s v="Tablet - FDC"/>
    <n v="60"/>
    <n v="30881"/>
    <n v="250444.91"/>
    <n v="8.11"/>
    <n v="0.14000000000000001"/>
    <m/>
    <m/>
    <n v="1"/>
    <x v="8"/>
  </r>
  <r>
    <n v="86211"/>
    <s v="SO-51530"/>
    <x v="1272"/>
    <x v="1"/>
    <s v="ARV"/>
    <s v="Adult"/>
    <s v="SCMS from RDC"/>
    <x v="1"/>
    <s v="N/A - From RDC"/>
    <s v="Air"/>
    <m/>
    <d v="2015-08-18T00:00:00"/>
    <d v="2015-08-25T00:00:00"/>
    <d v="2015-08-27T00:00:00"/>
    <x v="35"/>
    <s v="Tenofovir Disoproxil Fumarate"/>
    <s v="Generic"/>
    <s v="300mg"/>
    <s v="Tablet"/>
    <n v="30"/>
    <n v="385"/>
    <n v="1366.75"/>
    <n v="3.55"/>
    <n v="0.12"/>
    <n v="25"/>
    <n v="149.65"/>
    <n v="0"/>
    <x v="8"/>
  </r>
  <r>
    <n v="86216"/>
    <s v="SO-51740"/>
    <x v="777"/>
    <x v="1"/>
    <s v="ARV"/>
    <s v="Pediatric"/>
    <s v="SCMS from RDC"/>
    <x v="1"/>
    <s v="N/A - From RDC"/>
    <s v="Air"/>
    <m/>
    <d v="2015-09-08T00:00:00"/>
    <d v="2015-08-26T00:00:00"/>
    <d v="2015-09-02T00:00:00"/>
    <x v="51"/>
    <s v="Efavirenz"/>
    <s v="Generic"/>
    <s v="200mg"/>
    <s v="Tablet"/>
    <n v="90"/>
    <n v="2434"/>
    <n v="22636.2"/>
    <n v="9.3000000000000007"/>
    <n v="0.1"/>
    <m/>
    <m/>
    <n v="1"/>
    <x v="8"/>
  </r>
  <r>
    <n v="86245"/>
    <s v="SO-34300"/>
    <x v="1273"/>
    <x v="3"/>
    <s v="ARV"/>
    <s v="Adult"/>
    <s v="SCMS from RDC"/>
    <x v="1"/>
    <s v="N/A - From RDC"/>
    <s v="Air"/>
    <m/>
    <d v="2010-01-17T00:00:00"/>
    <d v="2009-11-25T00:00:00"/>
    <d v="2009-11-25T00:00:00"/>
    <x v="39"/>
    <s v="Lamivudine/Tenofovir Disoproxil Fumarate"/>
    <s v="Generic"/>
    <s v="300/300mg"/>
    <s v="Tablet - FDC"/>
    <n v="30"/>
    <n v="2150"/>
    <n v="21500"/>
    <n v="10"/>
    <n v="0.33"/>
    <n v="179"/>
    <n v="2196.29"/>
    <n v="1"/>
    <x v="3"/>
  </r>
  <r>
    <n v="86246"/>
    <s v="SO-33870"/>
    <x v="1274"/>
    <x v="3"/>
    <s v="ARV"/>
    <s v="Adult"/>
    <s v="SCMS from RDC"/>
    <x v="1"/>
    <s v="N/A - From RDC"/>
    <s v="Air"/>
    <m/>
    <d v="2010-01-14T00:00:00"/>
    <d v="2009-12-31T00:00:00"/>
    <d v="2009-12-31T00:00:00"/>
    <x v="1"/>
    <s v="Lamivudine/Zidovudine"/>
    <s v="Generic"/>
    <s v="150/300mg"/>
    <s v="Tablet - FDC"/>
    <n v="60"/>
    <n v="16575"/>
    <n v="145197"/>
    <n v="8.76"/>
    <n v="0.15"/>
    <n v="6843"/>
    <n v="7231"/>
    <n v="1"/>
    <x v="3"/>
  </r>
  <r>
    <n v="86250"/>
    <s v="SO-34830"/>
    <x v="1275"/>
    <x v="3"/>
    <s v="ARV"/>
    <s v="Adult"/>
    <s v="SCMS from RDC"/>
    <x v="1"/>
    <s v="N/A - From RDC"/>
    <s v="Air"/>
    <m/>
    <d v="2010-02-10T00:00:00"/>
    <d v="2010-01-07T00:00:00"/>
    <d v="2010-01-07T00:00:00"/>
    <x v="8"/>
    <s v="Efavirenz"/>
    <s v="Generic"/>
    <s v="600mg"/>
    <s v="Tablet"/>
    <n v="30"/>
    <n v="2500"/>
    <n v="14450"/>
    <n v="5.78"/>
    <n v="0.19"/>
    <n v="216"/>
    <n v="2064.42"/>
    <n v="1"/>
    <x v="4"/>
  </r>
  <r>
    <n v="86251"/>
    <s v="SO-34840"/>
    <x v="887"/>
    <x v="3"/>
    <s v="ARV"/>
    <s v="Adult"/>
    <s v="SCMS from RDC"/>
    <x v="1"/>
    <s v="N/A - From RDC"/>
    <s v="Air"/>
    <m/>
    <d v="2010-02-17T00:00:00"/>
    <d v="2009-12-23T00:00:00"/>
    <d v="2009-12-23T00:00:00"/>
    <x v="39"/>
    <s v="Lamivudine/Tenofovir Disoproxil Fumarate"/>
    <s v="Generic"/>
    <s v="300/300mg"/>
    <s v="Tablet - FDC"/>
    <n v="30"/>
    <n v="1100"/>
    <n v="11000"/>
    <n v="10"/>
    <n v="0.33"/>
    <m/>
    <m/>
    <n v="1"/>
    <x v="3"/>
  </r>
  <r>
    <n v="86252"/>
    <s v="SO-34840"/>
    <x v="887"/>
    <x v="3"/>
    <s v="ARV"/>
    <s v="Adult"/>
    <s v="SCMS from RDC"/>
    <x v="1"/>
    <s v="N/A - From RDC"/>
    <s v="Air"/>
    <m/>
    <d v="2010-02-17T00:00:00"/>
    <d v="2009-12-23T00:00:00"/>
    <d v="2009-12-23T00:00:00"/>
    <x v="29"/>
    <s v="Zidovudine"/>
    <s v="Generic"/>
    <s v="300mg"/>
    <s v="Tablet"/>
    <n v="60"/>
    <n v="140"/>
    <n v="1054.2"/>
    <n v="7.53"/>
    <n v="0.13"/>
    <m/>
    <m/>
    <n v="1"/>
    <x v="3"/>
  </r>
  <r>
    <n v="86254"/>
    <s v="SO-35240"/>
    <x v="1276"/>
    <x v="2"/>
    <s v="ARV"/>
    <s v="Adult"/>
    <s v="SCMS from RDC"/>
    <x v="1"/>
    <s v="N/A - From RDC"/>
    <s v="Air"/>
    <m/>
    <d v="2010-01-04T00:00:00"/>
    <d v="2009-12-18T00:00:00"/>
    <d v="2009-12-18T00:00:00"/>
    <x v="16"/>
    <s v="Lamivudine"/>
    <s v="Generic"/>
    <s v="150mg"/>
    <s v="Tablet"/>
    <n v="60"/>
    <n v="8000"/>
    <n v="19520"/>
    <n v="2.44"/>
    <n v="0.04"/>
    <n v="425"/>
    <n v="2978.5"/>
    <n v="1"/>
    <x v="3"/>
  </r>
  <r>
    <n v="86259"/>
    <s v="SO-35010"/>
    <x v="1277"/>
    <x v="3"/>
    <s v="ARV"/>
    <s v="Adult"/>
    <s v="SCMS from RDC"/>
    <x v="1"/>
    <s v="N/A - From RDC"/>
    <s v="Truck"/>
    <m/>
    <d v="2010-03-22T00:00:00"/>
    <d v="2010-01-29T00:00:00"/>
    <d v="2010-01-29T00:00:00"/>
    <x v="0"/>
    <s v="Nevirapine"/>
    <s v="Generic"/>
    <s v="200mg"/>
    <s v="Tablet"/>
    <n v="60"/>
    <n v="1600"/>
    <n v="4640"/>
    <n v="2.9"/>
    <n v="0.05"/>
    <n v="157"/>
    <n v="1601.5"/>
    <n v="1"/>
    <x v="4"/>
  </r>
  <r>
    <n v="86260"/>
    <s v="SO-34820"/>
    <x v="1278"/>
    <x v="3"/>
    <s v="ARV"/>
    <s v="Adult"/>
    <s v="SCMS from RDC"/>
    <x v="1"/>
    <s v="N/A - From RDC"/>
    <s v="Truck"/>
    <m/>
    <d v="2010-03-03T00:00:00"/>
    <d v="2010-01-29T00:00:00"/>
    <d v="2010-01-29T00:00:00"/>
    <x v="11"/>
    <s v="Lamivudine/Nevirapine/Zidovudine"/>
    <s v="Generic"/>
    <s v="150/300/200mg"/>
    <s v="Tablet - FDC"/>
    <n v="60"/>
    <n v="6600"/>
    <n v="74052"/>
    <n v="11.22"/>
    <n v="0.19"/>
    <n v="843"/>
    <n v="6470.51"/>
    <n v="1"/>
    <x v="4"/>
  </r>
  <r>
    <n v="86261"/>
    <s v="SO-33960"/>
    <x v="1279"/>
    <x v="3"/>
    <s v="ARV"/>
    <s v="Adult"/>
    <s v="SCMS from RDC"/>
    <x v="1"/>
    <s v="N/A - From RDC"/>
    <s v="Truck"/>
    <m/>
    <d v="2010-02-25T00:00:00"/>
    <d v="2010-01-29T00:00:00"/>
    <d v="2010-01-29T00:00:00"/>
    <x v="8"/>
    <s v="Efavirenz"/>
    <s v="Generic"/>
    <s v="600mg"/>
    <s v="Tablet"/>
    <n v="30"/>
    <n v="32660"/>
    <n v="188774.8"/>
    <n v="5.78"/>
    <n v="0.19"/>
    <n v="2804"/>
    <n v="5050.8"/>
    <n v="1"/>
    <x v="4"/>
  </r>
  <r>
    <n v="86263"/>
    <s v="SO-35610"/>
    <x v="1075"/>
    <x v="3"/>
    <s v="ARV"/>
    <s v="Adult"/>
    <s v="SCMS from RDC"/>
    <x v="1"/>
    <s v="N/A - From RDC"/>
    <s v="Truck"/>
    <m/>
    <d v="2010-02-25T00:00:00"/>
    <d v="2010-02-18T00:00:00"/>
    <d v="2010-02-18T00:00:00"/>
    <x v="11"/>
    <s v="Lamivudine/Nevirapine/Zidovudine"/>
    <s v="Generic"/>
    <s v="150/300/200mg"/>
    <s v="Tablet - FDC"/>
    <n v="60"/>
    <n v="29"/>
    <n v="325.38"/>
    <n v="11.22"/>
    <n v="0.19"/>
    <m/>
    <m/>
    <n v="1"/>
    <x v="4"/>
  </r>
  <r>
    <n v="86266"/>
    <s v="SO-35650"/>
    <x v="1280"/>
    <x v="3"/>
    <s v="ARV"/>
    <s v="Adult"/>
    <s v="SCMS from RDC"/>
    <x v="1"/>
    <s v="N/A - From RDC"/>
    <s v="Air"/>
    <m/>
    <d v="2010-03-19T00:00:00"/>
    <d v="2010-02-26T00:00:00"/>
    <d v="2010-02-26T00:00:00"/>
    <x v="29"/>
    <s v="Zidovudine"/>
    <s v="Generic"/>
    <s v="300mg"/>
    <s v="Tablet"/>
    <n v="60"/>
    <n v="744"/>
    <n v="5602.32"/>
    <n v="7.53"/>
    <n v="0.13"/>
    <n v="41"/>
    <n v="1152.1400000000001"/>
    <n v="1"/>
    <x v="4"/>
  </r>
  <r>
    <n v="86267"/>
    <s v="SO-35850"/>
    <x v="1281"/>
    <x v="3"/>
    <s v="ARV"/>
    <s v="Adult"/>
    <s v="SCMS from RDC"/>
    <x v="1"/>
    <s v="N/A - From RDC"/>
    <s v="Air"/>
    <m/>
    <d v="2010-05-20T00:00:00"/>
    <d v="2009-12-23T00:00:00"/>
    <d v="2009-12-23T00:00:00"/>
    <x v="29"/>
    <s v="Zidovudine"/>
    <s v="Generic"/>
    <s v="300mg"/>
    <s v="Tablet"/>
    <n v="60"/>
    <n v="6"/>
    <n v="45.18"/>
    <n v="7.53"/>
    <n v="0.13"/>
    <m/>
    <m/>
    <n v="1"/>
    <x v="3"/>
  </r>
  <r>
    <n v="86278"/>
    <s v="SO-35860"/>
    <x v="1282"/>
    <x v="3"/>
    <s v="ARV"/>
    <s v="Adult"/>
    <s v="SCMS from RDC"/>
    <x v="1"/>
    <s v="N/A - From RDC"/>
    <s v="Air"/>
    <m/>
    <d v="2010-04-01T00:00:00"/>
    <d v="2010-03-25T00:00:00"/>
    <d v="2010-03-25T00:00:00"/>
    <x v="39"/>
    <s v="Lamivudine/Tenofovir Disoproxil Fumarate"/>
    <s v="Generic"/>
    <s v="300/300mg"/>
    <s v="Tablet - FDC"/>
    <n v="30"/>
    <n v="2000"/>
    <n v="20000"/>
    <n v="10"/>
    <n v="0.33"/>
    <n v="168"/>
    <n v="1905.63"/>
    <n v="1"/>
    <x v="4"/>
  </r>
  <r>
    <n v="86288"/>
    <s v="SO-35690"/>
    <x v="1283"/>
    <x v="3"/>
    <s v="ARV"/>
    <s v="Adult"/>
    <s v="SCMS from RDC"/>
    <x v="1"/>
    <s v="N/A - From RDC"/>
    <s v="Truck"/>
    <m/>
    <d v="2010-04-01T00:00:00"/>
    <d v="2010-03-25T00:00:00"/>
    <d v="2010-03-25T00:00:00"/>
    <x v="11"/>
    <s v="Lamivudine/Nevirapine/Zidovudine"/>
    <s v="Generic"/>
    <s v="150/300/200mg"/>
    <s v="Tablet - FDC"/>
    <n v="60"/>
    <n v="3354"/>
    <n v="37631.879999999997"/>
    <n v="11.22"/>
    <n v="0.19"/>
    <n v="393"/>
    <n v="1694"/>
    <n v="1"/>
    <x v="4"/>
  </r>
  <r>
    <n v="86290"/>
    <s v="SO-36220"/>
    <x v="1284"/>
    <x v="0"/>
    <s v="ARV"/>
    <s v="Adult"/>
    <s v="SCMS from RDC"/>
    <x v="1"/>
    <s v="N/A - From RDC"/>
    <s v="Air"/>
    <m/>
    <d v="2010-07-21T00:00:00"/>
    <d v="2010-04-21T00:00:00"/>
    <d v="2010-04-21T00:00:00"/>
    <x v="0"/>
    <s v="Nevirapine"/>
    <s v="Generic"/>
    <s v="200mg"/>
    <s v="Tablet"/>
    <n v="60"/>
    <n v="3319"/>
    <n v="9060.8700000000008"/>
    <n v="2.73"/>
    <n v="0.05"/>
    <n v="699"/>
    <n v="3952.34"/>
    <n v="1"/>
    <x v="4"/>
  </r>
  <r>
    <n v="86291"/>
    <s v="SO-36220"/>
    <x v="1284"/>
    <x v="0"/>
    <s v="ARV"/>
    <s v="Adult"/>
    <s v="SCMS from RDC"/>
    <x v="1"/>
    <s v="N/A - From RDC"/>
    <s v="Air"/>
    <m/>
    <d v="2010-07-21T00:00:00"/>
    <d v="2010-04-21T00:00:00"/>
    <d v="2010-04-21T00:00:00"/>
    <x v="0"/>
    <s v="Nevirapine"/>
    <s v="Generic"/>
    <s v="200mg"/>
    <s v="Tablet"/>
    <n v="60"/>
    <n v="3529"/>
    <n v="9634.17"/>
    <n v="2.73"/>
    <n v="0.05"/>
    <m/>
    <m/>
    <n v="1"/>
    <x v="4"/>
  </r>
  <r>
    <n v="86308"/>
    <s v="SO-36690"/>
    <x v="790"/>
    <x v="2"/>
    <s v="ARV"/>
    <s v="Adult"/>
    <s v="SCMS from RDC"/>
    <x v="1"/>
    <s v="N/A - From RDC"/>
    <s v="Air"/>
    <m/>
    <d v="2010-06-21T00:00:00"/>
    <d v="2010-06-01T00:00:00"/>
    <d v="2010-06-01T00:00:00"/>
    <x v="16"/>
    <s v="Lamivudine"/>
    <s v="Generic"/>
    <s v="150mg"/>
    <s v="Tablet"/>
    <n v="60"/>
    <n v="1481"/>
    <n v="3613.64"/>
    <n v="2.44"/>
    <n v="0.04"/>
    <m/>
    <m/>
    <n v="1"/>
    <x v="4"/>
  </r>
  <r>
    <n v="86319"/>
    <s v="SO-37100"/>
    <x v="1009"/>
    <x v="2"/>
    <s v="ARV"/>
    <s v="Adult"/>
    <s v="SCMS from RDC"/>
    <x v="1"/>
    <s v="N/A - From RDC"/>
    <s v="Air"/>
    <m/>
    <d v="2010-09-21T00:00:00"/>
    <d v="2010-07-19T00:00:00"/>
    <d v="2010-07-19T00:00:00"/>
    <x v="13"/>
    <s v="Lamivudine/Nevirapine/Stavudine"/>
    <s v="Generic"/>
    <s v="150/200/30mg"/>
    <s v="Tablet - FDC"/>
    <n v="60"/>
    <n v="11485"/>
    <n v="65809.05"/>
    <n v="5.73"/>
    <n v="0.1"/>
    <m/>
    <m/>
    <n v="1"/>
    <x v="4"/>
  </r>
  <r>
    <n v="86330"/>
    <s v="SO-37250"/>
    <x v="793"/>
    <x v="3"/>
    <s v="ARV"/>
    <s v="Adult"/>
    <s v="SCMS from RDC"/>
    <x v="1"/>
    <s v="N/A - From RDC"/>
    <s v="Air"/>
    <m/>
    <d v="2010-10-29T00:00:00"/>
    <d v="2010-09-27T00:00:00"/>
    <d v="2010-09-27T00:00:00"/>
    <x v="11"/>
    <s v="Lamivudine/Nevirapine/Zidovudine"/>
    <s v="Generic"/>
    <s v="150/300/200mg"/>
    <s v="Tablet - FDC"/>
    <n v="60"/>
    <n v="75000"/>
    <n v="841500"/>
    <n v="11.22"/>
    <n v="0.19"/>
    <m/>
    <m/>
    <n v="1"/>
    <x v="4"/>
  </r>
  <r>
    <n v="86331"/>
    <s v="SO-37101"/>
    <x v="1285"/>
    <x v="2"/>
    <s v="ARV"/>
    <s v="Adult"/>
    <s v="SCMS from RDC"/>
    <x v="1"/>
    <s v="N/A - From RDC"/>
    <s v="Air"/>
    <m/>
    <d v="2010-09-21T00:00:00"/>
    <d v="2010-08-24T00:00:00"/>
    <d v="2010-08-24T00:00:00"/>
    <x v="13"/>
    <s v="Lamivudine/Nevirapine/Stavudine"/>
    <s v="Generic"/>
    <s v="150/200/30mg"/>
    <s v="Tablet - FDC"/>
    <n v="60"/>
    <n v="9200"/>
    <n v="52716"/>
    <n v="5.73"/>
    <n v="0.1"/>
    <n v="668"/>
    <n v="2633.57"/>
    <n v="1"/>
    <x v="4"/>
  </r>
  <r>
    <n v="86334"/>
    <s v="SO-37300"/>
    <x v="1011"/>
    <x v="0"/>
    <s v="ARV"/>
    <s v="Adult"/>
    <s v="SCMS from RDC"/>
    <x v="1"/>
    <s v="N/A - From RDC"/>
    <s v="Air"/>
    <m/>
    <d v="2010-09-30T00:00:00"/>
    <d v="2010-09-10T00:00:00"/>
    <d v="2010-09-10T00:00:00"/>
    <x v="8"/>
    <s v="Efavirenz"/>
    <s v="Generic"/>
    <s v="600mg"/>
    <s v="Tablet"/>
    <n v="30"/>
    <n v="44669"/>
    <n v="198777.05"/>
    <n v="4.45"/>
    <n v="0.15"/>
    <m/>
    <m/>
    <n v="1"/>
    <x v="4"/>
  </r>
  <r>
    <n v="86344"/>
    <s v="SO-37480"/>
    <x v="899"/>
    <x v="3"/>
    <s v="ARV"/>
    <s v="Adult"/>
    <s v="SCMS from RDC"/>
    <x v="1"/>
    <s v="N/A - From RDC"/>
    <s v="Air"/>
    <m/>
    <d v="2010-10-20T00:00:00"/>
    <d v="2010-10-26T00:00:00"/>
    <d v="2010-10-26T00:00:00"/>
    <x v="31"/>
    <s v="Lamivudine/Stavudine"/>
    <s v="Generic"/>
    <s v="150/30mg"/>
    <s v="Tablet - FDC"/>
    <n v="60"/>
    <n v="204"/>
    <n v="669.12"/>
    <n v="3.28"/>
    <n v="0.05"/>
    <m/>
    <m/>
    <n v="0"/>
    <x v="4"/>
  </r>
  <r>
    <n v="86353"/>
    <s v="SO-37470"/>
    <x v="1087"/>
    <x v="3"/>
    <s v="ARV"/>
    <s v="Adult"/>
    <s v="SCMS from RDC"/>
    <x v="1"/>
    <s v="N/A - From RDC"/>
    <s v="Air"/>
    <m/>
    <d v="2010-12-02T00:00:00"/>
    <d v="2010-11-29T00:00:00"/>
    <d v="2010-11-29T00:00:00"/>
    <x v="0"/>
    <s v="Nevirapine"/>
    <s v="Generic"/>
    <s v="200mg"/>
    <s v="Tablet"/>
    <n v="60"/>
    <n v="10685"/>
    <n v="28422.1"/>
    <n v="2.66"/>
    <n v="0.04"/>
    <m/>
    <m/>
    <n v="1"/>
    <x v="4"/>
  </r>
  <r>
    <n v="86357"/>
    <s v="SO-37670"/>
    <x v="1286"/>
    <x v="3"/>
    <s v="ARV"/>
    <s v="Adult"/>
    <s v="SCMS from RDC"/>
    <x v="1"/>
    <s v="N/A - From RDC"/>
    <s v="Truck"/>
    <m/>
    <d v="2010-12-15T00:00:00"/>
    <d v="2010-12-01T00:00:00"/>
    <d v="2010-12-01T00:00:00"/>
    <x v="1"/>
    <s v="Lamivudine/Zidovudine"/>
    <s v="Generic"/>
    <s v="150/300mg"/>
    <s v="Tablet - FDC"/>
    <n v="60"/>
    <n v="3570"/>
    <n v="30523.5"/>
    <n v="8.5500000000000007"/>
    <n v="0.14000000000000001"/>
    <n v="294"/>
    <n v="2894"/>
    <n v="1"/>
    <x v="4"/>
  </r>
  <r>
    <n v="86365"/>
    <s v="SO-37990"/>
    <x v="680"/>
    <x v="3"/>
    <s v="ARV"/>
    <s v="Adult"/>
    <s v="SCMS from RDC"/>
    <x v="1"/>
    <s v="N/A - From RDC"/>
    <s v="Air"/>
    <m/>
    <d v="2011-02-08T00:00:00"/>
    <d v="2010-12-23T00:00:00"/>
    <d v="2010-12-23T00:00:00"/>
    <x v="8"/>
    <s v="Efavirenz"/>
    <s v="Generic"/>
    <s v="600mg"/>
    <s v="Tablet"/>
    <n v="30"/>
    <n v="2550"/>
    <n v="11526"/>
    <n v="4.5199999999999996"/>
    <n v="0.15"/>
    <m/>
    <m/>
    <n v="1"/>
    <x v="4"/>
  </r>
  <r>
    <n v="86373"/>
    <s v="SO-37970"/>
    <x v="1287"/>
    <x v="3"/>
    <s v="ARV"/>
    <s v="Adult"/>
    <s v="SCMS from RDC"/>
    <x v="1"/>
    <s v="N/A - From RDC"/>
    <s v="Air"/>
    <m/>
    <d v="2011-04-05T00:00:00"/>
    <d v="2011-04-01T00:00:00"/>
    <d v="2011-04-01T00:00:00"/>
    <x v="0"/>
    <s v="Nevirapine"/>
    <s v="Generic"/>
    <s v="200mg"/>
    <s v="Tablet"/>
    <n v="60"/>
    <n v="972"/>
    <n v="2507.7600000000002"/>
    <n v="2.58"/>
    <n v="0.04"/>
    <n v="58"/>
    <n v="5596.5"/>
    <n v="1"/>
    <x v="9"/>
  </r>
  <r>
    <n v="86375"/>
    <s v="SO-39010"/>
    <x v="1016"/>
    <x v="0"/>
    <s v="ARV"/>
    <s v="Adult"/>
    <s v="SCMS from RDC"/>
    <x v="1"/>
    <s v="N/A - From RDC"/>
    <s v="Air"/>
    <m/>
    <d v="2011-04-07T00:00:00"/>
    <d v="2011-03-31T00:00:00"/>
    <d v="2011-03-31T00:00:00"/>
    <x v="8"/>
    <s v="Efavirenz"/>
    <s v="Generic"/>
    <s v="600mg"/>
    <s v="Tablet"/>
    <n v="30"/>
    <n v="27769"/>
    <n v="117185.18"/>
    <n v="4.22"/>
    <n v="0.14000000000000001"/>
    <m/>
    <m/>
    <n v="1"/>
    <x v="9"/>
  </r>
  <r>
    <n v="86381"/>
    <s v="SO-38810"/>
    <x v="684"/>
    <x v="3"/>
    <s v="ARV"/>
    <s v="Adult"/>
    <s v="SCMS from RDC"/>
    <x v="1"/>
    <s v="N/A - From RDC"/>
    <s v="Truck"/>
    <m/>
    <d v="2011-05-11T00:00:00"/>
    <d v="2011-05-24T00:00:00"/>
    <d v="2011-05-24T00:00:00"/>
    <x v="0"/>
    <s v="Nevirapine"/>
    <s v="Generic"/>
    <s v="200mg"/>
    <s v="Tablet"/>
    <n v="60"/>
    <n v="10500"/>
    <n v="26355"/>
    <n v="2.5099999999999998"/>
    <n v="0.04"/>
    <m/>
    <m/>
    <n v="0"/>
    <x v="9"/>
  </r>
  <r>
    <n v="86382"/>
    <s v="SO-39330"/>
    <x v="1153"/>
    <x v="3"/>
    <s v="ARV"/>
    <s v="Adult"/>
    <s v="SCMS from RDC"/>
    <x v="1"/>
    <s v="N/A - From RDC"/>
    <s v="Truck"/>
    <m/>
    <d v="2011-05-11T00:00:00"/>
    <d v="2011-05-24T00:00:00"/>
    <d v="2011-05-24T00:00:00"/>
    <x v="1"/>
    <s v="Lamivudine/Zidovudine"/>
    <s v="Generic"/>
    <s v="150/300mg"/>
    <s v="Tablet - FDC"/>
    <n v="60"/>
    <n v="14893"/>
    <n v="123016.18"/>
    <n v="8.26"/>
    <n v="0.14000000000000001"/>
    <m/>
    <m/>
    <n v="0"/>
    <x v="9"/>
  </r>
  <r>
    <n v="86396"/>
    <s v="SO-38801"/>
    <x v="686"/>
    <x v="3"/>
    <s v="ARV"/>
    <s v="Adult"/>
    <s v="SCMS from RDC"/>
    <x v="1"/>
    <s v="N/A - From RDC"/>
    <s v="Truck"/>
    <m/>
    <d v="2011-08-05T00:00:00"/>
    <d v="2011-08-05T00:00:00"/>
    <d v="2011-08-05T00:00:00"/>
    <x v="0"/>
    <s v="Nevirapine"/>
    <s v="Generic"/>
    <s v="200mg"/>
    <s v="Tablet"/>
    <n v="60"/>
    <n v="11549"/>
    <n v="28987.99"/>
    <n v="2.5099999999999998"/>
    <n v="0.04"/>
    <m/>
    <m/>
    <n v="1"/>
    <x v="9"/>
  </r>
  <r>
    <n v="86400"/>
    <s v="SO-40220"/>
    <x v="1221"/>
    <x v="3"/>
    <s v="ARV"/>
    <s v="Adult"/>
    <s v="SCMS from RDC"/>
    <x v="1"/>
    <s v="N/A - From RDC"/>
    <s v="Truck"/>
    <m/>
    <d v="2011-09-22T00:00:00"/>
    <d v="2011-08-26T00:00:00"/>
    <d v="2011-08-26T00:00:00"/>
    <x v="29"/>
    <s v="Zidovudine"/>
    <s v="Generic"/>
    <s v="300mg"/>
    <s v="Tablet"/>
    <n v="60"/>
    <n v="1684"/>
    <n v="11821.68"/>
    <n v="7.02"/>
    <n v="0.12"/>
    <m/>
    <m/>
    <n v="1"/>
    <x v="9"/>
  </r>
  <r>
    <n v="86405"/>
    <s v="SO-38800"/>
    <x v="802"/>
    <x v="3"/>
    <s v="ARV"/>
    <s v="Adult"/>
    <s v="SCMS from RDC"/>
    <x v="1"/>
    <s v="N/A - From RDC"/>
    <s v="Truck"/>
    <m/>
    <d v="2011-08-05T00:00:00"/>
    <d v="2011-08-24T00:00:00"/>
    <d v="2011-08-24T00:00:00"/>
    <x v="39"/>
    <s v="Lamivudine/Tenofovir Disoproxil Fumarate"/>
    <s v="Generic"/>
    <s v="300/300mg"/>
    <s v="Tablet - FDC"/>
    <n v="30"/>
    <n v="30000"/>
    <n v="246900"/>
    <n v="8.23"/>
    <n v="0.27"/>
    <m/>
    <m/>
    <n v="0"/>
    <x v="9"/>
  </r>
  <r>
    <n v="86408"/>
    <s v="SO-39070"/>
    <x v="1288"/>
    <x v="3"/>
    <s v="ARV"/>
    <s v="Adult"/>
    <s v="SCMS from RDC"/>
    <x v="1"/>
    <s v="N/A - From RDC"/>
    <s v="Truck"/>
    <m/>
    <d v="2011-09-20T00:00:00"/>
    <d v="2011-09-06T00:00:00"/>
    <d v="2011-09-06T00:00:00"/>
    <x v="45"/>
    <s v="Efavirenz/Emtricitabine/Tenofovir Disoproxil Fumarate"/>
    <s v="Generic"/>
    <s v="600/200/300mg"/>
    <s v="Tablet - FDC"/>
    <n v="30"/>
    <n v="3360"/>
    <n v="66931.199999999997"/>
    <n v="19.920000000000002"/>
    <n v="0.66"/>
    <n v="617"/>
    <n v="2886.92"/>
    <n v="1"/>
    <x v="9"/>
  </r>
  <r>
    <n v="86411"/>
    <s v="SO-38803"/>
    <x v="1224"/>
    <x v="3"/>
    <s v="ARV"/>
    <s v="Adult"/>
    <s v="SCMS from RDC"/>
    <x v="1"/>
    <s v="N/A - From RDC"/>
    <s v="Truck"/>
    <m/>
    <d v="2011-09-30T00:00:00"/>
    <d v="2011-09-26T00:00:00"/>
    <d v="2011-09-26T00:00:00"/>
    <x v="8"/>
    <s v="Efavirenz"/>
    <s v="Generic"/>
    <s v="600mg"/>
    <s v="Tablet"/>
    <n v="30"/>
    <n v="2688"/>
    <n v="11343.36"/>
    <n v="4.22"/>
    <n v="0.14000000000000001"/>
    <m/>
    <m/>
    <n v="1"/>
    <x v="9"/>
  </r>
  <r>
    <n v="86419"/>
    <s v="SO-40522"/>
    <x v="1289"/>
    <x v="0"/>
    <s v="ARV"/>
    <s v="Pediatric"/>
    <s v="SCMS from RDC"/>
    <x v="1"/>
    <s v="N/A - From RDC"/>
    <s v="Truck"/>
    <m/>
    <d v="2011-12-29T00:00:00"/>
    <d v="2011-11-15T00:00:00"/>
    <d v="2011-11-15T00:00:00"/>
    <x v="43"/>
    <s v="Nevirapine"/>
    <s v="Generic"/>
    <s v="10mg/ml"/>
    <s v="Oral suspension"/>
    <n v="240"/>
    <n v="2374"/>
    <n v="4629.3"/>
    <n v="1.95"/>
    <n v="0.01"/>
    <n v="888"/>
    <n v="4417.96"/>
    <n v="1"/>
    <x v="9"/>
  </r>
  <r>
    <n v="86423"/>
    <s v="SO-40911"/>
    <x v="1019"/>
    <x v="3"/>
    <s v="ARV"/>
    <s v="Adult"/>
    <s v="SCMS from RDC"/>
    <x v="1"/>
    <s v="N/A - From RDC"/>
    <s v="Truck"/>
    <m/>
    <d v="2012-01-09T00:00:00"/>
    <d v="2011-12-01T00:00:00"/>
    <d v="2011-12-01T00:00:00"/>
    <x v="11"/>
    <s v="Lamivudine/Nevirapine/Zidovudine"/>
    <s v="Generic"/>
    <s v="150/300/200mg"/>
    <s v="Tablet - FDC"/>
    <n v="60"/>
    <n v="35000"/>
    <n v="385000"/>
    <n v="11"/>
    <n v="0.18"/>
    <m/>
    <m/>
    <n v="1"/>
    <x v="9"/>
  </r>
  <r>
    <n v="86424"/>
    <s v="SO-40911"/>
    <x v="1019"/>
    <x v="3"/>
    <s v="ARV"/>
    <s v="Adult"/>
    <s v="SCMS from RDC"/>
    <x v="1"/>
    <s v="N/A - From RDC"/>
    <s v="Truck"/>
    <m/>
    <d v="2012-01-09T00:00:00"/>
    <d v="2011-12-01T00:00:00"/>
    <d v="2011-12-01T00:00:00"/>
    <x v="0"/>
    <s v="Nevirapine"/>
    <s v="Generic"/>
    <s v="200mg"/>
    <s v="Tablet"/>
    <n v="60"/>
    <n v="4466"/>
    <n v="11522.28"/>
    <n v="2.58"/>
    <n v="0.04"/>
    <m/>
    <m/>
    <n v="1"/>
    <x v="9"/>
  </r>
  <r>
    <n v="86425"/>
    <s v="SO-41050"/>
    <x v="1290"/>
    <x v="1"/>
    <s v="ARV"/>
    <s v="Pediatric"/>
    <s v="SCMS from RDC"/>
    <x v="1"/>
    <s v="N/A - From RDC"/>
    <s v="Air"/>
    <m/>
    <d v="2011-12-05T00:00:00"/>
    <d v="2011-11-20T00:00:00"/>
    <d v="2011-11-20T00:00:00"/>
    <x v="72"/>
    <s v="Abacavir"/>
    <s v="Generic"/>
    <s v="20mg/ml"/>
    <s v="Oral solution"/>
    <n v="240"/>
    <n v="580"/>
    <n v="7250"/>
    <n v="12.5"/>
    <n v="0.05"/>
    <n v="214"/>
    <n v="2057.1999999999998"/>
    <n v="1"/>
    <x v="9"/>
  </r>
  <r>
    <n v="86433"/>
    <s v="SO-40930"/>
    <x v="1291"/>
    <x v="3"/>
    <s v="ARV"/>
    <s v="Adult"/>
    <s v="SCMS from RDC"/>
    <x v="1"/>
    <s v="N/A - From RDC"/>
    <s v="Truck"/>
    <m/>
    <d v="2012-02-16T00:00:00"/>
    <d v="2012-02-03T00:00:00"/>
    <d v="2012-02-03T00:00:00"/>
    <x v="1"/>
    <s v="Lamivudine/Zidovudine"/>
    <s v="Generic"/>
    <s v="150/300mg"/>
    <s v="Tablet - FDC"/>
    <n v="60"/>
    <n v="18528"/>
    <n v="153041.28"/>
    <n v="8.26"/>
    <n v="0.14000000000000001"/>
    <n v="1713"/>
    <n v="15672.8"/>
    <n v="1"/>
    <x v="5"/>
  </r>
  <r>
    <n v="86453"/>
    <s v="SO-40612"/>
    <x v="1292"/>
    <x v="0"/>
    <s v="ARV"/>
    <s v="Adult"/>
    <s v="SCMS from RDC"/>
    <x v="1"/>
    <s v="N/A - From RDC"/>
    <s v="Truck"/>
    <m/>
    <d v="2012-03-30T00:00:00"/>
    <d v="2012-02-14T00:00:00"/>
    <d v="2012-02-14T00:00:00"/>
    <x v="1"/>
    <s v="Lamivudine/Zidovudine"/>
    <s v="Generic"/>
    <s v="150/300mg"/>
    <s v="Tablet - FDC"/>
    <n v="60"/>
    <n v="233630"/>
    <n v="1929783.8"/>
    <n v="8.26"/>
    <n v="0.14000000000000001"/>
    <n v="21394"/>
    <n v="13590.64"/>
    <n v="1"/>
    <x v="5"/>
  </r>
  <r>
    <n v="86454"/>
    <s v="SO-40940"/>
    <x v="1293"/>
    <x v="3"/>
    <s v="ARV"/>
    <s v="Adult"/>
    <s v="SCMS from RDC"/>
    <x v="1"/>
    <s v="N/A - From RDC"/>
    <s v="Truck"/>
    <m/>
    <d v="2012-03-19T00:00:00"/>
    <d v="2012-02-15T00:00:00"/>
    <d v="2012-02-15T00:00:00"/>
    <x v="0"/>
    <s v="Nevirapine"/>
    <s v="Generic"/>
    <s v="200mg"/>
    <s v="Tablet"/>
    <n v="60"/>
    <n v="19705"/>
    <n v="50838.9"/>
    <n v="2.58"/>
    <n v="0.04"/>
    <n v="1095"/>
    <n v="4405.24"/>
    <n v="1"/>
    <x v="5"/>
  </r>
  <r>
    <n v="86459"/>
    <s v="SO-41530"/>
    <x v="812"/>
    <x v="6"/>
    <s v="ARV"/>
    <s v="Adult"/>
    <s v="SCMS from RDC"/>
    <x v="1"/>
    <s v="N/A - From RDC"/>
    <s v="Air"/>
    <m/>
    <d v="2012-04-26T00:00:00"/>
    <d v="2012-05-04T00:00:00"/>
    <d v="2012-05-04T00:00:00"/>
    <x v="1"/>
    <s v="Lamivudine/Zidovudine"/>
    <s v="Generic"/>
    <s v="150/300mg"/>
    <s v="Tablet - FDC"/>
    <n v="60"/>
    <n v="25240"/>
    <n v="201920"/>
    <n v="8"/>
    <n v="0.13"/>
    <m/>
    <m/>
    <n v="0"/>
    <x v="5"/>
  </r>
  <r>
    <n v="86460"/>
    <s v="SO-41530"/>
    <x v="812"/>
    <x v="6"/>
    <s v="ARV"/>
    <s v="Adult"/>
    <s v="SCMS from RDC"/>
    <x v="1"/>
    <s v="N/A - From RDC"/>
    <s v="Air"/>
    <m/>
    <d v="2012-04-26T00:00:00"/>
    <d v="2012-05-04T00:00:00"/>
    <d v="2012-05-04T00:00:00"/>
    <x v="9"/>
    <s v="Abacavir"/>
    <s v="Generic"/>
    <s v="300mg"/>
    <s v="Tablet"/>
    <n v="60"/>
    <n v="350"/>
    <n v="5120.5"/>
    <n v="14.63"/>
    <n v="0.24"/>
    <m/>
    <m/>
    <n v="0"/>
    <x v="5"/>
  </r>
  <r>
    <n v="86461"/>
    <s v="SO-41521"/>
    <x v="1294"/>
    <x v="3"/>
    <s v="ARV"/>
    <s v="Adult"/>
    <s v="SCMS from RDC"/>
    <x v="1"/>
    <s v="N/A - From RDC"/>
    <s v="Truck"/>
    <m/>
    <d v="2012-04-24T00:00:00"/>
    <d v="2012-04-03T00:00:00"/>
    <d v="2012-04-03T00:00:00"/>
    <x v="8"/>
    <s v="Efavirenz"/>
    <s v="Generic"/>
    <s v="600mg"/>
    <s v="Tablet"/>
    <n v="30"/>
    <n v="1150"/>
    <n v="4738"/>
    <n v="4.12"/>
    <n v="0.14000000000000001"/>
    <n v="70"/>
    <n v="1494.6"/>
    <n v="1"/>
    <x v="5"/>
  </r>
  <r>
    <n v="86463"/>
    <s v="SO-41630"/>
    <x v="813"/>
    <x v="3"/>
    <s v="ARV"/>
    <s v="Adult"/>
    <s v="SCMS from RDC"/>
    <x v="1"/>
    <s v="N/A - From RDC"/>
    <s v="Air"/>
    <m/>
    <d v="2012-05-03T00:00:00"/>
    <d v="2012-03-27T00:00:00"/>
    <d v="2012-03-27T00:00:00"/>
    <x v="16"/>
    <s v="Lamivudine"/>
    <s v="Generic"/>
    <s v="150mg"/>
    <s v="Tablet"/>
    <n v="60"/>
    <n v="1614"/>
    <n v="3760.62"/>
    <n v="2.33"/>
    <n v="0.04"/>
    <m/>
    <m/>
    <n v="1"/>
    <x v="5"/>
  </r>
  <r>
    <n v="86469"/>
    <s v="SO-41810"/>
    <x v="1295"/>
    <x v="1"/>
    <s v="ARV"/>
    <s v="Adult"/>
    <s v="SCMS from RDC"/>
    <x v="1"/>
    <s v="N/A - From RDC"/>
    <s v="Air"/>
    <m/>
    <d v="2012-04-26T00:00:00"/>
    <d v="2012-04-08T00:00:00"/>
    <d v="2012-04-08T00:00:00"/>
    <x v="8"/>
    <s v="Efavirenz"/>
    <s v="Generic"/>
    <s v="600mg"/>
    <s v="Tablet"/>
    <n v="30"/>
    <n v="26962"/>
    <n v="111083.44"/>
    <n v="4.12"/>
    <n v="0.14000000000000001"/>
    <n v="1638"/>
    <n v="18446.919999999998"/>
    <n v="1"/>
    <x v="5"/>
  </r>
  <r>
    <n v="86477"/>
    <s v="SO-42131"/>
    <x v="1296"/>
    <x v="1"/>
    <s v="ARV"/>
    <s v="Adult"/>
    <s v="SCMS from RDC"/>
    <x v="1"/>
    <s v="N/A - From RDC"/>
    <s v="Air"/>
    <m/>
    <d v="2012-08-24T00:00:00"/>
    <d v="2012-06-04T00:00:00"/>
    <d v="2012-06-04T00:00:00"/>
    <x v="9"/>
    <s v="Abacavir"/>
    <s v="Generic"/>
    <s v="300mg"/>
    <s v="Tablet"/>
    <n v="60"/>
    <n v="5232"/>
    <n v="68800.800000000003"/>
    <n v="13.15"/>
    <n v="0.22"/>
    <n v="526"/>
    <n v="9994.57"/>
    <n v="1"/>
    <x v="5"/>
  </r>
  <r>
    <n v="86478"/>
    <s v="SO-42080"/>
    <x v="815"/>
    <x v="3"/>
    <s v="ARV"/>
    <s v="Adult"/>
    <s v="SCMS from RDC"/>
    <x v="1"/>
    <s v="N/A - From RDC"/>
    <s v="Truck"/>
    <m/>
    <d v="2012-08-17T00:00:00"/>
    <d v="2012-06-08T00:00:00"/>
    <d v="2012-06-08T00:00:00"/>
    <x v="1"/>
    <s v="Lamivudine/Zidovudine"/>
    <s v="Generic"/>
    <s v="150/300mg"/>
    <s v="Tablet - FDC"/>
    <n v="60"/>
    <n v="18518"/>
    <n v="144070.04"/>
    <n v="7.78"/>
    <n v="0.13"/>
    <m/>
    <m/>
    <n v="1"/>
    <x v="5"/>
  </r>
  <r>
    <n v="86488"/>
    <s v="SO-40470"/>
    <x v="1297"/>
    <x v="0"/>
    <s v="ARV"/>
    <s v="Pediatric"/>
    <s v="SCMS from RDC"/>
    <x v="1"/>
    <s v="N/A - From RDC"/>
    <s v="Truck"/>
    <m/>
    <d v="2012-08-07T00:00:00"/>
    <d v="2012-07-25T00:00:00"/>
    <d v="2012-07-25T00:00:00"/>
    <x v="43"/>
    <s v="Nevirapine"/>
    <s v="Generic"/>
    <s v="10mg/ml"/>
    <s v="Oral suspension"/>
    <n v="240"/>
    <n v="26439"/>
    <n v="51556.05"/>
    <n v="1.95"/>
    <n v="0.01"/>
    <n v="9907"/>
    <n v="3853.89"/>
    <n v="1"/>
    <x v="5"/>
  </r>
  <r>
    <n v="86494"/>
    <s v="SO-41580"/>
    <x v="927"/>
    <x v="0"/>
    <s v="ARV"/>
    <s v="Adult"/>
    <s v="SCMS from RDC"/>
    <x v="1"/>
    <s v="N/A - From RDC"/>
    <s v="Truck"/>
    <m/>
    <d v="2012-08-31T00:00:00"/>
    <d v="2012-08-22T00:00:00"/>
    <d v="2012-08-22T00:00:00"/>
    <x v="45"/>
    <s v="Efavirenz/Emtricitabine/Tenofovir Disoproxil Fumarate"/>
    <s v="Generic"/>
    <s v="600/200/300mg"/>
    <s v="Tablet - FDC"/>
    <n v="30"/>
    <n v="153642"/>
    <n v="2310775.6800000002"/>
    <n v="15.04"/>
    <n v="0.5"/>
    <m/>
    <m/>
    <n v="1"/>
    <x v="5"/>
  </r>
  <r>
    <n v="86500"/>
    <s v="SO-42132"/>
    <x v="1298"/>
    <x v="1"/>
    <s v="ARV"/>
    <s v="Adult"/>
    <s v="SCMS from RDC"/>
    <x v="1"/>
    <s v="N/A - From RDC"/>
    <s v="Air"/>
    <m/>
    <d v="2012-08-24T00:00:00"/>
    <d v="2012-07-31T00:00:00"/>
    <d v="2012-07-31T00:00:00"/>
    <x v="9"/>
    <s v="Abacavir"/>
    <s v="Generic"/>
    <s v="300mg"/>
    <s v="Tablet"/>
    <n v="60"/>
    <n v="12548"/>
    <n v="165006.20000000001"/>
    <n v="13.15"/>
    <n v="0.22"/>
    <n v="1297"/>
    <n v="21520.66"/>
    <n v="1"/>
    <x v="5"/>
  </r>
  <r>
    <n v="86501"/>
    <s v="SO-42311"/>
    <x v="1299"/>
    <x v="3"/>
    <s v="ARV"/>
    <s v="Adult"/>
    <s v="SCMS from RDC"/>
    <x v="1"/>
    <s v="N/A - From RDC"/>
    <s v="Air"/>
    <m/>
    <d v="2012-09-11T00:00:00"/>
    <d v="2012-08-08T00:00:00"/>
    <d v="2012-08-08T00:00:00"/>
    <x v="47"/>
    <s v="Lopinavir/Ritonavir"/>
    <s v="Generic"/>
    <s v="200/50mg"/>
    <s v="Tablet"/>
    <n v="120"/>
    <n v="2427"/>
    <n v="72033.36"/>
    <n v="29.68"/>
    <n v="0.25"/>
    <n v="647"/>
    <n v="7263.17"/>
    <n v="1"/>
    <x v="5"/>
  </r>
  <r>
    <n v="86503"/>
    <s v="SO-42111"/>
    <x v="1300"/>
    <x v="1"/>
    <s v="ARV"/>
    <s v="Adult"/>
    <s v="SCMS from RDC"/>
    <x v="1"/>
    <s v="N/A - From RDC"/>
    <s v="Air"/>
    <m/>
    <d v="2012-08-31T00:00:00"/>
    <d v="2012-08-16T00:00:00"/>
    <d v="2012-08-16T00:00:00"/>
    <x v="9"/>
    <s v="Abacavir"/>
    <s v="Generic"/>
    <s v="300mg"/>
    <s v="Tablet"/>
    <n v="60"/>
    <n v="629"/>
    <n v="8271.35"/>
    <n v="13.15"/>
    <n v="0.22"/>
    <n v="67"/>
    <n v="1618.12"/>
    <n v="1"/>
    <x v="5"/>
  </r>
  <r>
    <n v="86504"/>
    <s v="SO-42910"/>
    <x v="1301"/>
    <x v="2"/>
    <s v="ARV"/>
    <s v="Pediatric"/>
    <s v="SCMS from RDC"/>
    <x v="1"/>
    <s v="N/A - From RDC"/>
    <s v="Air"/>
    <m/>
    <d v="2012-08-30T00:00:00"/>
    <d v="2012-08-30T00:00:00"/>
    <d v="2012-08-30T00:00:00"/>
    <x v="43"/>
    <s v="Nevirapine"/>
    <s v="Generic"/>
    <s v="10mg/ml"/>
    <s v="Oral suspension"/>
    <n v="240"/>
    <n v="30000"/>
    <n v="58500"/>
    <n v="1.95"/>
    <n v="0.01"/>
    <n v="11101"/>
    <n v="33216.14"/>
    <n v="1"/>
    <x v="5"/>
  </r>
  <r>
    <n v="86511"/>
    <s v="SO-42610"/>
    <x v="710"/>
    <x v="3"/>
    <s v="ARV"/>
    <s v="Adult"/>
    <s v="SCMS from RDC"/>
    <x v="1"/>
    <s v="N/A - From RDC"/>
    <s v="Air"/>
    <m/>
    <d v="2012-10-29T00:00:00"/>
    <d v="2012-10-29T00:00:00"/>
    <d v="2012-10-29T00:00:00"/>
    <x v="39"/>
    <s v="Lamivudine/Tenofovir Disoproxil Fumarate"/>
    <s v="Generic"/>
    <s v="300/300mg"/>
    <s v="Tablet - FDC"/>
    <n v="30"/>
    <n v="24799"/>
    <n v="137386.46"/>
    <n v="5.54"/>
    <n v="0.18"/>
    <m/>
    <m/>
    <n v="1"/>
    <x v="5"/>
  </r>
  <r>
    <n v="86512"/>
    <s v="SO-42082"/>
    <x v="1302"/>
    <x v="3"/>
    <s v="ARV"/>
    <s v="Adult"/>
    <s v="SCMS from RDC"/>
    <x v="1"/>
    <s v="N/A - From RDC"/>
    <s v="Truck"/>
    <m/>
    <d v="2012-10-31T00:00:00"/>
    <d v="2012-10-31T00:00:00"/>
    <d v="2012-10-31T00:00:00"/>
    <x v="39"/>
    <s v="Lamivudine/Tenofovir Disoproxil Fumarate"/>
    <s v="Generic"/>
    <s v="300/300mg"/>
    <s v="Tablet - FDC"/>
    <n v="30"/>
    <n v="19078"/>
    <n v="105692.12"/>
    <n v="5.54"/>
    <n v="0.18"/>
    <n v="2030"/>
    <n v="11846.85"/>
    <n v="1"/>
    <x v="5"/>
  </r>
  <r>
    <n v="86513"/>
    <s v="SO-41582"/>
    <x v="1303"/>
    <x v="0"/>
    <s v="ARV"/>
    <s v="Adult"/>
    <s v="SCMS from RDC"/>
    <x v="1"/>
    <s v="N/A - From RDC"/>
    <s v="Truck"/>
    <m/>
    <d v="2012-11-15T00:00:00"/>
    <d v="2012-11-15T00:00:00"/>
    <d v="2012-11-15T00:00:00"/>
    <x v="47"/>
    <s v="Lopinavir/Ritonavir"/>
    <s v="Generic"/>
    <s v="200/50mg"/>
    <s v="Tablet"/>
    <n v="120"/>
    <n v="16114"/>
    <n v="472301.34"/>
    <n v="29.31"/>
    <n v="0.24"/>
    <n v="4256"/>
    <n v="6052.1"/>
    <n v="1"/>
    <x v="5"/>
  </r>
  <r>
    <n v="86514"/>
    <s v="SO-43070"/>
    <x v="713"/>
    <x v="5"/>
    <s v="ARV"/>
    <s v="Adult"/>
    <s v="SCMS from RDC"/>
    <x v="1"/>
    <s v="N/A - From RDC"/>
    <s v="Air"/>
    <m/>
    <d v="2012-11-15T00:00:00"/>
    <d v="2012-10-23T00:00:00"/>
    <d v="2012-10-23T00:00:00"/>
    <x v="0"/>
    <s v="Nevirapine"/>
    <s v="Generic"/>
    <s v="200mg"/>
    <s v="Tablet"/>
    <n v="60"/>
    <n v="225"/>
    <n v="544.5"/>
    <n v="2.42"/>
    <n v="0.04"/>
    <m/>
    <m/>
    <n v="1"/>
    <x v="5"/>
  </r>
  <r>
    <n v="86518"/>
    <s v="SO-43080"/>
    <x v="1304"/>
    <x v="5"/>
    <s v="ARV"/>
    <s v="Adult"/>
    <s v="SCMS from RDC"/>
    <x v="1"/>
    <s v="N/A - From RDC"/>
    <s v="Air"/>
    <m/>
    <d v="2012-11-30T00:00:00"/>
    <d v="2012-11-30T00:00:00"/>
    <d v="2012-11-30T00:00:00"/>
    <x v="1"/>
    <s v="Lamivudine/Zidovudine"/>
    <s v="Generic"/>
    <s v="150/300mg"/>
    <s v="Tablet - FDC"/>
    <n v="60"/>
    <n v="300"/>
    <n v="2316"/>
    <n v="7.72"/>
    <n v="0.13"/>
    <n v="25"/>
    <n v="742.98"/>
    <n v="1"/>
    <x v="5"/>
  </r>
  <r>
    <n v="86522"/>
    <s v="SO-42650"/>
    <x v="935"/>
    <x v="0"/>
    <s v="ARV"/>
    <s v="Adult"/>
    <s v="SCMS from RDC"/>
    <x v="1"/>
    <s v="N/A - From RDC"/>
    <s v="Truck"/>
    <m/>
    <d v="2012-11-30T00:00:00"/>
    <d v="2012-10-31T00:00:00"/>
    <d v="2012-10-31T00:00:00"/>
    <x v="70"/>
    <s v="Emtricitabine/Tenofovir Disoproxil Fumarate"/>
    <s v="Generic"/>
    <s v="200/300mg"/>
    <s v="Tablet - FDC"/>
    <n v="30"/>
    <n v="43040"/>
    <n v="283633.59999999998"/>
    <n v="6.59"/>
    <n v="0.22"/>
    <m/>
    <m/>
    <n v="1"/>
    <x v="5"/>
  </r>
  <r>
    <n v="86524"/>
    <s v="SO-41550"/>
    <x v="1238"/>
    <x v="0"/>
    <s v="ARV"/>
    <s v="Pediatric"/>
    <s v="SCMS from RDC"/>
    <x v="1"/>
    <s v="N/A - From RDC"/>
    <s v="Truck"/>
    <m/>
    <d v="2012-11-30T00:00:00"/>
    <d v="2012-11-06T00:00:00"/>
    <d v="2012-11-06T00:00:00"/>
    <x v="81"/>
    <s v="Lamivudine/Nevirapine/Stavudine"/>
    <s v="Generic"/>
    <s v="60/100/12mg"/>
    <s v="Chewable/dispersible tablet - FDC"/>
    <n v="60"/>
    <n v="14798"/>
    <n v="63631.4"/>
    <n v="4.3"/>
    <n v="7.0000000000000007E-2"/>
    <m/>
    <m/>
    <n v="1"/>
    <x v="5"/>
  </r>
  <r>
    <n v="86525"/>
    <s v="SO-43180"/>
    <x v="1305"/>
    <x v="3"/>
    <s v="ARV"/>
    <s v="Adult"/>
    <s v="SCMS from RDC"/>
    <x v="1"/>
    <s v="N/A - From RDC"/>
    <s v="Air"/>
    <m/>
    <d v="2012-11-08T00:00:00"/>
    <d v="2012-10-29T00:00:00"/>
    <d v="2012-10-29T00:00:00"/>
    <x v="8"/>
    <s v="Efavirenz"/>
    <s v="Generic"/>
    <s v="600mg"/>
    <s v="Tablet"/>
    <n v="30"/>
    <n v="2700"/>
    <n v="10287"/>
    <n v="3.81"/>
    <n v="0.13"/>
    <n v="234"/>
    <n v="2154.1"/>
    <n v="1"/>
    <x v="5"/>
  </r>
  <r>
    <n v="86529"/>
    <s v="SO-43200"/>
    <x v="1306"/>
    <x v="3"/>
    <s v="ARV"/>
    <s v="Adult"/>
    <s v="SCMS from RDC"/>
    <x v="1"/>
    <s v="N/A - From RDC"/>
    <s v="Truck"/>
    <m/>
    <d v="2012-12-06T00:00:00"/>
    <d v="2012-11-20T00:00:00"/>
    <d v="2012-11-20T00:00:00"/>
    <x v="29"/>
    <s v="Zidovudine"/>
    <s v="Generic"/>
    <s v="300mg"/>
    <s v="Tablet"/>
    <n v="60"/>
    <n v="25"/>
    <n v="169"/>
    <n v="6.76"/>
    <n v="0.11"/>
    <n v="1"/>
    <n v="5220.79"/>
    <n v="1"/>
    <x v="5"/>
  </r>
  <r>
    <n v="86530"/>
    <s v="SO-43530"/>
    <x v="1307"/>
    <x v="3"/>
    <s v="ARV"/>
    <s v="Adult"/>
    <s v="SCMS from RDC"/>
    <x v="1"/>
    <s v="N/A - From RDC"/>
    <s v="Air"/>
    <m/>
    <d v="2012-12-07T00:00:00"/>
    <d v="2012-11-28T00:00:00"/>
    <d v="2012-11-28T00:00:00"/>
    <x v="47"/>
    <s v="Lopinavir/Ritonavir"/>
    <s v="Generic"/>
    <s v="200/50mg"/>
    <s v="Tablet"/>
    <n v="120"/>
    <n v="8335"/>
    <n v="222544.5"/>
    <n v="26.7"/>
    <n v="0.22"/>
    <n v="2034"/>
    <n v="10977.65"/>
    <n v="1"/>
    <x v="5"/>
  </r>
  <r>
    <n v="86537"/>
    <s v="SO-43120"/>
    <x v="1169"/>
    <x v="0"/>
    <s v="ARV"/>
    <s v="Adult"/>
    <s v="SCMS from RDC"/>
    <x v="1"/>
    <s v="N/A - From RDC"/>
    <s v="Truck"/>
    <m/>
    <d v="2013-03-04T00:00:00"/>
    <d v="2013-03-04T00:00:00"/>
    <d v="2013-03-04T00:00:00"/>
    <x v="47"/>
    <s v="Lopinavir/Ritonavir"/>
    <s v="Generic"/>
    <s v="200/50mg"/>
    <s v="Tablet"/>
    <n v="120"/>
    <n v="17201"/>
    <n v="459266.7"/>
    <n v="26.7"/>
    <n v="0.22"/>
    <m/>
    <m/>
    <n v="1"/>
    <x v="6"/>
  </r>
  <r>
    <n v="86543"/>
    <s v="SO-43930"/>
    <x v="1243"/>
    <x v="3"/>
    <s v="ARV"/>
    <s v="Adult"/>
    <s v="SCMS from RDC"/>
    <x v="1"/>
    <s v="N/A - From RDC"/>
    <s v="Air"/>
    <m/>
    <d v="2013-02-22T00:00:00"/>
    <d v="2013-02-25T00:00:00"/>
    <d v="2013-02-25T00:00:00"/>
    <x v="29"/>
    <s v="Zidovudine"/>
    <s v="Generic"/>
    <s v="300mg"/>
    <s v="Tablet"/>
    <n v="60"/>
    <n v="2250"/>
    <n v="15210"/>
    <n v="6.76"/>
    <n v="0.11"/>
    <m/>
    <m/>
    <n v="0"/>
    <x v="6"/>
  </r>
  <r>
    <n v="86544"/>
    <s v="SO-43491"/>
    <x v="721"/>
    <x v="3"/>
    <s v="ARV"/>
    <s v="Adult"/>
    <s v="SCMS from RDC"/>
    <x v="1"/>
    <s v="N/A - From RDC"/>
    <s v="Air"/>
    <m/>
    <d v="2013-02-11T00:00:00"/>
    <d v="2013-03-07T00:00:00"/>
    <d v="2013-03-07T00:00:00"/>
    <x v="39"/>
    <s v="Lamivudine/Tenofovir Disoproxil Fumarate"/>
    <s v="Generic"/>
    <s v="300/300mg"/>
    <s v="Tablet - FDC"/>
    <n v="30"/>
    <n v="13620"/>
    <n v="65512.2"/>
    <n v="4.8099999999999996"/>
    <n v="0.16"/>
    <m/>
    <m/>
    <n v="0"/>
    <x v="6"/>
  </r>
  <r>
    <n v="86559"/>
    <s v="SO-44650"/>
    <x v="1308"/>
    <x v="6"/>
    <s v="ARV"/>
    <s v="Pediatric"/>
    <s v="SCMS from RDC"/>
    <x v="1"/>
    <s v="N/A - From RDC"/>
    <s v="Air"/>
    <m/>
    <d v="2013-05-02T00:00:00"/>
    <d v="2013-03-29T00:00:00"/>
    <d v="2013-03-29T00:00:00"/>
    <x v="43"/>
    <s v="Nevirapine"/>
    <s v="Generic"/>
    <s v="10mg/ml"/>
    <s v="Oral suspension"/>
    <n v="240"/>
    <n v="564"/>
    <n v="1099.8"/>
    <n v="1.95"/>
    <n v="0.01"/>
    <n v="210"/>
    <n v="1551.32"/>
    <n v="1"/>
    <x v="6"/>
  </r>
  <r>
    <n v="86563"/>
    <s v="SO-43650"/>
    <x v="948"/>
    <x v="3"/>
    <s v="ARV"/>
    <s v="Adult"/>
    <s v="SCMS from RDC"/>
    <x v="1"/>
    <s v="N/A - From RDC"/>
    <s v="Air"/>
    <m/>
    <d v="2013-08-09T00:00:00"/>
    <d v="2013-08-09T00:00:00"/>
    <d v="2013-08-09T00:00:00"/>
    <x v="0"/>
    <s v="Nevirapine"/>
    <s v="Generic"/>
    <s v="200mg"/>
    <s v="Tablet"/>
    <n v="60"/>
    <n v="32298"/>
    <n v="72993.48"/>
    <n v="2.2599999999999998"/>
    <n v="0.04"/>
    <m/>
    <m/>
    <n v="1"/>
    <x v="6"/>
  </r>
  <r>
    <n v="86564"/>
    <s v="SO-44630"/>
    <x v="729"/>
    <x v="5"/>
    <s v="ARV"/>
    <s v="Adult"/>
    <s v="SCMS from RDC"/>
    <x v="1"/>
    <s v="N/A - From RDC"/>
    <s v="Air"/>
    <m/>
    <d v="2013-04-30T00:00:00"/>
    <d v="2013-04-24T00:00:00"/>
    <d v="2013-04-24T00:00:00"/>
    <x v="8"/>
    <s v="Efavirenz"/>
    <s v="Generic"/>
    <s v="600mg"/>
    <s v="Tablet"/>
    <n v="30"/>
    <n v="2100"/>
    <n v="6993"/>
    <n v="3.33"/>
    <n v="0.11"/>
    <m/>
    <m/>
    <n v="1"/>
    <x v="6"/>
  </r>
  <r>
    <n v="86565"/>
    <s v="SO-44630"/>
    <x v="729"/>
    <x v="5"/>
    <s v="ARV"/>
    <s v="Adult"/>
    <s v="SCMS from RDC"/>
    <x v="1"/>
    <s v="N/A - From RDC"/>
    <s v="Air"/>
    <m/>
    <d v="2013-04-30T00:00:00"/>
    <d v="2013-04-24T00:00:00"/>
    <d v="2013-04-24T00:00:00"/>
    <x v="1"/>
    <s v="Lamivudine/Zidovudine"/>
    <s v="Generic"/>
    <s v="150/300mg"/>
    <s v="Tablet - FDC"/>
    <n v="60"/>
    <n v="1702"/>
    <n v="12373.54"/>
    <n v="7.27"/>
    <n v="0.12"/>
    <m/>
    <m/>
    <n v="1"/>
    <x v="6"/>
  </r>
  <r>
    <n v="86573"/>
    <s v="SO-44382"/>
    <x v="1309"/>
    <x v="0"/>
    <s v="ARV"/>
    <s v="Adult"/>
    <s v="SCMS from RDC"/>
    <x v="1"/>
    <s v="N/A - From RDC"/>
    <s v="Truck"/>
    <m/>
    <d v="2013-05-31T00:00:00"/>
    <d v="2013-06-18T00:00:00"/>
    <d v="2013-06-18T00:00:00"/>
    <x v="47"/>
    <s v="Lopinavir/Ritonavir"/>
    <s v="Generic"/>
    <s v="200/50mg"/>
    <s v="Tablet"/>
    <n v="120"/>
    <n v="7995"/>
    <n v="174131.1"/>
    <n v="21.78"/>
    <n v="0.18"/>
    <n v="1946"/>
    <n v="12382"/>
    <n v="0"/>
    <x v="6"/>
  </r>
  <r>
    <n v="86579"/>
    <s v="SO-44991"/>
    <x v="1310"/>
    <x v="0"/>
    <s v="ARV"/>
    <s v="Adult"/>
    <s v="SCMS from RDC"/>
    <x v="1"/>
    <s v="N/A - From RDC"/>
    <s v="Truck"/>
    <m/>
    <d v="2013-08-27T00:00:00"/>
    <d v="2013-07-24T00:00:00"/>
    <d v="2013-07-24T00:00:00"/>
    <x v="45"/>
    <s v="Efavirenz/Emtricitabine/Tenofovir Disoproxil Fumarate"/>
    <s v="Generic"/>
    <s v="600/200/300mg"/>
    <s v="Tablet - FDC"/>
    <n v="30"/>
    <n v="69963"/>
    <n v="906720.48"/>
    <n v="12.96"/>
    <n v="0.43"/>
    <n v="7819"/>
    <n v="7108.78"/>
    <n v="1"/>
    <x v="6"/>
  </r>
  <r>
    <n v="86581"/>
    <s v="SO-43633"/>
    <x v="1311"/>
    <x v="3"/>
    <s v="ARV"/>
    <s v="Adult"/>
    <s v="SCMS from RDC"/>
    <x v="1"/>
    <s v="N/A - From RDC"/>
    <s v="Air"/>
    <m/>
    <d v="2013-07-31T00:00:00"/>
    <d v="2013-07-19T00:00:00"/>
    <d v="2013-07-19T00:00:00"/>
    <x v="46"/>
    <s v="Efavirenz/Lamivudine/Tenofovir Disoproxil Fumarate"/>
    <s v="Generic"/>
    <s v="600/300/300mg"/>
    <s v="Tablet - FDC"/>
    <n v="30"/>
    <n v="5728"/>
    <n v="60258.559999999998"/>
    <n v="10.52"/>
    <n v="0.35"/>
    <n v="770"/>
    <n v="2871"/>
    <n v="1"/>
    <x v="6"/>
  </r>
  <r>
    <n v="86589"/>
    <s v="SO-45151"/>
    <x v="735"/>
    <x v="6"/>
    <s v="ARV"/>
    <s v="Adult"/>
    <s v="SCMS from RDC"/>
    <x v="1"/>
    <s v="N/A - From RDC"/>
    <s v="Air"/>
    <m/>
    <d v="2013-08-06T00:00:00"/>
    <d v="2013-05-21T00:00:00"/>
    <d v="2014-11-18T00:00:00"/>
    <x v="39"/>
    <s v="Lamivudine/Tenofovir Disoproxil Fumarate"/>
    <s v="Generic"/>
    <s v="300/300mg"/>
    <s v="Tablet - FDC"/>
    <n v="30"/>
    <n v="48"/>
    <n v="225.6"/>
    <n v="4.7"/>
    <n v="0.16"/>
    <m/>
    <m/>
    <n v="1"/>
    <x v="7"/>
  </r>
  <r>
    <n v="86590"/>
    <s v="SO-45880"/>
    <x v="846"/>
    <x v="3"/>
    <s v="ARV"/>
    <s v="Adult"/>
    <s v="SCMS from RDC"/>
    <x v="1"/>
    <s v="N/A - From RDC"/>
    <s v="Air"/>
    <m/>
    <d v="2013-09-27T00:00:00"/>
    <d v="2013-09-27T00:00:00"/>
    <d v="2013-09-27T00:00:00"/>
    <x v="1"/>
    <s v="Lamivudine/Zidovudine"/>
    <s v="Generic"/>
    <s v="150/300mg"/>
    <s v="Tablet - FDC"/>
    <n v="60"/>
    <n v="19697"/>
    <n v="137879"/>
    <n v="7"/>
    <n v="0.12"/>
    <m/>
    <m/>
    <n v="1"/>
    <x v="6"/>
  </r>
  <r>
    <n v="86591"/>
    <s v="SO-45870"/>
    <x v="954"/>
    <x v="3"/>
    <s v="ARV"/>
    <s v="Adult"/>
    <s v="SCMS from RDC"/>
    <x v="1"/>
    <s v="N/A - From RDC"/>
    <s v="Air"/>
    <m/>
    <d v="2013-08-29T00:00:00"/>
    <d v="2013-09-13T00:00:00"/>
    <d v="2013-09-13T00:00:00"/>
    <x v="8"/>
    <s v="Efavirenz"/>
    <s v="Generic"/>
    <s v="600mg"/>
    <s v="Tablet"/>
    <n v="30"/>
    <n v="7363"/>
    <n v="24518.79"/>
    <n v="3.33"/>
    <n v="0.11"/>
    <m/>
    <m/>
    <n v="0"/>
    <x v="6"/>
  </r>
  <r>
    <n v="86596"/>
    <s v="SO-46021"/>
    <x v="1312"/>
    <x v="6"/>
    <s v="ARV"/>
    <s v="Adult"/>
    <s v="SCMS from RDC"/>
    <x v="1"/>
    <s v="N/A - From RDC"/>
    <s v="Air"/>
    <m/>
    <d v="2013-10-13T00:00:00"/>
    <d v="2013-05-21T00:00:00"/>
    <d v="2014-11-18T00:00:00"/>
    <x v="0"/>
    <s v="Nevirapine"/>
    <s v="Generic"/>
    <s v="200mg"/>
    <s v="Tablet"/>
    <n v="60"/>
    <n v="63"/>
    <n v="142.38"/>
    <n v="2.2599999999999998"/>
    <n v="0.04"/>
    <m/>
    <m/>
    <n v="1"/>
    <x v="7"/>
  </r>
  <r>
    <n v="86600"/>
    <s v="SO-45171"/>
    <x v="1313"/>
    <x v="6"/>
    <s v="ARV"/>
    <s v="Pediatric"/>
    <s v="SCMS from RDC"/>
    <x v="1"/>
    <s v="N/A - From RDC"/>
    <s v="Air"/>
    <m/>
    <d v="2013-09-09T00:00:00"/>
    <d v="2013-09-10T00:00:00"/>
    <d v="2013-09-10T00:00:00"/>
    <x v="43"/>
    <s v="Nevirapine"/>
    <s v="Generic"/>
    <s v="10mg/ml"/>
    <s v="Oral suspension"/>
    <n v="240"/>
    <n v="2280"/>
    <n v="4446"/>
    <n v="1.95"/>
    <n v="0.01"/>
    <n v="845"/>
    <n v="5435.44"/>
    <n v="0"/>
    <x v="6"/>
  </r>
  <r>
    <n v="86606"/>
    <s v="SO-46040"/>
    <x v="1314"/>
    <x v="6"/>
    <s v="ARV"/>
    <s v="Adult"/>
    <s v="SCMS from RDC"/>
    <x v="1"/>
    <s v="N/A - From RDC"/>
    <s v="Air"/>
    <m/>
    <d v="2013-10-27T00:00:00"/>
    <d v="2013-11-05T00:00:00"/>
    <d v="2013-11-12T00:00:00"/>
    <x v="8"/>
    <s v="Efavirenz"/>
    <s v="Generic"/>
    <s v="600mg"/>
    <s v="Tablet"/>
    <n v="30"/>
    <n v="5568"/>
    <n v="18541.439999999999"/>
    <n v="3.33"/>
    <n v="0.11"/>
    <n v="342"/>
    <n v="3325.77"/>
    <n v="0"/>
    <x v="6"/>
  </r>
  <r>
    <n v="86617"/>
    <s v="SO-45550"/>
    <x v="1315"/>
    <x v="3"/>
    <s v="ARV"/>
    <s v="Adult"/>
    <s v="SCMS from RDC"/>
    <x v="1"/>
    <s v="N/A - From RDC"/>
    <s v="Truck"/>
    <m/>
    <d v="2013-11-29T00:00:00"/>
    <d v="2013-11-20T00:00:00"/>
    <d v="2013-12-07T00:00:00"/>
    <x v="0"/>
    <s v="Nevirapine"/>
    <s v="Generic"/>
    <s v="200mg"/>
    <s v="Tablet"/>
    <n v="60"/>
    <n v="45525"/>
    <n v="102886.5"/>
    <n v="2.2599999999999998"/>
    <n v="0.04"/>
    <n v="2818"/>
    <n v="6976.78"/>
    <n v="1"/>
    <x v="6"/>
  </r>
  <r>
    <n v="86618"/>
    <s v="SO-45570"/>
    <x v="1184"/>
    <x v="3"/>
    <s v="ARV"/>
    <s v="Pediatric"/>
    <s v="SCMS from RDC"/>
    <x v="1"/>
    <s v="N/A - From RDC"/>
    <s v="Truck"/>
    <m/>
    <d v="2013-11-29T00:00:00"/>
    <d v="2013-11-13T00:00:00"/>
    <d v="2013-11-27T00:00:00"/>
    <x v="51"/>
    <s v="Efavirenz"/>
    <s v="Generic"/>
    <s v="200mg"/>
    <s v="Tablet"/>
    <n v="90"/>
    <n v="8035"/>
    <n v="74725.5"/>
    <n v="9.3000000000000007"/>
    <n v="0.1"/>
    <m/>
    <m/>
    <n v="1"/>
    <x v="6"/>
  </r>
  <r>
    <n v="86627"/>
    <s v="SO-46820"/>
    <x v="1316"/>
    <x v="3"/>
    <s v="ARV"/>
    <s v="Pediatric"/>
    <s v="SCMS from RDC"/>
    <x v="1"/>
    <s v="N/A - From RDC"/>
    <s v="Air"/>
    <m/>
    <d v="2013-12-16T00:00:00"/>
    <d v="2013-12-20T00:00:00"/>
    <d v="2014-01-08T00:00:00"/>
    <x v="57"/>
    <s v="Lamivudine/Nevirapine/Zidovudine"/>
    <s v="Generic"/>
    <s v="30/50/60mg"/>
    <s v="Chewable/dispersible tablet - FDC"/>
    <n v="60"/>
    <n v="2277"/>
    <n v="8857.5300000000007"/>
    <n v="3.89"/>
    <n v="0.06"/>
    <n v="128"/>
    <n v="1611.43"/>
    <n v="0"/>
    <x v="7"/>
  </r>
  <r>
    <n v="86634"/>
    <s v="SO-45998"/>
    <x v="742"/>
    <x v="0"/>
    <s v="ARV"/>
    <s v="Adult"/>
    <s v="SCMS from RDC"/>
    <x v="1"/>
    <s v="N/A - From RDC"/>
    <s v="Truck"/>
    <m/>
    <d v="2014-01-31T00:00:00"/>
    <d v="2014-02-19T00:00:00"/>
    <d v="2014-02-24T00:00:00"/>
    <x v="47"/>
    <s v="Lopinavir/Ritonavir"/>
    <s v="Generic"/>
    <s v="200/50mg"/>
    <s v="Tablet"/>
    <n v="120"/>
    <n v="32753"/>
    <n v="670781.43999999994"/>
    <n v="20.48"/>
    <n v="0.17"/>
    <m/>
    <m/>
    <n v="0"/>
    <x v="7"/>
  </r>
  <r>
    <n v="86637"/>
    <s v="SO-45997"/>
    <x v="1255"/>
    <x v="0"/>
    <s v="ARV"/>
    <s v="Pediatric"/>
    <s v="SCMS from RDC"/>
    <x v="1"/>
    <s v="N/A - From RDC"/>
    <s v="Truck"/>
    <m/>
    <d v="2014-01-31T00:00:00"/>
    <d v="2014-03-07T00:00:00"/>
    <d v="2014-03-12T00:00:00"/>
    <x v="81"/>
    <s v="Lamivudine/Nevirapine/Stavudine"/>
    <s v="Generic"/>
    <s v="60/100/12mg"/>
    <s v="Chewable/dispersible tablet - FDC"/>
    <n v="60"/>
    <n v="3879"/>
    <n v="16679.7"/>
    <n v="4.3"/>
    <n v="7.0000000000000007E-2"/>
    <m/>
    <m/>
    <n v="0"/>
    <x v="7"/>
  </r>
  <r>
    <n v="86639"/>
    <s v="SO-47110"/>
    <x v="1053"/>
    <x v="5"/>
    <s v="ARV"/>
    <s v="Adult"/>
    <s v="SCMS from RDC"/>
    <x v="1"/>
    <s v="N/A - From RDC"/>
    <s v="Air"/>
    <m/>
    <d v="2014-01-22T00:00:00"/>
    <d v="2014-02-11T00:00:00"/>
    <d v="2014-02-13T00:00:00"/>
    <x v="11"/>
    <s v="Lamivudine/Nevirapine/Zidovudine"/>
    <s v="Generic"/>
    <s v="150/300/200mg"/>
    <s v="Tablet - FDC"/>
    <n v="60"/>
    <n v="3746"/>
    <n v="30941.96"/>
    <n v="8.26"/>
    <n v="0.14000000000000001"/>
    <m/>
    <m/>
    <n v="0"/>
    <x v="7"/>
  </r>
  <r>
    <n v="86643"/>
    <s v="SO-45996"/>
    <x v="1317"/>
    <x v="0"/>
    <s v="ARV"/>
    <s v="Pediatric"/>
    <s v="SCMS from RDC"/>
    <x v="1"/>
    <s v="N/A - From RDC"/>
    <s v="Truck"/>
    <m/>
    <d v="2014-01-31T00:00:00"/>
    <d v="2014-03-12T00:00:00"/>
    <d v="2014-03-17T00:00:00"/>
    <x v="54"/>
    <s v="Nevirapine"/>
    <s v="Generic"/>
    <s v="10mg/ml"/>
    <s v="Oral suspension"/>
    <n v="100"/>
    <n v="20000"/>
    <n v="26000"/>
    <n v="1.3"/>
    <n v="0.01"/>
    <n v="3920"/>
    <n v="6010.2"/>
    <n v="0"/>
    <x v="7"/>
  </r>
  <r>
    <n v="86644"/>
    <s v="SO-47520"/>
    <x v="1318"/>
    <x v="0"/>
    <s v="ARV"/>
    <s v="Pediatric"/>
    <s v="SCMS from RDC"/>
    <x v="1"/>
    <s v="N/A - From RDC"/>
    <s v="Truck"/>
    <m/>
    <d v="2014-01-31T00:00:00"/>
    <d v="2014-03-07T00:00:00"/>
    <d v="2014-03-12T00:00:00"/>
    <x v="51"/>
    <s v="Efavirenz"/>
    <s v="Generic"/>
    <s v="200mg"/>
    <s v="Tablet"/>
    <n v="90"/>
    <n v="21596"/>
    <n v="200842.8"/>
    <n v="9.3000000000000007"/>
    <n v="0.1"/>
    <n v="1336"/>
    <n v="5033.8"/>
    <n v="0"/>
    <x v="7"/>
  </r>
  <r>
    <n v="86652"/>
    <s v="SO-45380"/>
    <x v="1319"/>
    <x v="1"/>
    <s v="ARV"/>
    <s v="Adult"/>
    <s v="SCMS from RDC"/>
    <x v="1"/>
    <s v="N/A - From RDC"/>
    <s v="Truck"/>
    <m/>
    <d v="2014-01-31T00:00:00"/>
    <d v="2014-02-03T00:00:00"/>
    <d v="2014-02-24T00:00:00"/>
    <x v="46"/>
    <s v="Efavirenz/Lamivudine/Tenofovir Disoproxil Fumarate"/>
    <s v="Generic"/>
    <s v="600/300/300mg"/>
    <s v="Tablet - FDC"/>
    <n v="30"/>
    <n v="119370"/>
    <n v="1297551.8999999999"/>
    <n v="10.87"/>
    <n v="0.36"/>
    <n v="13429"/>
    <n v="13380.52"/>
    <n v="0"/>
    <x v="7"/>
  </r>
  <r>
    <n v="86663"/>
    <s v="SO-44994"/>
    <x v="1320"/>
    <x v="0"/>
    <s v="ARV"/>
    <s v="Pediatric"/>
    <s v="SCMS from RDC"/>
    <x v="1"/>
    <s v="N/A - From RDC"/>
    <s v="Truck"/>
    <m/>
    <d v="2014-04-30T00:00:00"/>
    <d v="2014-04-17T00:00:00"/>
    <d v="2014-04-28T00:00:00"/>
    <x v="51"/>
    <s v="Efavirenz"/>
    <s v="Generic"/>
    <s v="200mg"/>
    <s v="Tablet"/>
    <n v="90"/>
    <n v="135"/>
    <n v="1255.5"/>
    <n v="9.3000000000000007"/>
    <n v="0.1"/>
    <n v="8"/>
    <n v="1231.5999999999999"/>
    <n v="1"/>
    <x v="7"/>
  </r>
  <r>
    <n v="86668"/>
    <s v="SO-46673"/>
    <x v="1321"/>
    <x v="0"/>
    <s v="ARV"/>
    <s v="Adult"/>
    <s v="SCMS from RDC"/>
    <x v="1"/>
    <s v="N/A - From RDC"/>
    <s v="Truck"/>
    <m/>
    <d v="2014-04-30T00:00:00"/>
    <d v="2014-05-07T00:00:00"/>
    <d v="2014-06-13T00:00:00"/>
    <x v="9"/>
    <s v="Abacavir"/>
    <s v="Generic"/>
    <s v="300mg"/>
    <s v="Tablet"/>
    <n v="60"/>
    <n v="27293"/>
    <n v="306500.39"/>
    <n v="11.23"/>
    <n v="0.19"/>
    <n v="2525"/>
    <n v="2352.5300000000002"/>
    <n v="0"/>
    <x v="7"/>
  </r>
  <r>
    <n v="86680"/>
    <s v="SO-47961"/>
    <x v="1322"/>
    <x v="0"/>
    <s v="ARV"/>
    <s v="Adult"/>
    <s v="SCMS from RDC"/>
    <x v="1"/>
    <s v="N/A - From RDC"/>
    <s v="Truck"/>
    <m/>
    <d v="2014-05-30T00:00:00"/>
    <d v="2014-06-21T00:00:00"/>
    <d v="2014-07-01T00:00:00"/>
    <x v="9"/>
    <s v="Abacavir"/>
    <s v="Generic"/>
    <s v="300mg"/>
    <s v="Tablet"/>
    <n v="60"/>
    <n v="2707"/>
    <n v="30399.61"/>
    <n v="11.23"/>
    <n v="0.19"/>
    <n v="263"/>
    <n v="1811.6"/>
    <n v="0"/>
    <x v="7"/>
  </r>
  <r>
    <n v="86683"/>
    <s v="SO-46850"/>
    <x v="1323"/>
    <x v="3"/>
    <s v="ARV"/>
    <s v="Adult"/>
    <s v="SCMS from RDC"/>
    <x v="1"/>
    <s v="N/A - From RDC"/>
    <s v="Truck"/>
    <m/>
    <d v="2014-05-30T00:00:00"/>
    <d v="2014-05-28T00:00:00"/>
    <d v="2014-06-11T00:00:00"/>
    <x v="11"/>
    <s v="Lamivudine/Nevirapine/Zidovudine"/>
    <s v="Generic"/>
    <s v="150/300/200mg"/>
    <s v="Tablet - FDC"/>
    <n v="60"/>
    <n v="45950"/>
    <n v="372654.5"/>
    <n v="8.11"/>
    <n v="0.14000000000000001"/>
    <n v="6061"/>
    <n v="6901.96"/>
    <n v="1"/>
    <x v="7"/>
  </r>
  <r>
    <n v="86699"/>
    <s v="SO-49370"/>
    <x v="1264"/>
    <x v="5"/>
    <s v="ARV"/>
    <s v="Adult"/>
    <s v="SCMS from RDC"/>
    <x v="1"/>
    <s v="N/A - From RDC"/>
    <s v="Air"/>
    <m/>
    <d v="2014-10-02T00:00:00"/>
    <d v="2014-10-17T00:00:00"/>
    <d v="2014-11-13T00:00:00"/>
    <x v="8"/>
    <s v="Efavirenz"/>
    <s v="Generic"/>
    <s v="600mg"/>
    <s v="Tablet"/>
    <n v="30"/>
    <n v="4488"/>
    <n v="14406.48"/>
    <n v="3.21"/>
    <n v="0.11"/>
    <m/>
    <m/>
    <n v="0"/>
    <x v="7"/>
  </r>
  <r>
    <n v="86701"/>
    <s v="SO-48991"/>
    <x v="1324"/>
    <x v="3"/>
    <s v="ARV"/>
    <s v="Adult"/>
    <s v="SCMS from RDC"/>
    <x v="1"/>
    <s v="N/A - From RDC"/>
    <s v="Truck"/>
    <m/>
    <d v="2014-11-28T00:00:00"/>
    <d v="2014-08-22T00:00:00"/>
    <d v="2014-08-26T00:00:00"/>
    <x v="14"/>
    <s v="Lopinavir/Ritonavir"/>
    <s v="Aluvia"/>
    <s v="200/50mg"/>
    <s v="Tablet"/>
    <n v="120"/>
    <n v="5337"/>
    <n v="100869.3"/>
    <n v="18.899999999999999"/>
    <n v="0.16"/>
    <n v="1089"/>
    <n v="3730.8"/>
    <n v="1"/>
    <x v="7"/>
  </r>
  <r>
    <n v="86703"/>
    <s v="SO-48800"/>
    <x v="1325"/>
    <x v="1"/>
    <s v="ARV"/>
    <s v="Adult"/>
    <s v="SCMS from RDC"/>
    <x v="1"/>
    <s v="N/A - From RDC"/>
    <s v="Truck"/>
    <m/>
    <d v="2014-10-30T00:00:00"/>
    <d v="2014-08-13T00:00:00"/>
    <d v="2014-08-14T00:00:00"/>
    <x v="11"/>
    <s v="Lamivudine/Nevirapine/Zidovudine"/>
    <s v="Generic"/>
    <s v="150/300/200mg"/>
    <s v="Tablet - FDC"/>
    <n v="60"/>
    <n v="86008"/>
    <n v="697524.88"/>
    <n v="8.11"/>
    <n v="0.14000000000000001"/>
    <n v="11117"/>
    <n v="15617.93"/>
    <n v="1"/>
    <x v="7"/>
  </r>
  <r>
    <n v="86720"/>
    <s v="SO-46674"/>
    <x v="1129"/>
    <x v="0"/>
    <s v="ARV"/>
    <s v="Pediatric"/>
    <s v="SCMS from RDC"/>
    <x v="1"/>
    <s v="N/A - From RDC"/>
    <s v="Truck"/>
    <m/>
    <d v="2014-08-29T00:00:00"/>
    <d v="2014-09-29T00:00:00"/>
    <d v="2014-10-06T00:00:00"/>
    <x v="57"/>
    <s v="Lamivudine/Nevirapine/Zidovudine"/>
    <s v="Generic"/>
    <s v="30/50/60mg"/>
    <s v="Chewable/dispersible tablet - FDC"/>
    <n v="60"/>
    <n v="42141"/>
    <n v="157185.93"/>
    <n v="3.73"/>
    <n v="0.06"/>
    <m/>
    <m/>
    <n v="0"/>
    <x v="7"/>
  </r>
  <r>
    <n v="86746"/>
    <s v="SO-49941"/>
    <x v="1065"/>
    <x v="1"/>
    <s v="ARV"/>
    <s v="Pediatric"/>
    <s v="SCMS from RDC"/>
    <x v="1"/>
    <s v="N/A - From RDC"/>
    <s v="Truck"/>
    <m/>
    <d v="2015-01-14T00:00:00"/>
    <d v="2014-11-13T00:00:00"/>
    <d v="2014-11-14T00:00:00"/>
    <x v="42"/>
    <s v="Lamivudine/Zidovudine"/>
    <s v="Generic"/>
    <s v="30/60mg"/>
    <s v="Chewable/dispersible tablet - FDC"/>
    <n v="60"/>
    <n v="459"/>
    <n v="913.41"/>
    <n v="1.99"/>
    <n v="0.03"/>
    <m/>
    <m/>
    <n v="1"/>
    <x v="7"/>
  </r>
  <r>
    <n v="86747"/>
    <s v="SO-48790"/>
    <x v="764"/>
    <x v="1"/>
    <s v="ARV"/>
    <s v="Adult"/>
    <s v="SCMS from RDC"/>
    <x v="1"/>
    <s v="N/A - From RDC"/>
    <s v="Truck"/>
    <m/>
    <d v="2015-02-16T00:00:00"/>
    <d v="2015-01-14T00:00:00"/>
    <d v="2015-01-19T00:00:00"/>
    <x v="62"/>
    <s v="Abacavir/Lamivudine"/>
    <s v="Generic"/>
    <s v="600/300mg"/>
    <s v="Tablet - FDC"/>
    <n v="30"/>
    <n v="49270"/>
    <n v="666130.4"/>
    <n v="13.52"/>
    <n v="0.45"/>
    <m/>
    <m/>
    <n v="1"/>
    <x v="8"/>
  </r>
  <r>
    <n v="86749"/>
    <s v="SO-48973"/>
    <x v="1066"/>
    <x v="3"/>
    <s v="ARV"/>
    <s v="Adult"/>
    <s v="SCMS from RDC"/>
    <x v="1"/>
    <s v="N/A - From RDC"/>
    <s v="Truck"/>
    <m/>
    <d v="2015-01-15T00:00:00"/>
    <d v="2014-12-17T00:00:00"/>
    <d v="2014-12-22T00:00:00"/>
    <x v="8"/>
    <s v="Efavirenz"/>
    <s v="Generic"/>
    <s v="600mg"/>
    <s v="Tablet"/>
    <n v="30"/>
    <n v="22500"/>
    <n v="72225"/>
    <n v="3.21"/>
    <n v="0.11"/>
    <m/>
    <m/>
    <n v="1"/>
    <x v="7"/>
  </r>
  <r>
    <n v="86773"/>
    <s v="SO-49011"/>
    <x v="1326"/>
    <x v="3"/>
    <s v="ARV"/>
    <s v="Pediatric"/>
    <s v="SCMS from RDC"/>
    <x v="1"/>
    <s v="N/A - From RDC"/>
    <s v="Truck"/>
    <m/>
    <d v="2015-02-06T00:00:00"/>
    <d v="2015-01-30T00:00:00"/>
    <d v="2015-02-02T00:00:00"/>
    <x v="57"/>
    <s v="Lamivudine/Nevirapine/Zidovudine"/>
    <s v="Generic"/>
    <s v="30/50/60mg"/>
    <s v="Chewable/dispersible tablet - FDC"/>
    <n v="60"/>
    <n v="5000"/>
    <n v="18650"/>
    <n v="3.73"/>
    <n v="0.06"/>
    <n v="297"/>
    <n v="1326"/>
    <n v="1"/>
    <x v="8"/>
  </r>
  <r>
    <n v="86781"/>
    <s v="SO-49010"/>
    <x v="984"/>
    <x v="3"/>
    <s v="ARV"/>
    <s v="Pediatric"/>
    <s v="SCMS from RDC"/>
    <x v="1"/>
    <s v="N/A - From RDC"/>
    <s v="Truck"/>
    <m/>
    <d v="2015-03-16T00:00:00"/>
    <d v="2015-03-12T00:00:00"/>
    <d v="2015-03-17T00:00:00"/>
    <x v="57"/>
    <s v="Lamivudine/Nevirapine/Zidovudine"/>
    <s v="Generic"/>
    <s v="30/50/60mg"/>
    <s v="Chewable/dispersible tablet - FDC"/>
    <n v="60"/>
    <n v="273"/>
    <n v="982.8"/>
    <n v="3.6"/>
    <n v="0.06"/>
    <m/>
    <m/>
    <n v="1"/>
    <x v="8"/>
  </r>
  <r>
    <n v="86785"/>
    <s v="SO-48810"/>
    <x v="770"/>
    <x v="1"/>
    <s v="ARV"/>
    <s v="Pediatric"/>
    <s v="SCMS from RDC"/>
    <x v="1"/>
    <s v="N/A - From RDC"/>
    <s v="Truck"/>
    <m/>
    <d v="2015-03-31T00:00:00"/>
    <d v="2015-03-24T00:00:00"/>
    <d v="2015-03-24T00:00:00"/>
    <x v="24"/>
    <s v="Abacavir"/>
    <s v="Generic"/>
    <s v="20mg/ml"/>
    <s v="Oral solution"/>
    <n v="240"/>
    <n v="1820"/>
    <n v="12430.6"/>
    <n v="6.83"/>
    <n v="0.03"/>
    <m/>
    <m/>
    <n v="1"/>
    <x v="8"/>
  </r>
  <r>
    <n v="86786"/>
    <s v="SO-48990"/>
    <x v="1327"/>
    <x v="3"/>
    <s v="ARV"/>
    <s v="Adult"/>
    <s v="SCMS from RDC"/>
    <x v="1"/>
    <s v="N/A - From RDC"/>
    <s v="Truck"/>
    <m/>
    <d v="2015-03-31T00:00:00"/>
    <d v="2015-05-15T00:00:00"/>
    <d v="2015-05-17T00:00:00"/>
    <x v="39"/>
    <s v="Lamivudine/Tenofovir Disoproxil Fumarate"/>
    <s v="Generic"/>
    <s v="300/300mg"/>
    <s v="Tablet - FDC"/>
    <n v="30"/>
    <n v="27365"/>
    <n v="125605.35"/>
    <n v="4.59"/>
    <n v="0.15"/>
    <n v="2885"/>
    <n v="2564.94"/>
    <n v="0"/>
    <x v="8"/>
  </r>
  <r>
    <n v="86787"/>
    <s v="SO-50690"/>
    <x v="1328"/>
    <x v="1"/>
    <s v="ARV"/>
    <s v="Adult"/>
    <s v="SCMS from RDC"/>
    <x v="1"/>
    <s v="N/A - From RDC"/>
    <s v="Air"/>
    <m/>
    <d v="2015-04-24T00:00:00"/>
    <d v="2015-05-04T00:00:00"/>
    <d v="2015-05-08T00:00:00"/>
    <x v="35"/>
    <s v="Tenofovir Disoproxil Fumarate"/>
    <s v="Generic"/>
    <s v="300mg"/>
    <s v="Tablet"/>
    <n v="30"/>
    <n v="200"/>
    <n v="710"/>
    <n v="3.55"/>
    <n v="0.12"/>
    <n v="12"/>
    <n v="1301.94"/>
    <n v="0"/>
    <x v="8"/>
  </r>
  <r>
    <n v="86788"/>
    <s v="SO-50280"/>
    <x v="1071"/>
    <x v="6"/>
    <s v="ARV"/>
    <s v="Adult"/>
    <s v="SCMS from RDC"/>
    <x v="1"/>
    <s v="N/A - From RDC"/>
    <s v="Air"/>
    <m/>
    <d v="2015-05-29T00:00:00"/>
    <d v="2015-03-25T00:00:00"/>
    <d v="2015-03-30T00:00:00"/>
    <x v="11"/>
    <s v="Lamivudine/Nevirapine/Zidovudine"/>
    <s v="Generic"/>
    <s v="150/300/200mg"/>
    <s v="Tablet - FDC"/>
    <n v="60"/>
    <n v="1008"/>
    <n v="7781.76"/>
    <n v="7.72"/>
    <n v="0.13"/>
    <m/>
    <m/>
    <n v="1"/>
    <x v="8"/>
  </r>
  <r>
    <n v="86789"/>
    <s v="SO-50280"/>
    <x v="1071"/>
    <x v="6"/>
    <s v="ARV"/>
    <s v="Pediatric"/>
    <s v="SCMS from RDC"/>
    <x v="1"/>
    <s v="N/A - From RDC"/>
    <s v="Air"/>
    <m/>
    <d v="2015-05-29T00:00:00"/>
    <d v="2015-03-25T00:00:00"/>
    <d v="2015-03-30T00:00:00"/>
    <x v="42"/>
    <s v="Lamivudine/Zidovudine"/>
    <s v="Generic"/>
    <s v="30/60mg"/>
    <s v="Chewable/dispersible tablet - FDC"/>
    <n v="60"/>
    <n v="282"/>
    <n v="549.9"/>
    <n v="1.95"/>
    <n v="0.03"/>
    <m/>
    <m/>
    <n v="1"/>
    <x v="8"/>
  </r>
  <r>
    <n v="86795"/>
    <s v="SO-50290"/>
    <x v="987"/>
    <x v="6"/>
    <s v="ARV"/>
    <s v="Adult"/>
    <s v="SCMS from RDC"/>
    <x v="1"/>
    <s v="N/A - From RDC"/>
    <s v="Air"/>
    <m/>
    <d v="2015-06-30T00:00:00"/>
    <d v="2015-04-22T00:00:00"/>
    <d v="2015-04-23T00:00:00"/>
    <x v="11"/>
    <s v="Lamivudine/Nevirapine/Zidovudine"/>
    <s v="Generic"/>
    <s v="150/300/200mg"/>
    <s v="Tablet - FDC"/>
    <n v="60"/>
    <n v="1056"/>
    <n v="8152.32"/>
    <n v="7.72"/>
    <n v="0.13"/>
    <m/>
    <m/>
    <n v="1"/>
    <x v="8"/>
  </r>
  <r>
    <n v="86797"/>
    <s v="SO-50670"/>
    <x v="1270"/>
    <x v="3"/>
    <s v="ARV"/>
    <s v="Adult"/>
    <s v="SCMS from RDC"/>
    <x v="1"/>
    <s v="N/A - From RDC"/>
    <s v="Truck"/>
    <m/>
    <d v="2015-04-30T00:00:00"/>
    <d v="2015-04-22T00:00:00"/>
    <d v="2015-04-24T00:00:00"/>
    <x v="11"/>
    <s v="Lamivudine/Nevirapine/Zidovudine"/>
    <s v="Generic"/>
    <s v="150/300/200mg"/>
    <s v="Tablet - FDC"/>
    <n v="60"/>
    <n v="21667"/>
    <n v="167269.24"/>
    <n v="7.72"/>
    <n v="0.13"/>
    <m/>
    <m/>
    <n v="1"/>
    <x v="8"/>
  </r>
  <r>
    <n v="86798"/>
    <s v="SO-50050"/>
    <x v="879"/>
    <x v="3"/>
    <s v="ARV"/>
    <s v="Adult"/>
    <s v="SCMS from RDC"/>
    <x v="1"/>
    <s v="N/A - From RDC"/>
    <s v="Truck"/>
    <m/>
    <d v="2015-06-15T00:00:00"/>
    <d v="2015-05-14T00:00:00"/>
    <d v="2015-05-15T00:00:00"/>
    <x v="8"/>
    <s v="Efavirenz"/>
    <s v="Generic"/>
    <s v="600mg"/>
    <s v="Tablet"/>
    <n v="30"/>
    <n v="29998"/>
    <n v="93593.76"/>
    <n v="3.12"/>
    <n v="0.1"/>
    <m/>
    <m/>
    <n v="1"/>
    <x v="8"/>
  </r>
  <r>
    <n v="86808"/>
    <s v="SO-50070"/>
    <x v="1329"/>
    <x v="3"/>
    <s v="ARV"/>
    <s v="Pediatric"/>
    <s v="SCMS from RDC"/>
    <x v="1"/>
    <s v="N/A - From RDC"/>
    <s v="Truck"/>
    <m/>
    <d v="2015-06-30T00:00:00"/>
    <d v="2015-06-04T00:00:00"/>
    <d v="2015-06-15T00:00:00"/>
    <x v="57"/>
    <s v="Lamivudine/Nevirapine/Zidovudine"/>
    <s v="Generic"/>
    <s v="30/50/60mg"/>
    <s v="Chewable/dispersible tablet - FDC"/>
    <n v="60"/>
    <n v="18000"/>
    <n v="64800"/>
    <n v="3.6"/>
    <n v="0.06"/>
    <n v="2253"/>
    <n v="3785.72"/>
    <n v="1"/>
    <x v="8"/>
  </r>
  <r>
    <n v="86809"/>
    <s v="SO-50070"/>
    <x v="1329"/>
    <x v="3"/>
    <s v="ARV"/>
    <s v="Pediatric"/>
    <s v="SCMS from RDC"/>
    <x v="1"/>
    <s v="N/A - From RDC"/>
    <s v="Truck"/>
    <m/>
    <d v="2015-06-30T00:00:00"/>
    <d v="2015-06-04T00:00:00"/>
    <d v="2015-06-15T00:00:00"/>
    <x v="57"/>
    <s v="Lamivudine/Nevirapine/Zidovudine"/>
    <s v="Generic"/>
    <s v="30/50/60mg"/>
    <s v="Chewable/dispersible tablet - FDC"/>
    <n v="60"/>
    <n v="29287"/>
    <n v="105433.2"/>
    <n v="3.6"/>
    <n v="0.06"/>
    <m/>
    <m/>
    <n v="1"/>
    <x v="8"/>
  </r>
  <r>
    <n v="86810"/>
    <s v="SO-50054"/>
    <x v="880"/>
    <x v="3"/>
    <s v="ARV"/>
    <s v="Pediatric"/>
    <s v="SCMS from RDC"/>
    <x v="1"/>
    <s v="N/A - From RDC"/>
    <s v="Truck"/>
    <m/>
    <d v="2015-06-15T00:00:00"/>
    <d v="2015-06-04T00:00:00"/>
    <d v="2015-06-15T00:00:00"/>
    <x v="51"/>
    <s v="Efavirenz"/>
    <s v="Generic"/>
    <s v="200mg"/>
    <s v="Tablet"/>
    <n v="90"/>
    <n v="6312"/>
    <n v="34716"/>
    <n v="5.5"/>
    <n v="0.06"/>
    <m/>
    <m/>
    <n v="1"/>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D27F0D-5AFF-4569-BA32-B74B99AED957}" name="PivotTable4"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Y6:Z16" firstHeaderRow="1" firstDataRow="1" firstDataCol="1" rowPageCount="1" colPageCount="1"/>
  <pivotFields count="31">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compact="0" outline="0" showAll="0" defaultSubtotal="0"/>
    <pivotField compact="0" outline="0" showAll="0" defaultSubtotal="0"/>
    <pivotField compact="0" outline="0" showAll="0" defaultSubtotal="0"/>
    <pivotField compact="0" numFmtId="14" outline="0" showAll="0" defaultSubtotal="0"/>
    <pivotField compact="0" numFmtId="14" outline="0" showAll="0" defaultSubtotal="0"/>
    <pivotField compact="0" numFmtId="14" outline="0" showAll="0" defaultSubtotal="0"/>
    <pivotField axis="axisPage" compact="0" outline="0" multipleItemSelectionAllowed="1" showAll="0" defaultSubtotal="0">
      <items count="82">
        <item h="1" x="17"/>
        <item h="1" x="72"/>
        <item h="1" x="24"/>
        <item h="1" x="9"/>
        <item h="1" x="79"/>
        <item h="1" x="76"/>
        <item h="1" x="78"/>
        <item h="1" x="62"/>
        <item h="1" x="68"/>
        <item h="1" x="52"/>
        <item h="1" x="44"/>
        <item h="1" x="55"/>
        <item h="1" x="61"/>
        <item h="1" x="53"/>
        <item h="1" x="59"/>
        <item h="1" x="50"/>
        <item h="1" x="28"/>
        <item h="1" x="48"/>
        <item h="1" x="66"/>
        <item h="1" x="2"/>
        <item h="1" x="49"/>
        <item h="1" x="18"/>
        <item h="1" x="12"/>
        <item h="1" x="4"/>
        <item h="1" x="27"/>
        <item h="1" x="37"/>
        <item h="1" x="51"/>
        <item h="1" x="69"/>
        <item h="1" x="32"/>
        <item h="1" x="41"/>
        <item h="1" x="8"/>
        <item h="1" x="5"/>
        <item h="1" x="45"/>
        <item h="1" x="46"/>
        <item h="1" x="22"/>
        <item h="1" x="70"/>
        <item h="1" x="40"/>
        <item h="1" x="38"/>
        <item h="1" x="67"/>
        <item h="1" x="25"/>
        <item h="1" x="16"/>
        <item h="1" x="13"/>
        <item h="1" x="74"/>
        <item h="1" x="81"/>
        <item x="11"/>
        <item h="1" x="77"/>
        <item h="1" x="57"/>
        <item h="1" x="34"/>
        <item h="1" x="31"/>
        <item h="1" x="75"/>
        <item h="1" x="64"/>
        <item h="1" x="39"/>
        <item h="1" x="1"/>
        <item h="1" x="42"/>
        <item h="1" x="73"/>
        <item h="1" x="19"/>
        <item h="1" x="7"/>
        <item h="1" x="60"/>
        <item h="1" x="14"/>
        <item h="1" x="47"/>
        <item h="1" x="6"/>
        <item h="1" x="23"/>
        <item h="1" x="71"/>
        <item h="1" x="54"/>
        <item h="1" x="43"/>
        <item h="1" x="36"/>
        <item h="1" x="0"/>
        <item h="1" x="65"/>
        <item h="1" x="56"/>
        <item h="1" x="30"/>
        <item h="1" x="58"/>
        <item h="1" x="15"/>
        <item h="1" x="63"/>
        <item h="1" x="21"/>
        <item h="1" x="26"/>
        <item h="1" x="3"/>
        <item h="1" x="33"/>
        <item h="1" x="10"/>
        <item h="1" x="35"/>
        <item h="1" x="80"/>
        <item h="1" x="20"/>
        <item h="1" x="29"/>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Year" axis="axisRow" compact="0" outline="0" showAll="0" defaultSubtotal="0">
      <items count="10">
        <item x="0"/>
        <item x="1"/>
        <item x="2"/>
        <item x="3"/>
        <item x="4"/>
        <item x="9"/>
        <item x="5"/>
        <item x="6"/>
        <item x="7"/>
        <item x="8"/>
      </items>
    </pivotField>
    <pivotField compact="0" outline="0" dragToRow="0" dragToCol="0" dragToPage="0" showAll="0" defaultSubtotal="0"/>
    <pivotField compact="0" outline="0" dragToRow="0" dragToCol="0" dragToPage="0" showAll="0" defaultSubtotal="0"/>
    <pivotField dataField="1" compact="0" outline="0" subtotalTop="0" dragToRow="0" dragToCol="0" dragToPage="0" showAll="0" defaultSubtotal="0"/>
  </pivotFields>
  <rowFields count="1">
    <field x="27"/>
  </rowFields>
  <rowItems count="10">
    <i>
      <x v="1"/>
    </i>
    <i>
      <x v="2"/>
    </i>
    <i>
      <x v="3"/>
    </i>
    <i>
      <x v="4"/>
    </i>
    <i>
      <x v="5"/>
    </i>
    <i>
      <x v="6"/>
    </i>
    <i>
      <x v="7"/>
    </i>
    <i>
      <x v="8"/>
    </i>
    <i>
      <x v="9"/>
    </i>
    <i t="grand">
      <x/>
    </i>
  </rowItems>
  <colItems count="1">
    <i/>
  </colItems>
  <pageFields count="1">
    <pageField fld="14" hier="-1"/>
  </pageFields>
  <dataFields count="1">
    <dataField name="USD Per Pack" fld="30" baseField="27" baseItem="9" numFmtId="167"/>
  </dataFields>
  <formats count="2">
    <format dxfId="1">
      <pivotArea field="27" type="button" dataOnly="0" labelOnly="1" outline="0" axis="axisRow" fieldPosition="0"/>
    </format>
    <format dxfId="0">
      <pivotArea outline="0" fieldPosition="0">
        <references count="1">
          <reference field="4294967294" count="1">
            <x v="0"/>
          </reference>
        </references>
      </pivotArea>
    </format>
  </formats>
  <chartFormats count="7">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27" count="1" selected="0">
            <x v="3"/>
          </reference>
        </references>
      </pivotArea>
    </chartFormat>
    <chartFormat chart="14" format="4">
      <pivotArea type="data" outline="0" fieldPosition="0">
        <references count="2">
          <reference field="4294967294" count="1" selected="0">
            <x v="0"/>
          </reference>
          <reference field="27" count="1" selected="0">
            <x v="4"/>
          </reference>
        </references>
      </pivotArea>
    </chartFormat>
    <chartFormat chart="14" format="5">
      <pivotArea type="data" outline="0" fieldPosition="0">
        <references count="2">
          <reference field="4294967294" count="1" selected="0">
            <x v="0"/>
          </reference>
          <reference field="27" count="1" selected="0">
            <x v="5"/>
          </reference>
        </references>
      </pivotArea>
    </chartFormat>
    <chartFormat chart="14" format="6">
      <pivotArea type="data" outline="0" fieldPosition="0">
        <references count="2">
          <reference field="4294967294" count="1" selected="0">
            <x v="0"/>
          </reference>
          <reference field="27" count="1" selected="0">
            <x v="6"/>
          </reference>
        </references>
      </pivotArea>
    </chartFormat>
    <chartFormat chart="14" format="7">
      <pivotArea type="data" outline="0" fieldPosition="0">
        <references count="2">
          <reference field="4294967294" count="1" selected="0">
            <x v="0"/>
          </reference>
          <reference field="27" count="1" selected="0">
            <x v="8"/>
          </reference>
        </references>
      </pivotArea>
    </chartFormat>
    <chartFormat chart="14" format="8">
      <pivotArea type="data" outline="0" fieldPosition="0">
        <references count="2">
          <reference field="4294967294" count="1" selected="0">
            <x v="0"/>
          </reference>
          <reference field="27" count="1" selected="0">
            <x v="2"/>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210B69-779E-4E61-86ED-2DF6C447F17B}" name="PivotTable1" cacheId="2" applyNumberFormats="0" applyBorderFormats="0" applyFontFormats="0" applyPatternFormats="0" applyAlignmentFormats="0" applyWidthHeightFormats="1" dataCaption="Values" grandTotalCaption="Total" updatedVersion="8" minRefreshableVersion="3" preserveFormatting="0" itemPrintTitles="1" createdVersion="8" indent="0" outline="1" outlineData="1" multipleFieldFilters="0" chartFormat="1" rowHeaderCaption="'Country" colHeaderCaption="">
  <location ref="B4:E13" firstHeaderRow="1" firstDataRow="2" firstDataCol="1"/>
  <pivotFields count="31">
    <pivotField showAll="0"/>
    <pivotField showAll="0"/>
    <pivotField showAll="0"/>
    <pivotField axis="axisRow" showAll="0">
      <items count="9">
        <item x="6"/>
        <item m="1" x="7"/>
        <item x="2"/>
        <item x="4"/>
        <item x="1"/>
        <item x="0"/>
        <item x="3"/>
        <item x="5"/>
        <item t="default"/>
      </items>
    </pivotField>
    <pivotField showAll="0"/>
    <pivotField showAll="0"/>
    <pivotField showAll="0"/>
    <pivotField axis="axisCol" showAll="0">
      <items count="3">
        <item x="0"/>
        <item x="1"/>
        <item t="default"/>
      </items>
    </pivotField>
    <pivotField showAll="0"/>
    <pivotField showAll="0"/>
    <pivotField showAll="0"/>
    <pivotField numFmtId="14" showAll="0"/>
    <pivotField numFmtId="14" showAll="0"/>
    <pivotField numFmtId="14"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3"/>
  </rowFields>
  <rowItems count="8">
    <i>
      <x/>
    </i>
    <i>
      <x v="2"/>
    </i>
    <i>
      <x v="3"/>
    </i>
    <i>
      <x v="4"/>
    </i>
    <i>
      <x v="5"/>
    </i>
    <i>
      <x v="6"/>
    </i>
    <i>
      <x v="7"/>
    </i>
    <i t="grand">
      <x/>
    </i>
  </rowItems>
  <colFields count="1">
    <field x="7"/>
  </colFields>
  <colItems count="3">
    <i>
      <x/>
    </i>
    <i>
      <x v="1"/>
    </i>
    <i t="grand">
      <x/>
    </i>
  </colItems>
  <dataFields count="1">
    <dataField name="Sum of Line Items" fld="21" baseField="3" baseItem="3" numFmtId="3"/>
  </dataField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4EDF2E-2579-4464-AD53-4CB35447372D}" name="PivotTable2" cacheId="2" applyNumberFormats="0" applyBorderFormats="0" applyFontFormats="0" applyPatternFormats="0" applyAlignmentFormats="0" applyWidthHeightFormats="1" dataCaption="Values" updatedVersion="8" minRefreshableVersion="3" preserveFormatting="0" rowGrandTotals="0" colGrandTotals="0" itemPrintTitles="1" createdVersion="8" indent="0" outline="1" outlineData="1" multipleFieldFilters="0" rowHeaderCaption="Delivery">
  <location ref="B19:E1349" firstHeaderRow="0" firstDataRow="1" firstDataCol="1"/>
  <pivotFields count="31">
    <pivotField showAll="0"/>
    <pivotField showAll="0"/>
    <pivotField axis="axisRow" showAll="0">
      <items count="1331">
        <item x="294"/>
        <item x="386"/>
        <item x="497"/>
        <item x="403"/>
        <item x="16"/>
        <item x="321"/>
        <item x="43"/>
        <item x="395"/>
        <item x="505"/>
        <item x="47"/>
        <item x="364"/>
        <item x="307"/>
        <item x="369"/>
        <item x="333"/>
        <item x="418"/>
        <item x="579"/>
        <item x="648"/>
        <item x="513"/>
        <item x="368"/>
        <item x="464"/>
        <item x="582"/>
        <item x="660"/>
        <item x="10"/>
        <item x="482"/>
        <item x="547"/>
        <item x="298"/>
        <item x="31"/>
        <item x="352"/>
        <item x="29"/>
        <item x="300"/>
        <item x="21"/>
        <item x="41"/>
        <item x="447"/>
        <item x="42"/>
        <item x="623"/>
        <item x="451"/>
        <item x="35"/>
        <item x="319"/>
        <item x="474"/>
        <item x="585"/>
        <item x="293"/>
        <item x="468"/>
        <item x="409"/>
        <item x="506"/>
        <item x="503"/>
        <item x="563"/>
        <item x="512"/>
        <item x="489"/>
        <item x="586"/>
        <item x="542"/>
        <item x="299"/>
        <item x="332"/>
        <item x="500"/>
        <item x="484"/>
        <item x="486"/>
        <item x="545"/>
        <item x="458"/>
        <item x="624"/>
        <item x="572"/>
        <item x="17"/>
        <item x="359"/>
        <item x="643"/>
        <item x="351"/>
        <item x="274"/>
        <item x="398"/>
        <item x="613"/>
        <item x="311"/>
        <item x="467"/>
        <item x="342"/>
        <item x="521"/>
        <item x="283"/>
        <item x="534"/>
        <item x="509"/>
        <item x="302"/>
        <item x="548"/>
        <item x="423"/>
        <item x="355"/>
        <item x="462"/>
        <item x="610"/>
        <item x="569"/>
        <item x="316"/>
        <item x="346"/>
        <item x="526"/>
        <item x="519"/>
        <item x="611"/>
        <item x="437"/>
        <item x="644"/>
        <item x="583"/>
        <item x="315"/>
        <item x="442"/>
        <item x="612"/>
        <item x="531"/>
        <item x="400"/>
        <item x="607"/>
        <item x="292"/>
        <item x="536"/>
        <item x="515"/>
        <item x="446"/>
        <item x="587"/>
        <item x="606"/>
        <item x="457"/>
        <item x="387"/>
        <item x="357"/>
        <item x="33"/>
        <item x="385"/>
        <item x="22"/>
        <item x="34"/>
        <item x="421"/>
        <item x="581"/>
        <item x="602"/>
        <item x="616"/>
        <item x="370"/>
        <item x="630"/>
        <item x="372"/>
        <item x="479"/>
        <item x="594"/>
        <item x="281"/>
        <item x="487"/>
        <item x="645"/>
        <item x="493"/>
        <item x="553"/>
        <item x="382"/>
        <item x="656"/>
        <item x="44"/>
        <item x="36"/>
        <item x="378"/>
        <item x="535"/>
        <item x="598"/>
        <item x="345"/>
        <item x="419"/>
        <item x="417"/>
        <item x="603"/>
        <item x="595"/>
        <item x="576"/>
        <item x="335"/>
        <item x="636"/>
        <item x="278"/>
        <item x="384"/>
        <item x="650"/>
        <item x="488"/>
        <item x="415"/>
        <item x="383"/>
        <item x="425"/>
        <item x="396"/>
        <item x="574"/>
        <item x="490"/>
        <item x="561"/>
        <item x="397"/>
        <item x="633"/>
        <item x="401"/>
        <item x="377"/>
        <item x="657"/>
        <item x="635"/>
        <item x="604"/>
        <item x="620"/>
        <item x="580"/>
        <item x="312"/>
        <item x="361"/>
        <item x="37"/>
        <item x="11"/>
        <item x="12"/>
        <item x="573"/>
        <item x="538"/>
        <item x="296"/>
        <item x="651"/>
        <item x="504"/>
        <item x="605"/>
        <item x="430"/>
        <item x="440"/>
        <item x="518"/>
        <item x="549"/>
        <item x="550"/>
        <item x="617"/>
        <item x="381"/>
        <item x="371"/>
        <item x="481"/>
        <item x="4"/>
        <item x="414"/>
        <item x="537"/>
        <item x="502"/>
        <item x="601"/>
        <item x="659"/>
        <item x="324"/>
        <item x="639"/>
        <item x="517"/>
        <item x="622"/>
        <item x="529"/>
        <item x="511"/>
        <item x="584"/>
        <item x="523"/>
        <item x="499"/>
        <item x="560"/>
        <item x="327"/>
        <item x="532"/>
        <item x="331"/>
        <item x="329"/>
        <item x="533"/>
        <item x="528"/>
        <item x="276"/>
        <item x="410"/>
        <item x="465"/>
        <item x="564"/>
        <item x="558"/>
        <item x="336"/>
        <item x="492"/>
        <item x="559"/>
        <item x="411"/>
        <item x="347"/>
        <item x="544"/>
        <item x="313"/>
        <item x="326"/>
        <item x="318"/>
        <item x="471"/>
        <item x="376"/>
        <item x="540"/>
        <item x="507"/>
        <item x="652"/>
        <item x="588"/>
        <item x="628"/>
        <item x="433"/>
        <item x="399"/>
        <item x="539"/>
        <item x="48"/>
        <item x="18"/>
        <item x="461"/>
        <item x="405"/>
        <item x="514"/>
        <item x="30"/>
        <item x="1"/>
        <item x="557"/>
        <item x="277"/>
        <item x="282"/>
        <item x="653"/>
        <item x="353"/>
        <item x="279"/>
        <item x="455"/>
        <item x="301"/>
        <item x="510"/>
        <item x="448"/>
        <item x="304"/>
        <item x="460"/>
        <item x="284"/>
        <item x="567"/>
        <item x="640"/>
        <item x="323"/>
        <item x="328"/>
        <item x="591"/>
        <item x="441"/>
        <item x="608"/>
        <item x="330"/>
        <item x="308"/>
        <item x="434"/>
        <item x="402"/>
        <item x="629"/>
        <item x="483"/>
        <item x="543"/>
        <item x="570"/>
        <item x="641"/>
        <item x="655"/>
        <item x="366"/>
        <item x="444"/>
        <item x="23"/>
        <item x="365"/>
        <item x="562"/>
        <item x="317"/>
        <item x="389"/>
        <item x="609"/>
        <item x="343"/>
        <item x="428"/>
        <item x="429"/>
        <item x="363"/>
        <item x="393"/>
        <item x="530"/>
        <item x="320"/>
        <item x="501"/>
        <item x="432"/>
        <item x="360"/>
        <item x="404"/>
        <item x="631"/>
        <item x="470"/>
        <item x="475"/>
        <item x="362"/>
        <item x="19"/>
        <item x="337"/>
        <item x="554"/>
        <item x="555"/>
        <item x="443"/>
        <item x="431"/>
        <item x="466"/>
        <item x="619"/>
        <item x="658"/>
        <item x="627"/>
        <item x="412"/>
        <item x="285"/>
        <item x="45"/>
        <item x="413"/>
        <item x="578"/>
        <item x="407"/>
        <item x="599"/>
        <item x="422"/>
        <item x="469"/>
        <item x="459"/>
        <item x="5"/>
        <item x="388"/>
        <item x="476"/>
        <item x="416"/>
        <item x="546"/>
        <item x="24"/>
        <item x="7"/>
        <item x="38"/>
        <item x="6"/>
        <item x="14"/>
        <item x="46"/>
        <item x="25"/>
        <item x="13"/>
        <item x="2"/>
        <item x="28"/>
        <item x="39"/>
        <item x="26"/>
        <item x="49"/>
        <item x="15"/>
        <item x="453"/>
        <item x="8"/>
        <item x="27"/>
        <item x="568"/>
        <item x="473"/>
        <item x="20"/>
        <item x="40"/>
        <item x="375"/>
        <item x="309"/>
        <item x="472"/>
        <item x="621"/>
        <item x="527"/>
        <item x="454"/>
        <item x="593"/>
        <item x="556"/>
        <item x="340"/>
        <item x="314"/>
        <item x="297"/>
        <item x="491"/>
        <item x="303"/>
        <item x="341"/>
        <item x="575"/>
        <item x="439"/>
        <item x="634"/>
        <item x="374"/>
        <item x="436"/>
        <item x="638"/>
        <item x="496"/>
        <item x="349"/>
        <item x="358"/>
        <item x="350"/>
        <item x="344"/>
        <item x="394"/>
        <item x="525"/>
        <item x="420"/>
        <item x="589"/>
        <item x="291"/>
        <item x="367"/>
        <item x="590"/>
        <item x="287"/>
        <item x="508"/>
        <item x="577"/>
        <item x="424"/>
        <item x="334"/>
        <item x="280"/>
        <item x="275"/>
        <item x="551"/>
        <item x="338"/>
        <item x="438"/>
        <item x="485"/>
        <item x="571"/>
        <item x="450"/>
        <item x="449"/>
        <item x="614"/>
        <item x="435"/>
        <item x="339"/>
        <item x="522"/>
        <item x="647"/>
        <item x="637"/>
        <item x="642"/>
        <item x="632"/>
        <item x="427"/>
        <item x="391"/>
        <item x="597"/>
        <item x="516"/>
        <item x="408"/>
        <item x="445"/>
        <item x="615"/>
        <item x="325"/>
        <item x="32"/>
        <item x="649"/>
        <item x="306"/>
        <item x="565"/>
        <item x="354"/>
        <item x="596"/>
        <item x="566"/>
        <item x="524"/>
        <item x="305"/>
        <item x="426"/>
        <item x="541"/>
        <item x="406"/>
        <item x="552"/>
        <item x="379"/>
        <item x="646"/>
        <item x="392"/>
        <item x="310"/>
        <item x="286"/>
        <item x="498"/>
        <item x="273"/>
        <item x="452"/>
        <item x="373"/>
        <item x="356"/>
        <item x="463"/>
        <item x="618"/>
        <item x="380"/>
        <item x="3"/>
        <item x="592"/>
        <item x="288"/>
        <item x="654"/>
        <item x="600"/>
        <item x="289"/>
        <item x="390"/>
        <item x="480"/>
        <item x="494"/>
        <item x="478"/>
        <item x="0"/>
        <item x="520"/>
        <item x="625"/>
        <item x="322"/>
        <item x="477"/>
        <item x="295"/>
        <item x="495"/>
        <item x="290"/>
        <item x="456"/>
        <item x="348"/>
        <item x="9"/>
        <item x="626"/>
        <item x="78"/>
        <item x="155"/>
        <item x="64"/>
        <item x="266"/>
        <item x="104"/>
        <item x="264"/>
        <item x="214"/>
        <item x="67"/>
        <item x="166"/>
        <item x="109"/>
        <item x="217"/>
        <item x="62"/>
        <item x="131"/>
        <item x="193"/>
        <item x="215"/>
        <item x="267"/>
        <item x="156"/>
        <item x="213"/>
        <item x="132"/>
        <item x="218"/>
        <item x="106"/>
        <item x="243"/>
        <item x="244"/>
        <item x="251"/>
        <item x="135"/>
        <item x="159"/>
        <item x="167"/>
        <item x="158"/>
        <item x="63"/>
        <item x="133"/>
        <item x="61"/>
        <item x="137"/>
        <item x="110"/>
        <item x="111"/>
        <item x="138"/>
        <item x="245"/>
        <item x="139"/>
        <item x="112"/>
        <item x="113"/>
        <item x="219"/>
        <item x="169"/>
        <item x="114"/>
        <item x="71"/>
        <item x="170"/>
        <item x="269"/>
        <item x="246"/>
        <item x="115"/>
        <item x="142"/>
        <item x="247"/>
        <item x="171"/>
        <item x="116"/>
        <item x="220"/>
        <item x="173"/>
        <item x="172"/>
        <item x="195"/>
        <item x="196"/>
        <item x="72"/>
        <item x="248"/>
        <item x="221"/>
        <item x="174"/>
        <item x="222"/>
        <item x="197"/>
        <item x="270"/>
        <item x="117"/>
        <item x="198"/>
        <item x="661"/>
        <item x="175"/>
        <item x="271"/>
        <item x="118"/>
        <item x="1205"/>
        <item x="223"/>
        <item x="249"/>
        <item x="250"/>
        <item x="73"/>
        <item x="176"/>
        <item x="74"/>
        <item x="199"/>
        <item x="224"/>
        <item x="75"/>
        <item x="177"/>
        <item x="200"/>
        <item x="201"/>
        <item x="272"/>
        <item x="883"/>
        <item x="993"/>
        <item x="1073"/>
        <item x="884"/>
        <item x="778"/>
        <item x="225"/>
        <item x="1074"/>
        <item x="779"/>
        <item x="1140"/>
        <item x="885"/>
        <item x="1273"/>
        <item x="1274"/>
        <item x="178"/>
        <item x="227"/>
        <item x="140"/>
        <item x="1206"/>
        <item x="886"/>
        <item x="662"/>
        <item x="226"/>
        <item x="202"/>
        <item x="994"/>
        <item x="1141"/>
        <item x="1275"/>
        <item x="887"/>
        <item x="1207"/>
        <item x="888"/>
        <item x="663"/>
        <item x="1276"/>
        <item x="889"/>
        <item x="80"/>
        <item x="203"/>
        <item x="995"/>
        <item x="1208"/>
        <item x="1209"/>
        <item x="1277"/>
        <item x="1278"/>
        <item x="1279"/>
        <item x="996"/>
        <item x="1075"/>
        <item x="1280"/>
        <item x="1281"/>
        <item x="664"/>
        <item x="890"/>
        <item x="780"/>
        <item x="997"/>
        <item x="665"/>
        <item x="781"/>
        <item x="79"/>
        <item x="179"/>
        <item x="1282"/>
        <item x="782"/>
        <item x="1142"/>
        <item x="1076"/>
        <item x="998"/>
        <item x="666"/>
        <item x="783"/>
        <item x="1283"/>
        <item x="1077"/>
        <item x="891"/>
        <item x="1078"/>
        <item x="1079"/>
        <item x="784"/>
        <item x="667"/>
        <item x="785"/>
        <item x="786"/>
        <item x="1080"/>
        <item x="1284"/>
        <item x="999"/>
        <item x="1210"/>
        <item x="1143"/>
        <item x="1000"/>
        <item x="668"/>
        <item x="670"/>
        <item x="1081"/>
        <item x="892"/>
        <item x="1144"/>
        <item x="669"/>
        <item x="787"/>
        <item x="1082"/>
        <item x="1145"/>
        <item x="1146"/>
        <item x="893"/>
        <item x="1001"/>
        <item x="894"/>
        <item x="1083"/>
        <item x="1002"/>
        <item x="788"/>
        <item x="671"/>
        <item x="1211"/>
        <item x="1147"/>
        <item x="1003"/>
        <item x="789"/>
        <item x="790"/>
        <item x="1148"/>
        <item x="895"/>
        <item x="1084"/>
        <item x="1004"/>
        <item x="1005"/>
        <item x="1006"/>
        <item x="1212"/>
        <item x="672"/>
        <item x="1007"/>
        <item x="896"/>
        <item x="1008"/>
        <item x="897"/>
        <item x="673"/>
        <item x="1009"/>
        <item x="791"/>
        <item x="674"/>
        <item x="675"/>
        <item x="1010"/>
        <item x="1149"/>
        <item x="898"/>
        <item x="792"/>
        <item x="793"/>
        <item x="1085"/>
        <item x="1285"/>
        <item x="1150"/>
        <item x="1213"/>
        <item x="676"/>
        <item x="1011"/>
        <item x="794"/>
        <item x="1012"/>
        <item x="1214"/>
        <item x="899"/>
        <item x="1086"/>
        <item x="1215"/>
        <item x="1216"/>
        <item x="1013"/>
        <item x="795"/>
        <item x="900"/>
        <item x="1087"/>
        <item x="901"/>
        <item x="1088"/>
        <item x="796"/>
        <item x="1286"/>
        <item x="797"/>
        <item x="902"/>
        <item x="680"/>
        <item x="903"/>
        <item x="1151"/>
        <item x="677"/>
        <item x="1014"/>
        <item x="678"/>
        <item x="1152"/>
        <item x="1217"/>
        <item x="679"/>
        <item x="798"/>
        <item x="1015"/>
        <item x="681"/>
        <item x="1089"/>
        <item x="1218"/>
        <item x="1219"/>
        <item x="682"/>
        <item x="1090"/>
        <item x="799"/>
        <item x="904"/>
        <item x="1287"/>
        <item x="683"/>
        <item x="1016"/>
        <item x="905"/>
        <item x="906"/>
        <item x="1091"/>
        <item x="684"/>
        <item x="1153"/>
        <item x="1017"/>
        <item x="800"/>
        <item x="1092"/>
        <item x="1154"/>
        <item x="1220"/>
        <item x="1018"/>
        <item x="685"/>
        <item x="1155"/>
        <item x="1093"/>
        <item x="1094"/>
        <item x="907"/>
        <item x="801"/>
        <item x="908"/>
        <item x="686"/>
        <item x="687"/>
        <item x="1095"/>
        <item x="909"/>
        <item x="1221"/>
        <item x="1222"/>
        <item x="1223"/>
        <item x="910"/>
        <item x="688"/>
        <item x="911"/>
        <item x="802"/>
        <item x="1288"/>
        <item x="689"/>
        <item x="1224"/>
        <item x="912"/>
        <item x="913"/>
        <item x="1156"/>
        <item x="1225"/>
        <item x="1096"/>
        <item x="690"/>
        <item x="691"/>
        <item x="914"/>
        <item x="228"/>
        <item x="181"/>
        <item x="915"/>
        <item x="1289"/>
        <item x="1157"/>
        <item x="803"/>
        <item x="182"/>
        <item x="1158"/>
        <item x="1019"/>
        <item x="1159"/>
        <item x="1290"/>
        <item x="804"/>
        <item x="1020"/>
        <item x="1021"/>
        <item x="692"/>
        <item x="1022"/>
        <item x="693"/>
        <item x="119"/>
        <item x="916"/>
        <item x="805"/>
        <item x="917"/>
        <item x="120"/>
        <item x="806"/>
        <item x="252"/>
        <item x="694"/>
        <item x="1097"/>
        <item x="1291"/>
        <item x="141"/>
        <item x="1226"/>
        <item x="807"/>
        <item x="1160"/>
        <item x="695"/>
        <item x="808"/>
        <item x="809"/>
        <item x="1292"/>
        <item x="1023"/>
        <item x="1024"/>
        <item x="1293"/>
        <item x="1098"/>
        <item x="696"/>
        <item x="697"/>
        <item x="1227"/>
        <item x="1161"/>
        <item x="1099"/>
        <item x="1025"/>
        <item x="1026"/>
        <item x="1228"/>
        <item x="698"/>
        <item x="1230"/>
        <item x="810"/>
        <item x="811"/>
        <item x="1231"/>
        <item x="1229"/>
        <item x="812"/>
        <item x="918"/>
        <item x="1294"/>
        <item x="699"/>
        <item x="700"/>
        <item x="1100"/>
        <item x="813"/>
        <item x="919"/>
        <item x="1101"/>
        <item x="1027"/>
        <item x="1102"/>
        <item x="1028"/>
        <item x="920"/>
        <item x="1295"/>
        <item x="204"/>
        <item x="921"/>
        <item x="1029"/>
        <item x="1030"/>
        <item x="922"/>
        <item x="701"/>
        <item x="702"/>
        <item x="1103"/>
        <item x="703"/>
        <item x="1104"/>
        <item x="1296"/>
        <item x="1106"/>
        <item x="1105"/>
        <item x="814"/>
        <item x="923"/>
        <item x="815"/>
        <item x="816"/>
        <item x="817"/>
        <item x="1297"/>
        <item x="1031"/>
        <item x="924"/>
        <item x="1232"/>
        <item x="1032"/>
        <item x="704"/>
        <item x="705"/>
        <item x="925"/>
        <item x="818"/>
        <item x="1233"/>
        <item x="706"/>
        <item x="707"/>
        <item x="819"/>
        <item x="820"/>
        <item x="1162"/>
        <item x="180"/>
        <item x="926"/>
        <item x="927"/>
        <item x="1163"/>
        <item x="708"/>
        <item x="1234"/>
        <item x="1298"/>
        <item x="1299"/>
        <item x="821"/>
        <item x="822"/>
        <item x="928"/>
        <item x="1164"/>
        <item x="1300"/>
        <item x="1235"/>
        <item x="1301"/>
        <item x="1236"/>
        <item x="1107"/>
        <item x="823"/>
        <item x="824"/>
        <item x="929"/>
        <item x="930"/>
        <item x="81"/>
        <item x="1108"/>
        <item x="709"/>
        <item x="1109"/>
        <item x="1110"/>
        <item x="1237"/>
        <item x="710"/>
        <item x="1111"/>
        <item x="1302"/>
        <item x="1033"/>
        <item x="1034"/>
        <item x="825"/>
        <item x="826"/>
        <item x="1165"/>
        <item x="1166"/>
        <item x="1303"/>
        <item x="827"/>
        <item x="828"/>
        <item x="711"/>
        <item x="1167"/>
        <item x="829"/>
        <item x="830"/>
        <item x="712"/>
        <item x="931"/>
        <item x="713"/>
        <item x="714"/>
        <item x="831"/>
        <item x="932"/>
        <item x="1304"/>
        <item x="715"/>
        <item x="933"/>
        <item x="934"/>
        <item x="1035"/>
        <item x="935"/>
        <item x="716"/>
        <item x="1238"/>
        <item x="936"/>
        <item x="1305"/>
        <item x="1036"/>
        <item x="82"/>
        <item x="121"/>
        <item x="1239"/>
        <item x="1240"/>
        <item x="717"/>
        <item x="205"/>
        <item x="718"/>
        <item x="1306"/>
        <item x="1307"/>
        <item x="1112"/>
        <item x="937"/>
        <item x="183"/>
        <item x="719"/>
        <item x="720"/>
        <item x="1168"/>
        <item x="832"/>
        <item x="1169"/>
        <item x="1113"/>
        <item x="1241"/>
        <item x="122"/>
        <item x="1037"/>
        <item x="833"/>
        <item x="1038"/>
        <item x="1039"/>
        <item x="83"/>
        <item x="1242"/>
        <item x="1243"/>
        <item x="938"/>
        <item x="721"/>
        <item x="939"/>
        <item x="1244"/>
        <item x="834"/>
        <item x="722"/>
        <item x="723"/>
        <item x="1114"/>
        <item x="940"/>
        <item x="835"/>
        <item x="1040"/>
        <item x="724"/>
        <item x="941"/>
        <item x="836"/>
        <item x="837"/>
        <item x="838"/>
        <item x="725"/>
        <item x="1308"/>
        <item x="942"/>
        <item x="726"/>
        <item x="943"/>
        <item x="944"/>
        <item x="1170"/>
        <item x="1171"/>
        <item x="1172"/>
        <item x="727"/>
        <item x="945"/>
        <item x="839"/>
        <item x="948"/>
        <item x="728"/>
        <item x="946"/>
        <item x="947"/>
        <item x="729"/>
        <item x="1041"/>
        <item x="1173"/>
        <item x="730"/>
        <item x="840"/>
        <item x="1115"/>
        <item x="1174"/>
        <item x="841"/>
        <item x="1245"/>
        <item x="731"/>
        <item x="1042"/>
        <item x="1246"/>
        <item x="1175"/>
        <item x="949"/>
        <item x="1309"/>
        <item x="1247"/>
        <item x="950"/>
        <item x="732"/>
        <item x="951"/>
        <item x="1310"/>
        <item x="842"/>
        <item x="1043"/>
        <item x="1116"/>
        <item x="1311"/>
        <item x="952"/>
        <item x="843"/>
        <item x="1178"/>
        <item x="733"/>
        <item x="734"/>
        <item x="953"/>
        <item x="1176"/>
        <item x="845"/>
        <item x="844"/>
        <item x="1117"/>
        <item x="735"/>
        <item x="1118"/>
        <item x="846"/>
        <item x="736"/>
        <item x="1177"/>
        <item x="954"/>
        <item x="1179"/>
        <item x="1180"/>
        <item x="1044"/>
        <item x="737"/>
        <item x="1312"/>
        <item x="1181"/>
        <item x="847"/>
        <item x="1248"/>
        <item x="848"/>
        <item x="849"/>
        <item x="738"/>
        <item x="850"/>
        <item x="955"/>
        <item x="956"/>
        <item x="957"/>
        <item x="1182"/>
        <item x="1313"/>
        <item x="1249"/>
        <item x="851"/>
        <item x="51"/>
        <item x="1045"/>
        <item x="1046"/>
        <item x="739"/>
        <item x="1314"/>
        <item x="852"/>
        <item x="1047"/>
        <item x="1119"/>
        <item x="740"/>
        <item x="1048"/>
        <item x="1250"/>
        <item x="1251"/>
        <item x="1315"/>
        <item x="1051"/>
        <item x="853"/>
        <item x="1183"/>
        <item x="854"/>
        <item x="1184"/>
        <item x="855"/>
        <item x="1049"/>
        <item x="856"/>
        <item x="958"/>
        <item x="1185"/>
        <item x="1316"/>
        <item x="1252"/>
        <item x="741"/>
        <item x="1253"/>
        <item x="1050"/>
        <item x="1254"/>
        <item x="1120"/>
        <item x="857"/>
        <item x="858"/>
        <item x="1255"/>
        <item x="959"/>
        <item x="859"/>
        <item x="743"/>
        <item x="1052"/>
        <item x="1053"/>
        <item x="744"/>
        <item x="1317"/>
        <item x="1318"/>
        <item x="745"/>
        <item x="1256"/>
        <item x="860"/>
        <item x="742"/>
        <item x="861"/>
        <item x="1054"/>
        <item x="1319"/>
        <item x="960"/>
        <item x="1186"/>
        <item x="961"/>
        <item x="746"/>
        <item x="1122"/>
        <item x="1123"/>
        <item x="1257"/>
        <item x="862"/>
        <item x="1121"/>
        <item x="1258"/>
        <item x="863"/>
        <item x="864"/>
        <item x="747"/>
        <item x="1259"/>
        <item x="748"/>
        <item x="865"/>
        <item x="1124"/>
        <item x="1320"/>
        <item x="229"/>
        <item x="962"/>
        <item x="749"/>
        <item x="1260"/>
        <item x="866"/>
        <item x="867"/>
        <item x="963"/>
        <item x="1321"/>
        <item x="868"/>
        <item x="50"/>
        <item x="1187"/>
        <item x="253"/>
        <item x="1261"/>
        <item x="1055"/>
        <item x="750"/>
        <item x="1058"/>
        <item x="1188"/>
        <item x="1262"/>
        <item x="751"/>
        <item x="1189"/>
        <item x="1190"/>
        <item x="1191"/>
        <item x="1125"/>
        <item x="1322"/>
        <item x="1056"/>
        <item x="1263"/>
        <item x="752"/>
        <item x="1057"/>
        <item x="964"/>
        <item x="1323"/>
        <item x="1126"/>
        <item x="753"/>
        <item x="1192"/>
        <item x="965"/>
        <item x="966"/>
        <item x="1127"/>
        <item x="869"/>
        <item x="968"/>
        <item x="754"/>
        <item x="967"/>
        <item x="970"/>
        <item x="1325"/>
        <item x="1193"/>
        <item x="1194"/>
        <item x="1059"/>
        <item x="84"/>
        <item x="1265"/>
        <item x="755"/>
        <item x="1195"/>
        <item x="870"/>
        <item x="1060"/>
        <item x="971"/>
        <item x="1061"/>
        <item x="756"/>
        <item x="972"/>
        <item x="973"/>
        <item x="1266"/>
        <item x="1128"/>
        <item x="974"/>
        <item x="1129"/>
        <item x="1196"/>
        <item x="757"/>
        <item x="758"/>
        <item x="1324"/>
        <item x="230"/>
        <item x="1264"/>
        <item x="969"/>
        <item x="1130"/>
        <item x="975"/>
        <item x="1267"/>
        <item x="1268"/>
        <item x="1197"/>
        <item x="759"/>
        <item x="760"/>
        <item x="1131"/>
        <item x="871"/>
        <item x="872"/>
        <item x="1198"/>
        <item x="1199"/>
        <item x="1062"/>
        <item x="761"/>
        <item x="1200"/>
        <item x="976"/>
        <item x="977"/>
        <item x="1063"/>
        <item x="1064"/>
        <item x="1132"/>
        <item x="1201"/>
        <item x="762"/>
        <item x="763"/>
        <item x="1065"/>
        <item x="764"/>
        <item x="1066"/>
        <item x="1133"/>
        <item x="765"/>
        <item x="873"/>
        <item x="1067"/>
        <item x="874"/>
        <item x="1068"/>
        <item x="766"/>
        <item x="1269"/>
        <item x="978"/>
        <item x="979"/>
        <item x="980"/>
        <item x="767"/>
        <item x="875"/>
        <item x="981"/>
        <item x="1136"/>
        <item x="1326"/>
        <item x="768"/>
        <item x="982"/>
        <item x="1134"/>
        <item x="1135"/>
        <item x="876"/>
        <item x="983"/>
        <item x="1069"/>
        <item x="877"/>
        <item x="1070"/>
        <item x="769"/>
        <item x="770"/>
        <item x="1137"/>
        <item x="984"/>
        <item x="771"/>
        <item x="1327"/>
        <item x="1328"/>
        <item x="1071"/>
        <item x="985"/>
        <item x="878"/>
        <item x="1202"/>
        <item x="987"/>
        <item x="772"/>
        <item x="1138"/>
        <item x="1270"/>
        <item x="773"/>
        <item x="986"/>
        <item x="879"/>
        <item x="1271"/>
        <item x="988"/>
        <item x="1329"/>
        <item x="880"/>
        <item x="1203"/>
        <item x="989"/>
        <item x="881"/>
        <item x="991"/>
        <item x="1139"/>
        <item x="1072"/>
        <item x="143"/>
        <item x="85"/>
        <item x="990"/>
        <item x="774"/>
        <item x="775"/>
        <item x="1272"/>
        <item x="776"/>
        <item x="882"/>
        <item x="1204"/>
        <item x="777"/>
        <item x="992"/>
        <item x="86"/>
        <item x="52"/>
        <item x="58"/>
        <item x="144"/>
        <item x="184"/>
        <item x="186"/>
        <item x="91"/>
        <item x="146"/>
        <item x="88"/>
        <item x="232"/>
        <item x="254"/>
        <item x="206"/>
        <item x="87"/>
        <item x="233"/>
        <item x="207"/>
        <item x="185"/>
        <item x="89"/>
        <item x="123"/>
        <item x="90"/>
        <item x="257"/>
        <item x="231"/>
        <item x="148"/>
        <item x="256"/>
        <item x="189"/>
        <item x="188"/>
        <item x="53"/>
        <item x="94"/>
        <item x="92"/>
        <item x="93"/>
        <item x="187"/>
        <item x="147"/>
        <item x="124"/>
        <item x="54"/>
        <item x="55"/>
        <item x="145"/>
        <item x="95"/>
        <item x="76"/>
        <item x="255"/>
        <item x="261"/>
        <item x="152"/>
        <item x="101"/>
        <item x="150"/>
        <item x="212"/>
        <item x="151"/>
        <item x="208"/>
        <item x="149"/>
        <item x="125"/>
        <item x="98"/>
        <item x="190"/>
        <item x="57"/>
        <item x="259"/>
        <item x="260"/>
        <item x="191"/>
        <item x="126"/>
        <item x="236"/>
        <item x="209"/>
        <item x="238"/>
        <item x="97"/>
        <item x="234"/>
        <item x="240"/>
        <item x="239"/>
        <item x="96"/>
        <item x="102"/>
        <item x="237"/>
        <item x="60"/>
        <item x="153"/>
        <item x="241"/>
        <item x="235"/>
        <item x="211"/>
        <item x="99"/>
        <item x="100"/>
        <item x="59"/>
        <item x="262"/>
        <item x="127"/>
        <item x="128"/>
        <item x="56"/>
        <item x="258"/>
        <item x="210"/>
        <item x="263"/>
        <item x="68"/>
        <item x="268"/>
        <item x="194"/>
        <item x="70"/>
        <item x="66"/>
        <item x="105"/>
        <item x="161"/>
        <item x="163"/>
        <item x="164"/>
        <item x="77"/>
        <item x="154"/>
        <item x="129"/>
        <item x="265"/>
        <item x="136"/>
        <item x="103"/>
        <item x="168"/>
        <item x="192"/>
        <item x="130"/>
        <item x="160"/>
        <item x="242"/>
        <item x="65"/>
        <item x="165"/>
        <item x="69"/>
        <item x="216"/>
        <item x="107"/>
        <item x="162"/>
        <item x="108"/>
        <item x="134"/>
        <item x="157"/>
        <item t="default"/>
      </items>
    </pivotField>
    <pivotField showAll="0"/>
    <pivotField showAll="0"/>
    <pivotField showAll="0"/>
    <pivotField showAll="0"/>
    <pivotField showAll="0"/>
    <pivotField showAll="0"/>
    <pivotField showAll="0"/>
    <pivotField showAll="0"/>
    <pivotField dataField="1" numFmtId="14" showAll="0"/>
    <pivotField dataField="1"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s>
  <rowFields count="1">
    <field x="2"/>
  </rowFields>
  <rowItems count="13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rowItems>
  <colFields count="1">
    <field x="-2"/>
  </colFields>
  <colItems count="3">
    <i>
      <x/>
    </i>
    <i i="1">
      <x v="1"/>
    </i>
    <i i="2">
      <x v="2"/>
    </i>
  </colItems>
  <dataFields count="3">
    <dataField name="Scheduled  date" fld="11" subtotal="min" baseField="0" baseItem="0" numFmtId="14"/>
    <dataField name="Actual Date" fld="12" subtotal="min" baseField="0" baseItem="0" numFmtId="14"/>
    <dataField name=" Variance" fld="29" baseField="2" baseItem="0" numFmtId="1"/>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F0E14C-ED4C-4E57-8B25-5EB4AF9C9DAB}"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5:T13" firstHeaderRow="0" firstDataRow="1" firstDataCol="1"/>
  <pivotFields count="31">
    <pivotField showAll="0"/>
    <pivotField showAll="0"/>
    <pivotField dataField="1" showAll="0"/>
    <pivotField axis="axisRow" showAll="0">
      <items count="9">
        <item x="6"/>
        <item m="1" x="7"/>
        <item x="2"/>
        <item x="4"/>
        <item x="1"/>
        <item x="5"/>
        <item x="0"/>
        <item x="3"/>
        <item t="default"/>
      </items>
    </pivotField>
    <pivotField showAll="0"/>
    <pivotField showAll="0"/>
    <pivotField showAll="0"/>
    <pivotField showAll="0"/>
    <pivotField showAll="0"/>
    <pivotField showAll="0"/>
    <pivotField showAll="0"/>
    <pivotField numFmtId="14"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ragToRow="0" dragToCol="0" dragToPage="0" showAll="0" defaultSubtotal="0"/>
    <pivotField dragToRow="0" dragToCol="0" dragToPage="0" showAll="0" defaultSubtotal="0"/>
    <pivotField dragToRow="0" dragToCol="0" dragToPage="0" showAll="0" defaultSubtotal="0"/>
  </pivotFields>
  <rowFields count="1">
    <field x="3"/>
  </rowFields>
  <rowItems count="8">
    <i>
      <x/>
    </i>
    <i>
      <x v="2"/>
    </i>
    <i>
      <x v="3"/>
    </i>
    <i>
      <x v="4"/>
    </i>
    <i>
      <x v="5"/>
    </i>
    <i>
      <x v="6"/>
    </i>
    <i>
      <x v="7"/>
    </i>
    <i t="grand">
      <x/>
    </i>
  </rowItems>
  <colFields count="1">
    <field x="-2"/>
  </colFields>
  <colItems count="3">
    <i>
      <x/>
    </i>
    <i i="1">
      <x v="1"/>
    </i>
    <i i="2">
      <x v="2"/>
    </i>
  </colItems>
  <dataFields count="3">
    <dataField name="Count of ASN/DN #" fld="2" subtotal="count" baseField="0" baseItem="0"/>
    <dataField name="Sum of On_time_flag" fld="26" baseField="0" baseItem="0"/>
    <dataField name="Count of On_time_flag2" fld="2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E68A7CC-EB12-4D07-81AB-A60392FA9AD3}" autoFormatId="16" applyNumberFormats="0" applyBorderFormats="0" applyFontFormats="0" applyPatternFormats="0" applyAlignmentFormats="0" applyWidthHeightFormats="0">
  <queryTableRefresh nextId="29">
    <queryTableFields count="28">
      <queryTableField id="1" name="ID" tableColumnId="1"/>
      <queryTableField id="2" name="PO / SO #" tableColumnId="2"/>
      <queryTableField id="3" name="ASN/DN #" tableColumnId="3"/>
      <queryTableField id="4" name="Country" tableColumnId="4"/>
      <queryTableField id="5" name="Product Group" tableColumnId="5"/>
      <queryTableField id="6" name="Sub Classification" tableColumnId="6"/>
      <queryTableField id="7" name="Vendor" tableColumnId="7"/>
      <queryTableField id="8" name="Fulfill Via" tableColumnId="8"/>
      <queryTableField id="9" name="Vendor INCO Term" tableColumnId="9"/>
      <queryTableField id="10" name="Shipment Mode" tableColumnId="10"/>
      <queryTableField id="11" name="PO Sent to Vendor Date" tableColumnId="11"/>
      <queryTableField id="12" name="Scheduled Delivery Date" tableColumnId="12"/>
      <queryTableField id="13" name="Delivered to Client Date" tableColumnId="13"/>
      <queryTableField id="14" name="Delivery Recorded Date" tableColumnId="14"/>
      <queryTableField id="15" name="Item Description" tableColumnId="15"/>
      <queryTableField id="16" name="Molecule/Test Type" tableColumnId="16"/>
      <queryTableField id="17" name="Brand" tableColumnId="17"/>
      <queryTableField id="18" name="Dosage" tableColumnId="18"/>
      <queryTableField id="19" name="Dosage Form" tableColumnId="19"/>
      <queryTableField id="20" name="Unit of Measure (Per Pack)" tableColumnId="20"/>
      <queryTableField id="21" name="Line Item Quantity" tableColumnId="21"/>
      <queryTableField id="22" name="Line Item Value" tableColumnId="22"/>
      <queryTableField id="23" name="Pack Price" tableColumnId="23"/>
      <queryTableField id="24" name="Unit Price" tableColumnId="24"/>
      <queryTableField id="25" name="Weight (Kilograms)" tableColumnId="25"/>
      <queryTableField id="26" name="Freight Cost (USD)" tableColumnId="26"/>
      <queryTableField id="27" name="On_time_flag" tableColumnId="27"/>
      <queryTableField id="28" name="Delivery Recorded Date - Copy" tableColumnId="2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D098C3-84D5-45CA-B567-0270C000C33C}" name="tblARV" displayName="tblARV" ref="B2:AC1755" tableType="queryTable" totalsRowShown="0" headerRowDxfId="29" dataDxfId="28">
  <tableColumns count="28">
    <tableColumn id="1" xr3:uid="{E74BC04B-FB8B-404F-944F-E877F4EC0B64}" uniqueName="1" name="ID" queryTableFieldId="1" dataDxfId="27"/>
    <tableColumn id="2" xr3:uid="{8745E4FD-648D-487E-AD3C-1F5099732789}" uniqueName="2" name="PO / SO #" queryTableFieldId="2" dataDxfId="26"/>
    <tableColumn id="3" xr3:uid="{DFF0936E-F38F-4971-B105-0D0BB75483D8}" uniqueName="3" name="ASN/DN #" queryTableFieldId="3" dataDxfId="25"/>
    <tableColumn id="4" xr3:uid="{D4FD7EE9-358C-47B0-893E-778A5149FB68}" uniqueName="4" name="Country" queryTableFieldId="4" dataDxfId="24"/>
    <tableColumn id="5" xr3:uid="{CC663602-D282-4A52-B876-CFB647490014}" uniqueName="5" name="Product Group" queryTableFieldId="5" dataDxfId="23"/>
    <tableColumn id="6" xr3:uid="{C1C3AEB6-FBD9-4673-8EC3-7F406C7092F3}" uniqueName="6" name="Sub Classification" queryTableFieldId="6" dataDxfId="22"/>
    <tableColumn id="7" xr3:uid="{8ED8A467-45DC-4147-AC05-D3D470F3F11F}" uniqueName="7" name="Vendor" queryTableFieldId="7" dataDxfId="21"/>
    <tableColumn id="8" xr3:uid="{B04E5888-3E1D-4569-85D4-971658530D18}" uniqueName="8" name="Fulfill Via" queryTableFieldId="8" dataDxfId="20"/>
    <tableColumn id="9" xr3:uid="{7D946FE6-C1B0-4641-A000-9495BD1833DB}" uniqueName="9" name="Vendor INCO Term" queryTableFieldId="9" dataDxfId="19"/>
    <tableColumn id="10" xr3:uid="{DFC9F121-ABC3-4B5B-9922-30F4EDD89F40}" uniqueName="10" name="Shipment Mode" queryTableFieldId="10" dataDxfId="18"/>
    <tableColumn id="11" xr3:uid="{0B6FF09C-5B3D-4A55-B9B6-54B3492DFA52}" uniqueName="11" name="PO Sent to Vendor Date" queryTableFieldId="11" dataDxfId="17"/>
    <tableColumn id="12" xr3:uid="{E0831FD6-A41B-4883-A2D4-B71F8FC27BB5}" uniqueName="12" name="Scheduled Delivery Date" queryTableFieldId="12" dataDxfId="16"/>
    <tableColumn id="13" xr3:uid="{9C442632-0FE8-4840-9CA2-DF43F15B957C}" uniqueName="13" name="Delivered to Client Date" queryTableFieldId="13" dataDxfId="15"/>
    <tableColumn id="14" xr3:uid="{87639083-D378-46B1-BFE0-972D716AECAA}" uniqueName="14" name="Delivery Recorded Date" queryTableFieldId="14" dataDxfId="14"/>
    <tableColumn id="15" xr3:uid="{47C5A50B-AC2C-4F2C-B75A-74D231E4944B}" uniqueName="15" name="Item Description" queryTableFieldId="15" dataDxfId="13"/>
    <tableColumn id="16" xr3:uid="{06329C95-212C-4249-9C39-2E636D978E2C}" uniqueName="16" name="Molecule/Test Type" queryTableFieldId="16" dataDxfId="12"/>
    <tableColumn id="17" xr3:uid="{59671A08-2081-424B-B35E-FE21E0599C05}" uniqueName="17" name="Brand" queryTableFieldId="17" dataDxfId="11"/>
    <tableColumn id="18" xr3:uid="{018E5D51-DB83-4863-AC10-A3D8555E0C6A}" uniqueName="18" name="Dosage" queryTableFieldId="18" dataDxfId="10"/>
    <tableColumn id="19" xr3:uid="{F378D47A-980D-4C3E-B726-339B3E160BE2}" uniqueName="19" name="Dosage Form" queryTableFieldId="19" dataDxfId="9"/>
    <tableColumn id="20" xr3:uid="{3775733B-A70B-4A04-9EF7-4FBBDD243329}" uniqueName="20" name="Unit of Measure (Per Pack)" queryTableFieldId="20" dataDxfId="8"/>
    <tableColumn id="21" xr3:uid="{28639985-F8E1-40D9-94B7-A586FE454716}" uniqueName="21" name="Line Item Quantity" queryTableFieldId="21" dataDxfId="7"/>
    <tableColumn id="22" xr3:uid="{B8172CE3-EA6C-484A-B8F6-5EEA3C609154}" uniqueName="22" name="Line Item Value" queryTableFieldId="22" dataDxfId="6"/>
    <tableColumn id="23" xr3:uid="{A90E7788-7F4A-4D02-A5CC-649FC9CEA04C}" uniqueName="23" name="Pack Price" queryTableFieldId="23" dataDxfId="5"/>
    <tableColumn id="24" xr3:uid="{D7E78880-FD7A-4B93-995C-C1A7439802D8}" uniqueName="24" name="Unit Price" queryTableFieldId="24" dataDxfId="4"/>
    <tableColumn id="25" xr3:uid="{1035DDE4-9317-4430-A901-FA40E61DAD18}" uniqueName="25" name="Weight (Kilograms)" queryTableFieldId="25" dataDxfId="3"/>
    <tableColumn id="26" xr3:uid="{61E14C88-AB1E-4E7F-B710-A591077A6708}" uniqueName="26" name="Freight Cost (USD)" queryTableFieldId="26" dataDxfId="2"/>
    <tableColumn id="27" xr3:uid="{94A73D56-61CF-47E2-BE11-5DFD5C20CA4C}" uniqueName="27" name="On_time_flag" queryTableFieldId="27"/>
    <tableColumn id="28" xr3:uid="{5A47EDAE-A4F1-4B82-A748-8DCB4FEA83E3}" uniqueName="28" name="Delivery Recorded Date - Copy" queryTableFieldId="28"/>
  </tableColumns>
  <tableStyleInfo name="Table Style 1" showFirstColumn="0" showLastColumn="0" showRowStripes="1" showColumnStripes="0"/>
</table>
</file>

<file path=xl/theme/theme1.xml><?xml version="1.0" encoding="utf-8"?>
<a:theme xmlns:a="http://schemas.openxmlformats.org/drawingml/2006/main" name="CFI OFFICE">
  <a:themeElements>
    <a:clrScheme name="CFI">
      <a:dk1>
        <a:sysClr val="windowText" lastClr="000000"/>
      </a:dk1>
      <a:lt1>
        <a:sysClr val="window" lastClr="FFFFFF"/>
      </a:lt1>
      <a:dk2>
        <a:srgbClr val="FA621C"/>
      </a:dk2>
      <a:lt2>
        <a:srgbClr val="132E57"/>
      </a:lt2>
      <a:accent1>
        <a:srgbClr val="E6E7E8"/>
      </a:accent1>
      <a:accent2>
        <a:srgbClr val="F57A16"/>
      </a:accent2>
      <a:accent3>
        <a:srgbClr val="1E8496"/>
      </a:accent3>
      <a:accent4>
        <a:srgbClr val="E6E7E8"/>
      </a:accent4>
      <a:accent5>
        <a:srgbClr val="ED942D"/>
      </a:accent5>
      <a:accent6>
        <a:srgbClr val="1E2A39"/>
      </a:accent6>
      <a:hlink>
        <a:srgbClr val="E6E7E8"/>
      </a:hlink>
      <a:folHlink>
        <a:srgbClr val="676767"/>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ctrlProp" Target="../ctrlProps/ctrlProp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C7520-1823-409C-8E99-BE8A566E4631}">
  <dimension ref="B2:AE1755"/>
  <sheetViews>
    <sheetView showGridLines="0" tabSelected="1" topLeftCell="T1" workbookViewId="0">
      <selection activeCell="V12" sqref="V12"/>
    </sheetView>
  </sheetViews>
  <sheetFormatPr defaultColWidth="8.81640625" defaultRowHeight="12.5"/>
  <cols>
    <col min="1" max="1" width="3.81640625" style="2" customWidth="1"/>
    <col min="2" max="2" width="5.81640625" style="2" bestFit="1" customWidth="1"/>
    <col min="3" max="3" width="12.6328125" style="2" bestFit="1" customWidth="1"/>
    <col min="4" max="4" width="10.08984375" style="2" bestFit="1" customWidth="1"/>
    <col min="5" max="5" width="10.90625" style="2" bestFit="1" customWidth="1"/>
    <col min="6" max="6" width="14.6328125" style="2" bestFit="1" customWidth="1"/>
    <col min="7" max="7" width="17.6328125" style="2" bestFit="1" customWidth="1"/>
    <col min="8" max="8" width="72.81640625" style="2" bestFit="1" customWidth="1"/>
    <col min="9" max="9" width="10" style="2" bestFit="1" customWidth="1"/>
    <col min="10" max="10" width="18.6328125" style="2" bestFit="1" customWidth="1"/>
    <col min="11" max="11" width="15.26953125" style="2" bestFit="1" customWidth="1"/>
    <col min="12" max="12" width="23.26953125" style="2" bestFit="1" customWidth="1"/>
    <col min="13" max="13" width="23.7265625" style="2" bestFit="1" customWidth="1"/>
    <col min="14" max="14" width="22.81640625" style="2" bestFit="1" customWidth="1"/>
    <col min="15" max="15" width="22.90625" style="2" bestFit="1" customWidth="1"/>
    <col min="16" max="16" width="78.7265625" style="2" bestFit="1" customWidth="1"/>
    <col min="17" max="17" width="44" style="2" bestFit="1" customWidth="1"/>
    <col min="18" max="18" width="12.6328125" style="2" bestFit="1" customWidth="1"/>
    <col min="19" max="19" width="14" style="2" bestFit="1" customWidth="1"/>
    <col min="20" max="20" width="28.54296875" style="2" bestFit="1" customWidth="1"/>
    <col min="21" max="21" width="25.81640625" style="2" bestFit="1" customWidth="1"/>
    <col min="22" max="22" width="17.6328125" style="2" bestFit="1" customWidth="1"/>
    <col min="23" max="23" width="15" style="2" bestFit="1" customWidth="1"/>
    <col min="24" max="24" width="10.7265625" style="2" bestFit="1" customWidth="1"/>
    <col min="25" max="25" width="9.81640625" style="2" bestFit="1" customWidth="1"/>
    <col min="26" max="26" width="18.6328125" style="2" bestFit="1" customWidth="1"/>
    <col min="27" max="27" width="18.453125" style="2" bestFit="1" customWidth="1"/>
    <col min="28" max="28" width="12.08984375" style="2" bestFit="1" customWidth="1"/>
    <col min="29" max="29" width="26.453125" style="2" bestFit="1" customWidth="1"/>
    <col min="30" max="16384" width="8.81640625" style="2"/>
  </cols>
  <sheetData>
    <row r="2" spans="2:31" ht="14.5">
      <c r="B2" s="1" t="s">
        <v>0</v>
      </c>
      <c r="C2" s="1" t="s">
        <v>1</v>
      </c>
      <c r="D2" s="1" t="s">
        <v>2</v>
      </c>
      <c r="E2" s="1" t="s">
        <v>3</v>
      </c>
      <c r="F2" s="1" t="s">
        <v>4</v>
      </c>
      <c r="G2" s="1" t="s">
        <v>5</v>
      </c>
      <c r="H2" s="1" t="s">
        <v>6</v>
      </c>
      <c r="I2" s="1" t="s">
        <v>7</v>
      </c>
      <c r="J2" s="1" t="s">
        <v>8</v>
      </c>
      <c r="K2" s="1" t="s">
        <v>9</v>
      </c>
      <c r="L2" s="1" t="s">
        <v>10</v>
      </c>
      <c r="M2" s="1" t="s">
        <v>11</v>
      </c>
      <c r="N2" s="1" t="s">
        <v>12</v>
      </c>
      <c r="O2" s="1" t="s">
        <v>13</v>
      </c>
      <c r="P2" s="1" t="s">
        <v>14</v>
      </c>
      <c r="Q2" s="1" t="s">
        <v>15</v>
      </c>
      <c r="R2" s="1" t="s">
        <v>16</v>
      </c>
      <c r="S2" s="1" t="s">
        <v>17</v>
      </c>
      <c r="T2" s="1" t="s">
        <v>18</v>
      </c>
      <c r="U2" s="1" t="s">
        <v>19</v>
      </c>
      <c r="V2" s="1" t="s">
        <v>20</v>
      </c>
      <c r="W2" s="1" t="s">
        <v>21</v>
      </c>
      <c r="X2" s="1" t="s">
        <v>22</v>
      </c>
      <c r="Y2" s="1" t="s">
        <v>23</v>
      </c>
      <c r="Z2" s="1" t="s">
        <v>24</v>
      </c>
      <c r="AA2" s="1" t="s">
        <v>25</v>
      </c>
      <c r="AB2" t="s">
        <v>2886</v>
      </c>
      <c r="AC2" t="s">
        <v>2897</v>
      </c>
    </row>
    <row r="3" spans="2:31" ht="14.5">
      <c r="B3" s="2">
        <v>45</v>
      </c>
      <c r="C3" s="2" t="s">
        <v>26</v>
      </c>
      <c r="D3" s="2" t="s">
        <v>27</v>
      </c>
      <c r="E3" s="2" t="s">
        <v>28</v>
      </c>
      <c r="F3" s="2" t="s">
        <v>29</v>
      </c>
      <c r="G3" s="2" t="s">
        <v>30</v>
      </c>
      <c r="H3" s="2" t="s">
        <v>31</v>
      </c>
      <c r="I3" s="2" t="s">
        <v>32</v>
      </c>
      <c r="J3" s="2" t="s">
        <v>33</v>
      </c>
      <c r="K3" s="2" t="s">
        <v>34</v>
      </c>
      <c r="L3" s="3"/>
      <c r="M3" s="3">
        <v>39045</v>
      </c>
      <c r="N3" s="3">
        <v>39045</v>
      </c>
      <c r="O3" s="3">
        <v>39045</v>
      </c>
      <c r="P3" s="2" t="s">
        <v>35</v>
      </c>
      <c r="Q3" s="2" t="s">
        <v>36</v>
      </c>
      <c r="R3" s="2" t="s">
        <v>37</v>
      </c>
      <c r="S3" s="2" t="s">
        <v>38</v>
      </c>
      <c r="T3" s="2" t="s">
        <v>39</v>
      </c>
      <c r="U3" s="2">
        <v>60</v>
      </c>
      <c r="V3" s="2">
        <v>16667</v>
      </c>
      <c r="W3" s="2">
        <v>60834.55</v>
      </c>
      <c r="X3" s="2">
        <v>3.65</v>
      </c>
      <c r="Y3" s="2">
        <v>0.06</v>
      </c>
      <c r="Z3" s="2">
        <v>1478</v>
      </c>
      <c r="AA3" s="2">
        <v>6212.41</v>
      </c>
      <c r="AB3">
        <v>1</v>
      </c>
      <c r="AC3">
        <v>2006</v>
      </c>
      <c r="AE3" s="2" cm="1">
        <f t="array" ref="AE3:AE1755">+(tblARV[Line Item Quantity]*tblARV[Unit Price])</f>
        <v>1000.02</v>
      </c>
    </row>
    <row r="4" spans="2:31" ht="14.5">
      <c r="B4" s="2">
        <v>64</v>
      </c>
      <c r="C4" s="2" t="s">
        <v>40</v>
      </c>
      <c r="D4" s="2" t="s">
        <v>41</v>
      </c>
      <c r="E4" s="2" t="s">
        <v>42</v>
      </c>
      <c r="F4" s="2" t="s">
        <v>29</v>
      </c>
      <c r="G4" s="2" t="s">
        <v>30</v>
      </c>
      <c r="H4" s="2" t="s">
        <v>43</v>
      </c>
      <c r="I4" s="2" t="s">
        <v>32</v>
      </c>
      <c r="J4" s="2" t="s">
        <v>33</v>
      </c>
      <c r="K4" s="2" t="s">
        <v>34</v>
      </c>
      <c r="L4" s="3">
        <v>39073</v>
      </c>
      <c r="M4" s="3">
        <v>39140</v>
      </c>
      <c r="N4" s="3">
        <v>39140</v>
      </c>
      <c r="O4" s="3">
        <v>39140</v>
      </c>
      <c r="P4" s="2" t="s">
        <v>44</v>
      </c>
      <c r="Q4" s="2" t="s">
        <v>45</v>
      </c>
      <c r="R4" s="2" t="s">
        <v>37</v>
      </c>
      <c r="S4" s="2" t="s">
        <v>46</v>
      </c>
      <c r="T4" s="2" t="s">
        <v>47</v>
      </c>
      <c r="U4" s="2">
        <v>60</v>
      </c>
      <c r="V4" s="2">
        <v>10000</v>
      </c>
      <c r="W4" s="2">
        <v>99800</v>
      </c>
      <c r="X4" s="2">
        <v>9.98</v>
      </c>
      <c r="Y4" s="2">
        <v>0.17</v>
      </c>
      <c r="Z4" s="2">
        <v>7416</v>
      </c>
      <c r="AA4" s="2">
        <v>64179.42</v>
      </c>
      <c r="AB4">
        <v>1</v>
      </c>
      <c r="AC4">
        <v>2007</v>
      </c>
      <c r="AE4" s="2">
        <v>1700.0000000000002</v>
      </c>
    </row>
    <row r="5" spans="2:31" ht="14.5">
      <c r="B5" s="2">
        <v>87</v>
      </c>
      <c r="C5" s="2" t="s">
        <v>48</v>
      </c>
      <c r="D5" s="2" t="s">
        <v>49</v>
      </c>
      <c r="E5" s="2" t="s">
        <v>28</v>
      </c>
      <c r="F5" s="2" t="s">
        <v>29</v>
      </c>
      <c r="G5" s="2" t="s">
        <v>50</v>
      </c>
      <c r="H5" s="2" t="s">
        <v>51</v>
      </c>
      <c r="I5" s="2" t="s">
        <v>32</v>
      </c>
      <c r="J5" s="2" t="s">
        <v>52</v>
      </c>
      <c r="K5" s="2" t="s">
        <v>34</v>
      </c>
      <c r="L5" s="3">
        <v>39184</v>
      </c>
      <c r="M5" s="3">
        <v>39239</v>
      </c>
      <c r="N5" s="3">
        <v>39239</v>
      </c>
      <c r="O5" s="3">
        <v>39239</v>
      </c>
      <c r="P5" s="2" t="s">
        <v>53</v>
      </c>
      <c r="Q5" s="2" t="s">
        <v>54</v>
      </c>
      <c r="R5" s="2" t="s">
        <v>55</v>
      </c>
      <c r="S5" s="2" t="s">
        <v>56</v>
      </c>
      <c r="T5" s="2" t="s">
        <v>57</v>
      </c>
      <c r="U5" s="2">
        <v>200</v>
      </c>
      <c r="V5" s="2">
        <v>712</v>
      </c>
      <c r="W5" s="2">
        <v>8964.08</v>
      </c>
      <c r="X5" s="2">
        <v>12.59</v>
      </c>
      <c r="Y5" s="2">
        <v>0.06</v>
      </c>
      <c r="Z5" s="2">
        <v>162</v>
      </c>
      <c r="AA5" s="2">
        <v>912.96</v>
      </c>
      <c r="AB5">
        <v>1</v>
      </c>
      <c r="AC5">
        <v>2007</v>
      </c>
      <c r="AE5" s="2">
        <v>42.72</v>
      </c>
    </row>
    <row r="6" spans="2:31" ht="14.5">
      <c r="B6" s="2">
        <v>161</v>
      </c>
      <c r="C6" s="2" t="s">
        <v>58</v>
      </c>
      <c r="D6" s="2" t="s">
        <v>59</v>
      </c>
      <c r="E6" s="2" t="s">
        <v>60</v>
      </c>
      <c r="F6" s="2" t="s">
        <v>29</v>
      </c>
      <c r="G6" s="2" t="s">
        <v>30</v>
      </c>
      <c r="H6" s="2" t="s">
        <v>31</v>
      </c>
      <c r="I6" s="2" t="s">
        <v>32</v>
      </c>
      <c r="J6" s="2" t="s">
        <v>33</v>
      </c>
      <c r="K6" s="2" t="s">
        <v>34</v>
      </c>
      <c r="L6" s="3">
        <v>39358</v>
      </c>
      <c r="M6" s="3">
        <v>39406</v>
      </c>
      <c r="N6" s="3">
        <v>39406</v>
      </c>
      <c r="O6" s="3">
        <v>39406</v>
      </c>
      <c r="P6" s="2" t="s">
        <v>61</v>
      </c>
      <c r="Q6" s="2" t="s">
        <v>62</v>
      </c>
      <c r="R6" s="2" t="s">
        <v>37</v>
      </c>
      <c r="S6" s="2" t="s">
        <v>63</v>
      </c>
      <c r="T6" s="2" t="s">
        <v>64</v>
      </c>
      <c r="U6" s="2">
        <v>60</v>
      </c>
      <c r="V6" s="2">
        <v>64000</v>
      </c>
      <c r="W6" s="2">
        <v>99200</v>
      </c>
      <c r="X6" s="2">
        <v>1.55</v>
      </c>
      <c r="Y6" s="2">
        <v>0.03</v>
      </c>
      <c r="Z6" s="2">
        <v>4228</v>
      </c>
      <c r="AA6" s="2">
        <v>12237.61</v>
      </c>
      <c r="AB6">
        <v>1</v>
      </c>
      <c r="AC6">
        <v>2007</v>
      </c>
      <c r="AE6" s="2">
        <v>1920</v>
      </c>
    </row>
    <row r="7" spans="2:31" ht="14.5">
      <c r="B7" s="2">
        <v>535</v>
      </c>
      <c r="C7" s="2" t="s">
        <v>65</v>
      </c>
      <c r="D7" s="2" t="s">
        <v>66</v>
      </c>
      <c r="E7" s="2" t="s">
        <v>28</v>
      </c>
      <c r="F7" s="2" t="s">
        <v>29</v>
      </c>
      <c r="G7" s="2" t="s">
        <v>30</v>
      </c>
      <c r="H7" s="2" t="s">
        <v>51</v>
      </c>
      <c r="I7" s="2" t="s">
        <v>32</v>
      </c>
      <c r="J7" s="2" t="s">
        <v>52</v>
      </c>
      <c r="K7" s="2" t="s">
        <v>34</v>
      </c>
      <c r="L7" s="3">
        <v>39583</v>
      </c>
      <c r="M7" s="3">
        <v>39693</v>
      </c>
      <c r="N7" s="3">
        <v>39693</v>
      </c>
      <c r="O7" s="3">
        <v>39693</v>
      </c>
      <c r="P7" s="2" t="s">
        <v>67</v>
      </c>
      <c r="Q7" s="2" t="s">
        <v>68</v>
      </c>
      <c r="R7" s="2" t="s">
        <v>69</v>
      </c>
      <c r="S7" s="2" t="s">
        <v>70</v>
      </c>
      <c r="T7" s="2" t="s">
        <v>71</v>
      </c>
      <c r="U7" s="2">
        <v>30</v>
      </c>
      <c r="V7" s="2">
        <v>2597</v>
      </c>
      <c r="W7" s="2">
        <v>61470.99</v>
      </c>
      <c r="X7" s="2">
        <v>23.67</v>
      </c>
      <c r="Y7" s="2">
        <v>0.79</v>
      </c>
      <c r="Z7" s="2">
        <v>117</v>
      </c>
      <c r="AA7" s="2">
        <v>645.1</v>
      </c>
      <c r="AB7">
        <v>1</v>
      </c>
      <c r="AC7">
        <v>2008</v>
      </c>
      <c r="AE7" s="2">
        <v>2051.63</v>
      </c>
    </row>
    <row r="8" spans="2:31" ht="14.5">
      <c r="B8" s="2">
        <v>858</v>
      </c>
      <c r="C8" s="2" t="s">
        <v>72</v>
      </c>
      <c r="D8" s="2" t="s">
        <v>73</v>
      </c>
      <c r="E8" s="2" t="s">
        <v>28</v>
      </c>
      <c r="F8" s="2" t="s">
        <v>29</v>
      </c>
      <c r="G8" s="2" t="s">
        <v>30</v>
      </c>
      <c r="H8" s="2" t="s">
        <v>74</v>
      </c>
      <c r="I8" s="2" t="s">
        <v>32</v>
      </c>
      <c r="J8" s="2" t="s">
        <v>52</v>
      </c>
      <c r="K8" s="2" t="s">
        <v>34</v>
      </c>
      <c r="L8" s="3">
        <v>39801</v>
      </c>
      <c r="M8" s="3">
        <v>39924</v>
      </c>
      <c r="N8" s="3">
        <v>39924</v>
      </c>
      <c r="O8" s="3">
        <v>39924</v>
      </c>
      <c r="P8" s="2" t="s">
        <v>75</v>
      </c>
      <c r="Q8" s="2" t="s">
        <v>76</v>
      </c>
      <c r="R8" s="2" t="s">
        <v>77</v>
      </c>
      <c r="S8" s="2" t="s">
        <v>78</v>
      </c>
      <c r="T8" s="2" t="s">
        <v>47</v>
      </c>
      <c r="U8" s="2">
        <v>30</v>
      </c>
      <c r="V8" s="2">
        <v>50000</v>
      </c>
      <c r="W8" s="2">
        <v>2520000</v>
      </c>
      <c r="X8" s="2">
        <v>50.4</v>
      </c>
      <c r="Y8" s="2">
        <v>1.68</v>
      </c>
      <c r="Z8" s="2">
        <v>4093</v>
      </c>
      <c r="AA8" s="2">
        <v>9339</v>
      </c>
      <c r="AB8">
        <v>1</v>
      </c>
      <c r="AC8">
        <v>2009</v>
      </c>
      <c r="AE8" s="2">
        <v>84000</v>
      </c>
    </row>
    <row r="9" spans="2:31" ht="14.5">
      <c r="B9" s="2">
        <v>985</v>
      </c>
      <c r="C9" s="2" t="s">
        <v>79</v>
      </c>
      <c r="D9" s="2" t="s">
        <v>80</v>
      </c>
      <c r="E9" s="2" t="s">
        <v>28</v>
      </c>
      <c r="F9" s="2" t="s">
        <v>29</v>
      </c>
      <c r="G9" s="2" t="s">
        <v>50</v>
      </c>
      <c r="H9" s="2" t="s">
        <v>81</v>
      </c>
      <c r="I9" s="2" t="s">
        <v>32</v>
      </c>
      <c r="J9" s="2" t="s">
        <v>82</v>
      </c>
      <c r="K9" s="2" t="s">
        <v>34</v>
      </c>
      <c r="L9" s="3">
        <v>39849</v>
      </c>
      <c r="M9" s="3">
        <v>39961</v>
      </c>
      <c r="N9" s="3">
        <v>39961</v>
      </c>
      <c r="O9" s="3">
        <v>39961</v>
      </c>
      <c r="P9" s="2" t="s">
        <v>83</v>
      </c>
      <c r="Q9" s="2" t="s">
        <v>84</v>
      </c>
      <c r="R9" s="2" t="s">
        <v>85</v>
      </c>
      <c r="S9" s="2" t="s">
        <v>86</v>
      </c>
      <c r="T9" s="2" t="s">
        <v>87</v>
      </c>
      <c r="U9" s="2">
        <v>300</v>
      </c>
      <c r="V9" s="2">
        <v>524</v>
      </c>
      <c r="W9" s="2">
        <v>21536.400000000001</v>
      </c>
      <c r="X9" s="2">
        <v>41.1</v>
      </c>
      <c r="Y9" s="2">
        <v>0.14000000000000001</v>
      </c>
      <c r="Z9" s="2">
        <v>644</v>
      </c>
      <c r="AA9" s="2">
        <v>6668.61</v>
      </c>
      <c r="AB9">
        <v>1</v>
      </c>
      <c r="AC9">
        <v>2009</v>
      </c>
      <c r="AE9" s="2">
        <v>73.360000000000014</v>
      </c>
    </row>
    <row r="10" spans="2:31" ht="14.5">
      <c r="B10" s="2">
        <v>986</v>
      </c>
      <c r="C10" s="2" t="s">
        <v>88</v>
      </c>
      <c r="D10" s="2" t="s">
        <v>89</v>
      </c>
      <c r="E10" s="2" t="s">
        <v>28</v>
      </c>
      <c r="F10" s="2" t="s">
        <v>29</v>
      </c>
      <c r="G10" s="2" t="s">
        <v>50</v>
      </c>
      <c r="H10" s="2" t="s">
        <v>81</v>
      </c>
      <c r="I10" s="2" t="s">
        <v>32</v>
      </c>
      <c r="J10" s="2" t="s">
        <v>82</v>
      </c>
      <c r="K10" s="2" t="s">
        <v>34</v>
      </c>
      <c r="L10" s="3">
        <v>39849</v>
      </c>
      <c r="M10" s="3">
        <v>39937</v>
      </c>
      <c r="N10" s="3">
        <v>39937</v>
      </c>
      <c r="O10" s="3">
        <v>39937</v>
      </c>
      <c r="P10" s="2" t="s">
        <v>90</v>
      </c>
      <c r="Q10" s="2" t="s">
        <v>84</v>
      </c>
      <c r="R10" s="2" t="s">
        <v>37</v>
      </c>
      <c r="S10" s="2" t="s">
        <v>91</v>
      </c>
      <c r="T10" s="2" t="s">
        <v>39</v>
      </c>
      <c r="U10" s="2">
        <v>60</v>
      </c>
      <c r="V10" s="2">
        <v>2094</v>
      </c>
      <c r="W10" s="2">
        <v>21526.32</v>
      </c>
      <c r="X10" s="2">
        <v>10.28</v>
      </c>
      <c r="Y10" s="2">
        <v>0.17</v>
      </c>
      <c r="Z10" s="2">
        <v>237</v>
      </c>
      <c r="AB10">
        <v>1</v>
      </c>
      <c r="AC10">
        <v>2009</v>
      </c>
      <c r="AE10" s="2">
        <v>355.98</v>
      </c>
    </row>
    <row r="11" spans="2:31" ht="14.5">
      <c r="B11" s="2">
        <v>1156</v>
      </c>
      <c r="C11" s="2" t="s">
        <v>92</v>
      </c>
      <c r="D11" s="2" t="s">
        <v>93</v>
      </c>
      <c r="E11" s="2" t="s">
        <v>42</v>
      </c>
      <c r="F11" s="2" t="s">
        <v>29</v>
      </c>
      <c r="G11" s="2" t="s">
        <v>30</v>
      </c>
      <c r="H11" s="2" t="s">
        <v>94</v>
      </c>
      <c r="I11" s="2" t="s">
        <v>32</v>
      </c>
      <c r="J11" s="2" t="s">
        <v>52</v>
      </c>
      <c r="K11" s="2" t="s">
        <v>34</v>
      </c>
      <c r="L11" s="3">
        <v>39918</v>
      </c>
      <c r="M11" s="3">
        <v>40019</v>
      </c>
      <c r="N11" s="3">
        <v>40019</v>
      </c>
      <c r="O11" s="3">
        <v>40019</v>
      </c>
      <c r="P11" s="2" t="s">
        <v>95</v>
      </c>
      <c r="Q11" s="2" t="s">
        <v>96</v>
      </c>
      <c r="R11" s="2" t="s">
        <v>37</v>
      </c>
      <c r="S11" s="2" t="s">
        <v>97</v>
      </c>
      <c r="T11" s="2" t="s">
        <v>39</v>
      </c>
      <c r="U11" s="2">
        <v>30</v>
      </c>
      <c r="V11" s="2">
        <v>55356</v>
      </c>
      <c r="W11" s="2">
        <v>386384.88</v>
      </c>
      <c r="X11" s="2">
        <v>6.98</v>
      </c>
      <c r="Y11" s="2">
        <v>0.23</v>
      </c>
      <c r="Z11" s="2">
        <v>4482</v>
      </c>
      <c r="AA11" s="2">
        <v>37404.74</v>
      </c>
      <c r="AB11">
        <v>1</v>
      </c>
      <c r="AC11">
        <v>2009</v>
      </c>
      <c r="AE11" s="2">
        <v>12731.880000000001</v>
      </c>
    </row>
    <row r="12" spans="2:31" ht="14.5">
      <c r="B12" s="2">
        <v>1299</v>
      </c>
      <c r="C12" s="2" t="s">
        <v>40</v>
      </c>
      <c r="D12" s="2" t="s">
        <v>41</v>
      </c>
      <c r="E12" s="2" t="s">
        <v>42</v>
      </c>
      <c r="F12" s="2" t="s">
        <v>29</v>
      </c>
      <c r="G12" s="2" t="s">
        <v>30</v>
      </c>
      <c r="H12" s="2" t="s">
        <v>43</v>
      </c>
      <c r="I12" s="2" t="s">
        <v>32</v>
      </c>
      <c r="J12" s="2" t="s">
        <v>33</v>
      </c>
      <c r="K12" s="2" t="s">
        <v>34</v>
      </c>
      <c r="L12" s="3">
        <v>39073</v>
      </c>
      <c r="M12" s="3">
        <v>39140</v>
      </c>
      <c r="N12" s="3">
        <v>39140</v>
      </c>
      <c r="O12" s="3">
        <v>39140</v>
      </c>
      <c r="P12" s="2" t="s">
        <v>95</v>
      </c>
      <c r="Q12" s="2" t="s">
        <v>96</v>
      </c>
      <c r="R12" s="2" t="s">
        <v>37</v>
      </c>
      <c r="S12" s="2" t="s">
        <v>97</v>
      </c>
      <c r="T12" s="2" t="s">
        <v>39</v>
      </c>
      <c r="U12" s="2">
        <v>30</v>
      </c>
      <c r="V12" s="2">
        <v>71577</v>
      </c>
      <c r="W12" s="2">
        <v>1087970.3999999999</v>
      </c>
      <c r="X12" s="2">
        <v>15.2</v>
      </c>
      <c r="Y12" s="2">
        <v>0.51</v>
      </c>
      <c r="AB12">
        <v>1</v>
      </c>
      <c r="AC12">
        <v>2007</v>
      </c>
      <c r="AE12" s="2">
        <v>36504.270000000004</v>
      </c>
    </row>
    <row r="13" spans="2:31" ht="14.5">
      <c r="B13" s="2">
        <v>1300</v>
      </c>
      <c r="C13" s="2" t="s">
        <v>40</v>
      </c>
      <c r="D13" s="2" t="s">
        <v>41</v>
      </c>
      <c r="E13" s="2" t="s">
        <v>42</v>
      </c>
      <c r="F13" s="2" t="s">
        <v>29</v>
      </c>
      <c r="G13" s="2" t="s">
        <v>30</v>
      </c>
      <c r="H13" s="2" t="s">
        <v>43</v>
      </c>
      <c r="I13" s="2" t="s">
        <v>32</v>
      </c>
      <c r="J13" s="2" t="s">
        <v>33</v>
      </c>
      <c r="K13" s="2" t="s">
        <v>34</v>
      </c>
      <c r="L13" s="3">
        <v>39073</v>
      </c>
      <c r="M13" s="3">
        <v>39140</v>
      </c>
      <c r="N13" s="3">
        <v>39140</v>
      </c>
      <c r="O13" s="3">
        <v>39140</v>
      </c>
      <c r="P13" s="2" t="s">
        <v>98</v>
      </c>
      <c r="Q13" s="2" t="s">
        <v>99</v>
      </c>
      <c r="R13" s="2" t="s">
        <v>37</v>
      </c>
      <c r="S13" s="2" t="s">
        <v>100</v>
      </c>
      <c r="T13" s="2" t="s">
        <v>39</v>
      </c>
      <c r="U13" s="2">
        <v>60</v>
      </c>
      <c r="V13" s="2">
        <v>5605</v>
      </c>
      <c r="W13" s="2">
        <v>202340.5</v>
      </c>
      <c r="X13" s="2">
        <v>36.1</v>
      </c>
      <c r="Y13" s="2">
        <v>0.6</v>
      </c>
      <c r="AB13">
        <v>1</v>
      </c>
      <c r="AC13">
        <v>2007</v>
      </c>
      <c r="AE13" s="2">
        <v>3363</v>
      </c>
    </row>
    <row r="14" spans="2:31" ht="14.5">
      <c r="B14" s="2">
        <v>1502</v>
      </c>
      <c r="C14" s="2" t="s">
        <v>101</v>
      </c>
      <c r="D14" s="2" t="s">
        <v>102</v>
      </c>
      <c r="E14" s="2" t="s">
        <v>42</v>
      </c>
      <c r="F14" s="2" t="s">
        <v>29</v>
      </c>
      <c r="G14" s="2" t="s">
        <v>30</v>
      </c>
      <c r="H14" s="2" t="s">
        <v>103</v>
      </c>
      <c r="I14" s="2" t="s">
        <v>32</v>
      </c>
      <c r="J14" s="2" t="s">
        <v>33</v>
      </c>
      <c r="K14" s="2" t="s">
        <v>34</v>
      </c>
      <c r="L14" s="3">
        <v>39398</v>
      </c>
      <c r="M14" s="3">
        <v>39475</v>
      </c>
      <c r="N14" s="3">
        <v>39475</v>
      </c>
      <c r="O14" s="3">
        <v>39475</v>
      </c>
      <c r="P14" s="2" t="s">
        <v>104</v>
      </c>
      <c r="Q14" s="2" t="s">
        <v>105</v>
      </c>
      <c r="R14" s="2" t="s">
        <v>106</v>
      </c>
      <c r="S14" s="2" t="s">
        <v>100</v>
      </c>
      <c r="T14" s="2" t="s">
        <v>39</v>
      </c>
      <c r="U14" s="2">
        <v>30</v>
      </c>
      <c r="V14" s="2">
        <v>1609</v>
      </c>
      <c r="W14" s="2">
        <v>27353</v>
      </c>
      <c r="X14" s="2">
        <v>17</v>
      </c>
      <c r="Y14" s="2">
        <v>0.56999999999999995</v>
      </c>
      <c r="Z14" s="2">
        <v>157</v>
      </c>
      <c r="AA14" s="2">
        <v>7922.24</v>
      </c>
      <c r="AB14">
        <v>1</v>
      </c>
      <c r="AC14">
        <v>2008</v>
      </c>
      <c r="AE14" s="2">
        <v>917.12999999999988</v>
      </c>
    </row>
    <row r="15" spans="2:31" ht="14.5">
      <c r="B15" s="2">
        <v>1529</v>
      </c>
      <c r="C15" s="2" t="s">
        <v>107</v>
      </c>
      <c r="D15" s="2" t="s">
        <v>108</v>
      </c>
      <c r="E15" s="2" t="s">
        <v>42</v>
      </c>
      <c r="F15" s="2" t="s">
        <v>29</v>
      </c>
      <c r="G15" s="2" t="s">
        <v>30</v>
      </c>
      <c r="H15" s="2" t="s">
        <v>109</v>
      </c>
      <c r="I15" s="2" t="s">
        <v>32</v>
      </c>
      <c r="J15" s="2" t="s">
        <v>52</v>
      </c>
      <c r="K15" s="2" t="s">
        <v>34</v>
      </c>
      <c r="L15" s="3">
        <v>39419</v>
      </c>
      <c r="M15" s="3">
        <v>39475</v>
      </c>
      <c r="N15" s="3">
        <v>39475</v>
      </c>
      <c r="O15" s="3">
        <v>39475</v>
      </c>
      <c r="P15" s="2" t="s">
        <v>98</v>
      </c>
      <c r="Q15" s="2" t="s">
        <v>99</v>
      </c>
      <c r="R15" s="2" t="s">
        <v>37</v>
      </c>
      <c r="S15" s="2" t="s">
        <v>100</v>
      </c>
      <c r="T15" s="2" t="s">
        <v>39</v>
      </c>
      <c r="U15" s="2">
        <v>60</v>
      </c>
      <c r="V15" s="2">
        <v>1099</v>
      </c>
      <c r="W15" s="2">
        <v>30222.5</v>
      </c>
      <c r="X15" s="2">
        <v>27.5</v>
      </c>
      <c r="Y15" s="2">
        <v>0.46</v>
      </c>
      <c r="Z15" s="2">
        <v>113</v>
      </c>
      <c r="AA15" s="2">
        <v>1511.25</v>
      </c>
      <c r="AB15">
        <v>1</v>
      </c>
      <c r="AC15">
        <v>2008</v>
      </c>
      <c r="AE15" s="2">
        <v>505.54</v>
      </c>
    </row>
    <row r="16" spans="2:31" ht="14.5">
      <c r="B16" s="2">
        <v>1888</v>
      </c>
      <c r="C16" s="2" t="s">
        <v>110</v>
      </c>
      <c r="D16" s="2" t="s">
        <v>111</v>
      </c>
      <c r="E16" s="2" t="s">
        <v>42</v>
      </c>
      <c r="F16" s="2" t="s">
        <v>29</v>
      </c>
      <c r="G16" s="2" t="s">
        <v>30</v>
      </c>
      <c r="H16" s="2" t="s">
        <v>31</v>
      </c>
      <c r="I16" s="2" t="s">
        <v>32</v>
      </c>
      <c r="J16" s="2" t="s">
        <v>52</v>
      </c>
      <c r="K16" s="2" t="s">
        <v>34</v>
      </c>
      <c r="L16" s="3">
        <v>39612</v>
      </c>
      <c r="M16" s="3">
        <v>39652</v>
      </c>
      <c r="N16" s="3">
        <v>39651</v>
      </c>
      <c r="O16" s="3">
        <v>39651</v>
      </c>
      <c r="P16" s="2" t="s">
        <v>112</v>
      </c>
      <c r="Q16" s="2" t="s">
        <v>113</v>
      </c>
      <c r="R16" s="2" t="s">
        <v>37</v>
      </c>
      <c r="S16" s="2" t="s">
        <v>114</v>
      </c>
      <c r="T16" s="2" t="s">
        <v>47</v>
      </c>
      <c r="U16" s="2">
        <v>60</v>
      </c>
      <c r="V16" s="2">
        <v>47879</v>
      </c>
      <c r="W16" s="2">
        <v>569281.31000000006</v>
      </c>
      <c r="X16" s="2">
        <v>11.89</v>
      </c>
      <c r="Y16" s="2">
        <v>0.2</v>
      </c>
      <c r="Z16" s="2">
        <v>5311</v>
      </c>
      <c r="AA16" s="2">
        <v>30408.04</v>
      </c>
      <c r="AB16">
        <v>1</v>
      </c>
      <c r="AC16">
        <v>2008</v>
      </c>
      <c r="AE16" s="2">
        <v>9575.8000000000011</v>
      </c>
    </row>
    <row r="17" spans="2:31" ht="14.5">
      <c r="B17" s="2">
        <v>1889</v>
      </c>
      <c r="C17" s="2" t="s">
        <v>110</v>
      </c>
      <c r="D17" s="2" t="s">
        <v>115</v>
      </c>
      <c r="E17" s="2" t="s">
        <v>42</v>
      </c>
      <c r="F17" s="2" t="s">
        <v>29</v>
      </c>
      <c r="G17" s="2" t="s">
        <v>30</v>
      </c>
      <c r="H17" s="2" t="s">
        <v>31</v>
      </c>
      <c r="I17" s="2" t="s">
        <v>32</v>
      </c>
      <c r="J17" s="2" t="s">
        <v>52</v>
      </c>
      <c r="K17" s="2" t="s">
        <v>34</v>
      </c>
      <c r="L17" s="3">
        <v>39612</v>
      </c>
      <c r="M17" s="3">
        <v>39652</v>
      </c>
      <c r="N17" s="3">
        <v>39652</v>
      </c>
      <c r="O17" s="3">
        <v>39652</v>
      </c>
      <c r="P17" s="2" t="s">
        <v>112</v>
      </c>
      <c r="Q17" s="2" t="s">
        <v>113</v>
      </c>
      <c r="R17" s="2" t="s">
        <v>37</v>
      </c>
      <c r="S17" s="2" t="s">
        <v>114</v>
      </c>
      <c r="T17" s="2" t="s">
        <v>47</v>
      </c>
      <c r="U17" s="2">
        <v>60</v>
      </c>
      <c r="V17" s="2">
        <v>61021</v>
      </c>
      <c r="W17" s="2">
        <v>725539.69</v>
      </c>
      <c r="X17" s="2">
        <v>11.89</v>
      </c>
      <c r="Y17" s="2">
        <v>0.2</v>
      </c>
      <c r="Z17" s="2">
        <v>6768</v>
      </c>
      <c r="AA17" s="2">
        <v>38120.959999999999</v>
      </c>
      <c r="AB17">
        <v>1</v>
      </c>
      <c r="AC17">
        <v>2008</v>
      </c>
      <c r="AE17" s="2">
        <v>12204.2</v>
      </c>
    </row>
    <row r="18" spans="2:31" ht="14.5">
      <c r="B18" s="2">
        <v>2441</v>
      </c>
      <c r="C18" s="2" t="s">
        <v>116</v>
      </c>
      <c r="D18" s="2" t="s">
        <v>117</v>
      </c>
      <c r="E18" s="2" t="s">
        <v>118</v>
      </c>
      <c r="F18" s="2" t="s">
        <v>29</v>
      </c>
      <c r="G18" s="2" t="s">
        <v>30</v>
      </c>
      <c r="H18" s="2" t="s">
        <v>51</v>
      </c>
      <c r="I18" s="2" t="s">
        <v>32</v>
      </c>
      <c r="J18" s="2" t="s">
        <v>52</v>
      </c>
      <c r="K18" s="2" t="s">
        <v>34</v>
      </c>
      <c r="L18" s="3">
        <v>39891</v>
      </c>
      <c r="M18" s="3">
        <v>39937</v>
      </c>
      <c r="N18" s="3">
        <v>39937</v>
      </c>
      <c r="O18" s="3">
        <v>39937</v>
      </c>
      <c r="P18" s="2" t="s">
        <v>119</v>
      </c>
      <c r="Q18" s="2" t="s">
        <v>68</v>
      </c>
      <c r="R18" s="2" t="s">
        <v>69</v>
      </c>
      <c r="S18" s="2" t="s">
        <v>120</v>
      </c>
      <c r="T18" s="2" t="s">
        <v>71</v>
      </c>
      <c r="U18" s="2">
        <v>30</v>
      </c>
      <c r="V18" s="2">
        <v>60</v>
      </c>
      <c r="W18" s="2">
        <v>1100.4000000000001</v>
      </c>
      <c r="X18" s="2">
        <v>18.34</v>
      </c>
      <c r="Y18" s="2">
        <v>0.61</v>
      </c>
      <c r="Z18" s="2">
        <v>3000</v>
      </c>
      <c r="AA18" s="2">
        <v>428.91</v>
      </c>
      <c r="AB18">
        <v>1</v>
      </c>
      <c r="AC18">
        <v>2009</v>
      </c>
      <c r="AE18" s="2">
        <v>36.6</v>
      </c>
    </row>
    <row r="19" spans="2:31" ht="14.5">
      <c r="B19" s="2">
        <v>2463</v>
      </c>
      <c r="C19" s="2" t="s">
        <v>121</v>
      </c>
      <c r="D19" s="2" t="s">
        <v>122</v>
      </c>
      <c r="E19" s="2" t="s">
        <v>42</v>
      </c>
      <c r="F19" s="2" t="s">
        <v>29</v>
      </c>
      <c r="G19" s="2" t="s">
        <v>30</v>
      </c>
      <c r="H19" s="2" t="s">
        <v>43</v>
      </c>
      <c r="I19" s="2" t="s">
        <v>32</v>
      </c>
      <c r="J19" s="2" t="s">
        <v>52</v>
      </c>
      <c r="K19" s="2" t="s">
        <v>34</v>
      </c>
      <c r="L19" s="3">
        <v>39742</v>
      </c>
      <c r="M19" s="3">
        <v>39923</v>
      </c>
      <c r="N19" s="3">
        <v>39923</v>
      </c>
      <c r="O19" s="3">
        <v>39923</v>
      </c>
      <c r="P19" s="2" t="s">
        <v>44</v>
      </c>
      <c r="Q19" s="2" t="s">
        <v>45</v>
      </c>
      <c r="R19" s="2" t="s">
        <v>37</v>
      </c>
      <c r="S19" s="2" t="s">
        <v>46</v>
      </c>
      <c r="T19" s="2" t="s">
        <v>47</v>
      </c>
      <c r="U19" s="2">
        <v>60</v>
      </c>
      <c r="V19" s="2">
        <v>7840</v>
      </c>
      <c r="W19" s="2">
        <v>71344</v>
      </c>
      <c r="X19" s="2">
        <v>9.1</v>
      </c>
      <c r="Y19" s="2">
        <v>0.15</v>
      </c>
      <c r="Z19" s="2">
        <v>719</v>
      </c>
      <c r="AA19" s="2">
        <v>853.88</v>
      </c>
      <c r="AB19">
        <v>1</v>
      </c>
      <c r="AC19">
        <v>2009</v>
      </c>
      <c r="AE19" s="2">
        <v>1176</v>
      </c>
    </row>
    <row r="20" spans="2:31" ht="14.5">
      <c r="B20" s="2">
        <v>2536</v>
      </c>
      <c r="C20" s="2" t="s">
        <v>123</v>
      </c>
      <c r="D20" s="2" t="s">
        <v>124</v>
      </c>
      <c r="E20" s="2" t="s">
        <v>42</v>
      </c>
      <c r="F20" s="2" t="s">
        <v>29</v>
      </c>
      <c r="G20" s="2" t="s">
        <v>30</v>
      </c>
      <c r="H20" s="2" t="s">
        <v>109</v>
      </c>
      <c r="I20" s="2" t="s">
        <v>32</v>
      </c>
      <c r="J20" s="2" t="s">
        <v>52</v>
      </c>
      <c r="K20" s="2" t="s">
        <v>34</v>
      </c>
      <c r="L20" s="3">
        <v>39918</v>
      </c>
      <c r="M20" s="3">
        <v>40014</v>
      </c>
      <c r="N20" s="3">
        <v>40014</v>
      </c>
      <c r="O20" s="3">
        <v>40014</v>
      </c>
      <c r="P20" s="2" t="s">
        <v>112</v>
      </c>
      <c r="Q20" s="2" t="s">
        <v>113</v>
      </c>
      <c r="R20" s="2" t="s">
        <v>37</v>
      </c>
      <c r="S20" s="2" t="s">
        <v>114</v>
      </c>
      <c r="T20" s="2" t="s">
        <v>47</v>
      </c>
      <c r="U20" s="2">
        <v>60</v>
      </c>
      <c r="V20" s="2">
        <v>26932</v>
      </c>
      <c r="W20" s="2">
        <v>317528.28000000003</v>
      </c>
      <c r="X20" s="2">
        <v>11.79</v>
      </c>
      <c r="Y20" s="2">
        <v>0.2</v>
      </c>
      <c r="Z20" s="2">
        <v>3393</v>
      </c>
      <c r="AA20" s="2">
        <v>30661.5</v>
      </c>
      <c r="AB20">
        <v>1</v>
      </c>
      <c r="AC20">
        <v>2009</v>
      </c>
      <c r="AE20" s="2">
        <v>5386.4000000000005</v>
      </c>
    </row>
    <row r="21" spans="2:31" ht="14.5">
      <c r="B21" s="2">
        <v>2808</v>
      </c>
      <c r="C21" s="2" t="s">
        <v>125</v>
      </c>
      <c r="D21" s="2" t="s">
        <v>126</v>
      </c>
      <c r="E21" s="2" t="s">
        <v>60</v>
      </c>
      <c r="F21" s="2" t="s">
        <v>29</v>
      </c>
      <c r="G21" s="2" t="s">
        <v>30</v>
      </c>
      <c r="H21" s="2" t="s">
        <v>31</v>
      </c>
      <c r="I21" s="2" t="s">
        <v>32</v>
      </c>
      <c r="J21" s="2" t="s">
        <v>33</v>
      </c>
      <c r="K21" s="2" t="s">
        <v>34</v>
      </c>
      <c r="L21" s="3">
        <v>39358</v>
      </c>
      <c r="M21" s="3">
        <v>39406</v>
      </c>
      <c r="N21" s="3">
        <v>39440</v>
      </c>
      <c r="O21" s="3">
        <v>39440</v>
      </c>
      <c r="P21" s="2" t="s">
        <v>61</v>
      </c>
      <c r="Q21" s="2" t="s">
        <v>62</v>
      </c>
      <c r="R21" s="2" t="s">
        <v>37</v>
      </c>
      <c r="S21" s="2" t="s">
        <v>63</v>
      </c>
      <c r="T21" s="2" t="s">
        <v>64</v>
      </c>
      <c r="U21" s="2">
        <v>60</v>
      </c>
      <c r="V21" s="2">
        <v>35065</v>
      </c>
      <c r="W21" s="2">
        <v>54350.75</v>
      </c>
      <c r="X21" s="2">
        <v>1.55</v>
      </c>
      <c r="Y21" s="2">
        <v>0.03</v>
      </c>
      <c r="Z21" s="2">
        <v>2318</v>
      </c>
      <c r="AA21" s="2">
        <v>6755.81</v>
      </c>
      <c r="AB21">
        <v>0</v>
      </c>
      <c r="AC21">
        <v>2007</v>
      </c>
      <c r="AE21" s="2">
        <v>1051.95</v>
      </c>
    </row>
    <row r="22" spans="2:31" ht="14.5">
      <c r="B22" s="2">
        <v>2892</v>
      </c>
      <c r="C22" s="2" t="s">
        <v>127</v>
      </c>
      <c r="D22" s="2" t="s">
        <v>128</v>
      </c>
      <c r="E22" s="2" t="s">
        <v>118</v>
      </c>
      <c r="F22" s="2" t="s">
        <v>29</v>
      </c>
      <c r="G22" s="2" t="s">
        <v>30</v>
      </c>
      <c r="H22" s="2" t="s">
        <v>51</v>
      </c>
      <c r="I22" s="2" t="s">
        <v>32</v>
      </c>
      <c r="J22" s="2" t="s">
        <v>52</v>
      </c>
      <c r="K22" s="2" t="s">
        <v>34</v>
      </c>
      <c r="L22" s="3">
        <v>39358</v>
      </c>
      <c r="M22" s="3">
        <v>39538</v>
      </c>
      <c r="N22" s="3">
        <v>39538</v>
      </c>
      <c r="O22" s="3">
        <v>39538</v>
      </c>
      <c r="P22" s="2" t="s">
        <v>67</v>
      </c>
      <c r="Q22" s="2" t="s">
        <v>68</v>
      </c>
      <c r="R22" s="2" t="s">
        <v>69</v>
      </c>
      <c r="S22" s="2" t="s">
        <v>70</v>
      </c>
      <c r="T22" s="2" t="s">
        <v>71</v>
      </c>
      <c r="U22" s="2">
        <v>30</v>
      </c>
      <c r="V22" s="2">
        <v>140</v>
      </c>
      <c r="W22" s="2">
        <v>3313.8</v>
      </c>
      <c r="X22" s="2">
        <v>23.67</v>
      </c>
      <c r="Y22" s="2">
        <v>0.79</v>
      </c>
      <c r="Z22" s="2">
        <v>6</v>
      </c>
      <c r="AB22">
        <v>1</v>
      </c>
      <c r="AC22">
        <v>2008</v>
      </c>
      <c r="AE22" s="2">
        <v>110.60000000000001</v>
      </c>
    </row>
    <row r="23" spans="2:31" ht="14.5">
      <c r="B23" s="2">
        <v>3294</v>
      </c>
      <c r="C23" s="2" t="s">
        <v>129</v>
      </c>
      <c r="D23" s="2" t="s">
        <v>130</v>
      </c>
      <c r="E23" s="2" t="s">
        <v>118</v>
      </c>
      <c r="F23" s="2" t="s">
        <v>29</v>
      </c>
      <c r="G23" s="2" t="s">
        <v>30</v>
      </c>
      <c r="H23" s="2" t="s">
        <v>51</v>
      </c>
      <c r="I23" s="2" t="s">
        <v>32</v>
      </c>
      <c r="J23" s="2" t="s">
        <v>52</v>
      </c>
      <c r="K23" s="2" t="s">
        <v>34</v>
      </c>
      <c r="L23" s="3">
        <v>39647</v>
      </c>
      <c r="M23" s="3">
        <v>39700</v>
      </c>
      <c r="N23" s="3">
        <v>39700</v>
      </c>
      <c r="O23" s="3">
        <v>39700</v>
      </c>
      <c r="P23" s="2" t="s">
        <v>67</v>
      </c>
      <c r="Q23" s="2" t="s">
        <v>68</v>
      </c>
      <c r="R23" s="2" t="s">
        <v>69</v>
      </c>
      <c r="S23" s="2" t="s">
        <v>70</v>
      </c>
      <c r="T23" s="2" t="s">
        <v>71</v>
      </c>
      <c r="U23" s="2">
        <v>30</v>
      </c>
      <c r="V23" s="2">
        <v>50</v>
      </c>
      <c r="W23" s="2">
        <v>1183.5</v>
      </c>
      <c r="X23" s="2">
        <v>23.67</v>
      </c>
      <c r="Y23" s="2">
        <v>0.79</v>
      </c>
      <c r="Z23" s="2">
        <v>2</v>
      </c>
      <c r="AA23" s="2">
        <v>330</v>
      </c>
      <c r="AB23">
        <v>1</v>
      </c>
      <c r="AC23">
        <v>2008</v>
      </c>
      <c r="AE23" s="2">
        <v>39.5</v>
      </c>
    </row>
    <row r="24" spans="2:31" ht="14.5">
      <c r="B24" s="2">
        <v>3470</v>
      </c>
      <c r="C24" s="2" t="s">
        <v>131</v>
      </c>
      <c r="D24" s="2" t="s">
        <v>132</v>
      </c>
      <c r="E24" s="2" t="s">
        <v>118</v>
      </c>
      <c r="F24" s="2" t="s">
        <v>29</v>
      </c>
      <c r="G24" s="2" t="s">
        <v>30</v>
      </c>
      <c r="H24" s="2" t="s">
        <v>51</v>
      </c>
      <c r="I24" s="2" t="s">
        <v>32</v>
      </c>
      <c r="J24" s="2" t="s">
        <v>52</v>
      </c>
      <c r="K24" s="2" t="s">
        <v>34</v>
      </c>
      <c r="L24" s="3">
        <v>39738</v>
      </c>
      <c r="M24" s="3">
        <v>39791</v>
      </c>
      <c r="N24" s="3">
        <v>39791</v>
      </c>
      <c r="O24" s="3">
        <v>39791</v>
      </c>
      <c r="P24" s="2" t="s">
        <v>119</v>
      </c>
      <c r="Q24" s="2" t="s">
        <v>68</v>
      </c>
      <c r="R24" s="2" t="s">
        <v>69</v>
      </c>
      <c r="S24" s="2" t="s">
        <v>120</v>
      </c>
      <c r="T24" s="2" t="s">
        <v>71</v>
      </c>
      <c r="U24" s="2">
        <v>30</v>
      </c>
      <c r="V24" s="2">
        <v>50</v>
      </c>
      <c r="W24" s="2">
        <v>917</v>
      </c>
      <c r="X24" s="2">
        <v>18.34</v>
      </c>
      <c r="Y24" s="2">
        <v>0.61</v>
      </c>
      <c r="Z24" s="2">
        <v>2</v>
      </c>
      <c r="AA24" s="2">
        <v>378</v>
      </c>
      <c r="AB24">
        <v>1</v>
      </c>
      <c r="AC24">
        <v>2008</v>
      </c>
      <c r="AE24" s="2">
        <v>30.5</v>
      </c>
    </row>
    <row r="25" spans="2:31" ht="14.5">
      <c r="B25" s="2">
        <v>3828</v>
      </c>
      <c r="C25" s="2" t="s">
        <v>133</v>
      </c>
      <c r="D25" s="2" t="s">
        <v>134</v>
      </c>
      <c r="E25" s="2" t="s">
        <v>42</v>
      </c>
      <c r="F25" s="2" t="s">
        <v>29</v>
      </c>
      <c r="G25" s="2" t="s">
        <v>30</v>
      </c>
      <c r="H25" s="2" t="s">
        <v>109</v>
      </c>
      <c r="I25" s="2" t="s">
        <v>32</v>
      </c>
      <c r="J25" s="2" t="s">
        <v>52</v>
      </c>
      <c r="K25" s="2" t="s">
        <v>34</v>
      </c>
      <c r="L25" s="3">
        <v>39918</v>
      </c>
      <c r="M25" s="3">
        <v>40077</v>
      </c>
      <c r="N25" s="3">
        <v>40077</v>
      </c>
      <c r="O25" s="3">
        <v>40077</v>
      </c>
      <c r="P25" s="2" t="s">
        <v>112</v>
      </c>
      <c r="Q25" s="2" t="s">
        <v>113</v>
      </c>
      <c r="R25" s="2" t="s">
        <v>37</v>
      </c>
      <c r="S25" s="2" t="s">
        <v>114</v>
      </c>
      <c r="T25" s="2" t="s">
        <v>47</v>
      </c>
      <c r="U25" s="2">
        <v>60</v>
      </c>
      <c r="V25" s="2">
        <v>54432</v>
      </c>
      <c r="W25" s="2">
        <v>641753.28</v>
      </c>
      <c r="X25" s="2">
        <v>11.79</v>
      </c>
      <c r="Y25" s="2">
        <v>0.2</v>
      </c>
      <c r="Z25" s="2">
        <v>7278</v>
      </c>
      <c r="AA25" s="2">
        <v>61925.7</v>
      </c>
      <c r="AB25">
        <v>1</v>
      </c>
      <c r="AC25">
        <v>2009</v>
      </c>
      <c r="AE25" s="2">
        <v>10886.400000000001</v>
      </c>
    </row>
    <row r="26" spans="2:31" ht="14.5">
      <c r="B26" s="2">
        <v>3955</v>
      </c>
      <c r="C26" s="2" t="s">
        <v>135</v>
      </c>
      <c r="D26" s="2" t="s">
        <v>136</v>
      </c>
      <c r="E26" s="2" t="s">
        <v>118</v>
      </c>
      <c r="F26" s="2" t="s">
        <v>29</v>
      </c>
      <c r="G26" s="2" t="s">
        <v>30</v>
      </c>
      <c r="H26" s="2" t="s">
        <v>31</v>
      </c>
      <c r="I26" s="2" t="s">
        <v>32</v>
      </c>
      <c r="J26" s="2" t="s">
        <v>33</v>
      </c>
      <c r="K26" s="2" t="s">
        <v>34</v>
      </c>
      <c r="L26" s="3"/>
      <c r="M26" s="3">
        <v>39072</v>
      </c>
      <c r="N26" s="3">
        <v>39072</v>
      </c>
      <c r="O26" s="3">
        <v>39072</v>
      </c>
      <c r="P26" s="2" t="s">
        <v>44</v>
      </c>
      <c r="Q26" s="2" t="s">
        <v>45</v>
      </c>
      <c r="R26" s="2" t="s">
        <v>37</v>
      </c>
      <c r="S26" s="2" t="s">
        <v>46</v>
      </c>
      <c r="T26" s="2" t="s">
        <v>47</v>
      </c>
      <c r="U26" s="2">
        <v>60</v>
      </c>
      <c r="V26" s="2">
        <v>5080</v>
      </c>
      <c r="W26" s="2">
        <v>55880</v>
      </c>
      <c r="X26" s="2">
        <v>11</v>
      </c>
      <c r="Y26" s="2">
        <v>0.18</v>
      </c>
      <c r="Z26" s="2">
        <v>1172</v>
      </c>
      <c r="AA26" s="2">
        <v>5595.44</v>
      </c>
      <c r="AB26">
        <v>1</v>
      </c>
      <c r="AC26">
        <v>2006</v>
      </c>
      <c r="AE26" s="2">
        <v>914.4</v>
      </c>
    </row>
    <row r="27" spans="2:31" ht="14.5">
      <c r="B27" s="2">
        <v>4193</v>
      </c>
      <c r="C27" s="2" t="s">
        <v>137</v>
      </c>
      <c r="D27" s="2" t="s">
        <v>138</v>
      </c>
      <c r="E27" s="2" t="s">
        <v>42</v>
      </c>
      <c r="F27" s="2" t="s">
        <v>29</v>
      </c>
      <c r="G27" s="2" t="s">
        <v>30</v>
      </c>
      <c r="H27" s="2" t="s">
        <v>43</v>
      </c>
      <c r="I27" s="2" t="s">
        <v>32</v>
      </c>
      <c r="J27" s="2" t="s">
        <v>52</v>
      </c>
      <c r="K27" s="2" t="s">
        <v>34</v>
      </c>
      <c r="L27" s="3">
        <v>39407</v>
      </c>
      <c r="M27" s="3">
        <v>39566</v>
      </c>
      <c r="N27" s="3">
        <v>39560</v>
      </c>
      <c r="O27" s="3">
        <v>39560</v>
      </c>
      <c r="P27" s="2" t="s">
        <v>139</v>
      </c>
      <c r="Q27" s="2" t="s">
        <v>140</v>
      </c>
      <c r="R27" s="2" t="s">
        <v>37</v>
      </c>
      <c r="S27" s="2" t="s">
        <v>141</v>
      </c>
      <c r="T27" s="2" t="s">
        <v>47</v>
      </c>
      <c r="U27" s="2">
        <v>60</v>
      </c>
      <c r="V27" s="2">
        <v>38784</v>
      </c>
      <c r="W27" s="2">
        <v>271488</v>
      </c>
      <c r="X27" s="2">
        <v>7</v>
      </c>
      <c r="Y27" s="2">
        <v>0.12</v>
      </c>
      <c r="Z27" s="2">
        <v>4124</v>
      </c>
      <c r="AA27" s="2">
        <v>10500</v>
      </c>
      <c r="AB27">
        <v>1</v>
      </c>
      <c r="AC27">
        <v>2008</v>
      </c>
      <c r="AE27" s="2">
        <v>4654.08</v>
      </c>
    </row>
    <row r="28" spans="2:31" ht="14.5">
      <c r="B28" s="2">
        <v>4567</v>
      </c>
      <c r="C28" s="2" t="s">
        <v>142</v>
      </c>
      <c r="D28" s="2" t="s">
        <v>143</v>
      </c>
      <c r="E28" s="2" t="s">
        <v>28</v>
      </c>
      <c r="F28" s="2" t="s">
        <v>29</v>
      </c>
      <c r="G28" s="2" t="s">
        <v>30</v>
      </c>
      <c r="H28" s="2" t="s">
        <v>51</v>
      </c>
      <c r="I28" s="2" t="s">
        <v>32</v>
      </c>
      <c r="J28" s="2" t="s">
        <v>52</v>
      </c>
      <c r="K28" s="2" t="s">
        <v>34</v>
      </c>
      <c r="L28" s="3">
        <v>39583</v>
      </c>
      <c r="M28" s="3">
        <v>39755</v>
      </c>
      <c r="N28" s="3">
        <v>39755</v>
      </c>
      <c r="O28" s="3">
        <v>39755</v>
      </c>
      <c r="P28" s="2" t="s">
        <v>67</v>
      </c>
      <c r="Q28" s="2" t="s">
        <v>68</v>
      </c>
      <c r="R28" s="2" t="s">
        <v>69</v>
      </c>
      <c r="S28" s="2" t="s">
        <v>70</v>
      </c>
      <c r="T28" s="2" t="s">
        <v>71</v>
      </c>
      <c r="U28" s="2">
        <v>30</v>
      </c>
      <c r="V28" s="2">
        <v>2597</v>
      </c>
      <c r="W28" s="2">
        <v>61470.99</v>
      </c>
      <c r="X28" s="2">
        <v>23.67</v>
      </c>
      <c r="Y28" s="2">
        <v>0.79</v>
      </c>
      <c r="AB28">
        <v>1</v>
      </c>
      <c r="AC28">
        <v>2008</v>
      </c>
      <c r="AE28" s="2">
        <v>2051.63</v>
      </c>
    </row>
    <row r="29" spans="2:31" ht="14.5">
      <c r="B29" s="2">
        <v>4709</v>
      </c>
      <c r="C29" s="2" t="s">
        <v>144</v>
      </c>
      <c r="D29" s="2" t="s">
        <v>145</v>
      </c>
      <c r="E29" s="2" t="s">
        <v>42</v>
      </c>
      <c r="F29" s="2" t="s">
        <v>29</v>
      </c>
      <c r="G29" s="2" t="s">
        <v>30</v>
      </c>
      <c r="H29" s="2" t="s">
        <v>43</v>
      </c>
      <c r="I29" s="2" t="s">
        <v>32</v>
      </c>
      <c r="J29" s="2" t="s">
        <v>52</v>
      </c>
      <c r="K29" s="2" t="s">
        <v>34</v>
      </c>
      <c r="L29" s="3">
        <v>39742</v>
      </c>
      <c r="M29" s="3">
        <v>39882</v>
      </c>
      <c r="N29" s="3">
        <v>39882</v>
      </c>
      <c r="O29" s="3">
        <v>39882</v>
      </c>
      <c r="P29" s="2" t="s">
        <v>44</v>
      </c>
      <c r="Q29" s="2" t="s">
        <v>45</v>
      </c>
      <c r="R29" s="2" t="s">
        <v>37</v>
      </c>
      <c r="S29" s="2" t="s">
        <v>46</v>
      </c>
      <c r="T29" s="2" t="s">
        <v>47</v>
      </c>
      <c r="U29" s="2">
        <v>60</v>
      </c>
      <c r="V29" s="2">
        <v>18560</v>
      </c>
      <c r="W29" s="2">
        <v>168896</v>
      </c>
      <c r="X29" s="2">
        <v>9.1</v>
      </c>
      <c r="Y29" s="2">
        <v>0.15</v>
      </c>
      <c r="Z29" s="2">
        <v>1698</v>
      </c>
      <c r="AA29" s="2">
        <v>16414.22</v>
      </c>
      <c r="AB29">
        <v>1</v>
      </c>
      <c r="AC29">
        <v>2009</v>
      </c>
      <c r="AE29" s="2">
        <v>2784</v>
      </c>
    </row>
    <row r="30" spans="2:31" ht="14.5">
      <c r="B30" s="2">
        <v>4824</v>
      </c>
      <c r="C30" s="2" t="s">
        <v>146</v>
      </c>
      <c r="D30" s="2" t="s">
        <v>147</v>
      </c>
      <c r="E30" s="2" t="s">
        <v>28</v>
      </c>
      <c r="F30" s="2" t="s">
        <v>29</v>
      </c>
      <c r="G30" s="2" t="s">
        <v>30</v>
      </c>
      <c r="H30" s="2" t="s">
        <v>74</v>
      </c>
      <c r="I30" s="2" t="s">
        <v>32</v>
      </c>
      <c r="J30" s="2" t="s">
        <v>52</v>
      </c>
      <c r="K30" s="2" t="s">
        <v>34</v>
      </c>
      <c r="L30" s="3">
        <v>39812</v>
      </c>
      <c r="M30" s="3">
        <v>39979</v>
      </c>
      <c r="N30" s="3">
        <v>39979</v>
      </c>
      <c r="O30" s="3">
        <v>39979</v>
      </c>
      <c r="P30" s="2" t="s">
        <v>75</v>
      </c>
      <c r="Q30" s="2" t="s">
        <v>76</v>
      </c>
      <c r="R30" s="2" t="s">
        <v>77</v>
      </c>
      <c r="S30" s="2" t="s">
        <v>78</v>
      </c>
      <c r="T30" s="2" t="s">
        <v>47</v>
      </c>
      <c r="U30" s="2">
        <v>30</v>
      </c>
      <c r="V30" s="2">
        <v>24963</v>
      </c>
      <c r="W30" s="2">
        <v>1258135.2</v>
      </c>
      <c r="X30" s="2">
        <v>50.4</v>
      </c>
      <c r="Y30" s="2">
        <v>1.68</v>
      </c>
      <c r="Z30" s="2">
        <v>2462</v>
      </c>
      <c r="AA30" s="2">
        <v>3451.41</v>
      </c>
      <c r="AB30">
        <v>1</v>
      </c>
      <c r="AC30">
        <v>2009</v>
      </c>
      <c r="AE30" s="2">
        <v>41937.839999999997</v>
      </c>
    </row>
    <row r="31" spans="2:31" ht="14.5">
      <c r="B31" s="2">
        <v>4949</v>
      </c>
      <c r="C31" s="2" t="s">
        <v>148</v>
      </c>
      <c r="D31" s="2" t="s">
        <v>149</v>
      </c>
      <c r="E31" s="2" t="s">
        <v>28</v>
      </c>
      <c r="F31" s="2" t="s">
        <v>29</v>
      </c>
      <c r="G31" s="2" t="s">
        <v>30</v>
      </c>
      <c r="H31" s="2" t="s">
        <v>81</v>
      </c>
      <c r="I31" s="2" t="s">
        <v>32</v>
      </c>
      <c r="J31" s="2" t="s">
        <v>82</v>
      </c>
      <c r="K31" s="2" t="s">
        <v>34</v>
      </c>
      <c r="L31" s="3">
        <v>39849</v>
      </c>
      <c r="M31" s="3">
        <v>40036</v>
      </c>
      <c r="N31" s="3">
        <v>40036</v>
      </c>
      <c r="O31" s="3">
        <v>40036</v>
      </c>
      <c r="P31" s="2" t="s">
        <v>150</v>
      </c>
      <c r="Q31" s="2" t="s">
        <v>84</v>
      </c>
      <c r="R31" s="2" t="s">
        <v>151</v>
      </c>
      <c r="S31" s="2" t="s">
        <v>152</v>
      </c>
      <c r="T31" s="2" t="s">
        <v>39</v>
      </c>
      <c r="U31" s="2">
        <v>120</v>
      </c>
      <c r="V31" s="2">
        <v>10680</v>
      </c>
      <c r="W31" s="2">
        <v>438948</v>
      </c>
      <c r="X31" s="2">
        <v>41.1</v>
      </c>
      <c r="Y31" s="2">
        <v>0.34</v>
      </c>
      <c r="Z31" s="2">
        <v>2724</v>
      </c>
      <c r="AA31" s="2">
        <v>12620.12</v>
      </c>
      <c r="AB31">
        <v>1</v>
      </c>
      <c r="AC31">
        <v>2009</v>
      </c>
      <c r="AE31" s="2">
        <v>3631.2000000000003</v>
      </c>
    </row>
    <row r="32" spans="2:31" ht="14.5">
      <c r="B32" s="2">
        <v>5113</v>
      </c>
      <c r="C32" s="2" t="s">
        <v>153</v>
      </c>
      <c r="D32" s="2" t="s">
        <v>154</v>
      </c>
      <c r="E32" s="2" t="s">
        <v>42</v>
      </c>
      <c r="F32" s="2" t="s">
        <v>29</v>
      </c>
      <c r="G32" s="2" t="s">
        <v>30</v>
      </c>
      <c r="H32" s="2" t="s">
        <v>94</v>
      </c>
      <c r="I32" s="2" t="s">
        <v>32</v>
      </c>
      <c r="J32" s="2" t="s">
        <v>52</v>
      </c>
      <c r="K32" s="2" t="s">
        <v>34</v>
      </c>
      <c r="L32" s="3">
        <v>40009</v>
      </c>
      <c r="M32" s="3">
        <v>40037</v>
      </c>
      <c r="N32" s="3">
        <v>40037</v>
      </c>
      <c r="O32" s="3">
        <v>40037</v>
      </c>
      <c r="P32" s="2" t="s">
        <v>95</v>
      </c>
      <c r="Q32" s="2" t="s">
        <v>96</v>
      </c>
      <c r="R32" s="2" t="s">
        <v>37</v>
      </c>
      <c r="S32" s="2" t="s">
        <v>97</v>
      </c>
      <c r="T32" s="2" t="s">
        <v>39</v>
      </c>
      <c r="U32" s="2">
        <v>30</v>
      </c>
      <c r="V32" s="2">
        <v>28034</v>
      </c>
      <c r="W32" s="2">
        <v>195677.32</v>
      </c>
      <c r="X32" s="2">
        <v>6.98</v>
      </c>
      <c r="Y32" s="2">
        <v>0.23</v>
      </c>
      <c r="Z32" s="2">
        <v>2268</v>
      </c>
      <c r="AA32" s="2">
        <v>19023.36</v>
      </c>
      <c r="AB32">
        <v>1</v>
      </c>
      <c r="AC32">
        <v>2009</v>
      </c>
      <c r="AE32" s="2">
        <v>6447.8200000000006</v>
      </c>
    </row>
    <row r="33" spans="2:31" ht="14.5">
      <c r="B33" s="2">
        <v>5175</v>
      </c>
      <c r="C33" s="2" t="s">
        <v>155</v>
      </c>
      <c r="D33" s="2" t="s">
        <v>156</v>
      </c>
      <c r="E33" s="2" t="s">
        <v>28</v>
      </c>
      <c r="F33" s="2" t="s">
        <v>29</v>
      </c>
      <c r="G33" s="2" t="s">
        <v>30</v>
      </c>
      <c r="H33" s="2" t="s">
        <v>157</v>
      </c>
      <c r="I33" s="2" t="s">
        <v>32</v>
      </c>
      <c r="J33" s="2" t="s">
        <v>82</v>
      </c>
      <c r="K33" s="2" t="s">
        <v>34</v>
      </c>
      <c r="L33" s="3">
        <v>39961</v>
      </c>
      <c r="M33" s="3">
        <v>40024</v>
      </c>
      <c r="N33" s="3">
        <v>40024</v>
      </c>
      <c r="O33" s="3">
        <v>40024</v>
      </c>
      <c r="P33" s="2" t="s">
        <v>158</v>
      </c>
      <c r="Q33" s="2" t="s">
        <v>159</v>
      </c>
      <c r="R33" s="2" t="s">
        <v>160</v>
      </c>
      <c r="S33" s="2" t="s">
        <v>38</v>
      </c>
      <c r="T33" s="2" t="s">
        <v>64</v>
      </c>
      <c r="U33" s="2">
        <v>270</v>
      </c>
      <c r="V33" s="2">
        <v>820</v>
      </c>
      <c r="W33" s="2">
        <v>73074.13</v>
      </c>
      <c r="X33" s="2">
        <v>89.11</v>
      </c>
      <c r="Y33" s="2">
        <v>0.33</v>
      </c>
      <c r="Z33" s="2">
        <v>424</v>
      </c>
      <c r="AA33" s="2">
        <v>3310.89</v>
      </c>
      <c r="AB33">
        <v>1</v>
      </c>
      <c r="AC33">
        <v>2009</v>
      </c>
      <c r="AE33" s="2">
        <v>270.60000000000002</v>
      </c>
    </row>
    <row r="34" spans="2:31" ht="14.5">
      <c r="B34" s="2">
        <v>5277</v>
      </c>
      <c r="C34" s="2" t="s">
        <v>161</v>
      </c>
      <c r="D34" s="2" t="s">
        <v>162</v>
      </c>
      <c r="E34" s="2" t="s">
        <v>118</v>
      </c>
      <c r="F34" s="2" t="s">
        <v>29</v>
      </c>
      <c r="G34" s="2" t="s">
        <v>30</v>
      </c>
      <c r="H34" s="2" t="s">
        <v>163</v>
      </c>
      <c r="I34" s="2" t="s">
        <v>32</v>
      </c>
      <c r="J34" s="2" t="s">
        <v>33</v>
      </c>
      <c r="K34" s="2" t="s">
        <v>34</v>
      </c>
      <c r="L34" s="3"/>
      <c r="M34" s="3">
        <v>39073</v>
      </c>
      <c r="N34" s="3">
        <v>39073</v>
      </c>
      <c r="O34" s="3">
        <v>39073</v>
      </c>
      <c r="P34" s="2" t="s">
        <v>164</v>
      </c>
      <c r="Q34" s="2" t="s">
        <v>165</v>
      </c>
      <c r="R34" s="2" t="s">
        <v>37</v>
      </c>
      <c r="S34" s="2" t="s">
        <v>166</v>
      </c>
      <c r="T34" s="2" t="s">
        <v>39</v>
      </c>
      <c r="U34" s="2">
        <v>60</v>
      </c>
      <c r="V34" s="2">
        <v>6349</v>
      </c>
      <c r="W34" s="2">
        <v>21269.15</v>
      </c>
      <c r="X34" s="2">
        <v>3.35</v>
      </c>
      <c r="Y34" s="2">
        <v>0.06</v>
      </c>
      <c r="Z34" s="2">
        <v>369</v>
      </c>
      <c r="AA34" s="2">
        <v>2623.49</v>
      </c>
      <c r="AB34">
        <v>1</v>
      </c>
      <c r="AC34">
        <v>2006</v>
      </c>
      <c r="AE34" s="2">
        <v>380.94</v>
      </c>
    </row>
    <row r="35" spans="2:31" ht="14.5">
      <c r="B35" s="2">
        <v>5905</v>
      </c>
      <c r="C35" s="2" t="s">
        <v>167</v>
      </c>
      <c r="D35" s="2" t="s">
        <v>168</v>
      </c>
      <c r="E35" s="2" t="s">
        <v>28</v>
      </c>
      <c r="F35" s="2" t="s">
        <v>29</v>
      </c>
      <c r="G35" s="2" t="s">
        <v>50</v>
      </c>
      <c r="H35" s="2" t="s">
        <v>169</v>
      </c>
      <c r="I35" s="2" t="s">
        <v>32</v>
      </c>
      <c r="J35" s="2" t="s">
        <v>52</v>
      </c>
      <c r="K35" s="2" t="s">
        <v>34</v>
      </c>
      <c r="L35" s="3">
        <v>39633</v>
      </c>
      <c r="M35" s="3">
        <v>39699</v>
      </c>
      <c r="N35" s="3">
        <v>39699</v>
      </c>
      <c r="O35" s="3">
        <v>39699</v>
      </c>
      <c r="P35" s="2" t="s">
        <v>170</v>
      </c>
      <c r="Q35" s="2" t="s">
        <v>99</v>
      </c>
      <c r="R35" s="2" t="s">
        <v>171</v>
      </c>
      <c r="S35" s="2" t="s">
        <v>172</v>
      </c>
      <c r="T35" s="2" t="s">
        <v>87</v>
      </c>
      <c r="U35" s="2">
        <v>240</v>
      </c>
      <c r="V35" s="2">
        <v>132</v>
      </c>
      <c r="W35" s="2">
        <v>1990.56</v>
      </c>
      <c r="X35" s="2">
        <v>15.08</v>
      </c>
      <c r="Y35" s="2">
        <v>0.06</v>
      </c>
      <c r="Z35" s="2">
        <v>65</v>
      </c>
      <c r="AA35" s="2">
        <v>633</v>
      </c>
      <c r="AB35">
        <v>1</v>
      </c>
      <c r="AC35">
        <v>2008</v>
      </c>
      <c r="AE35" s="2">
        <v>7.92</v>
      </c>
    </row>
    <row r="36" spans="2:31" ht="14.5">
      <c r="B36" s="2">
        <v>6621</v>
      </c>
      <c r="C36" s="2" t="s">
        <v>135</v>
      </c>
      <c r="D36" s="2" t="s">
        <v>136</v>
      </c>
      <c r="E36" s="2" t="s">
        <v>118</v>
      </c>
      <c r="F36" s="2" t="s">
        <v>29</v>
      </c>
      <c r="G36" s="2" t="s">
        <v>30</v>
      </c>
      <c r="H36" s="2" t="s">
        <v>31</v>
      </c>
      <c r="I36" s="2" t="s">
        <v>32</v>
      </c>
      <c r="J36" s="2" t="s">
        <v>33</v>
      </c>
      <c r="K36" s="2" t="s">
        <v>34</v>
      </c>
      <c r="L36" s="3"/>
      <c r="M36" s="3">
        <v>39072</v>
      </c>
      <c r="N36" s="3">
        <v>39072</v>
      </c>
      <c r="O36" s="3">
        <v>39072</v>
      </c>
      <c r="P36" s="2" t="s">
        <v>61</v>
      </c>
      <c r="Q36" s="2" t="s">
        <v>62</v>
      </c>
      <c r="R36" s="2" t="s">
        <v>37</v>
      </c>
      <c r="S36" s="2" t="s">
        <v>63</v>
      </c>
      <c r="T36" s="2" t="s">
        <v>64</v>
      </c>
      <c r="U36" s="2">
        <v>60</v>
      </c>
      <c r="V36" s="2">
        <v>6349</v>
      </c>
      <c r="W36" s="2">
        <v>12380.55</v>
      </c>
      <c r="X36" s="2">
        <v>1.95</v>
      </c>
      <c r="Y36" s="2">
        <v>0.03</v>
      </c>
      <c r="AB36">
        <v>1</v>
      </c>
      <c r="AC36">
        <v>2006</v>
      </c>
      <c r="AE36" s="2">
        <v>190.47</v>
      </c>
    </row>
    <row r="37" spans="2:31" ht="14.5">
      <c r="B37" s="2">
        <v>6622</v>
      </c>
      <c r="C37" s="2" t="s">
        <v>173</v>
      </c>
      <c r="D37" s="2" t="s">
        <v>174</v>
      </c>
      <c r="E37" s="2" t="s">
        <v>118</v>
      </c>
      <c r="F37" s="2" t="s">
        <v>29</v>
      </c>
      <c r="G37" s="2" t="s">
        <v>30</v>
      </c>
      <c r="H37" s="2" t="s">
        <v>175</v>
      </c>
      <c r="I37" s="2" t="s">
        <v>32</v>
      </c>
      <c r="J37" s="2" t="s">
        <v>33</v>
      </c>
      <c r="K37" s="2" t="s">
        <v>34</v>
      </c>
      <c r="L37" s="3"/>
      <c r="M37" s="3">
        <v>39084</v>
      </c>
      <c r="N37" s="3">
        <v>39084</v>
      </c>
      <c r="O37" s="3">
        <v>39084</v>
      </c>
      <c r="P37" s="2" t="s">
        <v>35</v>
      </c>
      <c r="Q37" s="2" t="s">
        <v>36</v>
      </c>
      <c r="R37" s="2" t="s">
        <v>37</v>
      </c>
      <c r="S37" s="2" t="s">
        <v>38</v>
      </c>
      <c r="T37" s="2" t="s">
        <v>39</v>
      </c>
      <c r="U37" s="2">
        <v>60</v>
      </c>
      <c r="V37" s="2">
        <v>6349</v>
      </c>
      <c r="W37" s="2">
        <v>21586.6</v>
      </c>
      <c r="X37" s="2">
        <v>3.4</v>
      </c>
      <c r="Y37" s="2">
        <v>0.06</v>
      </c>
      <c r="Z37" s="2">
        <v>355</v>
      </c>
      <c r="AA37" s="2">
        <v>3181.2</v>
      </c>
      <c r="AB37">
        <v>1</v>
      </c>
      <c r="AC37">
        <v>2007</v>
      </c>
      <c r="AE37" s="2">
        <v>380.94</v>
      </c>
    </row>
    <row r="38" spans="2:31" ht="14.5">
      <c r="B38" s="2">
        <v>6705</v>
      </c>
      <c r="C38" s="2" t="s">
        <v>176</v>
      </c>
      <c r="D38" s="2" t="s">
        <v>177</v>
      </c>
      <c r="E38" s="2" t="s">
        <v>42</v>
      </c>
      <c r="F38" s="2" t="s">
        <v>29</v>
      </c>
      <c r="G38" s="2" t="s">
        <v>50</v>
      </c>
      <c r="H38" s="2" t="s">
        <v>51</v>
      </c>
      <c r="I38" s="2" t="s">
        <v>32</v>
      </c>
      <c r="J38" s="2" t="s">
        <v>52</v>
      </c>
      <c r="K38" s="2" t="s">
        <v>34</v>
      </c>
      <c r="L38" s="3">
        <v>39280</v>
      </c>
      <c r="M38" s="3">
        <v>39339</v>
      </c>
      <c r="N38" s="3">
        <v>39339</v>
      </c>
      <c r="O38" s="3">
        <v>39339</v>
      </c>
      <c r="P38" s="2" t="s">
        <v>178</v>
      </c>
      <c r="Q38" s="2" t="s">
        <v>54</v>
      </c>
      <c r="R38" s="2" t="s">
        <v>55</v>
      </c>
      <c r="S38" s="2" t="s">
        <v>179</v>
      </c>
      <c r="T38" s="2" t="s">
        <v>180</v>
      </c>
      <c r="U38" s="2">
        <v>60</v>
      </c>
      <c r="V38" s="2">
        <v>182</v>
      </c>
      <c r="W38" s="2">
        <v>1729</v>
      </c>
      <c r="X38" s="2">
        <v>9.5</v>
      </c>
      <c r="Y38" s="2">
        <v>0.16</v>
      </c>
      <c r="Z38" s="2">
        <v>40</v>
      </c>
      <c r="AA38" s="2">
        <v>86.4</v>
      </c>
      <c r="AB38">
        <v>1</v>
      </c>
      <c r="AC38">
        <v>2007</v>
      </c>
      <c r="AE38" s="2">
        <v>29.12</v>
      </c>
    </row>
    <row r="39" spans="2:31" ht="14.5">
      <c r="B39" s="2">
        <v>6837</v>
      </c>
      <c r="C39" s="2" t="s">
        <v>101</v>
      </c>
      <c r="D39" s="2" t="s">
        <v>102</v>
      </c>
      <c r="E39" s="2" t="s">
        <v>42</v>
      </c>
      <c r="F39" s="2" t="s">
        <v>29</v>
      </c>
      <c r="G39" s="2" t="s">
        <v>30</v>
      </c>
      <c r="H39" s="2" t="s">
        <v>103</v>
      </c>
      <c r="I39" s="2" t="s">
        <v>32</v>
      </c>
      <c r="J39" s="2" t="s">
        <v>33</v>
      </c>
      <c r="K39" s="2" t="s">
        <v>34</v>
      </c>
      <c r="L39" s="3">
        <v>39398</v>
      </c>
      <c r="M39" s="3">
        <v>39475</v>
      </c>
      <c r="N39" s="3">
        <v>39475</v>
      </c>
      <c r="O39" s="3">
        <v>39475</v>
      </c>
      <c r="P39" s="2" t="s">
        <v>104</v>
      </c>
      <c r="Q39" s="2" t="s">
        <v>105</v>
      </c>
      <c r="R39" s="2" t="s">
        <v>106</v>
      </c>
      <c r="S39" s="2" t="s">
        <v>100</v>
      </c>
      <c r="T39" s="2" t="s">
        <v>39</v>
      </c>
      <c r="U39" s="2">
        <v>30</v>
      </c>
      <c r="V39" s="2">
        <v>84</v>
      </c>
      <c r="W39" s="2">
        <v>0.84</v>
      </c>
      <c r="X39" s="2">
        <v>0.01</v>
      </c>
      <c r="Y39" s="2">
        <v>0</v>
      </c>
      <c r="AB39">
        <v>1</v>
      </c>
      <c r="AC39">
        <v>2008</v>
      </c>
      <c r="AE39" s="2">
        <v>0</v>
      </c>
    </row>
    <row r="40" spans="2:31" ht="14.5">
      <c r="B40" s="2">
        <v>6848</v>
      </c>
      <c r="C40" s="2" t="s">
        <v>137</v>
      </c>
      <c r="D40" s="2" t="s">
        <v>181</v>
      </c>
      <c r="E40" s="2" t="s">
        <v>42</v>
      </c>
      <c r="F40" s="2" t="s">
        <v>29</v>
      </c>
      <c r="G40" s="2" t="s">
        <v>30</v>
      </c>
      <c r="H40" s="2" t="s">
        <v>43</v>
      </c>
      <c r="I40" s="2" t="s">
        <v>32</v>
      </c>
      <c r="J40" s="2" t="s">
        <v>52</v>
      </c>
      <c r="K40" s="2" t="s">
        <v>34</v>
      </c>
      <c r="L40" s="3">
        <v>39407</v>
      </c>
      <c r="M40" s="3">
        <v>39566</v>
      </c>
      <c r="N40" s="3">
        <v>39560</v>
      </c>
      <c r="O40" s="3">
        <v>39560</v>
      </c>
      <c r="P40" s="2" t="s">
        <v>139</v>
      </c>
      <c r="Q40" s="2" t="s">
        <v>140</v>
      </c>
      <c r="R40" s="2" t="s">
        <v>37</v>
      </c>
      <c r="S40" s="2" t="s">
        <v>141</v>
      </c>
      <c r="T40" s="2" t="s">
        <v>47</v>
      </c>
      <c r="U40" s="2">
        <v>60</v>
      </c>
      <c r="V40" s="2">
        <v>34576</v>
      </c>
      <c r="W40" s="2">
        <v>242032</v>
      </c>
      <c r="X40" s="2">
        <v>7</v>
      </c>
      <c r="Y40" s="2">
        <v>0.12</v>
      </c>
      <c r="Z40" s="2">
        <v>3656</v>
      </c>
      <c r="AA40" s="2">
        <v>10500</v>
      </c>
      <c r="AB40">
        <v>1</v>
      </c>
      <c r="AC40">
        <v>2008</v>
      </c>
      <c r="AE40" s="2">
        <v>4149.12</v>
      </c>
    </row>
    <row r="41" spans="2:31" ht="14.5">
      <c r="B41" s="2">
        <v>6849</v>
      </c>
      <c r="C41" s="2" t="s">
        <v>137</v>
      </c>
      <c r="D41" s="2" t="s">
        <v>182</v>
      </c>
      <c r="E41" s="2" t="s">
        <v>42</v>
      </c>
      <c r="F41" s="2" t="s">
        <v>29</v>
      </c>
      <c r="G41" s="2" t="s">
        <v>30</v>
      </c>
      <c r="H41" s="2" t="s">
        <v>43</v>
      </c>
      <c r="I41" s="2" t="s">
        <v>32</v>
      </c>
      <c r="J41" s="2" t="s">
        <v>52</v>
      </c>
      <c r="K41" s="2" t="s">
        <v>34</v>
      </c>
      <c r="L41" s="3">
        <v>39407</v>
      </c>
      <c r="M41" s="3">
        <v>39566</v>
      </c>
      <c r="N41" s="3">
        <v>39566</v>
      </c>
      <c r="O41" s="3">
        <v>39566</v>
      </c>
      <c r="P41" s="2" t="s">
        <v>139</v>
      </c>
      <c r="Q41" s="2" t="s">
        <v>140</v>
      </c>
      <c r="R41" s="2" t="s">
        <v>37</v>
      </c>
      <c r="S41" s="2" t="s">
        <v>141</v>
      </c>
      <c r="T41" s="2" t="s">
        <v>47</v>
      </c>
      <c r="U41" s="2">
        <v>60</v>
      </c>
      <c r="V41" s="2">
        <v>16640</v>
      </c>
      <c r="W41" s="2">
        <v>116480</v>
      </c>
      <c r="X41" s="2">
        <v>7</v>
      </c>
      <c r="Y41" s="2">
        <v>0.12</v>
      </c>
      <c r="Z41" s="2">
        <v>1766</v>
      </c>
      <c r="AA41" s="2">
        <v>10500</v>
      </c>
      <c r="AB41">
        <v>1</v>
      </c>
      <c r="AC41">
        <v>2008</v>
      </c>
      <c r="AE41" s="2">
        <v>1996.8</v>
      </c>
    </row>
    <row r="42" spans="2:31" ht="14.5">
      <c r="B42" s="2">
        <v>6896</v>
      </c>
      <c r="C42" s="2" t="s">
        <v>183</v>
      </c>
      <c r="D42" s="2" t="s">
        <v>184</v>
      </c>
      <c r="E42" s="2" t="s">
        <v>60</v>
      </c>
      <c r="F42" s="2" t="s">
        <v>29</v>
      </c>
      <c r="G42" s="2" t="s">
        <v>30</v>
      </c>
      <c r="H42" s="2" t="s">
        <v>103</v>
      </c>
      <c r="I42" s="2" t="s">
        <v>32</v>
      </c>
      <c r="J42" s="2" t="s">
        <v>33</v>
      </c>
      <c r="K42" s="2" t="s">
        <v>34</v>
      </c>
      <c r="L42" s="3">
        <v>39450</v>
      </c>
      <c r="M42" s="3">
        <v>39511</v>
      </c>
      <c r="N42" s="3">
        <v>39511</v>
      </c>
      <c r="O42" s="3">
        <v>39511</v>
      </c>
      <c r="P42" s="2" t="s">
        <v>104</v>
      </c>
      <c r="Q42" s="2" t="s">
        <v>105</v>
      </c>
      <c r="R42" s="2" t="s">
        <v>106</v>
      </c>
      <c r="S42" s="2" t="s">
        <v>100</v>
      </c>
      <c r="T42" s="2" t="s">
        <v>39</v>
      </c>
      <c r="U42" s="2">
        <v>30</v>
      </c>
      <c r="V42" s="2">
        <v>14820</v>
      </c>
      <c r="W42" s="2">
        <v>251940</v>
      </c>
      <c r="X42" s="2">
        <v>17</v>
      </c>
      <c r="Y42" s="2">
        <v>0.56999999999999995</v>
      </c>
      <c r="Z42" s="2">
        <v>1233</v>
      </c>
      <c r="AA42" s="2">
        <v>5137.76</v>
      </c>
      <c r="AB42">
        <v>1</v>
      </c>
      <c r="AC42">
        <v>2008</v>
      </c>
      <c r="AE42" s="2">
        <v>8447.4</v>
      </c>
    </row>
    <row r="43" spans="2:31" ht="14.5">
      <c r="B43" s="2">
        <v>6931</v>
      </c>
      <c r="C43" s="2" t="s">
        <v>185</v>
      </c>
      <c r="D43" s="2" t="s">
        <v>186</v>
      </c>
      <c r="E43" s="2" t="s">
        <v>28</v>
      </c>
      <c r="F43" s="2" t="s">
        <v>29</v>
      </c>
      <c r="G43" s="2" t="s">
        <v>50</v>
      </c>
      <c r="H43" s="2" t="s">
        <v>169</v>
      </c>
      <c r="I43" s="2" t="s">
        <v>32</v>
      </c>
      <c r="J43" s="2" t="s">
        <v>52</v>
      </c>
      <c r="K43" s="2" t="s">
        <v>34</v>
      </c>
      <c r="L43" s="3">
        <v>39471</v>
      </c>
      <c r="M43" s="3">
        <v>39576</v>
      </c>
      <c r="N43" s="3">
        <v>39576</v>
      </c>
      <c r="O43" s="3">
        <v>39576</v>
      </c>
      <c r="P43" s="2" t="s">
        <v>170</v>
      </c>
      <c r="Q43" s="2" t="s">
        <v>99</v>
      </c>
      <c r="R43" s="2" t="s">
        <v>171</v>
      </c>
      <c r="S43" s="2" t="s">
        <v>172</v>
      </c>
      <c r="T43" s="2" t="s">
        <v>87</v>
      </c>
      <c r="U43" s="2">
        <v>240</v>
      </c>
      <c r="V43" s="2">
        <v>132</v>
      </c>
      <c r="W43" s="2">
        <v>3300</v>
      </c>
      <c r="X43" s="2">
        <v>25</v>
      </c>
      <c r="Y43" s="2">
        <v>0.1</v>
      </c>
      <c r="AB43">
        <v>1</v>
      </c>
      <c r="AC43">
        <v>2008</v>
      </c>
      <c r="AE43" s="2">
        <v>13.200000000000001</v>
      </c>
    </row>
    <row r="44" spans="2:31" ht="14.5">
      <c r="B44" s="2">
        <v>7201</v>
      </c>
      <c r="C44" s="2" t="s">
        <v>187</v>
      </c>
      <c r="D44" s="2" t="s">
        <v>188</v>
      </c>
      <c r="E44" s="2" t="s">
        <v>42</v>
      </c>
      <c r="F44" s="2" t="s">
        <v>29</v>
      </c>
      <c r="G44" s="2" t="s">
        <v>30</v>
      </c>
      <c r="H44" s="2" t="s">
        <v>31</v>
      </c>
      <c r="I44" s="2" t="s">
        <v>32</v>
      </c>
      <c r="J44" s="2" t="s">
        <v>52</v>
      </c>
      <c r="K44" s="2" t="s">
        <v>34</v>
      </c>
      <c r="L44" s="3">
        <v>39612</v>
      </c>
      <c r="M44" s="3">
        <v>39651</v>
      </c>
      <c r="N44" s="3">
        <v>39651</v>
      </c>
      <c r="O44" s="3">
        <v>39651</v>
      </c>
      <c r="P44" s="2" t="s">
        <v>44</v>
      </c>
      <c r="Q44" s="2" t="s">
        <v>45</v>
      </c>
      <c r="R44" s="2" t="s">
        <v>37</v>
      </c>
      <c r="S44" s="2" t="s">
        <v>46</v>
      </c>
      <c r="T44" s="2" t="s">
        <v>47</v>
      </c>
      <c r="U44" s="2">
        <v>60</v>
      </c>
      <c r="V44" s="2">
        <v>45168</v>
      </c>
      <c r="W44" s="2">
        <v>414642.24</v>
      </c>
      <c r="X44" s="2">
        <v>9.18</v>
      </c>
      <c r="Y44" s="2">
        <v>0.15</v>
      </c>
      <c r="Z44" s="2">
        <v>3953</v>
      </c>
      <c r="AA44" s="2">
        <v>23071.26</v>
      </c>
      <c r="AB44">
        <v>1</v>
      </c>
      <c r="AC44">
        <v>2008</v>
      </c>
      <c r="AE44" s="2">
        <v>6775.2</v>
      </c>
    </row>
    <row r="45" spans="2:31" ht="14.5">
      <c r="B45" s="2">
        <v>7638</v>
      </c>
      <c r="C45" s="2" t="s">
        <v>189</v>
      </c>
      <c r="D45" s="2" t="s">
        <v>190</v>
      </c>
      <c r="E45" s="2" t="s">
        <v>28</v>
      </c>
      <c r="F45" s="2" t="s">
        <v>29</v>
      </c>
      <c r="G45" s="2" t="s">
        <v>30</v>
      </c>
      <c r="H45" s="2" t="s">
        <v>81</v>
      </c>
      <c r="I45" s="2" t="s">
        <v>32</v>
      </c>
      <c r="J45" s="2" t="s">
        <v>82</v>
      </c>
      <c r="K45" s="2" t="s">
        <v>34</v>
      </c>
      <c r="L45" s="3">
        <v>39849</v>
      </c>
      <c r="M45" s="3">
        <v>39960</v>
      </c>
      <c r="N45" s="3">
        <v>39960</v>
      </c>
      <c r="O45" s="3">
        <v>39960</v>
      </c>
      <c r="P45" s="2" t="s">
        <v>150</v>
      </c>
      <c r="Q45" s="2" t="s">
        <v>84</v>
      </c>
      <c r="R45" s="2" t="s">
        <v>151</v>
      </c>
      <c r="S45" s="2" t="s">
        <v>152</v>
      </c>
      <c r="T45" s="2" t="s">
        <v>39</v>
      </c>
      <c r="U45" s="2">
        <v>120</v>
      </c>
      <c r="V45" s="2">
        <v>12560</v>
      </c>
      <c r="W45" s="2">
        <v>516216</v>
      </c>
      <c r="X45" s="2">
        <v>41.1</v>
      </c>
      <c r="Y45" s="2">
        <v>0.34</v>
      </c>
      <c r="Z45" s="2">
        <v>3073</v>
      </c>
      <c r="AA45" s="2">
        <v>12815.42</v>
      </c>
      <c r="AB45">
        <v>1</v>
      </c>
      <c r="AC45">
        <v>2009</v>
      </c>
      <c r="AE45" s="2">
        <v>4270.4000000000005</v>
      </c>
    </row>
    <row r="46" spans="2:31" ht="14.5">
      <c r="B46" s="2">
        <v>7849</v>
      </c>
      <c r="C46" s="2" t="s">
        <v>191</v>
      </c>
      <c r="D46" s="2" t="s">
        <v>192</v>
      </c>
      <c r="E46" s="2" t="s">
        <v>118</v>
      </c>
      <c r="F46" s="2" t="s">
        <v>29</v>
      </c>
      <c r="G46" s="2" t="s">
        <v>30</v>
      </c>
      <c r="H46" s="2" t="s">
        <v>51</v>
      </c>
      <c r="I46" s="2" t="s">
        <v>32</v>
      </c>
      <c r="J46" s="2" t="s">
        <v>52</v>
      </c>
      <c r="K46" s="2" t="s">
        <v>34</v>
      </c>
      <c r="L46" s="3">
        <v>39944</v>
      </c>
      <c r="M46" s="3">
        <v>40000</v>
      </c>
      <c r="N46" s="3">
        <v>40000</v>
      </c>
      <c r="O46" s="3">
        <v>40000</v>
      </c>
      <c r="P46" s="2" t="s">
        <v>119</v>
      </c>
      <c r="Q46" s="2" t="s">
        <v>68</v>
      </c>
      <c r="R46" s="2" t="s">
        <v>69</v>
      </c>
      <c r="S46" s="2" t="s">
        <v>120</v>
      </c>
      <c r="T46" s="2" t="s">
        <v>71</v>
      </c>
      <c r="U46" s="2">
        <v>30</v>
      </c>
      <c r="V46" s="2">
        <v>84</v>
      </c>
      <c r="W46" s="2">
        <v>1540.56</v>
      </c>
      <c r="X46" s="2">
        <v>18.34</v>
      </c>
      <c r="Y46" s="2">
        <v>0.61</v>
      </c>
      <c r="Z46" s="2">
        <v>4</v>
      </c>
      <c r="AA46" s="2">
        <v>390.81</v>
      </c>
      <c r="AB46">
        <v>1</v>
      </c>
      <c r="AC46">
        <v>2009</v>
      </c>
      <c r="AE46" s="2">
        <v>51.24</v>
      </c>
    </row>
    <row r="47" spans="2:31" ht="14.5">
      <c r="B47" s="2">
        <v>7868</v>
      </c>
      <c r="C47" s="2" t="s">
        <v>193</v>
      </c>
      <c r="D47" s="2" t="s">
        <v>194</v>
      </c>
      <c r="E47" s="2" t="s">
        <v>28</v>
      </c>
      <c r="F47" s="2" t="s">
        <v>29</v>
      </c>
      <c r="G47" s="2" t="s">
        <v>30</v>
      </c>
      <c r="H47" s="2" t="s">
        <v>157</v>
      </c>
      <c r="I47" s="2" t="s">
        <v>32</v>
      </c>
      <c r="J47" s="2" t="s">
        <v>82</v>
      </c>
      <c r="K47" s="2" t="s">
        <v>34</v>
      </c>
      <c r="L47" s="3">
        <v>39961</v>
      </c>
      <c r="M47" s="3">
        <v>40081</v>
      </c>
      <c r="N47" s="3">
        <v>40081</v>
      </c>
      <c r="O47" s="3">
        <v>40081</v>
      </c>
      <c r="P47" s="2" t="s">
        <v>158</v>
      </c>
      <c r="Q47" s="2" t="s">
        <v>159</v>
      </c>
      <c r="R47" s="2" t="s">
        <v>160</v>
      </c>
      <c r="S47" s="2" t="s">
        <v>38</v>
      </c>
      <c r="T47" s="2" t="s">
        <v>64</v>
      </c>
      <c r="U47" s="2">
        <v>270</v>
      </c>
      <c r="V47" s="2">
        <v>5178</v>
      </c>
      <c r="W47" s="2">
        <v>461436.41</v>
      </c>
      <c r="X47" s="2">
        <v>89.11</v>
      </c>
      <c r="Y47" s="2">
        <v>0.33</v>
      </c>
      <c r="Z47" s="2">
        <v>2666</v>
      </c>
      <c r="AA47" s="2">
        <v>16751.580000000002</v>
      </c>
      <c r="AB47">
        <v>1</v>
      </c>
      <c r="AC47">
        <v>2009</v>
      </c>
      <c r="AE47" s="2">
        <v>1708.74</v>
      </c>
    </row>
    <row r="48" spans="2:31" ht="14.5">
      <c r="B48" s="2">
        <v>7975</v>
      </c>
      <c r="C48" s="2" t="s">
        <v>195</v>
      </c>
      <c r="D48" s="2" t="s">
        <v>196</v>
      </c>
      <c r="E48" s="2" t="s">
        <v>118</v>
      </c>
      <c r="F48" s="2" t="s">
        <v>29</v>
      </c>
      <c r="G48" s="2" t="s">
        <v>30</v>
      </c>
      <c r="H48" s="2" t="s">
        <v>103</v>
      </c>
      <c r="I48" s="2" t="s">
        <v>32</v>
      </c>
      <c r="J48" s="2" t="s">
        <v>33</v>
      </c>
      <c r="K48" s="2" t="s">
        <v>34</v>
      </c>
      <c r="L48" s="3"/>
      <c r="M48" s="3">
        <v>39073</v>
      </c>
      <c r="N48" s="3">
        <v>39073</v>
      </c>
      <c r="O48" s="3">
        <v>39073</v>
      </c>
      <c r="P48" s="2" t="s">
        <v>197</v>
      </c>
      <c r="Q48" s="2" t="s">
        <v>198</v>
      </c>
      <c r="R48" s="2" t="s">
        <v>37</v>
      </c>
      <c r="S48" s="2" t="s">
        <v>199</v>
      </c>
      <c r="T48" s="2" t="s">
        <v>200</v>
      </c>
      <c r="U48" s="2">
        <v>120</v>
      </c>
      <c r="V48" s="2">
        <v>1270</v>
      </c>
      <c r="W48" s="2">
        <v>26670</v>
      </c>
      <c r="X48" s="2">
        <v>21</v>
      </c>
      <c r="Y48" s="2">
        <v>0.18</v>
      </c>
      <c r="Z48" s="2">
        <v>201</v>
      </c>
      <c r="AA48" s="2">
        <v>1262.9100000000001</v>
      </c>
      <c r="AB48">
        <v>1</v>
      </c>
      <c r="AC48">
        <v>2006</v>
      </c>
      <c r="AE48" s="2">
        <v>228.6</v>
      </c>
    </row>
    <row r="49" spans="2:31" ht="14.5">
      <c r="B49" s="2">
        <v>8192</v>
      </c>
      <c r="C49" s="2" t="s">
        <v>201</v>
      </c>
      <c r="D49" s="2" t="s">
        <v>202</v>
      </c>
      <c r="E49" s="2" t="s">
        <v>42</v>
      </c>
      <c r="F49" s="2" t="s">
        <v>29</v>
      </c>
      <c r="G49" s="2" t="s">
        <v>30</v>
      </c>
      <c r="H49" s="2" t="s">
        <v>43</v>
      </c>
      <c r="I49" s="2" t="s">
        <v>32</v>
      </c>
      <c r="J49" s="2" t="s">
        <v>52</v>
      </c>
      <c r="K49" s="2" t="s">
        <v>34</v>
      </c>
      <c r="L49" s="3">
        <v>39407</v>
      </c>
      <c r="M49" s="3">
        <v>39566</v>
      </c>
      <c r="N49" s="3">
        <v>39518</v>
      </c>
      <c r="O49" s="3">
        <v>39518</v>
      </c>
      <c r="P49" s="2" t="s">
        <v>139</v>
      </c>
      <c r="Q49" s="2" t="s">
        <v>140</v>
      </c>
      <c r="R49" s="2" t="s">
        <v>37</v>
      </c>
      <c r="S49" s="2" t="s">
        <v>141</v>
      </c>
      <c r="T49" s="2" t="s">
        <v>47</v>
      </c>
      <c r="U49" s="2">
        <v>60</v>
      </c>
      <c r="V49" s="2">
        <v>100000</v>
      </c>
      <c r="W49" s="2">
        <v>700000</v>
      </c>
      <c r="X49" s="2">
        <v>7</v>
      </c>
      <c r="Y49" s="2">
        <v>0.12</v>
      </c>
      <c r="Z49" s="2">
        <v>10303</v>
      </c>
      <c r="AA49" s="2">
        <v>35034.75</v>
      </c>
      <c r="AB49">
        <v>1</v>
      </c>
      <c r="AC49">
        <v>2008</v>
      </c>
      <c r="AE49" s="2">
        <v>12000</v>
      </c>
    </row>
    <row r="50" spans="2:31" ht="14.5">
      <c r="B50" s="2">
        <v>8207</v>
      </c>
      <c r="C50" s="2" t="s">
        <v>203</v>
      </c>
      <c r="D50" s="2" t="s">
        <v>204</v>
      </c>
      <c r="E50" s="2" t="s">
        <v>42</v>
      </c>
      <c r="F50" s="2" t="s">
        <v>29</v>
      </c>
      <c r="G50" s="2" t="s">
        <v>30</v>
      </c>
      <c r="H50" s="2" t="s">
        <v>31</v>
      </c>
      <c r="I50" s="2" t="s">
        <v>32</v>
      </c>
      <c r="J50" s="2" t="s">
        <v>52</v>
      </c>
      <c r="K50" s="2" t="s">
        <v>34</v>
      </c>
      <c r="L50" s="3">
        <v>39419</v>
      </c>
      <c r="M50" s="3">
        <v>39450</v>
      </c>
      <c r="N50" s="3">
        <v>39450</v>
      </c>
      <c r="O50" s="3">
        <v>39450</v>
      </c>
      <c r="P50" s="2" t="s">
        <v>95</v>
      </c>
      <c r="Q50" s="2" t="s">
        <v>96</v>
      </c>
      <c r="R50" s="2" t="s">
        <v>37</v>
      </c>
      <c r="S50" s="2" t="s">
        <v>97</v>
      </c>
      <c r="T50" s="2" t="s">
        <v>39</v>
      </c>
      <c r="U50" s="2">
        <v>30</v>
      </c>
      <c r="V50" s="2">
        <v>32510</v>
      </c>
      <c r="W50" s="2">
        <v>381992.5</v>
      </c>
      <c r="X50" s="2">
        <v>11.75</v>
      </c>
      <c r="Y50" s="2">
        <v>0.39</v>
      </c>
      <c r="Z50" s="2">
        <v>2791</v>
      </c>
      <c r="AA50" s="2">
        <v>28336.18</v>
      </c>
      <c r="AB50">
        <v>1</v>
      </c>
      <c r="AC50">
        <v>2008</v>
      </c>
      <c r="AE50" s="2">
        <v>12678.9</v>
      </c>
    </row>
    <row r="51" spans="2:31" ht="14.5">
      <c r="B51" s="2">
        <v>8218</v>
      </c>
      <c r="C51" s="2" t="s">
        <v>205</v>
      </c>
      <c r="D51" s="2" t="s">
        <v>206</v>
      </c>
      <c r="E51" s="2" t="s">
        <v>28</v>
      </c>
      <c r="F51" s="2" t="s">
        <v>29</v>
      </c>
      <c r="G51" s="2" t="s">
        <v>50</v>
      </c>
      <c r="H51" s="2" t="s">
        <v>51</v>
      </c>
      <c r="I51" s="2" t="s">
        <v>32</v>
      </c>
      <c r="J51" s="2" t="s">
        <v>52</v>
      </c>
      <c r="K51" s="2" t="s">
        <v>34</v>
      </c>
      <c r="L51" s="3">
        <v>39426</v>
      </c>
      <c r="M51" s="3">
        <v>39576</v>
      </c>
      <c r="N51" s="3">
        <v>39576</v>
      </c>
      <c r="O51" s="3">
        <v>39576</v>
      </c>
      <c r="P51" s="2" t="s">
        <v>53</v>
      </c>
      <c r="Q51" s="2" t="s">
        <v>54</v>
      </c>
      <c r="R51" s="2" t="s">
        <v>55</v>
      </c>
      <c r="S51" s="2" t="s">
        <v>56</v>
      </c>
      <c r="T51" s="2" t="s">
        <v>57</v>
      </c>
      <c r="U51" s="2">
        <v>200</v>
      </c>
      <c r="V51" s="2">
        <v>712</v>
      </c>
      <c r="W51" s="2">
        <v>8964.08</v>
      </c>
      <c r="X51" s="2">
        <v>12.59</v>
      </c>
      <c r="Y51" s="2">
        <v>0.06</v>
      </c>
      <c r="AB51">
        <v>1</v>
      </c>
      <c r="AC51">
        <v>2008</v>
      </c>
      <c r="AE51" s="2">
        <v>42.72</v>
      </c>
    </row>
    <row r="52" spans="2:31" ht="14.5">
      <c r="B52" s="2">
        <v>8803</v>
      </c>
      <c r="C52" s="2" t="s">
        <v>146</v>
      </c>
      <c r="D52" s="2" t="s">
        <v>147</v>
      </c>
      <c r="E52" s="2" t="s">
        <v>28</v>
      </c>
      <c r="F52" s="2" t="s">
        <v>29</v>
      </c>
      <c r="G52" s="2" t="s">
        <v>30</v>
      </c>
      <c r="H52" s="2" t="s">
        <v>74</v>
      </c>
      <c r="I52" s="2" t="s">
        <v>32</v>
      </c>
      <c r="J52" s="2" t="s">
        <v>52</v>
      </c>
      <c r="K52" s="2" t="s">
        <v>34</v>
      </c>
      <c r="L52" s="3">
        <v>39812</v>
      </c>
      <c r="M52" s="3">
        <v>39979</v>
      </c>
      <c r="N52" s="3">
        <v>39979</v>
      </c>
      <c r="O52" s="3">
        <v>39979</v>
      </c>
      <c r="P52" s="2" t="s">
        <v>75</v>
      </c>
      <c r="Q52" s="2" t="s">
        <v>76</v>
      </c>
      <c r="R52" s="2" t="s">
        <v>77</v>
      </c>
      <c r="S52" s="2" t="s">
        <v>78</v>
      </c>
      <c r="T52" s="2" t="s">
        <v>47</v>
      </c>
      <c r="U52" s="2">
        <v>30</v>
      </c>
      <c r="V52" s="2">
        <v>2680</v>
      </c>
      <c r="W52" s="2">
        <v>135072</v>
      </c>
      <c r="X52" s="2">
        <v>50.4</v>
      </c>
      <c r="Y52" s="2">
        <v>1.68</v>
      </c>
      <c r="AB52">
        <v>1</v>
      </c>
      <c r="AC52">
        <v>2009</v>
      </c>
      <c r="AE52" s="2">
        <v>4502.3999999999996</v>
      </c>
    </row>
    <row r="53" spans="2:31" ht="14.5">
      <c r="B53" s="2">
        <v>8864</v>
      </c>
      <c r="C53" s="2" t="s">
        <v>207</v>
      </c>
      <c r="D53" s="2" t="s">
        <v>208</v>
      </c>
      <c r="E53" s="2" t="s">
        <v>28</v>
      </c>
      <c r="F53" s="2" t="s">
        <v>29</v>
      </c>
      <c r="G53" s="2" t="s">
        <v>30</v>
      </c>
      <c r="H53" s="2" t="s">
        <v>81</v>
      </c>
      <c r="I53" s="2" t="s">
        <v>32</v>
      </c>
      <c r="J53" s="2" t="s">
        <v>82</v>
      </c>
      <c r="K53" s="2" t="s">
        <v>34</v>
      </c>
      <c r="L53" s="3">
        <v>39812</v>
      </c>
      <c r="M53" s="3">
        <v>39867</v>
      </c>
      <c r="N53" s="3">
        <v>39867</v>
      </c>
      <c r="O53" s="3">
        <v>39867</v>
      </c>
      <c r="P53" s="2" t="s">
        <v>150</v>
      </c>
      <c r="Q53" s="2" t="s">
        <v>84</v>
      </c>
      <c r="R53" s="2" t="s">
        <v>151</v>
      </c>
      <c r="S53" s="2" t="s">
        <v>152</v>
      </c>
      <c r="T53" s="2" t="s">
        <v>39</v>
      </c>
      <c r="U53" s="2">
        <v>120</v>
      </c>
      <c r="V53" s="2">
        <v>12500</v>
      </c>
      <c r="W53" s="2">
        <v>513750</v>
      </c>
      <c r="X53" s="2">
        <v>41.1</v>
      </c>
      <c r="Y53" s="2">
        <v>0.34</v>
      </c>
      <c r="Z53" s="2">
        <v>3088</v>
      </c>
      <c r="AA53" s="2">
        <v>12937.16</v>
      </c>
      <c r="AB53">
        <v>1</v>
      </c>
      <c r="AC53">
        <v>2009</v>
      </c>
      <c r="AE53" s="2">
        <v>4250</v>
      </c>
    </row>
    <row r="54" spans="2:31" ht="14.5">
      <c r="B54" s="2">
        <v>8922</v>
      </c>
      <c r="C54" s="2" t="s">
        <v>148</v>
      </c>
      <c r="D54" s="2" t="s">
        <v>149</v>
      </c>
      <c r="E54" s="2" t="s">
        <v>28</v>
      </c>
      <c r="F54" s="2" t="s">
        <v>29</v>
      </c>
      <c r="G54" s="2" t="s">
        <v>30</v>
      </c>
      <c r="H54" s="2" t="s">
        <v>81</v>
      </c>
      <c r="I54" s="2" t="s">
        <v>32</v>
      </c>
      <c r="J54" s="2" t="s">
        <v>82</v>
      </c>
      <c r="K54" s="2" t="s">
        <v>34</v>
      </c>
      <c r="L54" s="3">
        <v>39849</v>
      </c>
      <c r="M54" s="3">
        <v>40036</v>
      </c>
      <c r="N54" s="3">
        <v>40036</v>
      </c>
      <c r="O54" s="3">
        <v>40036</v>
      </c>
      <c r="P54" s="2" t="s">
        <v>150</v>
      </c>
      <c r="Q54" s="2" t="s">
        <v>84</v>
      </c>
      <c r="R54" s="2" t="s">
        <v>151</v>
      </c>
      <c r="S54" s="2" t="s">
        <v>152</v>
      </c>
      <c r="T54" s="2" t="s">
        <v>39</v>
      </c>
      <c r="U54" s="2">
        <v>120</v>
      </c>
      <c r="V54" s="2">
        <v>60</v>
      </c>
      <c r="W54" s="2">
        <v>2466</v>
      </c>
      <c r="X54" s="2">
        <v>41.1</v>
      </c>
      <c r="Y54" s="2">
        <v>0.34</v>
      </c>
      <c r="AB54">
        <v>1</v>
      </c>
      <c r="AC54">
        <v>2009</v>
      </c>
      <c r="AE54" s="2">
        <v>20.400000000000002</v>
      </c>
    </row>
    <row r="55" spans="2:31" ht="14.5">
      <c r="B55" s="2">
        <v>8989</v>
      </c>
      <c r="C55" s="2" t="s">
        <v>209</v>
      </c>
      <c r="D55" s="2" t="s">
        <v>210</v>
      </c>
      <c r="E55" s="2" t="s">
        <v>42</v>
      </c>
      <c r="F55" s="2" t="s">
        <v>29</v>
      </c>
      <c r="G55" s="2" t="s">
        <v>30</v>
      </c>
      <c r="H55" s="2" t="s">
        <v>43</v>
      </c>
      <c r="I55" s="2" t="s">
        <v>32</v>
      </c>
      <c r="J55" s="2" t="s">
        <v>52</v>
      </c>
      <c r="K55" s="2" t="s">
        <v>34</v>
      </c>
      <c r="L55" s="3">
        <v>39742</v>
      </c>
      <c r="M55" s="3">
        <v>39924</v>
      </c>
      <c r="N55" s="3">
        <v>39924</v>
      </c>
      <c r="O55" s="3">
        <v>39924</v>
      </c>
      <c r="P55" s="2" t="s">
        <v>44</v>
      </c>
      <c r="Q55" s="2" t="s">
        <v>45</v>
      </c>
      <c r="R55" s="2" t="s">
        <v>37</v>
      </c>
      <c r="S55" s="2" t="s">
        <v>46</v>
      </c>
      <c r="T55" s="2" t="s">
        <v>47</v>
      </c>
      <c r="U55" s="2">
        <v>60</v>
      </c>
      <c r="V55" s="2">
        <v>22752</v>
      </c>
      <c r="W55" s="2">
        <v>207043.20000000001</v>
      </c>
      <c r="X55" s="2">
        <v>9.1</v>
      </c>
      <c r="Y55" s="2">
        <v>0.15</v>
      </c>
      <c r="Z55" s="2">
        <v>2086</v>
      </c>
      <c r="AA55" s="2">
        <v>853.87</v>
      </c>
      <c r="AB55">
        <v>1</v>
      </c>
      <c r="AC55">
        <v>2009</v>
      </c>
      <c r="AE55" s="2">
        <v>3412.7999999999997</v>
      </c>
    </row>
    <row r="56" spans="2:31" ht="14.5">
      <c r="B56" s="2">
        <v>9279</v>
      </c>
      <c r="C56" s="2" t="s">
        <v>135</v>
      </c>
      <c r="D56" s="2" t="s">
        <v>136</v>
      </c>
      <c r="E56" s="2" t="s">
        <v>118</v>
      </c>
      <c r="F56" s="2" t="s">
        <v>29</v>
      </c>
      <c r="G56" s="2" t="s">
        <v>30</v>
      </c>
      <c r="H56" s="2" t="s">
        <v>31</v>
      </c>
      <c r="I56" s="2" t="s">
        <v>32</v>
      </c>
      <c r="J56" s="2" t="s">
        <v>33</v>
      </c>
      <c r="K56" s="2" t="s">
        <v>34</v>
      </c>
      <c r="L56" s="3"/>
      <c r="M56" s="3">
        <v>39072</v>
      </c>
      <c r="N56" s="3">
        <v>39072</v>
      </c>
      <c r="O56" s="3">
        <v>39072</v>
      </c>
      <c r="P56" s="2" t="s">
        <v>95</v>
      </c>
      <c r="Q56" s="2" t="s">
        <v>96</v>
      </c>
      <c r="R56" s="2" t="s">
        <v>37</v>
      </c>
      <c r="S56" s="2" t="s">
        <v>97</v>
      </c>
      <c r="T56" s="2" t="s">
        <v>39</v>
      </c>
      <c r="U56" s="2">
        <v>30</v>
      </c>
      <c r="V56" s="2">
        <v>5080</v>
      </c>
      <c r="W56" s="2">
        <v>85090</v>
      </c>
      <c r="X56" s="2">
        <v>16.75</v>
      </c>
      <c r="Y56" s="2">
        <v>0.56000000000000005</v>
      </c>
      <c r="AB56">
        <v>1</v>
      </c>
      <c r="AC56">
        <v>2006</v>
      </c>
      <c r="AE56" s="2">
        <v>2844.8</v>
      </c>
    </row>
    <row r="57" spans="2:31" ht="14.5">
      <c r="B57" s="2">
        <v>9499</v>
      </c>
      <c r="C57" s="2" t="s">
        <v>203</v>
      </c>
      <c r="D57" s="2" t="s">
        <v>211</v>
      </c>
      <c r="E57" s="2" t="s">
        <v>42</v>
      </c>
      <c r="F57" s="2" t="s">
        <v>29</v>
      </c>
      <c r="G57" s="2" t="s">
        <v>30</v>
      </c>
      <c r="H57" s="2" t="s">
        <v>31</v>
      </c>
      <c r="I57" s="2" t="s">
        <v>32</v>
      </c>
      <c r="J57" s="2" t="s">
        <v>52</v>
      </c>
      <c r="K57" s="2" t="s">
        <v>34</v>
      </c>
      <c r="L57" s="3">
        <v>39419</v>
      </c>
      <c r="M57" s="3">
        <v>39450</v>
      </c>
      <c r="N57" s="3">
        <v>39450</v>
      </c>
      <c r="O57" s="3">
        <v>39450</v>
      </c>
      <c r="P57" s="2" t="s">
        <v>95</v>
      </c>
      <c r="Q57" s="2" t="s">
        <v>96</v>
      </c>
      <c r="R57" s="2" t="s">
        <v>37</v>
      </c>
      <c r="S57" s="2" t="s">
        <v>97</v>
      </c>
      <c r="T57" s="2" t="s">
        <v>39</v>
      </c>
      <c r="U57" s="2">
        <v>30</v>
      </c>
      <c r="V57" s="2">
        <v>48259</v>
      </c>
      <c r="W57" s="2">
        <v>567043.25</v>
      </c>
      <c r="X57" s="2">
        <v>11.75</v>
      </c>
      <c r="Y57" s="2">
        <v>0.39</v>
      </c>
      <c r="Z57" s="2">
        <v>4143</v>
      </c>
      <c r="AA57" s="2">
        <v>19088.86</v>
      </c>
      <c r="AB57">
        <v>1</v>
      </c>
      <c r="AC57">
        <v>2008</v>
      </c>
      <c r="AE57" s="2">
        <v>18821.010000000002</v>
      </c>
    </row>
    <row r="58" spans="2:31" ht="14.5">
      <c r="B58" s="2">
        <v>9550</v>
      </c>
      <c r="C58" s="2" t="s">
        <v>183</v>
      </c>
      <c r="D58" s="2" t="s">
        <v>184</v>
      </c>
      <c r="E58" s="2" t="s">
        <v>60</v>
      </c>
      <c r="F58" s="2" t="s">
        <v>29</v>
      </c>
      <c r="G58" s="2" t="s">
        <v>30</v>
      </c>
      <c r="H58" s="2" t="s">
        <v>103</v>
      </c>
      <c r="I58" s="2" t="s">
        <v>32</v>
      </c>
      <c r="J58" s="2" t="s">
        <v>33</v>
      </c>
      <c r="K58" s="2" t="s">
        <v>34</v>
      </c>
      <c r="L58" s="3">
        <v>39450</v>
      </c>
      <c r="M58" s="3">
        <v>39511</v>
      </c>
      <c r="N58" s="3">
        <v>39511</v>
      </c>
      <c r="O58" s="3">
        <v>39511</v>
      </c>
      <c r="P58" s="2" t="s">
        <v>104</v>
      </c>
      <c r="Q58" s="2" t="s">
        <v>105</v>
      </c>
      <c r="R58" s="2" t="s">
        <v>106</v>
      </c>
      <c r="S58" s="2" t="s">
        <v>100</v>
      </c>
      <c r="T58" s="2" t="s">
        <v>39</v>
      </c>
      <c r="U58" s="2">
        <v>30</v>
      </c>
      <c r="V58" s="2">
        <v>780</v>
      </c>
      <c r="W58" s="2">
        <v>7.8</v>
      </c>
      <c r="X58" s="2">
        <v>0.01</v>
      </c>
      <c r="Y58" s="2">
        <v>0</v>
      </c>
      <c r="AB58">
        <v>1</v>
      </c>
      <c r="AC58">
        <v>2008</v>
      </c>
      <c r="AE58" s="2">
        <v>0</v>
      </c>
    </row>
    <row r="59" spans="2:31" ht="14.5">
      <c r="B59" s="2">
        <v>9836</v>
      </c>
      <c r="C59" s="2" t="s">
        <v>212</v>
      </c>
      <c r="D59" s="2" t="s">
        <v>213</v>
      </c>
      <c r="E59" s="2" t="s">
        <v>42</v>
      </c>
      <c r="F59" s="2" t="s">
        <v>29</v>
      </c>
      <c r="G59" s="2" t="s">
        <v>30</v>
      </c>
      <c r="H59" s="2" t="s">
        <v>94</v>
      </c>
      <c r="I59" s="2" t="s">
        <v>32</v>
      </c>
      <c r="J59" s="2" t="s">
        <v>52</v>
      </c>
      <c r="K59" s="2" t="s">
        <v>34</v>
      </c>
      <c r="L59" s="3">
        <v>39666</v>
      </c>
      <c r="M59" s="3">
        <v>39714</v>
      </c>
      <c r="N59" s="3">
        <v>39714</v>
      </c>
      <c r="O59" s="3">
        <v>39714</v>
      </c>
      <c r="P59" s="2" t="s">
        <v>95</v>
      </c>
      <c r="Q59" s="2" t="s">
        <v>96</v>
      </c>
      <c r="R59" s="2" t="s">
        <v>37</v>
      </c>
      <c r="S59" s="2" t="s">
        <v>97</v>
      </c>
      <c r="T59" s="2" t="s">
        <v>39</v>
      </c>
      <c r="U59" s="2">
        <v>30</v>
      </c>
      <c r="V59" s="2">
        <v>83400</v>
      </c>
      <c r="W59" s="2">
        <v>931578</v>
      </c>
      <c r="X59" s="2">
        <v>11.17</v>
      </c>
      <c r="Y59" s="2">
        <v>0.37</v>
      </c>
      <c r="Z59" s="2">
        <v>6701</v>
      </c>
      <c r="AA59" s="2">
        <v>87692.85</v>
      </c>
      <c r="AB59">
        <v>1</v>
      </c>
      <c r="AC59">
        <v>2008</v>
      </c>
      <c r="AE59" s="2">
        <v>30858</v>
      </c>
    </row>
    <row r="60" spans="2:31" ht="14.5">
      <c r="B60" s="2">
        <v>10126</v>
      </c>
      <c r="C60" s="2" t="s">
        <v>146</v>
      </c>
      <c r="D60" s="2" t="s">
        <v>147</v>
      </c>
      <c r="E60" s="2" t="s">
        <v>28</v>
      </c>
      <c r="F60" s="2" t="s">
        <v>29</v>
      </c>
      <c r="G60" s="2" t="s">
        <v>30</v>
      </c>
      <c r="H60" s="2" t="s">
        <v>74</v>
      </c>
      <c r="I60" s="2" t="s">
        <v>32</v>
      </c>
      <c r="J60" s="2" t="s">
        <v>52</v>
      </c>
      <c r="K60" s="2" t="s">
        <v>34</v>
      </c>
      <c r="L60" s="3">
        <v>39812</v>
      </c>
      <c r="M60" s="3">
        <v>39979</v>
      </c>
      <c r="N60" s="3">
        <v>39979</v>
      </c>
      <c r="O60" s="3">
        <v>39979</v>
      </c>
      <c r="P60" s="2" t="s">
        <v>75</v>
      </c>
      <c r="Q60" s="2" t="s">
        <v>76</v>
      </c>
      <c r="R60" s="2" t="s">
        <v>77</v>
      </c>
      <c r="S60" s="2" t="s">
        <v>78</v>
      </c>
      <c r="T60" s="2" t="s">
        <v>47</v>
      </c>
      <c r="U60" s="2">
        <v>30</v>
      </c>
      <c r="V60" s="2">
        <v>2357</v>
      </c>
      <c r="W60" s="2">
        <v>118792.8</v>
      </c>
      <c r="X60" s="2">
        <v>50.4</v>
      </c>
      <c r="Y60" s="2">
        <v>1.68</v>
      </c>
      <c r="AB60">
        <v>1</v>
      </c>
      <c r="AC60">
        <v>2009</v>
      </c>
      <c r="AE60" s="2">
        <v>3959.7599999999998</v>
      </c>
    </row>
    <row r="61" spans="2:31" ht="14.5">
      <c r="B61" s="2">
        <v>10416</v>
      </c>
      <c r="C61" s="2" t="s">
        <v>214</v>
      </c>
      <c r="D61" s="2" t="s">
        <v>215</v>
      </c>
      <c r="E61" s="2" t="s">
        <v>42</v>
      </c>
      <c r="F61" s="2" t="s">
        <v>29</v>
      </c>
      <c r="G61" s="2" t="s">
        <v>30</v>
      </c>
      <c r="H61" s="2" t="s">
        <v>109</v>
      </c>
      <c r="I61" s="2" t="s">
        <v>32</v>
      </c>
      <c r="J61" s="2" t="s">
        <v>52</v>
      </c>
      <c r="K61" s="2" t="s">
        <v>34</v>
      </c>
      <c r="L61" s="3">
        <v>39918</v>
      </c>
      <c r="M61" s="3">
        <v>40070</v>
      </c>
      <c r="N61" s="3">
        <v>40070</v>
      </c>
      <c r="O61" s="3">
        <v>40070</v>
      </c>
      <c r="P61" s="2" t="s">
        <v>44</v>
      </c>
      <c r="Q61" s="2" t="s">
        <v>45</v>
      </c>
      <c r="R61" s="2" t="s">
        <v>37</v>
      </c>
      <c r="S61" s="2" t="s">
        <v>46</v>
      </c>
      <c r="T61" s="2" t="s">
        <v>47</v>
      </c>
      <c r="U61" s="2">
        <v>60</v>
      </c>
      <c r="V61" s="2">
        <v>38736</v>
      </c>
      <c r="W61" s="2">
        <v>348624</v>
      </c>
      <c r="X61" s="2">
        <v>9</v>
      </c>
      <c r="Y61" s="2">
        <v>0.15</v>
      </c>
      <c r="Z61" s="2">
        <v>3080</v>
      </c>
      <c r="AA61" s="2">
        <v>33235.440000000002</v>
      </c>
      <c r="AB61">
        <v>1</v>
      </c>
      <c r="AC61">
        <v>2009</v>
      </c>
      <c r="AE61" s="2">
        <v>5810.4</v>
      </c>
    </row>
    <row r="62" spans="2:31" ht="14.5">
      <c r="B62" s="2">
        <v>10600</v>
      </c>
      <c r="C62" s="2" t="s">
        <v>216</v>
      </c>
      <c r="D62" s="2" t="s">
        <v>217</v>
      </c>
      <c r="E62" s="2" t="s">
        <v>118</v>
      </c>
      <c r="F62" s="2" t="s">
        <v>29</v>
      </c>
      <c r="G62" s="2" t="s">
        <v>30</v>
      </c>
      <c r="H62" s="2" t="s">
        <v>218</v>
      </c>
      <c r="I62" s="2" t="s">
        <v>219</v>
      </c>
      <c r="J62" s="2" t="s">
        <v>220</v>
      </c>
      <c r="K62" s="2" t="s">
        <v>34</v>
      </c>
      <c r="L62" s="3"/>
      <c r="M62" s="3">
        <v>39391</v>
      </c>
      <c r="N62" s="3">
        <v>39391</v>
      </c>
      <c r="O62" s="3">
        <v>39391</v>
      </c>
      <c r="P62" s="2" t="s">
        <v>139</v>
      </c>
      <c r="Q62" s="2" t="s">
        <v>140</v>
      </c>
      <c r="R62" s="2" t="s">
        <v>37</v>
      </c>
      <c r="S62" s="2" t="s">
        <v>141</v>
      </c>
      <c r="T62" s="2" t="s">
        <v>47</v>
      </c>
      <c r="U62" s="2">
        <v>60</v>
      </c>
      <c r="V62" s="2">
        <v>1953</v>
      </c>
      <c r="W62" s="2">
        <v>14452.2</v>
      </c>
      <c r="X62" s="2">
        <v>7.4</v>
      </c>
      <c r="Y62" s="2">
        <v>0.12</v>
      </c>
      <c r="Z62" s="2">
        <v>283</v>
      </c>
      <c r="AA62" s="2">
        <v>1673</v>
      </c>
      <c r="AB62">
        <v>1</v>
      </c>
      <c r="AC62">
        <v>2007</v>
      </c>
      <c r="AE62" s="2">
        <v>234.35999999999999</v>
      </c>
    </row>
    <row r="63" spans="2:31" ht="14.5">
      <c r="B63" s="2">
        <v>10613</v>
      </c>
      <c r="C63" s="2" t="s">
        <v>221</v>
      </c>
      <c r="D63" s="2" t="s">
        <v>222</v>
      </c>
      <c r="E63" s="2" t="s">
        <v>60</v>
      </c>
      <c r="F63" s="2" t="s">
        <v>29</v>
      </c>
      <c r="G63" s="2" t="s">
        <v>50</v>
      </c>
      <c r="H63" s="2" t="s">
        <v>218</v>
      </c>
      <c r="I63" s="2" t="s">
        <v>219</v>
      </c>
      <c r="J63" s="2" t="s">
        <v>220</v>
      </c>
      <c r="K63" s="2" t="s">
        <v>223</v>
      </c>
      <c r="L63" s="3"/>
      <c r="M63" s="3">
        <v>39329</v>
      </c>
      <c r="N63" s="3">
        <v>39329</v>
      </c>
      <c r="O63" s="3">
        <v>39329</v>
      </c>
      <c r="P63" s="2" t="s">
        <v>224</v>
      </c>
      <c r="Q63" s="2" t="s">
        <v>225</v>
      </c>
      <c r="R63" s="2" t="s">
        <v>37</v>
      </c>
      <c r="S63" s="2" t="s">
        <v>226</v>
      </c>
      <c r="T63" s="2" t="s">
        <v>87</v>
      </c>
      <c r="U63" s="2">
        <v>240</v>
      </c>
      <c r="V63" s="2">
        <v>13850</v>
      </c>
      <c r="W63" s="2">
        <v>29777.5</v>
      </c>
      <c r="X63" s="2">
        <v>2.15</v>
      </c>
      <c r="Y63" s="2">
        <v>0.01</v>
      </c>
      <c r="Z63" s="2">
        <v>35216</v>
      </c>
      <c r="AA63" s="2">
        <v>88801</v>
      </c>
      <c r="AB63">
        <v>1</v>
      </c>
      <c r="AC63">
        <v>2007</v>
      </c>
      <c r="AE63" s="2">
        <v>138.5</v>
      </c>
    </row>
    <row r="64" spans="2:31" ht="14.5">
      <c r="B64" s="2">
        <v>10637</v>
      </c>
      <c r="C64" s="2" t="s">
        <v>227</v>
      </c>
      <c r="D64" s="2" t="s">
        <v>228</v>
      </c>
      <c r="E64" s="2" t="s">
        <v>60</v>
      </c>
      <c r="F64" s="2" t="s">
        <v>29</v>
      </c>
      <c r="G64" s="2" t="s">
        <v>50</v>
      </c>
      <c r="H64" s="2" t="s">
        <v>218</v>
      </c>
      <c r="I64" s="2" t="s">
        <v>219</v>
      </c>
      <c r="J64" s="2" t="s">
        <v>220</v>
      </c>
      <c r="K64" s="2" t="s">
        <v>34</v>
      </c>
      <c r="L64" s="3"/>
      <c r="M64" s="3">
        <v>39412</v>
      </c>
      <c r="N64" s="3">
        <v>39412</v>
      </c>
      <c r="O64" s="3">
        <v>39412</v>
      </c>
      <c r="P64" s="2" t="s">
        <v>229</v>
      </c>
      <c r="Q64" s="2" t="s">
        <v>62</v>
      </c>
      <c r="R64" s="2" t="s">
        <v>37</v>
      </c>
      <c r="S64" s="2" t="s">
        <v>230</v>
      </c>
      <c r="T64" s="2" t="s">
        <v>87</v>
      </c>
      <c r="U64" s="2">
        <v>200</v>
      </c>
      <c r="V64" s="2">
        <v>7294</v>
      </c>
      <c r="W64" s="2">
        <v>10211.6</v>
      </c>
      <c r="X64" s="2">
        <v>1.4</v>
      </c>
      <c r="Y64" s="2">
        <v>0.01</v>
      </c>
      <c r="Z64" s="2">
        <v>753</v>
      </c>
      <c r="AA64" s="2">
        <v>8004</v>
      </c>
      <c r="AB64">
        <v>1</v>
      </c>
      <c r="AC64">
        <v>2007</v>
      </c>
      <c r="AE64" s="2">
        <v>72.94</v>
      </c>
    </row>
    <row r="65" spans="2:31" ht="14.5">
      <c r="B65" s="2">
        <v>10662</v>
      </c>
      <c r="C65" s="2" t="s">
        <v>231</v>
      </c>
      <c r="D65" s="2" t="s">
        <v>232</v>
      </c>
      <c r="E65" s="2" t="s">
        <v>28</v>
      </c>
      <c r="F65" s="2" t="s">
        <v>29</v>
      </c>
      <c r="G65" s="2" t="s">
        <v>30</v>
      </c>
      <c r="H65" s="2" t="s">
        <v>218</v>
      </c>
      <c r="I65" s="2" t="s">
        <v>219</v>
      </c>
      <c r="J65" s="2" t="s">
        <v>220</v>
      </c>
      <c r="K65" s="2" t="s">
        <v>34</v>
      </c>
      <c r="L65" s="3"/>
      <c r="M65" s="3">
        <v>39484</v>
      </c>
      <c r="N65" s="3">
        <v>39484</v>
      </c>
      <c r="O65" s="3">
        <v>39484</v>
      </c>
      <c r="P65" s="2" t="s">
        <v>44</v>
      </c>
      <c r="Q65" s="2" t="s">
        <v>45</v>
      </c>
      <c r="R65" s="2" t="s">
        <v>37</v>
      </c>
      <c r="S65" s="2" t="s">
        <v>46</v>
      </c>
      <c r="T65" s="2" t="s">
        <v>47</v>
      </c>
      <c r="U65" s="2">
        <v>60</v>
      </c>
      <c r="V65" s="2">
        <v>9476</v>
      </c>
      <c r="W65" s="2">
        <v>90022</v>
      </c>
      <c r="X65" s="2">
        <v>9.5</v>
      </c>
      <c r="Y65" s="2">
        <v>0.16</v>
      </c>
      <c r="Z65" s="2">
        <v>1008</v>
      </c>
      <c r="AA65" s="2">
        <v>4207.3999999999996</v>
      </c>
      <c r="AB65">
        <v>1</v>
      </c>
      <c r="AC65">
        <v>2008</v>
      </c>
      <c r="AE65" s="2">
        <v>1516.16</v>
      </c>
    </row>
    <row r="66" spans="2:31" ht="14.5">
      <c r="B66" s="2">
        <v>10669</v>
      </c>
      <c r="C66" s="2" t="s">
        <v>233</v>
      </c>
      <c r="D66" s="2" t="s">
        <v>234</v>
      </c>
      <c r="E66" s="2" t="s">
        <v>118</v>
      </c>
      <c r="F66" s="2" t="s">
        <v>29</v>
      </c>
      <c r="G66" s="2" t="s">
        <v>30</v>
      </c>
      <c r="H66" s="2" t="s">
        <v>218</v>
      </c>
      <c r="I66" s="2" t="s">
        <v>219</v>
      </c>
      <c r="J66" s="2" t="s">
        <v>220</v>
      </c>
      <c r="K66" s="2" t="s">
        <v>223</v>
      </c>
      <c r="L66" s="3"/>
      <c r="M66" s="3">
        <v>39513</v>
      </c>
      <c r="N66" s="3">
        <v>39513</v>
      </c>
      <c r="O66" s="3">
        <v>39513</v>
      </c>
      <c r="P66" s="2" t="s">
        <v>235</v>
      </c>
      <c r="Q66" s="2" t="s">
        <v>236</v>
      </c>
      <c r="R66" s="2" t="s">
        <v>237</v>
      </c>
      <c r="S66" s="2" t="s">
        <v>238</v>
      </c>
      <c r="T66" s="2" t="s">
        <v>47</v>
      </c>
      <c r="U66" s="2">
        <v>30</v>
      </c>
      <c r="V66" s="2">
        <v>656</v>
      </c>
      <c r="W66" s="2">
        <v>17220</v>
      </c>
      <c r="X66" s="2">
        <v>26.25</v>
      </c>
      <c r="Y66" s="2">
        <v>0.88</v>
      </c>
      <c r="Z66" s="2">
        <v>58</v>
      </c>
      <c r="AA66" s="2">
        <v>794.22</v>
      </c>
      <c r="AB66">
        <v>1</v>
      </c>
      <c r="AC66">
        <v>2008</v>
      </c>
      <c r="AE66" s="2">
        <v>577.28</v>
      </c>
    </row>
    <row r="67" spans="2:31" ht="14.5">
      <c r="B67" s="2">
        <v>10670</v>
      </c>
      <c r="C67" s="2" t="s">
        <v>239</v>
      </c>
      <c r="D67" s="2" t="s">
        <v>240</v>
      </c>
      <c r="E67" s="2" t="s">
        <v>118</v>
      </c>
      <c r="F67" s="2" t="s">
        <v>29</v>
      </c>
      <c r="G67" s="2" t="s">
        <v>30</v>
      </c>
      <c r="H67" s="2" t="s">
        <v>218</v>
      </c>
      <c r="I67" s="2" t="s">
        <v>219</v>
      </c>
      <c r="J67" s="2" t="s">
        <v>220</v>
      </c>
      <c r="K67" s="2" t="s">
        <v>223</v>
      </c>
      <c r="L67" s="3"/>
      <c r="M67" s="3">
        <v>39506</v>
      </c>
      <c r="N67" s="3">
        <v>39506</v>
      </c>
      <c r="O67" s="3">
        <v>39506</v>
      </c>
      <c r="P67" s="2" t="s">
        <v>139</v>
      </c>
      <c r="Q67" s="2" t="s">
        <v>140</v>
      </c>
      <c r="R67" s="2" t="s">
        <v>37</v>
      </c>
      <c r="S67" s="2" t="s">
        <v>141</v>
      </c>
      <c r="T67" s="2" t="s">
        <v>47</v>
      </c>
      <c r="U67" s="2">
        <v>60</v>
      </c>
      <c r="V67" s="2">
        <v>93</v>
      </c>
      <c r="W67" s="2">
        <v>688.2</v>
      </c>
      <c r="X67" s="2">
        <v>7.4</v>
      </c>
      <c r="Y67" s="2">
        <v>0.12</v>
      </c>
      <c r="Z67" s="2">
        <v>311</v>
      </c>
      <c r="AA67" s="2">
        <v>1430.22</v>
      </c>
      <c r="AB67">
        <v>1</v>
      </c>
      <c r="AC67">
        <v>2008</v>
      </c>
      <c r="AE67" s="2">
        <v>11.16</v>
      </c>
    </row>
    <row r="68" spans="2:31" ht="14.5">
      <c r="B68" s="2">
        <v>10674</v>
      </c>
      <c r="C68" s="2" t="s">
        <v>241</v>
      </c>
      <c r="D68" s="2" t="s">
        <v>242</v>
      </c>
      <c r="E68" s="2" t="s">
        <v>28</v>
      </c>
      <c r="F68" s="2" t="s">
        <v>29</v>
      </c>
      <c r="G68" s="2" t="s">
        <v>30</v>
      </c>
      <c r="H68" s="2" t="s">
        <v>218</v>
      </c>
      <c r="I68" s="2" t="s">
        <v>219</v>
      </c>
      <c r="J68" s="2" t="s">
        <v>220</v>
      </c>
      <c r="K68" s="2" t="s">
        <v>34</v>
      </c>
      <c r="L68" s="3"/>
      <c r="M68" s="3">
        <v>39658</v>
      </c>
      <c r="N68" s="3">
        <v>39658</v>
      </c>
      <c r="O68" s="3">
        <v>39658</v>
      </c>
      <c r="P68" s="2" t="s">
        <v>35</v>
      </c>
      <c r="Q68" s="2" t="s">
        <v>36</v>
      </c>
      <c r="R68" s="2" t="s">
        <v>37</v>
      </c>
      <c r="S68" s="2" t="s">
        <v>38</v>
      </c>
      <c r="T68" s="2" t="s">
        <v>39</v>
      </c>
      <c r="U68" s="2">
        <v>60</v>
      </c>
      <c r="V68" s="2">
        <v>1300</v>
      </c>
      <c r="W68" s="2">
        <v>4420</v>
      </c>
      <c r="X68" s="2">
        <v>3.4</v>
      </c>
      <c r="Y68" s="2">
        <v>0.06</v>
      </c>
      <c r="Z68" s="2">
        <v>16709</v>
      </c>
      <c r="AA68" s="2">
        <v>15210</v>
      </c>
      <c r="AB68">
        <v>1</v>
      </c>
      <c r="AC68">
        <v>2008</v>
      </c>
      <c r="AE68" s="2">
        <v>78</v>
      </c>
    </row>
    <row r="69" spans="2:31" ht="14.5">
      <c r="B69" s="2">
        <v>10685</v>
      </c>
      <c r="C69" s="2" t="s">
        <v>243</v>
      </c>
      <c r="D69" s="2" t="s">
        <v>244</v>
      </c>
      <c r="E69" s="2" t="s">
        <v>60</v>
      </c>
      <c r="F69" s="2" t="s">
        <v>29</v>
      </c>
      <c r="G69" s="2" t="s">
        <v>30</v>
      </c>
      <c r="H69" s="2" t="s">
        <v>218</v>
      </c>
      <c r="I69" s="2" t="s">
        <v>219</v>
      </c>
      <c r="J69" s="2" t="s">
        <v>220</v>
      </c>
      <c r="K69" s="2" t="s">
        <v>223</v>
      </c>
      <c r="L69" s="3"/>
      <c r="M69" s="3">
        <v>39532</v>
      </c>
      <c r="N69" s="3">
        <v>39532</v>
      </c>
      <c r="O69" s="3">
        <v>39532</v>
      </c>
      <c r="P69" s="2" t="s">
        <v>61</v>
      </c>
      <c r="Q69" s="2" t="s">
        <v>62</v>
      </c>
      <c r="R69" s="2" t="s">
        <v>37</v>
      </c>
      <c r="S69" s="2" t="s">
        <v>63</v>
      </c>
      <c r="T69" s="2" t="s">
        <v>64</v>
      </c>
      <c r="U69" s="2">
        <v>60</v>
      </c>
      <c r="V69" s="2">
        <v>51293</v>
      </c>
      <c r="W69" s="2">
        <v>77965.36</v>
      </c>
      <c r="X69" s="2">
        <v>1.52</v>
      </c>
      <c r="Y69" s="2">
        <v>0.03</v>
      </c>
      <c r="Z69" s="2">
        <v>3371</v>
      </c>
      <c r="AA69" s="2">
        <v>11862.2</v>
      </c>
      <c r="AB69">
        <v>1</v>
      </c>
      <c r="AC69">
        <v>2008</v>
      </c>
      <c r="AE69" s="2">
        <v>1538.79</v>
      </c>
    </row>
    <row r="70" spans="2:31" ht="14.5">
      <c r="B70" s="2">
        <v>10693</v>
      </c>
      <c r="C70" s="2" t="s">
        <v>245</v>
      </c>
      <c r="D70" s="2" t="s">
        <v>246</v>
      </c>
      <c r="E70" s="2" t="s">
        <v>118</v>
      </c>
      <c r="F70" s="2" t="s">
        <v>29</v>
      </c>
      <c r="G70" s="2" t="s">
        <v>30</v>
      </c>
      <c r="H70" s="2" t="s">
        <v>218</v>
      </c>
      <c r="I70" s="2" t="s">
        <v>219</v>
      </c>
      <c r="J70" s="2" t="s">
        <v>220</v>
      </c>
      <c r="K70" s="2" t="s">
        <v>34</v>
      </c>
      <c r="L70" s="3"/>
      <c r="M70" s="3">
        <v>39526</v>
      </c>
      <c r="N70" s="3">
        <v>39526</v>
      </c>
      <c r="O70" s="3">
        <v>39526</v>
      </c>
      <c r="P70" s="2" t="s">
        <v>95</v>
      </c>
      <c r="Q70" s="2" t="s">
        <v>96</v>
      </c>
      <c r="R70" s="2" t="s">
        <v>37</v>
      </c>
      <c r="S70" s="2" t="s">
        <v>97</v>
      </c>
      <c r="T70" s="2" t="s">
        <v>39</v>
      </c>
      <c r="U70" s="2">
        <v>30</v>
      </c>
      <c r="V70" s="2">
        <v>2060</v>
      </c>
      <c r="W70" s="2">
        <v>25585.200000000001</v>
      </c>
      <c r="X70" s="2">
        <v>12.42</v>
      </c>
      <c r="Y70" s="2">
        <v>0.41</v>
      </c>
      <c r="Z70" s="2">
        <v>196</v>
      </c>
      <c r="AA70" s="2">
        <v>1381.7</v>
      </c>
      <c r="AB70">
        <v>1</v>
      </c>
      <c r="AC70">
        <v>2008</v>
      </c>
      <c r="AE70" s="2">
        <v>844.59999999999991</v>
      </c>
    </row>
    <row r="71" spans="2:31" ht="14.5">
      <c r="B71" s="2">
        <v>10696</v>
      </c>
      <c r="C71" s="2" t="s">
        <v>247</v>
      </c>
      <c r="D71" s="2" t="s">
        <v>248</v>
      </c>
      <c r="E71" s="2" t="s">
        <v>28</v>
      </c>
      <c r="F71" s="2" t="s">
        <v>29</v>
      </c>
      <c r="G71" s="2" t="s">
        <v>30</v>
      </c>
      <c r="H71" s="2" t="s">
        <v>218</v>
      </c>
      <c r="I71" s="2" t="s">
        <v>219</v>
      </c>
      <c r="J71" s="2" t="s">
        <v>220</v>
      </c>
      <c r="K71" s="2" t="s">
        <v>34</v>
      </c>
      <c r="L71" s="3"/>
      <c r="M71" s="3">
        <v>39638</v>
      </c>
      <c r="N71" s="3">
        <v>39638</v>
      </c>
      <c r="O71" s="3">
        <v>39638</v>
      </c>
      <c r="P71" s="2" t="s">
        <v>98</v>
      </c>
      <c r="Q71" s="2" t="s">
        <v>99</v>
      </c>
      <c r="R71" s="2" t="s">
        <v>37</v>
      </c>
      <c r="S71" s="2" t="s">
        <v>100</v>
      </c>
      <c r="T71" s="2" t="s">
        <v>39</v>
      </c>
      <c r="U71" s="2">
        <v>60</v>
      </c>
      <c r="V71" s="2">
        <v>5730</v>
      </c>
      <c r="W71" s="2">
        <v>157746.9</v>
      </c>
      <c r="X71" s="2">
        <v>27.53</v>
      </c>
      <c r="Y71" s="2">
        <v>0.46</v>
      </c>
      <c r="Z71" s="2">
        <v>569</v>
      </c>
      <c r="AA71" s="2">
        <v>886.35</v>
      </c>
      <c r="AB71">
        <v>1</v>
      </c>
      <c r="AC71">
        <v>2008</v>
      </c>
      <c r="AE71" s="2">
        <v>2635.8</v>
      </c>
    </row>
    <row r="72" spans="2:31" ht="14.5">
      <c r="B72" s="2">
        <v>10708</v>
      </c>
      <c r="C72" s="2" t="s">
        <v>249</v>
      </c>
      <c r="D72" s="2" t="s">
        <v>250</v>
      </c>
      <c r="E72" s="2" t="s">
        <v>28</v>
      </c>
      <c r="F72" s="2" t="s">
        <v>29</v>
      </c>
      <c r="G72" s="2" t="s">
        <v>30</v>
      </c>
      <c r="H72" s="2" t="s">
        <v>218</v>
      </c>
      <c r="I72" s="2" t="s">
        <v>219</v>
      </c>
      <c r="J72" s="2" t="s">
        <v>220</v>
      </c>
      <c r="K72" s="2" t="s">
        <v>34</v>
      </c>
      <c r="L72" s="3"/>
      <c r="M72" s="3">
        <v>39630</v>
      </c>
      <c r="N72" s="3">
        <v>39630</v>
      </c>
      <c r="O72" s="3">
        <v>39630</v>
      </c>
      <c r="P72" s="2" t="s">
        <v>164</v>
      </c>
      <c r="Q72" s="2" t="s">
        <v>165</v>
      </c>
      <c r="R72" s="2" t="s">
        <v>37</v>
      </c>
      <c r="S72" s="2" t="s">
        <v>166</v>
      </c>
      <c r="T72" s="2" t="s">
        <v>39</v>
      </c>
      <c r="U72" s="2">
        <v>60</v>
      </c>
      <c r="V72" s="2">
        <v>23230</v>
      </c>
      <c r="W72" s="2">
        <v>67599.3</v>
      </c>
      <c r="X72" s="2">
        <v>2.91</v>
      </c>
      <c r="Y72" s="2">
        <v>0.05</v>
      </c>
      <c r="Z72" s="2">
        <v>1156</v>
      </c>
      <c r="AA72" s="2">
        <v>6308.6</v>
      </c>
      <c r="AB72">
        <v>1</v>
      </c>
      <c r="AC72">
        <v>2008</v>
      </c>
      <c r="AE72" s="2">
        <v>1161.5</v>
      </c>
    </row>
    <row r="73" spans="2:31" ht="14.5">
      <c r="B73" s="2">
        <v>10711</v>
      </c>
      <c r="C73" s="2" t="s">
        <v>251</v>
      </c>
      <c r="D73" s="2" t="s">
        <v>252</v>
      </c>
      <c r="E73" s="2" t="s">
        <v>118</v>
      </c>
      <c r="F73" s="2" t="s">
        <v>29</v>
      </c>
      <c r="G73" s="2" t="s">
        <v>30</v>
      </c>
      <c r="H73" s="2" t="s">
        <v>218</v>
      </c>
      <c r="I73" s="2" t="s">
        <v>219</v>
      </c>
      <c r="J73" s="2" t="s">
        <v>220</v>
      </c>
      <c r="K73" s="2" t="s">
        <v>34</v>
      </c>
      <c r="L73" s="3"/>
      <c r="M73" s="3">
        <v>39905</v>
      </c>
      <c r="N73" s="3">
        <v>39905</v>
      </c>
      <c r="O73" s="3">
        <v>39905</v>
      </c>
      <c r="P73" s="2" t="s">
        <v>44</v>
      </c>
      <c r="Q73" s="2" t="s">
        <v>45</v>
      </c>
      <c r="R73" s="2" t="s">
        <v>37</v>
      </c>
      <c r="S73" s="2" t="s">
        <v>46</v>
      </c>
      <c r="T73" s="2" t="s">
        <v>47</v>
      </c>
      <c r="U73" s="2">
        <v>60</v>
      </c>
      <c r="V73" s="2">
        <v>3505</v>
      </c>
      <c r="W73" s="2">
        <v>32771.75</v>
      </c>
      <c r="X73" s="2">
        <v>9.35</v>
      </c>
      <c r="Y73" s="2">
        <v>0.16</v>
      </c>
      <c r="Z73" s="2">
        <v>6556</v>
      </c>
      <c r="AA73" s="2">
        <v>5401.95</v>
      </c>
      <c r="AB73">
        <v>1</v>
      </c>
      <c r="AC73">
        <v>2009</v>
      </c>
      <c r="AE73" s="2">
        <v>560.80000000000007</v>
      </c>
    </row>
    <row r="74" spans="2:31" ht="14.5">
      <c r="B74" s="2">
        <v>10716</v>
      </c>
      <c r="C74" s="2" t="s">
        <v>253</v>
      </c>
      <c r="D74" s="2" t="s">
        <v>254</v>
      </c>
      <c r="E74" s="2" t="s">
        <v>118</v>
      </c>
      <c r="F74" s="2" t="s">
        <v>29</v>
      </c>
      <c r="G74" s="2" t="s">
        <v>30</v>
      </c>
      <c r="H74" s="2" t="s">
        <v>218</v>
      </c>
      <c r="I74" s="2" t="s">
        <v>219</v>
      </c>
      <c r="J74" s="2" t="s">
        <v>220</v>
      </c>
      <c r="K74" s="2" t="s">
        <v>34</v>
      </c>
      <c r="L74" s="3"/>
      <c r="M74" s="3">
        <v>39863</v>
      </c>
      <c r="N74" s="3">
        <v>39863</v>
      </c>
      <c r="O74" s="3">
        <v>39863</v>
      </c>
      <c r="P74" s="2" t="s">
        <v>95</v>
      </c>
      <c r="Q74" s="2" t="s">
        <v>96</v>
      </c>
      <c r="R74" s="2" t="s">
        <v>37</v>
      </c>
      <c r="S74" s="2" t="s">
        <v>97</v>
      </c>
      <c r="T74" s="2" t="s">
        <v>39</v>
      </c>
      <c r="U74" s="2">
        <v>30</v>
      </c>
      <c r="V74" s="2">
        <v>1747</v>
      </c>
      <c r="W74" s="2">
        <v>19217</v>
      </c>
      <c r="X74" s="2">
        <v>11</v>
      </c>
      <c r="Y74" s="2">
        <v>0.37</v>
      </c>
      <c r="Z74" s="2">
        <v>152</v>
      </c>
      <c r="AA74" s="2">
        <v>1340.96</v>
      </c>
      <c r="AB74">
        <v>1</v>
      </c>
      <c r="AC74">
        <v>2009</v>
      </c>
      <c r="AE74" s="2">
        <v>646.39</v>
      </c>
    </row>
    <row r="75" spans="2:31" ht="14.5">
      <c r="B75" s="2">
        <v>10717</v>
      </c>
      <c r="C75" s="2" t="s">
        <v>255</v>
      </c>
      <c r="D75" s="2" t="s">
        <v>256</v>
      </c>
      <c r="E75" s="2" t="s">
        <v>42</v>
      </c>
      <c r="F75" s="2" t="s">
        <v>29</v>
      </c>
      <c r="G75" s="2" t="s">
        <v>30</v>
      </c>
      <c r="H75" s="2" t="s">
        <v>218</v>
      </c>
      <c r="I75" s="2" t="s">
        <v>219</v>
      </c>
      <c r="J75" s="2" t="s">
        <v>220</v>
      </c>
      <c r="K75" s="2" t="s">
        <v>34</v>
      </c>
      <c r="L75" s="3"/>
      <c r="M75" s="3">
        <v>39888</v>
      </c>
      <c r="N75" s="3">
        <v>39888</v>
      </c>
      <c r="O75" s="3">
        <v>39888</v>
      </c>
      <c r="P75" s="2" t="s">
        <v>35</v>
      </c>
      <c r="Q75" s="2" t="s">
        <v>36</v>
      </c>
      <c r="R75" s="2" t="s">
        <v>37</v>
      </c>
      <c r="S75" s="2" t="s">
        <v>38</v>
      </c>
      <c r="T75" s="2" t="s">
        <v>39</v>
      </c>
      <c r="U75" s="2">
        <v>60</v>
      </c>
      <c r="V75" s="2">
        <v>7425</v>
      </c>
      <c r="W75" s="2">
        <v>23760</v>
      </c>
      <c r="X75" s="2">
        <v>3.2</v>
      </c>
      <c r="Y75" s="2">
        <v>0.05</v>
      </c>
      <c r="Z75" s="2">
        <v>404</v>
      </c>
      <c r="AA75" s="2">
        <v>5637.82</v>
      </c>
      <c r="AB75">
        <v>1</v>
      </c>
      <c r="AC75">
        <v>2009</v>
      </c>
      <c r="AE75" s="2">
        <v>371.25</v>
      </c>
    </row>
    <row r="76" spans="2:31" ht="14.5">
      <c r="B76" s="2">
        <v>10724</v>
      </c>
      <c r="C76" s="2" t="s">
        <v>257</v>
      </c>
      <c r="D76" s="2" t="s">
        <v>258</v>
      </c>
      <c r="E76" s="2" t="s">
        <v>60</v>
      </c>
      <c r="F76" s="2" t="s">
        <v>29</v>
      </c>
      <c r="G76" s="2" t="s">
        <v>30</v>
      </c>
      <c r="H76" s="2" t="s">
        <v>218</v>
      </c>
      <c r="I76" s="2" t="s">
        <v>219</v>
      </c>
      <c r="J76" s="2" t="s">
        <v>220</v>
      </c>
      <c r="K76" s="2" t="s">
        <v>34</v>
      </c>
      <c r="L76" s="3"/>
      <c r="M76" s="3">
        <v>39794</v>
      </c>
      <c r="N76" s="3">
        <v>39794</v>
      </c>
      <c r="O76" s="3">
        <v>39794</v>
      </c>
      <c r="P76" s="2" t="s">
        <v>44</v>
      </c>
      <c r="Q76" s="2" t="s">
        <v>45</v>
      </c>
      <c r="R76" s="2" t="s">
        <v>37</v>
      </c>
      <c r="S76" s="2" t="s">
        <v>46</v>
      </c>
      <c r="T76" s="2" t="s">
        <v>47</v>
      </c>
      <c r="U76" s="2">
        <v>60</v>
      </c>
      <c r="V76" s="2">
        <v>31000</v>
      </c>
      <c r="W76" s="2">
        <v>271560</v>
      </c>
      <c r="X76" s="2">
        <v>8.76</v>
      </c>
      <c r="Y76" s="2">
        <v>0.15</v>
      </c>
      <c r="Z76" s="2">
        <v>1787</v>
      </c>
      <c r="AA76" s="2">
        <v>10073.76</v>
      </c>
      <c r="AB76">
        <v>1</v>
      </c>
      <c r="AC76">
        <v>2008</v>
      </c>
      <c r="AE76" s="2">
        <v>4650</v>
      </c>
    </row>
    <row r="77" spans="2:31" ht="14.5">
      <c r="B77" s="2">
        <v>10731</v>
      </c>
      <c r="C77" s="2" t="s">
        <v>259</v>
      </c>
      <c r="D77" s="2" t="s">
        <v>260</v>
      </c>
      <c r="E77" s="2" t="s">
        <v>118</v>
      </c>
      <c r="F77" s="2" t="s">
        <v>29</v>
      </c>
      <c r="G77" s="2" t="s">
        <v>30</v>
      </c>
      <c r="H77" s="2" t="s">
        <v>218</v>
      </c>
      <c r="I77" s="2" t="s">
        <v>219</v>
      </c>
      <c r="J77" s="2" t="s">
        <v>220</v>
      </c>
      <c r="K77" s="2" t="s">
        <v>34</v>
      </c>
      <c r="L77" s="3"/>
      <c r="M77" s="3">
        <v>39756</v>
      </c>
      <c r="N77" s="3">
        <v>39756</v>
      </c>
      <c r="O77" s="3">
        <v>39756</v>
      </c>
      <c r="P77" s="2" t="s">
        <v>139</v>
      </c>
      <c r="Q77" s="2" t="s">
        <v>140</v>
      </c>
      <c r="R77" s="2" t="s">
        <v>37</v>
      </c>
      <c r="S77" s="2" t="s">
        <v>141</v>
      </c>
      <c r="T77" s="2" t="s">
        <v>47</v>
      </c>
      <c r="U77" s="2">
        <v>60</v>
      </c>
      <c r="V77" s="2">
        <v>2742</v>
      </c>
      <c r="W77" s="2">
        <v>20290.8</v>
      </c>
      <c r="X77" s="2">
        <v>7.4</v>
      </c>
      <c r="Y77" s="2">
        <v>0.12</v>
      </c>
      <c r="Z77" s="2">
        <v>204</v>
      </c>
      <c r="AA77" s="2">
        <v>3477</v>
      </c>
      <c r="AB77">
        <v>1</v>
      </c>
      <c r="AC77">
        <v>2008</v>
      </c>
      <c r="AE77" s="2">
        <v>329.03999999999996</v>
      </c>
    </row>
    <row r="78" spans="2:31" ht="14.5">
      <c r="B78" s="2">
        <v>10734</v>
      </c>
      <c r="C78" s="2" t="s">
        <v>261</v>
      </c>
      <c r="D78" s="2" t="s">
        <v>262</v>
      </c>
      <c r="E78" s="2" t="s">
        <v>28</v>
      </c>
      <c r="F78" s="2" t="s">
        <v>29</v>
      </c>
      <c r="G78" s="2" t="s">
        <v>30</v>
      </c>
      <c r="H78" s="2" t="s">
        <v>218</v>
      </c>
      <c r="I78" s="2" t="s">
        <v>219</v>
      </c>
      <c r="J78" s="2" t="s">
        <v>220</v>
      </c>
      <c r="K78" s="2" t="s">
        <v>34</v>
      </c>
      <c r="L78" s="3"/>
      <c r="M78" s="3">
        <v>39706</v>
      </c>
      <c r="N78" s="3">
        <v>39706</v>
      </c>
      <c r="O78" s="3">
        <v>39706</v>
      </c>
      <c r="P78" s="2" t="s">
        <v>95</v>
      </c>
      <c r="Q78" s="2" t="s">
        <v>96</v>
      </c>
      <c r="R78" s="2" t="s">
        <v>37</v>
      </c>
      <c r="S78" s="2" t="s">
        <v>97</v>
      </c>
      <c r="T78" s="2" t="s">
        <v>39</v>
      </c>
      <c r="U78" s="2">
        <v>30</v>
      </c>
      <c r="V78" s="2">
        <v>5000</v>
      </c>
      <c r="W78" s="2">
        <v>60050</v>
      </c>
      <c r="X78" s="2">
        <v>12.01</v>
      </c>
      <c r="Y78" s="2">
        <v>0.4</v>
      </c>
      <c r="Z78" s="2">
        <v>379</v>
      </c>
      <c r="AA78" s="2">
        <v>1188.97</v>
      </c>
      <c r="AB78">
        <v>1</v>
      </c>
      <c r="AC78">
        <v>2008</v>
      </c>
      <c r="AE78" s="2">
        <v>2000</v>
      </c>
    </row>
    <row r="79" spans="2:31" ht="14.5">
      <c r="B79" s="2">
        <v>10737</v>
      </c>
      <c r="C79" s="2" t="s">
        <v>263</v>
      </c>
      <c r="D79" s="2" t="s">
        <v>264</v>
      </c>
      <c r="E79" s="2" t="s">
        <v>60</v>
      </c>
      <c r="F79" s="2" t="s">
        <v>29</v>
      </c>
      <c r="G79" s="2" t="s">
        <v>30</v>
      </c>
      <c r="H79" s="2" t="s">
        <v>218</v>
      </c>
      <c r="I79" s="2" t="s">
        <v>219</v>
      </c>
      <c r="J79" s="2" t="s">
        <v>220</v>
      </c>
      <c r="K79" s="2" t="s">
        <v>34</v>
      </c>
      <c r="L79" s="3"/>
      <c r="M79" s="3">
        <v>39875</v>
      </c>
      <c r="N79" s="3">
        <v>39875</v>
      </c>
      <c r="O79" s="3">
        <v>39875</v>
      </c>
      <c r="P79" s="2" t="s">
        <v>95</v>
      </c>
      <c r="Q79" s="2" t="s">
        <v>96</v>
      </c>
      <c r="R79" s="2" t="s">
        <v>37</v>
      </c>
      <c r="S79" s="2" t="s">
        <v>97</v>
      </c>
      <c r="T79" s="2" t="s">
        <v>39</v>
      </c>
      <c r="U79" s="2">
        <v>30</v>
      </c>
      <c r="V79" s="2">
        <v>28926</v>
      </c>
      <c r="W79" s="2">
        <v>307194.12</v>
      </c>
      <c r="X79" s="2">
        <v>10.62</v>
      </c>
      <c r="Y79" s="2">
        <v>0.35</v>
      </c>
      <c r="Z79" s="2">
        <v>4593</v>
      </c>
      <c r="AA79" s="2">
        <v>16901.37</v>
      </c>
      <c r="AB79">
        <v>1</v>
      </c>
      <c r="AC79">
        <v>2009</v>
      </c>
      <c r="AE79" s="2">
        <v>10124.099999999999</v>
      </c>
    </row>
    <row r="80" spans="2:31" ht="14.5">
      <c r="B80" s="2">
        <v>10741</v>
      </c>
      <c r="C80" s="2" t="s">
        <v>265</v>
      </c>
      <c r="D80" s="2" t="s">
        <v>266</v>
      </c>
      <c r="E80" s="2" t="s">
        <v>28</v>
      </c>
      <c r="F80" s="2" t="s">
        <v>29</v>
      </c>
      <c r="G80" s="2" t="s">
        <v>30</v>
      </c>
      <c r="H80" s="2" t="s">
        <v>218</v>
      </c>
      <c r="I80" s="2" t="s">
        <v>219</v>
      </c>
      <c r="J80" s="2" t="s">
        <v>220</v>
      </c>
      <c r="K80" s="2" t="s">
        <v>267</v>
      </c>
      <c r="L80" s="3"/>
      <c r="M80" s="3">
        <v>39682</v>
      </c>
      <c r="N80" s="3">
        <v>39682</v>
      </c>
      <c r="O80" s="3">
        <v>39682</v>
      </c>
      <c r="P80" s="2" t="s">
        <v>44</v>
      </c>
      <c r="Q80" s="2" t="s">
        <v>45</v>
      </c>
      <c r="R80" s="2" t="s">
        <v>37</v>
      </c>
      <c r="S80" s="2" t="s">
        <v>46</v>
      </c>
      <c r="T80" s="2" t="s">
        <v>47</v>
      </c>
      <c r="U80" s="2">
        <v>60</v>
      </c>
      <c r="V80" s="2">
        <v>46163</v>
      </c>
      <c r="W80" s="2">
        <v>436240.35</v>
      </c>
      <c r="X80" s="2">
        <v>9.4499999999999993</v>
      </c>
      <c r="Y80" s="2">
        <v>0.16</v>
      </c>
      <c r="Z80" s="2">
        <v>4237</v>
      </c>
      <c r="AA80" s="2">
        <v>3482.59</v>
      </c>
      <c r="AB80">
        <v>1</v>
      </c>
      <c r="AC80">
        <v>2008</v>
      </c>
      <c r="AE80" s="2">
        <v>7386.08</v>
      </c>
    </row>
    <row r="81" spans="2:31" ht="14.5">
      <c r="B81" s="2">
        <v>10748</v>
      </c>
      <c r="C81" s="2" t="s">
        <v>268</v>
      </c>
      <c r="D81" s="2" t="s">
        <v>269</v>
      </c>
      <c r="E81" s="2" t="s">
        <v>118</v>
      </c>
      <c r="F81" s="2" t="s">
        <v>29</v>
      </c>
      <c r="G81" s="2" t="s">
        <v>30</v>
      </c>
      <c r="H81" s="2" t="s">
        <v>218</v>
      </c>
      <c r="I81" s="2" t="s">
        <v>219</v>
      </c>
      <c r="J81" s="2" t="s">
        <v>220</v>
      </c>
      <c r="K81" s="2" t="s">
        <v>34</v>
      </c>
      <c r="L81" s="3"/>
      <c r="M81" s="3">
        <v>39822</v>
      </c>
      <c r="N81" s="3">
        <v>39822</v>
      </c>
      <c r="O81" s="3">
        <v>39822</v>
      </c>
      <c r="P81" s="2" t="s">
        <v>112</v>
      </c>
      <c r="Q81" s="2" t="s">
        <v>113</v>
      </c>
      <c r="R81" s="2" t="s">
        <v>37</v>
      </c>
      <c r="S81" s="2" t="s">
        <v>114</v>
      </c>
      <c r="T81" s="2" t="s">
        <v>47</v>
      </c>
      <c r="U81" s="2">
        <v>60</v>
      </c>
      <c r="V81" s="2">
        <v>6296</v>
      </c>
      <c r="W81" s="2">
        <v>74292.800000000003</v>
      </c>
      <c r="X81" s="2">
        <v>11.8</v>
      </c>
      <c r="Y81" s="2">
        <v>0.2</v>
      </c>
      <c r="Z81" s="2">
        <v>822</v>
      </c>
      <c r="AA81" s="2">
        <v>7321.04</v>
      </c>
      <c r="AB81">
        <v>1</v>
      </c>
      <c r="AC81">
        <v>2009</v>
      </c>
      <c r="AE81" s="2">
        <v>1259.2</v>
      </c>
    </row>
    <row r="82" spans="2:31" ht="14.5">
      <c r="B82" s="2">
        <v>10754</v>
      </c>
      <c r="C82" s="2" t="s">
        <v>270</v>
      </c>
      <c r="D82" s="2" t="s">
        <v>271</v>
      </c>
      <c r="E82" s="2" t="s">
        <v>28</v>
      </c>
      <c r="F82" s="2" t="s">
        <v>29</v>
      </c>
      <c r="G82" s="2" t="s">
        <v>30</v>
      </c>
      <c r="H82" s="2" t="s">
        <v>218</v>
      </c>
      <c r="I82" s="2" t="s">
        <v>219</v>
      </c>
      <c r="J82" s="2" t="s">
        <v>220</v>
      </c>
      <c r="K82" s="2" t="s">
        <v>34</v>
      </c>
      <c r="L82" s="3"/>
      <c r="M82" s="3">
        <v>39682</v>
      </c>
      <c r="N82" s="3">
        <v>39682</v>
      </c>
      <c r="O82" s="3">
        <v>39682</v>
      </c>
      <c r="P82" s="2" t="s">
        <v>95</v>
      </c>
      <c r="Q82" s="2" t="s">
        <v>96</v>
      </c>
      <c r="R82" s="2" t="s">
        <v>37</v>
      </c>
      <c r="S82" s="2" t="s">
        <v>97</v>
      </c>
      <c r="T82" s="2" t="s">
        <v>39</v>
      </c>
      <c r="U82" s="2">
        <v>30</v>
      </c>
      <c r="V82" s="2">
        <v>145000</v>
      </c>
      <c r="W82" s="2">
        <v>1741450</v>
      </c>
      <c r="X82" s="2">
        <v>12.01</v>
      </c>
      <c r="Y82" s="2">
        <v>0.4</v>
      </c>
      <c r="Z82" s="2">
        <v>11186</v>
      </c>
      <c r="AA82" s="2">
        <v>9330</v>
      </c>
      <c r="AB82">
        <v>1</v>
      </c>
      <c r="AC82">
        <v>2008</v>
      </c>
      <c r="AE82" s="2">
        <v>58000</v>
      </c>
    </row>
    <row r="83" spans="2:31" ht="14.5">
      <c r="B83" s="2">
        <v>10766</v>
      </c>
      <c r="C83" s="2" t="s">
        <v>272</v>
      </c>
      <c r="D83" s="2" t="s">
        <v>273</v>
      </c>
      <c r="E83" s="2" t="s">
        <v>118</v>
      </c>
      <c r="F83" s="2" t="s">
        <v>29</v>
      </c>
      <c r="G83" s="2" t="s">
        <v>30</v>
      </c>
      <c r="H83" s="2" t="s">
        <v>218</v>
      </c>
      <c r="I83" s="2" t="s">
        <v>219</v>
      </c>
      <c r="J83" s="2" t="s">
        <v>220</v>
      </c>
      <c r="K83" s="2" t="s">
        <v>34</v>
      </c>
      <c r="L83" s="3"/>
      <c r="M83" s="3">
        <v>39965</v>
      </c>
      <c r="N83" s="3">
        <v>39965</v>
      </c>
      <c r="O83" s="3">
        <v>39965</v>
      </c>
      <c r="P83" s="2" t="s">
        <v>44</v>
      </c>
      <c r="Q83" s="2" t="s">
        <v>45</v>
      </c>
      <c r="R83" s="2" t="s">
        <v>37</v>
      </c>
      <c r="S83" s="2" t="s">
        <v>46</v>
      </c>
      <c r="T83" s="2" t="s">
        <v>47</v>
      </c>
      <c r="U83" s="2">
        <v>60</v>
      </c>
      <c r="V83" s="2">
        <v>3574</v>
      </c>
      <c r="W83" s="2">
        <v>31308.240000000002</v>
      </c>
      <c r="X83" s="2">
        <v>8.76</v>
      </c>
      <c r="Y83" s="2">
        <v>0.15</v>
      </c>
      <c r="Z83" s="2">
        <v>14</v>
      </c>
      <c r="AA83" s="2">
        <v>1375.36</v>
      </c>
      <c r="AB83">
        <v>1</v>
      </c>
      <c r="AC83">
        <v>2009</v>
      </c>
      <c r="AE83" s="2">
        <v>536.1</v>
      </c>
    </row>
    <row r="84" spans="2:31" ht="14.5">
      <c r="B84" s="2">
        <v>10787</v>
      </c>
      <c r="C84" s="2" t="s">
        <v>274</v>
      </c>
      <c r="D84" s="2" t="s">
        <v>275</v>
      </c>
      <c r="E84" s="2" t="s">
        <v>28</v>
      </c>
      <c r="F84" s="2" t="s">
        <v>29</v>
      </c>
      <c r="G84" s="2" t="s">
        <v>30</v>
      </c>
      <c r="H84" s="2" t="s">
        <v>218</v>
      </c>
      <c r="I84" s="2" t="s">
        <v>219</v>
      </c>
      <c r="J84" s="2" t="s">
        <v>220</v>
      </c>
      <c r="K84" s="2" t="s">
        <v>267</v>
      </c>
      <c r="L84" s="3"/>
      <c r="M84" s="3">
        <v>40045</v>
      </c>
      <c r="N84" s="3">
        <v>40045</v>
      </c>
      <c r="O84" s="3">
        <v>40045</v>
      </c>
      <c r="P84" s="2" t="s">
        <v>98</v>
      </c>
      <c r="Q84" s="2" t="s">
        <v>99</v>
      </c>
      <c r="R84" s="2" t="s">
        <v>37</v>
      </c>
      <c r="S84" s="2" t="s">
        <v>100</v>
      </c>
      <c r="T84" s="2" t="s">
        <v>39</v>
      </c>
      <c r="U84" s="2">
        <v>60</v>
      </c>
      <c r="V84" s="2">
        <v>4794</v>
      </c>
      <c r="W84" s="2">
        <v>122007.3</v>
      </c>
      <c r="X84" s="2">
        <v>25.45</v>
      </c>
      <c r="Y84" s="2">
        <v>0.42</v>
      </c>
      <c r="Z84" s="2">
        <v>475</v>
      </c>
      <c r="AA84" s="2">
        <v>3588.34</v>
      </c>
      <c r="AB84">
        <v>1</v>
      </c>
      <c r="AC84">
        <v>2009</v>
      </c>
      <c r="AE84" s="2">
        <v>2013.48</v>
      </c>
    </row>
    <row r="85" spans="2:31" ht="14.5">
      <c r="B85" s="2">
        <v>10797</v>
      </c>
      <c r="C85" s="2" t="s">
        <v>276</v>
      </c>
      <c r="D85" s="2" t="s">
        <v>277</v>
      </c>
      <c r="E85" s="2" t="s">
        <v>118</v>
      </c>
      <c r="F85" s="2" t="s">
        <v>29</v>
      </c>
      <c r="G85" s="2" t="s">
        <v>30</v>
      </c>
      <c r="H85" s="2" t="s">
        <v>218</v>
      </c>
      <c r="I85" s="2" t="s">
        <v>219</v>
      </c>
      <c r="J85" s="2" t="s">
        <v>220</v>
      </c>
      <c r="K85" s="2" t="s">
        <v>34</v>
      </c>
      <c r="L85" s="3"/>
      <c r="M85" s="3">
        <v>40094</v>
      </c>
      <c r="N85" s="3">
        <v>40094</v>
      </c>
      <c r="O85" s="3">
        <v>40094</v>
      </c>
      <c r="P85" s="2" t="s">
        <v>139</v>
      </c>
      <c r="Q85" s="2" t="s">
        <v>140</v>
      </c>
      <c r="R85" s="2" t="s">
        <v>37</v>
      </c>
      <c r="S85" s="2" t="s">
        <v>141</v>
      </c>
      <c r="T85" s="2" t="s">
        <v>47</v>
      </c>
      <c r="U85" s="2">
        <v>60</v>
      </c>
      <c r="V85" s="2">
        <v>240</v>
      </c>
      <c r="W85" s="2">
        <v>1680</v>
      </c>
      <c r="X85" s="2">
        <v>7</v>
      </c>
      <c r="Y85" s="2">
        <v>0.12</v>
      </c>
      <c r="Z85" s="2">
        <v>23</v>
      </c>
      <c r="AA85" s="2">
        <v>1173.0999999999999</v>
      </c>
      <c r="AB85">
        <v>1</v>
      </c>
      <c r="AC85">
        <v>2009</v>
      </c>
      <c r="AE85" s="2">
        <v>28.799999999999997</v>
      </c>
    </row>
    <row r="86" spans="2:31" ht="14.5">
      <c r="B86" s="2">
        <v>10798</v>
      </c>
      <c r="C86" s="2" t="s">
        <v>278</v>
      </c>
      <c r="D86" s="2" t="s">
        <v>279</v>
      </c>
      <c r="E86" s="2" t="s">
        <v>28</v>
      </c>
      <c r="F86" s="2" t="s">
        <v>29</v>
      </c>
      <c r="G86" s="2" t="s">
        <v>30</v>
      </c>
      <c r="H86" s="2" t="s">
        <v>218</v>
      </c>
      <c r="I86" s="2" t="s">
        <v>219</v>
      </c>
      <c r="J86" s="2" t="s">
        <v>220</v>
      </c>
      <c r="K86" s="2" t="s">
        <v>267</v>
      </c>
      <c r="L86" s="3"/>
      <c r="M86" s="3">
        <v>40112</v>
      </c>
      <c r="N86" s="3">
        <v>40112</v>
      </c>
      <c r="O86" s="3">
        <v>40112</v>
      </c>
      <c r="P86" s="2" t="s">
        <v>98</v>
      </c>
      <c r="Q86" s="2" t="s">
        <v>99</v>
      </c>
      <c r="R86" s="2" t="s">
        <v>37</v>
      </c>
      <c r="S86" s="2" t="s">
        <v>100</v>
      </c>
      <c r="T86" s="2" t="s">
        <v>39</v>
      </c>
      <c r="U86" s="2">
        <v>60</v>
      </c>
      <c r="V86" s="2">
        <v>6915</v>
      </c>
      <c r="W86" s="2">
        <v>175986.75</v>
      </c>
      <c r="X86" s="2">
        <v>25.45</v>
      </c>
      <c r="Y86" s="2">
        <v>0.42</v>
      </c>
      <c r="Z86" s="2">
        <v>1067</v>
      </c>
      <c r="AA86" s="2">
        <v>2217.5</v>
      </c>
      <c r="AB86">
        <v>1</v>
      </c>
      <c r="AC86">
        <v>2009</v>
      </c>
      <c r="AE86" s="2">
        <v>2904.2999999999997</v>
      </c>
    </row>
    <row r="87" spans="2:31" ht="14.5">
      <c r="B87" s="2">
        <v>10799</v>
      </c>
      <c r="C87" s="2" t="s">
        <v>280</v>
      </c>
      <c r="D87" s="2" t="s">
        <v>281</v>
      </c>
      <c r="E87" s="2" t="s">
        <v>118</v>
      </c>
      <c r="F87" s="2" t="s">
        <v>29</v>
      </c>
      <c r="G87" s="2" t="s">
        <v>30</v>
      </c>
      <c r="H87" s="2" t="s">
        <v>218</v>
      </c>
      <c r="I87" s="2" t="s">
        <v>219</v>
      </c>
      <c r="J87" s="2" t="s">
        <v>220</v>
      </c>
      <c r="K87" s="2" t="s">
        <v>267</v>
      </c>
      <c r="L87" s="3"/>
      <c r="M87" s="3">
        <v>40098</v>
      </c>
      <c r="N87" s="3">
        <v>40098</v>
      </c>
      <c r="O87" s="3">
        <v>40098</v>
      </c>
      <c r="P87" s="2" t="s">
        <v>112</v>
      </c>
      <c r="Q87" s="2" t="s">
        <v>113</v>
      </c>
      <c r="R87" s="2" t="s">
        <v>37</v>
      </c>
      <c r="S87" s="2" t="s">
        <v>114</v>
      </c>
      <c r="T87" s="2" t="s">
        <v>47</v>
      </c>
      <c r="U87" s="2">
        <v>60</v>
      </c>
      <c r="V87" s="2">
        <v>14066</v>
      </c>
      <c r="W87" s="2">
        <v>159649.1</v>
      </c>
      <c r="X87" s="2">
        <v>11.35</v>
      </c>
      <c r="Y87" s="2">
        <v>0.19</v>
      </c>
      <c r="Z87" s="2">
        <v>1593</v>
      </c>
      <c r="AA87" s="2">
        <v>9547.7000000000007</v>
      </c>
      <c r="AB87">
        <v>1</v>
      </c>
      <c r="AC87">
        <v>2009</v>
      </c>
      <c r="AE87" s="2">
        <v>2672.54</v>
      </c>
    </row>
    <row r="88" spans="2:31" ht="14.5">
      <c r="B88" s="2">
        <v>10809</v>
      </c>
      <c r="C88" s="2" t="s">
        <v>282</v>
      </c>
      <c r="D88" s="2" t="s">
        <v>283</v>
      </c>
      <c r="E88" s="2" t="s">
        <v>42</v>
      </c>
      <c r="F88" s="2" t="s">
        <v>29</v>
      </c>
      <c r="G88" s="2" t="s">
        <v>30</v>
      </c>
      <c r="H88" s="2" t="s">
        <v>218</v>
      </c>
      <c r="I88" s="2" t="s">
        <v>219</v>
      </c>
      <c r="J88" s="2" t="s">
        <v>220</v>
      </c>
      <c r="K88" s="2" t="s">
        <v>34</v>
      </c>
      <c r="L88" s="3"/>
      <c r="M88" s="3">
        <v>39114</v>
      </c>
      <c r="N88" s="3">
        <v>39114</v>
      </c>
      <c r="O88" s="3">
        <v>39114</v>
      </c>
      <c r="P88" s="2" t="s">
        <v>98</v>
      </c>
      <c r="Q88" s="2" t="s">
        <v>99</v>
      </c>
      <c r="R88" s="2" t="s">
        <v>37</v>
      </c>
      <c r="S88" s="2" t="s">
        <v>100</v>
      </c>
      <c r="T88" s="2" t="s">
        <v>39</v>
      </c>
      <c r="U88" s="2">
        <v>60</v>
      </c>
      <c r="V88" s="2">
        <v>600</v>
      </c>
      <c r="W88" s="2">
        <v>21480</v>
      </c>
      <c r="X88" s="2">
        <v>35.799999999999997</v>
      </c>
      <c r="Y88" s="2">
        <v>0.6</v>
      </c>
      <c r="Z88" s="2">
        <v>55</v>
      </c>
      <c r="AA88" s="2">
        <v>913.15</v>
      </c>
      <c r="AB88">
        <v>1</v>
      </c>
      <c r="AC88">
        <v>2007</v>
      </c>
      <c r="AE88" s="2">
        <v>360</v>
      </c>
    </row>
    <row r="89" spans="2:31" ht="14.5">
      <c r="B89" s="2">
        <v>10810</v>
      </c>
      <c r="C89" s="2" t="s">
        <v>284</v>
      </c>
      <c r="D89" s="2" t="s">
        <v>285</v>
      </c>
      <c r="E89" s="2" t="s">
        <v>42</v>
      </c>
      <c r="F89" s="2" t="s">
        <v>29</v>
      </c>
      <c r="G89" s="2" t="s">
        <v>30</v>
      </c>
      <c r="H89" s="2" t="s">
        <v>218</v>
      </c>
      <c r="I89" s="2" t="s">
        <v>219</v>
      </c>
      <c r="J89" s="2" t="s">
        <v>220</v>
      </c>
      <c r="K89" s="2" t="s">
        <v>34</v>
      </c>
      <c r="L89" s="3"/>
      <c r="M89" s="3">
        <v>39118</v>
      </c>
      <c r="N89" s="3">
        <v>39118</v>
      </c>
      <c r="O89" s="3">
        <v>39118</v>
      </c>
      <c r="P89" s="2" t="s">
        <v>286</v>
      </c>
      <c r="Q89" s="2" t="s">
        <v>287</v>
      </c>
      <c r="R89" s="2" t="s">
        <v>288</v>
      </c>
      <c r="S89" s="2" t="s">
        <v>120</v>
      </c>
      <c r="T89" s="2" t="s">
        <v>39</v>
      </c>
      <c r="U89" s="2">
        <v>270</v>
      </c>
      <c r="V89" s="2">
        <v>400</v>
      </c>
      <c r="W89" s="2">
        <v>38920</v>
      </c>
      <c r="X89" s="2">
        <v>97.3</v>
      </c>
      <c r="Y89" s="2">
        <v>0.36</v>
      </c>
      <c r="Z89" s="2">
        <v>108</v>
      </c>
      <c r="AA89" s="2">
        <v>23000.34</v>
      </c>
      <c r="AB89">
        <v>1</v>
      </c>
      <c r="AC89">
        <v>2007</v>
      </c>
      <c r="AE89" s="2">
        <v>144</v>
      </c>
    </row>
    <row r="90" spans="2:31" ht="14.5">
      <c r="B90" s="2">
        <v>10823</v>
      </c>
      <c r="C90" s="2" t="s">
        <v>289</v>
      </c>
      <c r="D90" s="2" t="s">
        <v>290</v>
      </c>
      <c r="E90" s="2" t="s">
        <v>42</v>
      </c>
      <c r="F90" s="2" t="s">
        <v>29</v>
      </c>
      <c r="G90" s="2" t="s">
        <v>50</v>
      </c>
      <c r="H90" s="2" t="s">
        <v>218</v>
      </c>
      <c r="I90" s="2" t="s">
        <v>219</v>
      </c>
      <c r="J90" s="2" t="s">
        <v>220</v>
      </c>
      <c r="K90" s="2" t="s">
        <v>34</v>
      </c>
      <c r="L90" s="3"/>
      <c r="M90" s="3">
        <v>39216</v>
      </c>
      <c r="N90" s="3">
        <v>39216</v>
      </c>
      <c r="O90" s="3">
        <v>39216</v>
      </c>
      <c r="P90" s="2" t="s">
        <v>291</v>
      </c>
      <c r="Q90" s="2" t="s">
        <v>99</v>
      </c>
      <c r="R90" s="2" t="s">
        <v>37</v>
      </c>
      <c r="S90" s="2" t="s">
        <v>172</v>
      </c>
      <c r="T90" s="2" t="s">
        <v>87</v>
      </c>
      <c r="U90" s="2">
        <v>240</v>
      </c>
      <c r="V90" s="2">
        <v>90</v>
      </c>
      <c r="W90" s="2">
        <v>1935</v>
      </c>
      <c r="X90" s="2">
        <v>21.5</v>
      </c>
      <c r="Y90" s="2">
        <v>0.09</v>
      </c>
      <c r="Z90" s="2">
        <v>120</v>
      </c>
      <c r="AA90" s="2">
        <v>11609.31</v>
      </c>
      <c r="AB90">
        <v>1</v>
      </c>
      <c r="AC90">
        <v>2007</v>
      </c>
      <c r="AE90" s="2">
        <v>8.1</v>
      </c>
    </row>
    <row r="91" spans="2:31" ht="14.5">
      <c r="B91" s="2">
        <v>10830</v>
      </c>
      <c r="C91" s="2" t="s">
        <v>292</v>
      </c>
      <c r="D91" s="2" t="s">
        <v>293</v>
      </c>
      <c r="E91" s="2" t="s">
        <v>28</v>
      </c>
      <c r="F91" s="2" t="s">
        <v>29</v>
      </c>
      <c r="G91" s="2" t="s">
        <v>30</v>
      </c>
      <c r="H91" s="2" t="s">
        <v>218</v>
      </c>
      <c r="I91" s="2" t="s">
        <v>219</v>
      </c>
      <c r="J91" s="2" t="s">
        <v>220</v>
      </c>
      <c r="K91" s="2" t="s">
        <v>34</v>
      </c>
      <c r="L91" s="3"/>
      <c r="M91" s="3">
        <v>39269</v>
      </c>
      <c r="N91" s="3">
        <v>39269</v>
      </c>
      <c r="O91" s="3">
        <v>39269</v>
      </c>
      <c r="P91" s="2" t="s">
        <v>98</v>
      </c>
      <c r="Q91" s="2" t="s">
        <v>99</v>
      </c>
      <c r="R91" s="2" t="s">
        <v>37</v>
      </c>
      <c r="S91" s="2" t="s">
        <v>100</v>
      </c>
      <c r="T91" s="2" t="s">
        <v>39</v>
      </c>
      <c r="U91" s="2">
        <v>60</v>
      </c>
      <c r="V91" s="2">
        <v>6781</v>
      </c>
      <c r="W91" s="2">
        <v>242759.8</v>
      </c>
      <c r="X91" s="2">
        <v>35.799999999999997</v>
      </c>
      <c r="Y91" s="2">
        <v>0.6</v>
      </c>
      <c r="Z91" s="2">
        <v>675</v>
      </c>
      <c r="AA91" s="2">
        <v>2440</v>
      </c>
      <c r="AB91">
        <v>1</v>
      </c>
      <c r="AC91">
        <v>2007</v>
      </c>
      <c r="AE91" s="2">
        <v>4068.6</v>
      </c>
    </row>
    <row r="92" spans="2:31" ht="14.5">
      <c r="B92" s="2">
        <v>10837</v>
      </c>
      <c r="C92" s="2" t="s">
        <v>294</v>
      </c>
      <c r="D92" s="2" t="s">
        <v>295</v>
      </c>
      <c r="E92" s="2" t="s">
        <v>28</v>
      </c>
      <c r="F92" s="2" t="s">
        <v>29</v>
      </c>
      <c r="G92" s="2" t="s">
        <v>30</v>
      </c>
      <c r="H92" s="2" t="s">
        <v>218</v>
      </c>
      <c r="I92" s="2" t="s">
        <v>219</v>
      </c>
      <c r="J92" s="2" t="s">
        <v>220</v>
      </c>
      <c r="K92" s="2" t="s">
        <v>34</v>
      </c>
      <c r="L92" s="3"/>
      <c r="M92" s="3">
        <v>39269</v>
      </c>
      <c r="N92" s="3">
        <v>39269</v>
      </c>
      <c r="O92" s="3">
        <v>39269</v>
      </c>
      <c r="P92" s="2" t="s">
        <v>139</v>
      </c>
      <c r="Q92" s="2" t="s">
        <v>140</v>
      </c>
      <c r="R92" s="2" t="s">
        <v>37</v>
      </c>
      <c r="S92" s="2" t="s">
        <v>141</v>
      </c>
      <c r="T92" s="2" t="s">
        <v>47</v>
      </c>
      <c r="U92" s="2">
        <v>60</v>
      </c>
      <c r="V92" s="2">
        <v>3386</v>
      </c>
      <c r="W92" s="2">
        <v>25395</v>
      </c>
      <c r="X92" s="2">
        <v>7.5</v>
      </c>
      <c r="Y92" s="2">
        <v>0.12</v>
      </c>
      <c r="Z92" s="2">
        <v>31</v>
      </c>
      <c r="AA92" s="2">
        <v>1589</v>
      </c>
      <c r="AB92">
        <v>1</v>
      </c>
      <c r="AC92">
        <v>2007</v>
      </c>
      <c r="AE92" s="2">
        <v>406.32</v>
      </c>
    </row>
    <row r="93" spans="2:31" ht="14.5">
      <c r="B93" s="2">
        <v>10840</v>
      </c>
      <c r="C93" s="2" t="s">
        <v>296</v>
      </c>
      <c r="D93" s="2" t="s">
        <v>297</v>
      </c>
      <c r="E93" s="2" t="s">
        <v>28</v>
      </c>
      <c r="F93" s="2" t="s">
        <v>29</v>
      </c>
      <c r="G93" s="2" t="s">
        <v>30</v>
      </c>
      <c r="H93" s="2" t="s">
        <v>218</v>
      </c>
      <c r="I93" s="2" t="s">
        <v>219</v>
      </c>
      <c r="J93" s="2" t="s">
        <v>220</v>
      </c>
      <c r="K93" s="2" t="s">
        <v>223</v>
      </c>
      <c r="L93" s="3"/>
      <c r="M93" s="3">
        <v>39316</v>
      </c>
      <c r="N93" s="3">
        <v>39316</v>
      </c>
      <c r="O93" s="3">
        <v>39316</v>
      </c>
      <c r="P93" s="2" t="s">
        <v>139</v>
      </c>
      <c r="Q93" s="2" t="s">
        <v>140</v>
      </c>
      <c r="R93" s="2" t="s">
        <v>37</v>
      </c>
      <c r="S93" s="2" t="s">
        <v>141</v>
      </c>
      <c r="T93" s="2" t="s">
        <v>47</v>
      </c>
      <c r="U93" s="2">
        <v>60</v>
      </c>
      <c r="V93" s="2">
        <v>3386</v>
      </c>
      <c r="W93" s="2">
        <v>25395</v>
      </c>
      <c r="X93" s="2">
        <v>7.5</v>
      </c>
      <c r="Y93" s="2">
        <v>0.12</v>
      </c>
      <c r="Z93" s="2">
        <v>345</v>
      </c>
      <c r="AA93" s="2">
        <v>2554.39</v>
      </c>
      <c r="AB93">
        <v>1</v>
      </c>
      <c r="AC93">
        <v>2007</v>
      </c>
      <c r="AE93" s="2">
        <v>406.32</v>
      </c>
    </row>
    <row r="94" spans="2:31" ht="14.5">
      <c r="B94" s="2">
        <v>10859</v>
      </c>
      <c r="C94" s="2" t="s">
        <v>298</v>
      </c>
      <c r="D94" s="2" t="s">
        <v>299</v>
      </c>
      <c r="E94" s="2" t="s">
        <v>28</v>
      </c>
      <c r="F94" s="2" t="s">
        <v>29</v>
      </c>
      <c r="G94" s="2" t="s">
        <v>30</v>
      </c>
      <c r="H94" s="2" t="s">
        <v>218</v>
      </c>
      <c r="I94" s="2" t="s">
        <v>219</v>
      </c>
      <c r="J94" s="2" t="s">
        <v>220</v>
      </c>
      <c r="K94" s="2" t="s">
        <v>223</v>
      </c>
      <c r="L94" s="3"/>
      <c r="M94" s="3">
        <v>39335</v>
      </c>
      <c r="N94" s="3">
        <v>39335</v>
      </c>
      <c r="O94" s="3">
        <v>39335</v>
      </c>
      <c r="P94" s="2" t="s">
        <v>98</v>
      </c>
      <c r="Q94" s="2" t="s">
        <v>99</v>
      </c>
      <c r="R94" s="2" t="s">
        <v>37</v>
      </c>
      <c r="S94" s="2" t="s">
        <v>100</v>
      </c>
      <c r="T94" s="2" t="s">
        <v>39</v>
      </c>
      <c r="U94" s="2">
        <v>60</v>
      </c>
      <c r="V94" s="2">
        <v>3896</v>
      </c>
      <c r="W94" s="2">
        <v>139476.79999999999</v>
      </c>
      <c r="X94" s="2">
        <v>35.799999999999997</v>
      </c>
      <c r="Y94" s="2">
        <v>0.6</v>
      </c>
      <c r="Z94" s="2">
        <v>3369</v>
      </c>
      <c r="AA94" s="2">
        <v>9689</v>
      </c>
      <c r="AB94">
        <v>1</v>
      </c>
      <c r="AC94">
        <v>2007</v>
      </c>
      <c r="AE94" s="2">
        <v>2337.6</v>
      </c>
    </row>
    <row r="95" spans="2:31" ht="14.5">
      <c r="B95" s="2">
        <v>10863</v>
      </c>
      <c r="C95" s="2" t="s">
        <v>300</v>
      </c>
      <c r="D95" s="2" t="s">
        <v>301</v>
      </c>
      <c r="E95" s="2" t="s">
        <v>118</v>
      </c>
      <c r="F95" s="2" t="s">
        <v>29</v>
      </c>
      <c r="G95" s="2" t="s">
        <v>30</v>
      </c>
      <c r="H95" s="2" t="s">
        <v>218</v>
      </c>
      <c r="I95" s="2" t="s">
        <v>219</v>
      </c>
      <c r="J95" s="2" t="s">
        <v>220</v>
      </c>
      <c r="K95" s="2" t="s">
        <v>34</v>
      </c>
      <c r="L95" s="3"/>
      <c r="M95" s="3">
        <v>39321</v>
      </c>
      <c r="N95" s="3">
        <v>39321</v>
      </c>
      <c r="O95" s="3">
        <v>39321</v>
      </c>
      <c r="P95" s="2" t="s">
        <v>35</v>
      </c>
      <c r="Q95" s="2" t="s">
        <v>36</v>
      </c>
      <c r="R95" s="2" t="s">
        <v>37</v>
      </c>
      <c r="S95" s="2" t="s">
        <v>38</v>
      </c>
      <c r="T95" s="2" t="s">
        <v>39</v>
      </c>
      <c r="U95" s="2">
        <v>60</v>
      </c>
      <c r="V95" s="2">
        <v>1859</v>
      </c>
      <c r="W95" s="2">
        <v>6320.6</v>
      </c>
      <c r="X95" s="2">
        <v>3.4</v>
      </c>
      <c r="Y95" s="2">
        <v>0.06</v>
      </c>
      <c r="Z95" s="2">
        <v>214</v>
      </c>
      <c r="AA95" s="2">
        <v>891</v>
      </c>
      <c r="AB95">
        <v>1</v>
      </c>
      <c r="AC95">
        <v>2007</v>
      </c>
      <c r="AE95" s="2">
        <v>111.53999999999999</v>
      </c>
    </row>
    <row r="96" spans="2:31" ht="14.5">
      <c r="B96" s="2">
        <v>10878</v>
      </c>
      <c r="C96" s="2" t="s">
        <v>221</v>
      </c>
      <c r="D96" s="2" t="s">
        <v>222</v>
      </c>
      <c r="E96" s="2" t="s">
        <v>60</v>
      </c>
      <c r="F96" s="2" t="s">
        <v>29</v>
      </c>
      <c r="G96" s="2" t="s">
        <v>50</v>
      </c>
      <c r="H96" s="2" t="s">
        <v>218</v>
      </c>
      <c r="I96" s="2" t="s">
        <v>219</v>
      </c>
      <c r="J96" s="2" t="s">
        <v>220</v>
      </c>
      <c r="K96" s="2" t="s">
        <v>223</v>
      </c>
      <c r="L96" s="3"/>
      <c r="M96" s="3">
        <v>39329</v>
      </c>
      <c r="N96" s="3">
        <v>39329</v>
      </c>
      <c r="O96" s="3">
        <v>39329</v>
      </c>
      <c r="P96" s="2" t="s">
        <v>224</v>
      </c>
      <c r="Q96" s="2" t="s">
        <v>225</v>
      </c>
      <c r="R96" s="2" t="s">
        <v>37</v>
      </c>
      <c r="S96" s="2" t="s">
        <v>226</v>
      </c>
      <c r="T96" s="2" t="s">
        <v>87</v>
      </c>
      <c r="U96" s="2">
        <v>240</v>
      </c>
      <c r="V96" s="2">
        <v>13850</v>
      </c>
      <c r="W96" s="2">
        <v>29777.5</v>
      </c>
      <c r="X96" s="2">
        <v>2.15</v>
      </c>
      <c r="Y96" s="2">
        <v>0.01</v>
      </c>
      <c r="AB96">
        <v>1</v>
      </c>
      <c r="AC96">
        <v>2007</v>
      </c>
      <c r="AE96" s="2">
        <v>138.5</v>
      </c>
    </row>
    <row r="97" spans="2:31" ht="14.5">
      <c r="B97" s="2">
        <v>10879</v>
      </c>
      <c r="C97" s="2" t="s">
        <v>221</v>
      </c>
      <c r="D97" s="2" t="s">
        <v>222</v>
      </c>
      <c r="E97" s="2" t="s">
        <v>60</v>
      </c>
      <c r="F97" s="2" t="s">
        <v>29</v>
      </c>
      <c r="G97" s="2" t="s">
        <v>50</v>
      </c>
      <c r="H97" s="2" t="s">
        <v>218</v>
      </c>
      <c r="I97" s="2" t="s">
        <v>219</v>
      </c>
      <c r="J97" s="2" t="s">
        <v>220</v>
      </c>
      <c r="K97" s="2" t="s">
        <v>223</v>
      </c>
      <c r="L97" s="3"/>
      <c r="M97" s="3">
        <v>39329</v>
      </c>
      <c r="N97" s="3">
        <v>39329</v>
      </c>
      <c r="O97" s="3">
        <v>39329</v>
      </c>
      <c r="P97" s="2" t="s">
        <v>302</v>
      </c>
      <c r="Q97" s="2" t="s">
        <v>165</v>
      </c>
      <c r="R97" s="2" t="s">
        <v>37</v>
      </c>
      <c r="S97" s="2" t="s">
        <v>226</v>
      </c>
      <c r="T97" s="2" t="s">
        <v>87</v>
      </c>
      <c r="U97" s="2">
        <v>240</v>
      </c>
      <c r="V97" s="2">
        <v>15913</v>
      </c>
      <c r="W97" s="2">
        <v>31348.61</v>
      </c>
      <c r="X97" s="2">
        <v>1.97</v>
      </c>
      <c r="Y97" s="2">
        <v>0.01</v>
      </c>
      <c r="AB97">
        <v>1</v>
      </c>
      <c r="AC97">
        <v>2007</v>
      </c>
      <c r="AE97" s="2">
        <v>159.13</v>
      </c>
    </row>
    <row r="98" spans="2:31" ht="14.5">
      <c r="B98" s="2">
        <v>10880</v>
      </c>
      <c r="C98" s="2" t="s">
        <v>221</v>
      </c>
      <c r="D98" s="2" t="s">
        <v>222</v>
      </c>
      <c r="E98" s="2" t="s">
        <v>60</v>
      </c>
      <c r="F98" s="2" t="s">
        <v>29</v>
      </c>
      <c r="G98" s="2" t="s">
        <v>30</v>
      </c>
      <c r="H98" s="2" t="s">
        <v>218</v>
      </c>
      <c r="I98" s="2" t="s">
        <v>219</v>
      </c>
      <c r="J98" s="2" t="s">
        <v>220</v>
      </c>
      <c r="K98" s="2" t="s">
        <v>223</v>
      </c>
      <c r="L98" s="3"/>
      <c r="M98" s="3">
        <v>39329</v>
      </c>
      <c r="N98" s="3">
        <v>39329</v>
      </c>
      <c r="O98" s="3">
        <v>39329</v>
      </c>
      <c r="P98" s="2" t="s">
        <v>61</v>
      </c>
      <c r="Q98" s="2" t="s">
        <v>62</v>
      </c>
      <c r="R98" s="2" t="s">
        <v>37</v>
      </c>
      <c r="S98" s="2" t="s">
        <v>63</v>
      </c>
      <c r="T98" s="2" t="s">
        <v>64</v>
      </c>
      <c r="U98" s="2">
        <v>60</v>
      </c>
      <c r="V98" s="2">
        <v>14700</v>
      </c>
      <c r="W98" s="2">
        <v>22344</v>
      </c>
      <c r="X98" s="2">
        <v>1.52</v>
      </c>
      <c r="Y98" s="2">
        <v>0.03</v>
      </c>
      <c r="AB98">
        <v>1</v>
      </c>
      <c r="AC98">
        <v>2007</v>
      </c>
      <c r="AE98" s="2">
        <v>441</v>
      </c>
    </row>
    <row r="99" spans="2:31" ht="14.5">
      <c r="B99" s="2">
        <v>10889</v>
      </c>
      <c r="C99" s="2" t="s">
        <v>303</v>
      </c>
      <c r="D99" s="2" t="s">
        <v>304</v>
      </c>
      <c r="E99" s="2" t="s">
        <v>118</v>
      </c>
      <c r="F99" s="2" t="s">
        <v>29</v>
      </c>
      <c r="G99" s="2" t="s">
        <v>30</v>
      </c>
      <c r="H99" s="2" t="s">
        <v>218</v>
      </c>
      <c r="I99" s="2" t="s">
        <v>219</v>
      </c>
      <c r="J99" s="2" t="s">
        <v>220</v>
      </c>
      <c r="K99" s="2" t="s">
        <v>34</v>
      </c>
      <c r="L99" s="3"/>
      <c r="M99" s="3">
        <v>39391</v>
      </c>
      <c r="N99" s="3">
        <v>39391</v>
      </c>
      <c r="O99" s="3">
        <v>39391</v>
      </c>
      <c r="P99" s="2" t="s">
        <v>95</v>
      </c>
      <c r="Q99" s="2" t="s">
        <v>96</v>
      </c>
      <c r="R99" s="2" t="s">
        <v>37</v>
      </c>
      <c r="S99" s="2" t="s">
        <v>97</v>
      </c>
      <c r="T99" s="2" t="s">
        <v>39</v>
      </c>
      <c r="U99" s="2">
        <v>30</v>
      </c>
      <c r="V99" s="2">
        <v>1717</v>
      </c>
      <c r="W99" s="2">
        <v>21325.14</v>
      </c>
      <c r="X99" s="2">
        <v>12.42</v>
      </c>
      <c r="Y99" s="2">
        <v>0.41</v>
      </c>
      <c r="Z99" s="2">
        <v>151</v>
      </c>
      <c r="AA99" s="2">
        <v>1157.58</v>
      </c>
      <c r="AB99">
        <v>1</v>
      </c>
      <c r="AC99">
        <v>2007</v>
      </c>
      <c r="AE99" s="2">
        <v>703.96999999999991</v>
      </c>
    </row>
    <row r="100" spans="2:31" ht="14.5">
      <c r="B100" s="2">
        <v>10906</v>
      </c>
      <c r="C100" s="2" t="s">
        <v>305</v>
      </c>
      <c r="D100" s="2" t="s">
        <v>306</v>
      </c>
      <c r="E100" s="2" t="s">
        <v>118</v>
      </c>
      <c r="F100" s="2" t="s">
        <v>29</v>
      </c>
      <c r="G100" s="2" t="s">
        <v>30</v>
      </c>
      <c r="H100" s="2" t="s">
        <v>218</v>
      </c>
      <c r="I100" s="2" t="s">
        <v>219</v>
      </c>
      <c r="J100" s="2" t="s">
        <v>220</v>
      </c>
      <c r="K100" s="2" t="s">
        <v>34</v>
      </c>
      <c r="L100" s="3"/>
      <c r="M100" s="3">
        <v>39426</v>
      </c>
      <c r="N100" s="3">
        <v>39426</v>
      </c>
      <c r="O100" s="3">
        <v>39426</v>
      </c>
      <c r="P100" s="2" t="s">
        <v>112</v>
      </c>
      <c r="Q100" s="2" t="s">
        <v>113</v>
      </c>
      <c r="R100" s="2" t="s">
        <v>37</v>
      </c>
      <c r="S100" s="2" t="s">
        <v>114</v>
      </c>
      <c r="T100" s="2" t="s">
        <v>47</v>
      </c>
      <c r="U100" s="2">
        <v>60</v>
      </c>
      <c r="V100" s="2">
        <v>1650</v>
      </c>
      <c r="W100" s="2">
        <v>22275</v>
      </c>
      <c r="X100" s="2">
        <v>13.5</v>
      </c>
      <c r="Y100" s="2">
        <v>0.22</v>
      </c>
      <c r="Z100" s="2">
        <v>197</v>
      </c>
      <c r="AA100" s="2">
        <v>1637</v>
      </c>
      <c r="AB100">
        <v>1</v>
      </c>
      <c r="AC100">
        <v>2007</v>
      </c>
      <c r="AE100" s="2">
        <v>363</v>
      </c>
    </row>
    <row r="101" spans="2:31" ht="14.5">
      <c r="B101" s="2">
        <v>10908</v>
      </c>
      <c r="C101" s="2" t="s">
        <v>307</v>
      </c>
      <c r="D101" s="2" t="s">
        <v>308</v>
      </c>
      <c r="E101" s="2" t="s">
        <v>118</v>
      </c>
      <c r="F101" s="2" t="s">
        <v>29</v>
      </c>
      <c r="G101" s="2" t="s">
        <v>30</v>
      </c>
      <c r="H101" s="2" t="s">
        <v>218</v>
      </c>
      <c r="I101" s="2" t="s">
        <v>219</v>
      </c>
      <c r="J101" s="2" t="s">
        <v>220</v>
      </c>
      <c r="K101" s="2" t="s">
        <v>34</v>
      </c>
      <c r="L101" s="3"/>
      <c r="M101" s="3">
        <v>39426</v>
      </c>
      <c r="N101" s="3">
        <v>39426</v>
      </c>
      <c r="O101" s="3">
        <v>39426</v>
      </c>
      <c r="P101" s="2" t="s">
        <v>235</v>
      </c>
      <c r="Q101" s="2" t="s">
        <v>236</v>
      </c>
      <c r="R101" s="2" t="s">
        <v>237</v>
      </c>
      <c r="S101" s="2" t="s">
        <v>238</v>
      </c>
      <c r="T101" s="2" t="s">
        <v>47</v>
      </c>
      <c r="U101" s="2">
        <v>30</v>
      </c>
      <c r="V101" s="2">
        <v>42</v>
      </c>
      <c r="W101" s="2">
        <v>1102.5</v>
      </c>
      <c r="X101" s="2">
        <v>26.25</v>
      </c>
      <c r="Y101" s="2">
        <v>0.88</v>
      </c>
      <c r="Z101" s="2">
        <v>464</v>
      </c>
      <c r="AA101" s="2">
        <v>3393</v>
      </c>
      <c r="AB101">
        <v>1</v>
      </c>
      <c r="AC101">
        <v>2007</v>
      </c>
      <c r="AE101" s="2">
        <v>36.96</v>
      </c>
    </row>
    <row r="102" spans="2:31" ht="14.5">
      <c r="B102" s="2">
        <v>10917</v>
      </c>
      <c r="C102" s="2" t="s">
        <v>309</v>
      </c>
      <c r="D102" s="2" t="s">
        <v>310</v>
      </c>
      <c r="E102" s="2" t="s">
        <v>60</v>
      </c>
      <c r="F102" s="2" t="s">
        <v>29</v>
      </c>
      <c r="G102" s="2" t="s">
        <v>30</v>
      </c>
      <c r="H102" s="2" t="s">
        <v>218</v>
      </c>
      <c r="I102" s="2" t="s">
        <v>219</v>
      </c>
      <c r="J102" s="2" t="s">
        <v>220</v>
      </c>
      <c r="K102" s="2" t="s">
        <v>34</v>
      </c>
      <c r="L102" s="3"/>
      <c r="M102" s="3">
        <v>39498</v>
      </c>
      <c r="N102" s="3">
        <v>39498</v>
      </c>
      <c r="O102" s="3">
        <v>39498</v>
      </c>
      <c r="P102" s="2" t="s">
        <v>311</v>
      </c>
      <c r="Q102" s="2" t="s">
        <v>62</v>
      </c>
      <c r="R102" s="2" t="s">
        <v>37</v>
      </c>
      <c r="S102" s="2" t="s">
        <v>312</v>
      </c>
      <c r="T102" s="2" t="s">
        <v>64</v>
      </c>
      <c r="U102" s="2">
        <v>60</v>
      </c>
      <c r="V102" s="2">
        <v>219</v>
      </c>
      <c r="W102" s="2">
        <v>383.25</v>
      </c>
      <c r="X102" s="2">
        <v>1.75</v>
      </c>
      <c r="Y102" s="2">
        <v>0.03</v>
      </c>
      <c r="Z102" s="2">
        <v>16</v>
      </c>
      <c r="AA102" s="2">
        <v>472.5</v>
      </c>
      <c r="AB102">
        <v>1</v>
      </c>
      <c r="AC102">
        <v>2008</v>
      </c>
      <c r="AE102" s="2">
        <v>6.5699999999999994</v>
      </c>
    </row>
    <row r="103" spans="2:31" ht="14.5">
      <c r="B103" s="2">
        <v>10918</v>
      </c>
      <c r="C103" s="2" t="s">
        <v>313</v>
      </c>
      <c r="D103" s="2" t="s">
        <v>314</v>
      </c>
      <c r="E103" s="2" t="s">
        <v>60</v>
      </c>
      <c r="F103" s="2" t="s">
        <v>29</v>
      </c>
      <c r="G103" s="2" t="s">
        <v>30</v>
      </c>
      <c r="H103" s="2" t="s">
        <v>218</v>
      </c>
      <c r="I103" s="2" t="s">
        <v>219</v>
      </c>
      <c r="J103" s="2" t="s">
        <v>220</v>
      </c>
      <c r="K103" s="2" t="s">
        <v>34</v>
      </c>
      <c r="L103" s="3"/>
      <c r="M103" s="3">
        <v>39436</v>
      </c>
      <c r="N103" s="3">
        <v>39436</v>
      </c>
      <c r="O103" s="3">
        <v>39436</v>
      </c>
      <c r="P103" s="2" t="s">
        <v>104</v>
      </c>
      <c r="Q103" s="2" t="s">
        <v>105</v>
      </c>
      <c r="R103" s="2" t="s">
        <v>106</v>
      </c>
      <c r="S103" s="2" t="s">
        <v>100</v>
      </c>
      <c r="T103" s="2" t="s">
        <v>39</v>
      </c>
      <c r="U103" s="2">
        <v>30</v>
      </c>
      <c r="V103" s="2">
        <v>1184</v>
      </c>
      <c r="W103" s="2">
        <v>20128</v>
      </c>
      <c r="X103" s="2">
        <v>17</v>
      </c>
      <c r="Y103" s="2">
        <v>0.56999999999999995</v>
      </c>
      <c r="Z103" s="2">
        <v>49</v>
      </c>
      <c r="AA103" s="2">
        <v>639.75</v>
      </c>
      <c r="AB103">
        <v>1</v>
      </c>
      <c r="AC103">
        <v>2007</v>
      </c>
      <c r="AE103" s="2">
        <v>674.88</v>
      </c>
    </row>
    <row r="104" spans="2:31" ht="14.5">
      <c r="B104" s="2">
        <v>10923</v>
      </c>
      <c r="C104" s="2" t="s">
        <v>315</v>
      </c>
      <c r="D104" s="2" t="s">
        <v>316</v>
      </c>
      <c r="E104" s="2" t="s">
        <v>60</v>
      </c>
      <c r="F104" s="2" t="s">
        <v>29</v>
      </c>
      <c r="G104" s="2" t="s">
        <v>50</v>
      </c>
      <c r="H104" s="2" t="s">
        <v>218</v>
      </c>
      <c r="I104" s="2" t="s">
        <v>219</v>
      </c>
      <c r="J104" s="2" t="s">
        <v>220</v>
      </c>
      <c r="K104" s="2" t="s">
        <v>34</v>
      </c>
      <c r="L104" s="3"/>
      <c r="M104" s="3">
        <v>39436</v>
      </c>
      <c r="N104" s="3">
        <v>39436</v>
      </c>
      <c r="O104" s="3">
        <v>39436</v>
      </c>
      <c r="P104" s="2" t="s">
        <v>224</v>
      </c>
      <c r="Q104" s="2" t="s">
        <v>225</v>
      </c>
      <c r="R104" s="2" t="s">
        <v>37</v>
      </c>
      <c r="S104" s="2" t="s">
        <v>226</v>
      </c>
      <c r="T104" s="2" t="s">
        <v>87</v>
      </c>
      <c r="U104" s="2">
        <v>240</v>
      </c>
      <c r="V104" s="2">
        <v>1926</v>
      </c>
      <c r="W104" s="2">
        <v>4140.8999999999996</v>
      </c>
      <c r="X104" s="2">
        <v>2.15</v>
      </c>
      <c r="Y104" s="2">
        <v>0.01</v>
      </c>
      <c r="Z104" s="2">
        <v>807</v>
      </c>
      <c r="AA104" s="2">
        <v>2511.67</v>
      </c>
      <c r="AB104">
        <v>1</v>
      </c>
      <c r="AC104">
        <v>2007</v>
      </c>
      <c r="AE104" s="2">
        <v>19.260000000000002</v>
      </c>
    </row>
    <row r="105" spans="2:31" ht="14.5">
      <c r="B105" s="2">
        <v>10929</v>
      </c>
      <c r="C105" s="2" t="s">
        <v>317</v>
      </c>
      <c r="D105" s="2" t="s">
        <v>318</v>
      </c>
      <c r="E105" s="2" t="s">
        <v>60</v>
      </c>
      <c r="F105" s="2" t="s">
        <v>29</v>
      </c>
      <c r="G105" s="2" t="s">
        <v>50</v>
      </c>
      <c r="H105" s="2" t="s">
        <v>218</v>
      </c>
      <c r="I105" s="2" t="s">
        <v>219</v>
      </c>
      <c r="J105" s="2" t="s">
        <v>220</v>
      </c>
      <c r="K105" s="2" t="s">
        <v>34</v>
      </c>
      <c r="L105" s="3"/>
      <c r="M105" s="3">
        <v>39433</v>
      </c>
      <c r="N105" s="3">
        <v>39433</v>
      </c>
      <c r="O105" s="3">
        <v>39433</v>
      </c>
      <c r="P105" s="2" t="s">
        <v>319</v>
      </c>
      <c r="Q105" s="2" t="s">
        <v>96</v>
      </c>
      <c r="R105" s="2" t="s">
        <v>320</v>
      </c>
      <c r="S105" s="2" t="s">
        <v>38</v>
      </c>
      <c r="T105" s="2" t="s">
        <v>64</v>
      </c>
      <c r="U105" s="2">
        <v>90</v>
      </c>
      <c r="V105" s="2">
        <v>1692</v>
      </c>
      <c r="W105" s="2">
        <v>27072</v>
      </c>
      <c r="X105" s="2">
        <v>16</v>
      </c>
      <c r="Y105" s="2">
        <v>0.18</v>
      </c>
      <c r="Z105" s="2">
        <v>182</v>
      </c>
      <c r="AA105" s="2">
        <v>1722</v>
      </c>
      <c r="AB105">
        <v>1</v>
      </c>
      <c r="AC105">
        <v>2007</v>
      </c>
      <c r="AE105" s="2">
        <v>304.56</v>
      </c>
    </row>
    <row r="106" spans="2:31" ht="14.5">
      <c r="B106" s="2">
        <v>10931</v>
      </c>
      <c r="C106" s="2" t="s">
        <v>321</v>
      </c>
      <c r="D106" s="2" t="s">
        <v>322</v>
      </c>
      <c r="E106" s="2" t="s">
        <v>60</v>
      </c>
      <c r="F106" s="2" t="s">
        <v>29</v>
      </c>
      <c r="G106" s="2" t="s">
        <v>30</v>
      </c>
      <c r="H106" s="2" t="s">
        <v>218</v>
      </c>
      <c r="I106" s="2" t="s">
        <v>219</v>
      </c>
      <c r="J106" s="2" t="s">
        <v>220</v>
      </c>
      <c r="K106" s="2" t="s">
        <v>34</v>
      </c>
      <c r="L106" s="3"/>
      <c r="M106" s="3">
        <v>39457</v>
      </c>
      <c r="N106" s="3">
        <v>39457</v>
      </c>
      <c r="O106" s="3">
        <v>39457</v>
      </c>
      <c r="P106" s="2" t="s">
        <v>104</v>
      </c>
      <c r="Q106" s="2" t="s">
        <v>105</v>
      </c>
      <c r="R106" s="2" t="s">
        <v>106</v>
      </c>
      <c r="S106" s="2" t="s">
        <v>100</v>
      </c>
      <c r="T106" s="2" t="s">
        <v>39</v>
      </c>
      <c r="U106" s="2">
        <v>30</v>
      </c>
      <c r="V106" s="2">
        <v>591</v>
      </c>
      <c r="W106" s="2">
        <v>10047</v>
      </c>
      <c r="X106" s="2">
        <v>17</v>
      </c>
      <c r="Y106" s="2">
        <v>0.56999999999999995</v>
      </c>
      <c r="Z106" s="2">
        <v>37</v>
      </c>
      <c r="AA106" s="2">
        <v>504</v>
      </c>
      <c r="AB106">
        <v>1</v>
      </c>
      <c r="AC106">
        <v>2008</v>
      </c>
      <c r="AE106" s="2">
        <v>336.86999999999995</v>
      </c>
    </row>
    <row r="107" spans="2:31" ht="14.5">
      <c r="B107" s="2">
        <v>10933</v>
      </c>
      <c r="C107" s="2" t="s">
        <v>323</v>
      </c>
      <c r="D107" s="2" t="s">
        <v>324</v>
      </c>
      <c r="E107" s="2" t="s">
        <v>42</v>
      </c>
      <c r="F107" s="2" t="s">
        <v>29</v>
      </c>
      <c r="G107" s="2" t="s">
        <v>30</v>
      </c>
      <c r="H107" s="2" t="s">
        <v>218</v>
      </c>
      <c r="I107" s="2" t="s">
        <v>219</v>
      </c>
      <c r="J107" s="2" t="s">
        <v>220</v>
      </c>
      <c r="K107" s="2" t="s">
        <v>34</v>
      </c>
      <c r="L107" s="3"/>
      <c r="M107" s="3">
        <v>39475</v>
      </c>
      <c r="N107" s="3">
        <v>39475</v>
      </c>
      <c r="O107" s="3">
        <v>39475</v>
      </c>
      <c r="P107" s="2" t="s">
        <v>164</v>
      </c>
      <c r="Q107" s="2" t="s">
        <v>165</v>
      </c>
      <c r="R107" s="2" t="s">
        <v>37</v>
      </c>
      <c r="S107" s="2" t="s">
        <v>166</v>
      </c>
      <c r="T107" s="2" t="s">
        <v>39</v>
      </c>
      <c r="U107" s="2">
        <v>60</v>
      </c>
      <c r="V107" s="2">
        <v>3150</v>
      </c>
      <c r="W107" s="2">
        <v>9576</v>
      </c>
      <c r="X107" s="2">
        <v>3.04</v>
      </c>
      <c r="Y107" s="2">
        <v>0.05</v>
      </c>
      <c r="Z107" s="2">
        <v>165</v>
      </c>
      <c r="AA107" s="2">
        <v>2559.2800000000002</v>
      </c>
      <c r="AB107">
        <v>1</v>
      </c>
      <c r="AC107">
        <v>2008</v>
      </c>
      <c r="AE107" s="2">
        <v>157.5</v>
      </c>
    </row>
    <row r="108" spans="2:31" ht="14.5">
      <c r="B108" s="2">
        <v>10936</v>
      </c>
      <c r="C108" s="2" t="s">
        <v>325</v>
      </c>
      <c r="D108" s="2" t="s">
        <v>326</v>
      </c>
      <c r="E108" s="2" t="s">
        <v>60</v>
      </c>
      <c r="F108" s="2" t="s">
        <v>29</v>
      </c>
      <c r="G108" s="2" t="s">
        <v>30</v>
      </c>
      <c r="H108" s="2" t="s">
        <v>218</v>
      </c>
      <c r="I108" s="2" t="s">
        <v>219</v>
      </c>
      <c r="J108" s="2" t="s">
        <v>220</v>
      </c>
      <c r="K108" s="2" t="s">
        <v>34</v>
      </c>
      <c r="L108" s="3"/>
      <c r="M108" s="3">
        <v>39478</v>
      </c>
      <c r="N108" s="3">
        <v>39478</v>
      </c>
      <c r="O108" s="3">
        <v>39478</v>
      </c>
      <c r="P108" s="2" t="s">
        <v>35</v>
      </c>
      <c r="Q108" s="2" t="s">
        <v>36</v>
      </c>
      <c r="R108" s="2" t="s">
        <v>37</v>
      </c>
      <c r="S108" s="2" t="s">
        <v>38</v>
      </c>
      <c r="T108" s="2" t="s">
        <v>39</v>
      </c>
      <c r="U108" s="2">
        <v>60</v>
      </c>
      <c r="V108" s="2">
        <v>7511</v>
      </c>
      <c r="W108" s="2">
        <v>25537.4</v>
      </c>
      <c r="X108" s="2">
        <v>3.4</v>
      </c>
      <c r="Y108" s="2">
        <v>0.06</v>
      </c>
      <c r="Z108" s="2">
        <v>732</v>
      </c>
      <c r="AA108" s="2">
        <v>2724.27</v>
      </c>
      <c r="AB108">
        <v>1</v>
      </c>
      <c r="AC108">
        <v>2008</v>
      </c>
      <c r="AE108" s="2">
        <v>450.65999999999997</v>
      </c>
    </row>
    <row r="109" spans="2:31" ht="14.5">
      <c r="B109" s="2">
        <v>10940</v>
      </c>
      <c r="C109" s="2" t="s">
        <v>327</v>
      </c>
      <c r="D109" s="2" t="s">
        <v>328</v>
      </c>
      <c r="E109" s="2" t="s">
        <v>28</v>
      </c>
      <c r="F109" s="2" t="s">
        <v>29</v>
      </c>
      <c r="G109" s="2" t="s">
        <v>50</v>
      </c>
      <c r="H109" s="2" t="s">
        <v>218</v>
      </c>
      <c r="I109" s="2" t="s">
        <v>219</v>
      </c>
      <c r="J109" s="2" t="s">
        <v>220</v>
      </c>
      <c r="K109" s="2" t="s">
        <v>34</v>
      </c>
      <c r="L109" s="3"/>
      <c r="M109" s="3">
        <v>39503</v>
      </c>
      <c r="N109" s="3">
        <v>39503</v>
      </c>
      <c r="O109" s="3">
        <v>39503</v>
      </c>
      <c r="P109" s="2" t="s">
        <v>329</v>
      </c>
      <c r="Q109" s="2" t="s">
        <v>54</v>
      </c>
      <c r="R109" s="2" t="s">
        <v>37</v>
      </c>
      <c r="S109" s="2" t="s">
        <v>330</v>
      </c>
      <c r="T109" s="2" t="s">
        <v>180</v>
      </c>
      <c r="U109" s="2">
        <v>60</v>
      </c>
      <c r="V109" s="2">
        <v>2273</v>
      </c>
      <c r="W109" s="2">
        <v>17615.75</v>
      </c>
      <c r="X109" s="2">
        <v>7.75</v>
      </c>
      <c r="Y109" s="2">
        <v>0.13</v>
      </c>
      <c r="Z109" s="2">
        <v>2749</v>
      </c>
      <c r="AA109" s="2">
        <v>10654.94</v>
      </c>
      <c r="AB109">
        <v>1</v>
      </c>
      <c r="AC109">
        <v>2008</v>
      </c>
      <c r="AE109" s="2">
        <v>295.49</v>
      </c>
    </row>
    <row r="110" spans="2:31" ht="14.5">
      <c r="B110" s="2">
        <v>10943</v>
      </c>
      <c r="C110" s="2" t="s">
        <v>331</v>
      </c>
      <c r="D110" s="2" t="s">
        <v>332</v>
      </c>
      <c r="E110" s="2" t="s">
        <v>60</v>
      </c>
      <c r="F110" s="2" t="s">
        <v>29</v>
      </c>
      <c r="G110" s="2" t="s">
        <v>30</v>
      </c>
      <c r="H110" s="2" t="s">
        <v>218</v>
      </c>
      <c r="I110" s="2" t="s">
        <v>219</v>
      </c>
      <c r="J110" s="2" t="s">
        <v>220</v>
      </c>
      <c r="K110" s="2" t="s">
        <v>34</v>
      </c>
      <c r="L110" s="3"/>
      <c r="M110" s="3">
        <v>39483</v>
      </c>
      <c r="N110" s="3">
        <v>39483</v>
      </c>
      <c r="O110" s="3">
        <v>39483</v>
      </c>
      <c r="P110" s="2" t="s">
        <v>333</v>
      </c>
      <c r="Q110" s="2" t="s">
        <v>225</v>
      </c>
      <c r="R110" s="2" t="s">
        <v>37</v>
      </c>
      <c r="S110" s="2" t="s">
        <v>100</v>
      </c>
      <c r="T110" s="2" t="s">
        <v>39</v>
      </c>
      <c r="U110" s="2">
        <v>60</v>
      </c>
      <c r="V110" s="2">
        <v>10000</v>
      </c>
      <c r="W110" s="2">
        <v>81500</v>
      </c>
      <c r="X110" s="2">
        <v>8.15</v>
      </c>
      <c r="Y110" s="2">
        <v>0.14000000000000001</v>
      </c>
      <c r="Z110" s="2">
        <v>574</v>
      </c>
      <c r="AA110" s="2">
        <v>3787.32</v>
      </c>
      <c r="AB110">
        <v>1</v>
      </c>
      <c r="AC110">
        <v>2008</v>
      </c>
      <c r="AE110" s="2">
        <v>1400.0000000000002</v>
      </c>
    </row>
    <row r="111" spans="2:31" ht="14.5">
      <c r="B111" s="2">
        <v>10947</v>
      </c>
      <c r="C111" s="2" t="s">
        <v>334</v>
      </c>
      <c r="D111" s="2" t="s">
        <v>335</v>
      </c>
      <c r="E111" s="2" t="s">
        <v>28</v>
      </c>
      <c r="F111" s="2" t="s">
        <v>29</v>
      </c>
      <c r="G111" s="2" t="s">
        <v>30</v>
      </c>
      <c r="H111" s="2" t="s">
        <v>218</v>
      </c>
      <c r="I111" s="2" t="s">
        <v>219</v>
      </c>
      <c r="J111" s="2" t="s">
        <v>220</v>
      </c>
      <c r="K111" s="2" t="s">
        <v>34</v>
      </c>
      <c r="L111" s="3"/>
      <c r="M111" s="3">
        <v>39638</v>
      </c>
      <c r="N111" s="3">
        <v>39638</v>
      </c>
      <c r="O111" s="3">
        <v>39638</v>
      </c>
      <c r="P111" s="2" t="s">
        <v>164</v>
      </c>
      <c r="Q111" s="2" t="s">
        <v>165</v>
      </c>
      <c r="R111" s="2" t="s">
        <v>37</v>
      </c>
      <c r="S111" s="2" t="s">
        <v>166</v>
      </c>
      <c r="T111" s="2" t="s">
        <v>39</v>
      </c>
      <c r="U111" s="2">
        <v>60</v>
      </c>
      <c r="V111" s="2">
        <v>11181</v>
      </c>
      <c r="W111" s="2">
        <v>32536.71</v>
      </c>
      <c r="X111" s="2">
        <v>2.91</v>
      </c>
      <c r="Y111" s="2">
        <v>0.05</v>
      </c>
      <c r="Z111" s="2">
        <v>566</v>
      </c>
      <c r="AA111" s="2">
        <v>3594.6</v>
      </c>
      <c r="AB111">
        <v>1</v>
      </c>
      <c r="AC111">
        <v>2008</v>
      </c>
      <c r="AE111" s="2">
        <v>559.05000000000007</v>
      </c>
    </row>
    <row r="112" spans="2:31" ht="14.5">
      <c r="B112" s="2">
        <v>10949</v>
      </c>
      <c r="C112" s="2" t="s">
        <v>336</v>
      </c>
      <c r="D112" s="2" t="s">
        <v>337</v>
      </c>
      <c r="E112" s="2" t="s">
        <v>28</v>
      </c>
      <c r="F112" s="2" t="s">
        <v>29</v>
      </c>
      <c r="G112" s="2" t="s">
        <v>30</v>
      </c>
      <c r="H112" s="2" t="s">
        <v>218</v>
      </c>
      <c r="I112" s="2" t="s">
        <v>219</v>
      </c>
      <c r="J112" s="2" t="s">
        <v>220</v>
      </c>
      <c r="K112" s="2" t="s">
        <v>223</v>
      </c>
      <c r="L112" s="3"/>
      <c r="M112" s="3">
        <v>39568</v>
      </c>
      <c r="N112" s="3">
        <v>39568</v>
      </c>
      <c r="O112" s="3">
        <v>39568</v>
      </c>
      <c r="P112" s="2" t="s">
        <v>150</v>
      </c>
      <c r="Q112" s="2" t="s">
        <v>84</v>
      </c>
      <c r="R112" s="2" t="s">
        <v>151</v>
      </c>
      <c r="S112" s="2" t="s">
        <v>152</v>
      </c>
      <c r="T112" s="2" t="s">
        <v>39</v>
      </c>
      <c r="U112" s="2">
        <v>120</v>
      </c>
      <c r="V112" s="2">
        <v>2580</v>
      </c>
      <c r="W112" s="2">
        <v>106038</v>
      </c>
      <c r="X112" s="2">
        <v>41.1</v>
      </c>
      <c r="Y112" s="2">
        <v>0.34</v>
      </c>
      <c r="Z112" s="2">
        <v>559</v>
      </c>
      <c r="AA112" s="2">
        <v>3562.4</v>
      </c>
      <c r="AB112">
        <v>1</v>
      </c>
      <c r="AC112">
        <v>2008</v>
      </c>
      <c r="AE112" s="2">
        <v>877.2</v>
      </c>
    </row>
    <row r="113" spans="2:31" ht="14.5">
      <c r="B113" s="2">
        <v>10950</v>
      </c>
      <c r="C113" s="2" t="s">
        <v>241</v>
      </c>
      <c r="D113" s="2" t="s">
        <v>242</v>
      </c>
      <c r="E113" s="2" t="s">
        <v>28</v>
      </c>
      <c r="F113" s="2" t="s">
        <v>29</v>
      </c>
      <c r="G113" s="2" t="s">
        <v>30</v>
      </c>
      <c r="H113" s="2" t="s">
        <v>218</v>
      </c>
      <c r="I113" s="2" t="s">
        <v>219</v>
      </c>
      <c r="J113" s="2" t="s">
        <v>220</v>
      </c>
      <c r="K113" s="2" t="s">
        <v>34</v>
      </c>
      <c r="L113" s="3"/>
      <c r="M113" s="3">
        <v>39658</v>
      </c>
      <c r="N113" s="3">
        <v>39658</v>
      </c>
      <c r="O113" s="3">
        <v>39658</v>
      </c>
      <c r="P113" s="2" t="s">
        <v>35</v>
      </c>
      <c r="Q113" s="2" t="s">
        <v>36</v>
      </c>
      <c r="R113" s="2" t="s">
        <v>37</v>
      </c>
      <c r="S113" s="2" t="s">
        <v>38</v>
      </c>
      <c r="T113" s="2" t="s">
        <v>39</v>
      </c>
      <c r="U113" s="2">
        <v>60</v>
      </c>
      <c r="V113" s="2">
        <v>50288</v>
      </c>
      <c r="W113" s="2">
        <v>170979.20000000001</v>
      </c>
      <c r="X113" s="2">
        <v>3.4</v>
      </c>
      <c r="Y113" s="2">
        <v>0.06</v>
      </c>
      <c r="AB113">
        <v>1</v>
      </c>
      <c r="AC113">
        <v>2008</v>
      </c>
      <c r="AE113" s="2">
        <v>3017.2799999999997</v>
      </c>
    </row>
    <row r="114" spans="2:31" ht="14.5">
      <c r="B114" s="2">
        <v>10960</v>
      </c>
      <c r="C114" s="2" t="s">
        <v>338</v>
      </c>
      <c r="D114" s="2" t="s">
        <v>339</v>
      </c>
      <c r="E114" s="2" t="s">
        <v>28</v>
      </c>
      <c r="F114" s="2" t="s">
        <v>29</v>
      </c>
      <c r="G114" s="2" t="s">
        <v>30</v>
      </c>
      <c r="H114" s="2" t="s">
        <v>218</v>
      </c>
      <c r="I114" s="2" t="s">
        <v>219</v>
      </c>
      <c r="J114" s="2" t="s">
        <v>220</v>
      </c>
      <c r="K114" s="2" t="s">
        <v>223</v>
      </c>
      <c r="L114" s="3"/>
      <c r="M114" s="3">
        <v>39560</v>
      </c>
      <c r="N114" s="3">
        <v>39561</v>
      </c>
      <c r="O114" s="3">
        <v>39561</v>
      </c>
      <c r="P114" s="2" t="s">
        <v>44</v>
      </c>
      <c r="Q114" s="2" t="s">
        <v>45</v>
      </c>
      <c r="R114" s="2" t="s">
        <v>37</v>
      </c>
      <c r="S114" s="2" t="s">
        <v>46</v>
      </c>
      <c r="T114" s="2" t="s">
        <v>47</v>
      </c>
      <c r="U114" s="2">
        <v>60</v>
      </c>
      <c r="V114" s="2">
        <v>51364</v>
      </c>
      <c r="W114" s="2">
        <v>487958</v>
      </c>
      <c r="X114" s="2">
        <v>9.5</v>
      </c>
      <c r="Y114" s="2">
        <v>0.16</v>
      </c>
      <c r="Z114" s="2">
        <v>5372</v>
      </c>
      <c r="AA114" s="2">
        <v>16430.72</v>
      </c>
      <c r="AB114">
        <v>0</v>
      </c>
      <c r="AC114">
        <v>2008</v>
      </c>
      <c r="AE114" s="2">
        <v>8218.24</v>
      </c>
    </row>
    <row r="115" spans="2:31" ht="14.5">
      <c r="B115" s="2">
        <v>10964</v>
      </c>
      <c r="C115" s="2" t="s">
        <v>340</v>
      </c>
      <c r="D115" s="2" t="s">
        <v>341</v>
      </c>
      <c r="E115" s="2" t="s">
        <v>118</v>
      </c>
      <c r="F115" s="2" t="s">
        <v>29</v>
      </c>
      <c r="G115" s="2" t="s">
        <v>50</v>
      </c>
      <c r="H115" s="2" t="s">
        <v>218</v>
      </c>
      <c r="I115" s="2" t="s">
        <v>219</v>
      </c>
      <c r="J115" s="2" t="s">
        <v>220</v>
      </c>
      <c r="K115" s="2" t="s">
        <v>34</v>
      </c>
      <c r="L115" s="3"/>
      <c r="M115" s="3">
        <v>39640</v>
      </c>
      <c r="N115" s="3">
        <v>39640</v>
      </c>
      <c r="O115" s="3">
        <v>39640</v>
      </c>
      <c r="P115" s="2" t="s">
        <v>224</v>
      </c>
      <c r="Q115" s="2" t="s">
        <v>225</v>
      </c>
      <c r="R115" s="2" t="s">
        <v>37</v>
      </c>
      <c r="S115" s="2" t="s">
        <v>226</v>
      </c>
      <c r="T115" s="2" t="s">
        <v>87</v>
      </c>
      <c r="U115" s="2">
        <v>240</v>
      </c>
      <c r="V115" s="2">
        <v>4296</v>
      </c>
      <c r="W115" s="2">
        <v>9021.6</v>
      </c>
      <c r="X115" s="2">
        <v>2.1</v>
      </c>
      <c r="Y115" s="2">
        <v>0.01</v>
      </c>
      <c r="Z115" s="2">
        <v>1600</v>
      </c>
      <c r="AA115" s="2">
        <v>10314.280000000001</v>
      </c>
      <c r="AB115">
        <v>1</v>
      </c>
      <c r="AC115">
        <v>2008</v>
      </c>
      <c r="AE115" s="2">
        <v>42.96</v>
      </c>
    </row>
    <row r="116" spans="2:31" ht="14.5">
      <c r="B116" s="2">
        <v>10966</v>
      </c>
      <c r="C116" s="2" t="s">
        <v>342</v>
      </c>
      <c r="D116" s="2" t="s">
        <v>343</v>
      </c>
      <c r="E116" s="2" t="s">
        <v>118</v>
      </c>
      <c r="F116" s="2" t="s">
        <v>29</v>
      </c>
      <c r="G116" s="2" t="s">
        <v>30</v>
      </c>
      <c r="H116" s="2" t="s">
        <v>218</v>
      </c>
      <c r="I116" s="2" t="s">
        <v>219</v>
      </c>
      <c r="J116" s="2" t="s">
        <v>220</v>
      </c>
      <c r="K116" s="2" t="s">
        <v>34</v>
      </c>
      <c r="L116" s="3"/>
      <c r="M116" s="3">
        <v>39640</v>
      </c>
      <c r="N116" s="3">
        <v>39640</v>
      </c>
      <c r="O116" s="3">
        <v>39640</v>
      </c>
      <c r="P116" s="2" t="s">
        <v>35</v>
      </c>
      <c r="Q116" s="2" t="s">
        <v>36</v>
      </c>
      <c r="R116" s="2" t="s">
        <v>37</v>
      </c>
      <c r="S116" s="2" t="s">
        <v>38</v>
      </c>
      <c r="T116" s="2" t="s">
        <v>39</v>
      </c>
      <c r="U116" s="2">
        <v>60</v>
      </c>
      <c r="V116" s="2">
        <v>1061</v>
      </c>
      <c r="W116" s="2">
        <v>3607.4</v>
      </c>
      <c r="X116" s="2">
        <v>3.4</v>
      </c>
      <c r="Y116" s="2">
        <v>0.06</v>
      </c>
      <c r="Z116" s="2">
        <v>106</v>
      </c>
      <c r="AA116" s="2">
        <v>1054.52</v>
      </c>
      <c r="AB116">
        <v>1</v>
      </c>
      <c r="AC116">
        <v>2008</v>
      </c>
      <c r="AE116" s="2">
        <v>63.66</v>
      </c>
    </row>
    <row r="117" spans="2:31" ht="14.5">
      <c r="B117" s="2">
        <v>10972</v>
      </c>
      <c r="C117" s="2" t="s">
        <v>344</v>
      </c>
      <c r="D117" s="2" t="s">
        <v>345</v>
      </c>
      <c r="E117" s="2" t="s">
        <v>60</v>
      </c>
      <c r="F117" s="2" t="s">
        <v>29</v>
      </c>
      <c r="G117" s="2" t="s">
        <v>30</v>
      </c>
      <c r="H117" s="2" t="s">
        <v>218</v>
      </c>
      <c r="I117" s="2" t="s">
        <v>219</v>
      </c>
      <c r="J117" s="2" t="s">
        <v>220</v>
      </c>
      <c r="K117" s="2" t="s">
        <v>34</v>
      </c>
      <c r="L117" s="3"/>
      <c r="M117" s="3">
        <v>39528</v>
      </c>
      <c r="N117" s="3">
        <v>39528</v>
      </c>
      <c r="O117" s="3">
        <v>39528</v>
      </c>
      <c r="P117" s="2" t="s">
        <v>44</v>
      </c>
      <c r="Q117" s="2" t="s">
        <v>45</v>
      </c>
      <c r="R117" s="2" t="s">
        <v>37</v>
      </c>
      <c r="S117" s="2" t="s">
        <v>46</v>
      </c>
      <c r="T117" s="2" t="s">
        <v>47</v>
      </c>
      <c r="U117" s="2">
        <v>60</v>
      </c>
      <c r="V117" s="2">
        <v>65524</v>
      </c>
      <c r="W117" s="2">
        <v>622478</v>
      </c>
      <c r="X117" s="2">
        <v>9.5</v>
      </c>
      <c r="Y117" s="2">
        <v>0.16</v>
      </c>
      <c r="Z117" s="2">
        <v>14599</v>
      </c>
      <c r="AA117" s="2">
        <v>32146.52</v>
      </c>
      <c r="AB117">
        <v>1</v>
      </c>
      <c r="AC117">
        <v>2008</v>
      </c>
      <c r="AE117" s="2">
        <v>10483.84</v>
      </c>
    </row>
    <row r="118" spans="2:31" ht="14.5">
      <c r="B118" s="2">
        <v>10982</v>
      </c>
      <c r="C118" s="2" t="s">
        <v>346</v>
      </c>
      <c r="D118" s="2" t="s">
        <v>347</v>
      </c>
      <c r="E118" s="2" t="s">
        <v>28</v>
      </c>
      <c r="F118" s="2" t="s">
        <v>29</v>
      </c>
      <c r="G118" s="2" t="s">
        <v>50</v>
      </c>
      <c r="H118" s="2" t="s">
        <v>218</v>
      </c>
      <c r="I118" s="2" t="s">
        <v>219</v>
      </c>
      <c r="J118" s="2" t="s">
        <v>220</v>
      </c>
      <c r="K118" s="2" t="s">
        <v>34</v>
      </c>
      <c r="L118" s="3"/>
      <c r="M118" s="3">
        <v>39638</v>
      </c>
      <c r="N118" s="3">
        <v>39638</v>
      </c>
      <c r="O118" s="3">
        <v>39638</v>
      </c>
      <c r="P118" s="2" t="s">
        <v>329</v>
      </c>
      <c r="Q118" s="2" t="s">
        <v>54</v>
      </c>
      <c r="R118" s="2" t="s">
        <v>37</v>
      </c>
      <c r="S118" s="2" t="s">
        <v>330</v>
      </c>
      <c r="T118" s="2" t="s">
        <v>180</v>
      </c>
      <c r="U118" s="2">
        <v>60</v>
      </c>
      <c r="V118" s="2">
        <v>11640</v>
      </c>
      <c r="W118" s="2">
        <v>90210</v>
      </c>
      <c r="X118" s="2">
        <v>7.75</v>
      </c>
      <c r="Y118" s="2">
        <v>0.13</v>
      </c>
      <c r="Z118" s="2">
        <v>16778</v>
      </c>
      <c r="AA118" s="2">
        <v>9043.65</v>
      </c>
      <c r="AB118">
        <v>1</v>
      </c>
      <c r="AC118">
        <v>2008</v>
      </c>
      <c r="AE118" s="2">
        <v>1513.2</v>
      </c>
    </row>
    <row r="119" spans="2:31" ht="14.5">
      <c r="B119" s="2">
        <v>10986</v>
      </c>
      <c r="C119" s="2" t="s">
        <v>348</v>
      </c>
      <c r="D119" s="2" t="s">
        <v>349</v>
      </c>
      <c r="E119" s="2" t="s">
        <v>28</v>
      </c>
      <c r="F119" s="2" t="s">
        <v>29</v>
      </c>
      <c r="G119" s="2" t="s">
        <v>30</v>
      </c>
      <c r="H119" s="2" t="s">
        <v>218</v>
      </c>
      <c r="I119" s="2" t="s">
        <v>219</v>
      </c>
      <c r="J119" s="2" t="s">
        <v>220</v>
      </c>
      <c r="K119" s="2" t="s">
        <v>34</v>
      </c>
      <c r="L119" s="3"/>
      <c r="M119" s="3">
        <v>39742</v>
      </c>
      <c r="N119" s="3">
        <v>39742</v>
      </c>
      <c r="O119" s="3">
        <v>39742</v>
      </c>
      <c r="P119" s="2" t="s">
        <v>139</v>
      </c>
      <c r="Q119" s="2" t="s">
        <v>140</v>
      </c>
      <c r="R119" s="2" t="s">
        <v>37</v>
      </c>
      <c r="S119" s="2" t="s">
        <v>141</v>
      </c>
      <c r="T119" s="2" t="s">
        <v>47</v>
      </c>
      <c r="U119" s="2">
        <v>60</v>
      </c>
      <c r="V119" s="2">
        <v>90323</v>
      </c>
      <c r="W119" s="2">
        <v>668390.19999999995</v>
      </c>
      <c r="X119" s="2">
        <v>7.4</v>
      </c>
      <c r="Y119" s="2">
        <v>0.12</v>
      </c>
      <c r="Z119" s="2">
        <v>9635</v>
      </c>
      <c r="AA119" s="2">
        <v>52979.7</v>
      </c>
      <c r="AB119">
        <v>1</v>
      </c>
      <c r="AC119">
        <v>2008</v>
      </c>
      <c r="AE119" s="2">
        <v>10838.76</v>
      </c>
    </row>
    <row r="120" spans="2:31" ht="14.5">
      <c r="B120" s="2">
        <v>10995</v>
      </c>
      <c r="C120" s="2" t="s">
        <v>350</v>
      </c>
      <c r="D120" s="2" t="s">
        <v>351</v>
      </c>
      <c r="E120" s="2" t="s">
        <v>118</v>
      </c>
      <c r="F120" s="2" t="s">
        <v>29</v>
      </c>
      <c r="G120" s="2" t="s">
        <v>30</v>
      </c>
      <c r="H120" s="2" t="s">
        <v>218</v>
      </c>
      <c r="I120" s="2" t="s">
        <v>219</v>
      </c>
      <c r="J120" s="2" t="s">
        <v>220</v>
      </c>
      <c r="K120" s="2" t="s">
        <v>34</v>
      </c>
      <c r="L120" s="3"/>
      <c r="M120" s="3">
        <v>39848</v>
      </c>
      <c r="N120" s="3">
        <v>39848</v>
      </c>
      <c r="O120" s="3">
        <v>39848</v>
      </c>
      <c r="P120" s="2" t="s">
        <v>112</v>
      </c>
      <c r="Q120" s="2" t="s">
        <v>113</v>
      </c>
      <c r="R120" s="2" t="s">
        <v>37</v>
      </c>
      <c r="S120" s="2" t="s">
        <v>114</v>
      </c>
      <c r="T120" s="2" t="s">
        <v>47</v>
      </c>
      <c r="U120" s="2">
        <v>60</v>
      </c>
      <c r="V120" s="2">
        <v>20000</v>
      </c>
      <c r="W120" s="2">
        <v>236000</v>
      </c>
      <c r="X120" s="2">
        <v>11.8</v>
      </c>
      <c r="Y120" s="2">
        <v>0.2</v>
      </c>
      <c r="Z120" s="2">
        <v>2283</v>
      </c>
      <c r="AA120" s="2">
        <v>13586.1</v>
      </c>
      <c r="AB120">
        <v>1</v>
      </c>
      <c r="AC120">
        <v>2009</v>
      </c>
      <c r="AE120" s="2">
        <v>4000</v>
      </c>
    </row>
    <row r="121" spans="2:31" ht="14.5">
      <c r="B121" s="2">
        <v>10999</v>
      </c>
      <c r="C121" s="2" t="s">
        <v>352</v>
      </c>
      <c r="D121" s="2" t="s">
        <v>353</v>
      </c>
      <c r="E121" s="2" t="s">
        <v>28</v>
      </c>
      <c r="F121" s="2" t="s">
        <v>29</v>
      </c>
      <c r="G121" s="2" t="s">
        <v>30</v>
      </c>
      <c r="H121" s="2" t="s">
        <v>218</v>
      </c>
      <c r="I121" s="2" t="s">
        <v>219</v>
      </c>
      <c r="J121" s="2" t="s">
        <v>220</v>
      </c>
      <c r="K121" s="2" t="s">
        <v>267</v>
      </c>
      <c r="L121" s="3"/>
      <c r="M121" s="3">
        <v>39714</v>
      </c>
      <c r="N121" s="3">
        <v>39714</v>
      </c>
      <c r="O121" s="3">
        <v>39714</v>
      </c>
      <c r="P121" s="2" t="s">
        <v>139</v>
      </c>
      <c r="Q121" s="2" t="s">
        <v>140</v>
      </c>
      <c r="R121" s="2" t="s">
        <v>37</v>
      </c>
      <c r="S121" s="2" t="s">
        <v>141</v>
      </c>
      <c r="T121" s="2" t="s">
        <v>47</v>
      </c>
      <c r="U121" s="2">
        <v>60</v>
      </c>
      <c r="V121" s="2">
        <v>123317</v>
      </c>
      <c r="W121" s="2">
        <v>912545.8</v>
      </c>
      <c r="X121" s="2">
        <v>7.4</v>
      </c>
      <c r="Y121" s="2">
        <v>0.12</v>
      </c>
      <c r="Z121" s="2">
        <v>13253</v>
      </c>
      <c r="AA121" s="2">
        <v>64506.78</v>
      </c>
      <c r="AB121">
        <v>1</v>
      </c>
      <c r="AC121">
        <v>2008</v>
      </c>
      <c r="AE121" s="2">
        <v>14798.039999999999</v>
      </c>
    </row>
    <row r="122" spans="2:31" ht="14.5">
      <c r="B122" s="2">
        <v>11000</v>
      </c>
      <c r="C122" s="2" t="s">
        <v>354</v>
      </c>
      <c r="D122" s="2" t="s">
        <v>355</v>
      </c>
      <c r="E122" s="2" t="s">
        <v>118</v>
      </c>
      <c r="F122" s="2" t="s">
        <v>29</v>
      </c>
      <c r="G122" s="2" t="s">
        <v>30</v>
      </c>
      <c r="H122" s="2" t="s">
        <v>218</v>
      </c>
      <c r="I122" s="2" t="s">
        <v>219</v>
      </c>
      <c r="J122" s="2" t="s">
        <v>220</v>
      </c>
      <c r="K122" s="2" t="s">
        <v>34</v>
      </c>
      <c r="L122" s="3"/>
      <c r="M122" s="3">
        <v>39891</v>
      </c>
      <c r="N122" s="3">
        <v>39891</v>
      </c>
      <c r="O122" s="3">
        <v>39891</v>
      </c>
      <c r="P122" s="2" t="s">
        <v>112</v>
      </c>
      <c r="Q122" s="2" t="s">
        <v>113</v>
      </c>
      <c r="R122" s="2" t="s">
        <v>37</v>
      </c>
      <c r="S122" s="2" t="s">
        <v>114</v>
      </c>
      <c r="T122" s="2" t="s">
        <v>47</v>
      </c>
      <c r="U122" s="2">
        <v>60</v>
      </c>
      <c r="V122" s="2">
        <v>1893</v>
      </c>
      <c r="W122" s="2">
        <v>22337.4</v>
      </c>
      <c r="X122" s="2">
        <v>11.8</v>
      </c>
      <c r="Y122" s="2">
        <v>0.2</v>
      </c>
      <c r="Z122" s="2">
        <v>215</v>
      </c>
      <c r="AA122" s="2">
        <v>2408.91</v>
      </c>
      <c r="AB122">
        <v>1</v>
      </c>
      <c r="AC122">
        <v>2009</v>
      </c>
      <c r="AE122" s="2">
        <v>378.6</v>
      </c>
    </row>
    <row r="123" spans="2:31" ht="14.5">
      <c r="B123" s="2">
        <v>11001</v>
      </c>
      <c r="C123" s="2" t="s">
        <v>356</v>
      </c>
      <c r="D123" s="2" t="s">
        <v>357</v>
      </c>
      <c r="E123" s="2" t="s">
        <v>118</v>
      </c>
      <c r="F123" s="2" t="s">
        <v>29</v>
      </c>
      <c r="G123" s="2" t="s">
        <v>30</v>
      </c>
      <c r="H123" s="2" t="s">
        <v>218</v>
      </c>
      <c r="I123" s="2" t="s">
        <v>219</v>
      </c>
      <c r="J123" s="2" t="s">
        <v>220</v>
      </c>
      <c r="K123" s="2" t="s">
        <v>34</v>
      </c>
      <c r="L123" s="3"/>
      <c r="M123" s="3">
        <v>39791</v>
      </c>
      <c r="N123" s="3">
        <v>39791</v>
      </c>
      <c r="O123" s="3">
        <v>39791</v>
      </c>
      <c r="P123" s="2" t="s">
        <v>150</v>
      </c>
      <c r="Q123" s="2" t="s">
        <v>84</v>
      </c>
      <c r="R123" s="2" t="s">
        <v>151</v>
      </c>
      <c r="S123" s="2" t="s">
        <v>152</v>
      </c>
      <c r="T123" s="2" t="s">
        <v>39</v>
      </c>
      <c r="U123" s="2">
        <v>120</v>
      </c>
      <c r="V123" s="2">
        <v>42</v>
      </c>
      <c r="W123" s="2">
        <v>1726.2</v>
      </c>
      <c r="X123" s="2">
        <v>41.1</v>
      </c>
      <c r="Y123" s="2">
        <v>0.34</v>
      </c>
      <c r="Z123" s="2">
        <v>123</v>
      </c>
      <c r="AA123" s="2">
        <v>845.37</v>
      </c>
      <c r="AB123">
        <v>1</v>
      </c>
      <c r="AC123">
        <v>2008</v>
      </c>
      <c r="AE123" s="2">
        <v>14.280000000000001</v>
      </c>
    </row>
    <row r="124" spans="2:31" ht="14.5">
      <c r="B124" s="2">
        <v>11017</v>
      </c>
      <c r="C124" s="2" t="s">
        <v>358</v>
      </c>
      <c r="D124" s="2" t="s">
        <v>359</v>
      </c>
      <c r="E124" s="2" t="s">
        <v>118</v>
      </c>
      <c r="F124" s="2" t="s">
        <v>29</v>
      </c>
      <c r="G124" s="2" t="s">
        <v>30</v>
      </c>
      <c r="H124" s="2" t="s">
        <v>218</v>
      </c>
      <c r="I124" s="2" t="s">
        <v>219</v>
      </c>
      <c r="J124" s="2" t="s">
        <v>220</v>
      </c>
      <c r="K124" s="2" t="s">
        <v>34</v>
      </c>
      <c r="L124" s="3"/>
      <c r="M124" s="3">
        <v>39784</v>
      </c>
      <c r="N124" s="3">
        <v>39784</v>
      </c>
      <c r="O124" s="3">
        <v>39784</v>
      </c>
      <c r="P124" s="2" t="s">
        <v>164</v>
      </c>
      <c r="Q124" s="2" t="s">
        <v>165</v>
      </c>
      <c r="R124" s="2" t="s">
        <v>37</v>
      </c>
      <c r="S124" s="2" t="s">
        <v>166</v>
      </c>
      <c r="T124" s="2" t="s">
        <v>39</v>
      </c>
      <c r="U124" s="2">
        <v>60</v>
      </c>
      <c r="V124" s="2">
        <v>500</v>
      </c>
      <c r="W124" s="2">
        <v>1450</v>
      </c>
      <c r="X124" s="2">
        <v>2.9</v>
      </c>
      <c r="Y124" s="2">
        <v>0.05</v>
      </c>
      <c r="Z124" s="2">
        <v>26</v>
      </c>
      <c r="AA124" s="2">
        <v>1096.71</v>
      </c>
      <c r="AB124">
        <v>1</v>
      </c>
      <c r="AC124">
        <v>2008</v>
      </c>
      <c r="AE124" s="2">
        <v>25</v>
      </c>
    </row>
    <row r="125" spans="2:31" ht="14.5">
      <c r="B125" s="2">
        <v>11019</v>
      </c>
      <c r="C125" s="2" t="s">
        <v>360</v>
      </c>
      <c r="D125" s="2" t="s">
        <v>361</v>
      </c>
      <c r="E125" s="2" t="s">
        <v>60</v>
      </c>
      <c r="F125" s="2" t="s">
        <v>29</v>
      </c>
      <c r="G125" s="2" t="s">
        <v>30</v>
      </c>
      <c r="H125" s="2" t="s">
        <v>218</v>
      </c>
      <c r="I125" s="2" t="s">
        <v>219</v>
      </c>
      <c r="J125" s="2" t="s">
        <v>220</v>
      </c>
      <c r="K125" s="2" t="s">
        <v>34</v>
      </c>
      <c r="L125" s="3"/>
      <c r="M125" s="3">
        <v>39842</v>
      </c>
      <c r="N125" s="3">
        <v>39842</v>
      </c>
      <c r="O125" s="3">
        <v>39842</v>
      </c>
      <c r="P125" s="2" t="s">
        <v>104</v>
      </c>
      <c r="Q125" s="2" t="s">
        <v>105</v>
      </c>
      <c r="R125" s="2" t="s">
        <v>106</v>
      </c>
      <c r="S125" s="2" t="s">
        <v>100</v>
      </c>
      <c r="T125" s="2" t="s">
        <v>39</v>
      </c>
      <c r="U125" s="2">
        <v>30</v>
      </c>
      <c r="V125" s="2">
        <v>3068</v>
      </c>
      <c r="W125" s="2">
        <v>52156</v>
      </c>
      <c r="X125" s="2">
        <v>17</v>
      </c>
      <c r="Y125" s="2">
        <v>0.56999999999999995</v>
      </c>
      <c r="Z125" s="2">
        <v>2002</v>
      </c>
      <c r="AA125" s="2">
        <v>10460.94</v>
      </c>
      <c r="AB125">
        <v>1</v>
      </c>
      <c r="AC125">
        <v>2009</v>
      </c>
      <c r="AE125" s="2">
        <v>1748.7599999999998</v>
      </c>
    </row>
    <row r="126" spans="2:31" ht="14.5">
      <c r="B126" s="2">
        <v>11032</v>
      </c>
      <c r="C126" s="2" t="s">
        <v>362</v>
      </c>
      <c r="D126" s="2" t="s">
        <v>363</v>
      </c>
      <c r="E126" s="2" t="s">
        <v>42</v>
      </c>
      <c r="F126" s="2" t="s">
        <v>29</v>
      </c>
      <c r="G126" s="2" t="s">
        <v>30</v>
      </c>
      <c r="H126" s="2" t="s">
        <v>218</v>
      </c>
      <c r="I126" s="2" t="s">
        <v>219</v>
      </c>
      <c r="J126" s="2" t="s">
        <v>220</v>
      </c>
      <c r="K126" s="2" t="s">
        <v>34</v>
      </c>
      <c r="L126" s="3"/>
      <c r="M126" s="3">
        <v>39930</v>
      </c>
      <c r="N126" s="3">
        <v>39930</v>
      </c>
      <c r="O126" s="3">
        <v>39930</v>
      </c>
      <c r="P126" s="2" t="s">
        <v>35</v>
      </c>
      <c r="Q126" s="2" t="s">
        <v>36</v>
      </c>
      <c r="R126" s="2" t="s">
        <v>37</v>
      </c>
      <c r="S126" s="2" t="s">
        <v>38</v>
      </c>
      <c r="T126" s="2" t="s">
        <v>39</v>
      </c>
      <c r="U126" s="2">
        <v>60</v>
      </c>
      <c r="V126" s="2">
        <v>7350</v>
      </c>
      <c r="W126" s="2">
        <v>22050</v>
      </c>
      <c r="X126" s="2">
        <v>3</v>
      </c>
      <c r="Y126" s="2">
        <v>0.05</v>
      </c>
      <c r="Z126" s="2">
        <v>404</v>
      </c>
      <c r="AA126" s="2">
        <v>3366.98</v>
      </c>
      <c r="AB126">
        <v>1</v>
      </c>
      <c r="AC126">
        <v>2009</v>
      </c>
      <c r="AE126" s="2">
        <v>367.5</v>
      </c>
    </row>
    <row r="127" spans="2:31" ht="14.5">
      <c r="B127" s="2">
        <v>11033</v>
      </c>
      <c r="C127" s="2" t="s">
        <v>364</v>
      </c>
      <c r="D127" s="2" t="s">
        <v>365</v>
      </c>
      <c r="E127" s="2" t="s">
        <v>28</v>
      </c>
      <c r="F127" s="2" t="s">
        <v>29</v>
      </c>
      <c r="G127" s="2" t="s">
        <v>30</v>
      </c>
      <c r="H127" s="2" t="s">
        <v>218</v>
      </c>
      <c r="I127" s="2" t="s">
        <v>219</v>
      </c>
      <c r="J127" s="2" t="s">
        <v>220</v>
      </c>
      <c r="K127" s="2" t="s">
        <v>267</v>
      </c>
      <c r="L127" s="3"/>
      <c r="M127" s="3">
        <v>39944</v>
      </c>
      <c r="N127" s="3">
        <v>39944</v>
      </c>
      <c r="O127" s="3">
        <v>39944</v>
      </c>
      <c r="P127" s="2" t="s">
        <v>235</v>
      </c>
      <c r="Q127" s="2" t="s">
        <v>236</v>
      </c>
      <c r="R127" s="2" t="s">
        <v>237</v>
      </c>
      <c r="S127" s="2" t="s">
        <v>238</v>
      </c>
      <c r="T127" s="2" t="s">
        <v>47</v>
      </c>
      <c r="U127" s="2">
        <v>30</v>
      </c>
      <c r="V127" s="2">
        <v>37440</v>
      </c>
      <c r="W127" s="2">
        <v>982800</v>
      </c>
      <c r="X127" s="2">
        <v>26.25</v>
      </c>
      <c r="Y127" s="2">
        <v>0.88</v>
      </c>
      <c r="Z127" s="2">
        <v>5712</v>
      </c>
      <c r="AA127" s="2">
        <v>5873</v>
      </c>
      <c r="AB127">
        <v>1</v>
      </c>
      <c r="AC127">
        <v>2009</v>
      </c>
      <c r="AE127" s="2">
        <v>32947.199999999997</v>
      </c>
    </row>
    <row r="128" spans="2:31" ht="14.5">
      <c r="B128" s="2">
        <v>11041</v>
      </c>
      <c r="C128" s="2" t="s">
        <v>366</v>
      </c>
      <c r="D128" s="2" t="s">
        <v>367</v>
      </c>
      <c r="E128" s="2" t="s">
        <v>118</v>
      </c>
      <c r="F128" s="2" t="s">
        <v>29</v>
      </c>
      <c r="G128" s="2" t="s">
        <v>30</v>
      </c>
      <c r="H128" s="2" t="s">
        <v>218</v>
      </c>
      <c r="I128" s="2" t="s">
        <v>219</v>
      </c>
      <c r="J128" s="2" t="s">
        <v>220</v>
      </c>
      <c r="K128" s="2" t="s">
        <v>34</v>
      </c>
      <c r="L128" s="3"/>
      <c r="M128" s="3">
        <v>39965</v>
      </c>
      <c r="N128" s="3">
        <v>39965</v>
      </c>
      <c r="O128" s="3">
        <v>39965</v>
      </c>
      <c r="P128" s="2" t="s">
        <v>235</v>
      </c>
      <c r="Q128" s="2" t="s">
        <v>236</v>
      </c>
      <c r="R128" s="2" t="s">
        <v>237</v>
      </c>
      <c r="S128" s="2" t="s">
        <v>238</v>
      </c>
      <c r="T128" s="2" t="s">
        <v>47</v>
      </c>
      <c r="U128" s="2">
        <v>30</v>
      </c>
      <c r="V128" s="2">
        <v>260</v>
      </c>
      <c r="W128" s="2">
        <v>6825</v>
      </c>
      <c r="X128" s="2">
        <v>26.25</v>
      </c>
      <c r="Y128" s="2">
        <v>0.88</v>
      </c>
      <c r="Z128" s="2">
        <v>28</v>
      </c>
      <c r="AA128" s="2">
        <v>1180.71</v>
      </c>
      <c r="AB128">
        <v>1</v>
      </c>
      <c r="AC128">
        <v>2009</v>
      </c>
      <c r="AE128" s="2">
        <v>228.8</v>
      </c>
    </row>
    <row r="129" spans="2:31" ht="14.5">
      <c r="B129" s="2">
        <v>11042</v>
      </c>
      <c r="C129" s="2" t="s">
        <v>368</v>
      </c>
      <c r="D129" s="2" t="s">
        <v>369</v>
      </c>
      <c r="E129" s="2" t="s">
        <v>118</v>
      </c>
      <c r="F129" s="2" t="s">
        <v>29</v>
      </c>
      <c r="G129" s="2" t="s">
        <v>30</v>
      </c>
      <c r="H129" s="2" t="s">
        <v>218</v>
      </c>
      <c r="I129" s="2" t="s">
        <v>219</v>
      </c>
      <c r="J129" s="2" t="s">
        <v>220</v>
      </c>
      <c r="K129" s="2" t="s">
        <v>34</v>
      </c>
      <c r="L129" s="3"/>
      <c r="M129" s="3">
        <v>39955</v>
      </c>
      <c r="N129" s="3">
        <v>39955</v>
      </c>
      <c r="O129" s="3">
        <v>39955</v>
      </c>
      <c r="P129" s="2" t="s">
        <v>164</v>
      </c>
      <c r="Q129" s="2" t="s">
        <v>165</v>
      </c>
      <c r="R129" s="2" t="s">
        <v>37</v>
      </c>
      <c r="S129" s="2" t="s">
        <v>166</v>
      </c>
      <c r="T129" s="2" t="s">
        <v>39</v>
      </c>
      <c r="U129" s="2">
        <v>60</v>
      </c>
      <c r="V129" s="2">
        <v>90</v>
      </c>
      <c r="W129" s="2">
        <v>219.6</v>
      </c>
      <c r="X129" s="2">
        <v>2.44</v>
      </c>
      <c r="Y129" s="2">
        <v>0.04</v>
      </c>
      <c r="Z129" s="2">
        <v>5</v>
      </c>
      <c r="AA129" s="2">
        <v>537.32000000000005</v>
      </c>
      <c r="AB129">
        <v>1</v>
      </c>
      <c r="AC129">
        <v>2009</v>
      </c>
      <c r="AE129" s="2">
        <v>3.6</v>
      </c>
    </row>
    <row r="130" spans="2:31" ht="14.5">
      <c r="B130" s="2">
        <v>11043</v>
      </c>
      <c r="C130" s="2" t="s">
        <v>370</v>
      </c>
      <c r="D130" s="2" t="s">
        <v>371</v>
      </c>
      <c r="E130" s="2" t="s">
        <v>118</v>
      </c>
      <c r="F130" s="2" t="s">
        <v>29</v>
      </c>
      <c r="G130" s="2" t="s">
        <v>30</v>
      </c>
      <c r="H130" s="2" t="s">
        <v>218</v>
      </c>
      <c r="I130" s="2" t="s">
        <v>219</v>
      </c>
      <c r="J130" s="2" t="s">
        <v>220</v>
      </c>
      <c r="K130" s="2" t="s">
        <v>34</v>
      </c>
      <c r="L130" s="3"/>
      <c r="M130" s="3">
        <v>39965</v>
      </c>
      <c r="N130" s="3">
        <v>39965</v>
      </c>
      <c r="O130" s="3">
        <v>39965</v>
      </c>
      <c r="P130" s="2" t="s">
        <v>150</v>
      </c>
      <c r="Q130" s="2" t="s">
        <v>84</v>
      </c>
      <c r="R130" s="2" t="s">
        <v>151</v>
      </c>
      <c r="S130" s="2" t="s">
        <v>152</v>
      </c>
      <c r="T130" s="2" t="s">
        <v>39</v>
      </c>
      <c r="U130" s="2">
        <v>120</v>
      </c>
      <c r="V130" s="2">
        <v>100</v>
      </c>
      <c r="W130" s="2">
        <v>4110</v>
      </c>
      <c r="X130" s="2">
        <v>41.1</v>
      </c>
      <c r="Y130" s="2">
        <v>0.34</v>
      </c>
      <c r="Z130" s="2">
        <v>23</v>
      </c>
      <c r="AA130" s="2">
        <v>1152.6300000000001</v>
      </c>
      <c r="AB130">
        <v>1</v>
      </c>
      <c r="AC130">
        <v>2009</v>
      </c>
      <c r="AE130" s="2">
        <v>34</v>
      </c>
    </row>
    <row r="131" spans="2:31" ht="14.5">
      <c r="B131" s="2">
        <v>11052</v>
      </c>
      <c r="C131" s="2" t="s">
        <v>372</v>
      </c>
      <c r="D131" s="2" t="s">
        <v>373</v>
      </c>
      <c r="E131" s="2" t="s">
        <v>118</v>
      </c>
      <c r="F131" s="2" t="s">
        <v>29</v>
      </c>
      <c r="G131" s="2" t="s">
        <v>30</v>
      </c>
      <c r="H131" s="2" t="s">
        <v>218</v>
      </c>
      <c r="I131" s="2" t="s">
        <v>219</v>
      </c>
      <c r="J131" s="2" t="s">
        <v>220</v>
      </c>
      <c r="K131" s="2" t="s">
        <v>34</v>
      </c>
      <c r="L131" s="3"/>
      <c r="M131" s="3">
        <v>39965</v>
      </c>
      <c r="N131" s="3">
        <v>39965</v>
      </c>
      <c r="O131" s="3">
        <v>39965</v>
      </c>
      <c r="P131" s="2" t="s">
        <v>333</v>
      </c>
      <c r="Q131" s="2" t="s">
        <v>225</v>
      </c>
      <c r="R131" s="2" t="s">
        <v>37</v>
      </c>
      <c r="S131" s="2" t="s">
        <v>100</v>
      </c>
      <c r="T131" s="2" t="s">
        <v>39</v>
      </c>
      <c r="U131" s="2">
        <v>60</v>
      </c>
      <c r="V131" s="2">
        <v>105</v>
      </c>
      <c r="W131" s="2">
        <v>809.55</v>
      </c>
      <c r="X131" s="2">
        <v>7.71</v>
      </c>
      <c r="Y131" s="2">
        <v>0.13</v>
      </c>
      <c r="Z131" s="2">
        <v>6</v>
      </c>
      <c r="AA131" s="2">
        <v>1053.8599999999999</v>
      </c>
      <c r="AB131">
        <v>1</v>
      </c>
      <c r="AC131">
        <v>2009</v>
      </c>
      <c r="AE131" s="2">
        <v>13.65</v>
      </c>
    </row>
    <row r="132" spans="2:31" ht="14.5">
      <c r="B132" s="2">
        <v>11055</v>
      </c>
      <c r="C132" s="2" t="s">
        <v>374</v>
      </c>
      <c r="D132" s="2" t="s">
        <v>375</v>
      </c>
      <c r="E132" s="2" t="s">
        <v>118</v>
      </c>
      <c r="F132" s="2" t="s">
        <v>29</v>
      </c>
      <c r="G132" s="2" t="s">
        <v>30</v>
      </c>
      <c r="H132" s="2" t="s">
        <v>218</v>
      </c>
      <c r="I132" s="2" t="s">
        <v>219</v>
      </c>
      <c r="J132" s="2" t="s">
        <v>220</v>
      </c>
      <c r="K132" s="2" t="s">
        <v>34</v>
      </c>
      <c r="L132" s="3"/>
      <c r="M132" s="3">
        <v>39986</v>
      </c>
      <c r="N132" s="3">
        <v>39986</v>
      </c>
      <c r="O132" s="3">
        <v>39986</v>
      </c>
      <c r="P132" s="2" t="s">
        <v>112</v>
      </c>
      <c r="Q132" s="2" t="s">
        <v>113</v>
      </c>
      <c r="R132" s="2" t="s">
        <v>37</v>
      </c>
      <c r="S132" s="2" t="s">
        <v>114</v>
      </c>
      <c r="T132" s="2" t="s">
        <v>47</v>
      </c>
      <c r="U132" s="2">
        <v>60</v>
      </c>
      <c r="V132" s="2">
        <v>11216</v>
      </c>
      <c r="W132" s="2">
        <v>127301.6</v>
      </c>
      <c r="X132" s="2">
        <v>11.35</v>
      </c>
      <c r="Y132" s="2">
        <v>0.19</v>
      </c>
      <c r="Z132" s="2">
        <v>1894</v>
      </c>
      <c r="AA132" s="2">
        <v>13293.41</v>
      </c>
      <c r="AB132">
        <v>1</v>
      </c>
      <c r="AC132">
        <v>2009</v>
      </c>
      <c r="AE132" s="2">
        <v>2131.04</v>
      </c>
    </row>
    <row r="133" spans="2:31" ht="14.5">
      <c r="B133" s="2">
        <v>11067</v>
      </c>
      <c r="C133" s="2" t="s">
        <v>376</v>
      </c>
      <c r="D133" s="2" t="s">
        <v>377</v>
      </c>
      <c r="E133" s="2" t="s">
        <v>118</v>
      </c>
      <c r="F133" s="2" t="s">
        <v>29</v>
      </c>
      <c r="G133" s="2" t="s">
        <v>30</v>
      </c>
      <c r="H133" s="2" t="s">
        <v>218</v>
      </c>
      <c r="I133" s="2" t="s">
        <v>219</v>
      </c>
      <c r="J133" s="2" t="s">
        <v>220</v>
      </c>
      <c r="K133" s="2" t="s">
        <v>34</v>
      </c>
      <c r="L133" s="3"/>
      <c r="M133" s="3">
        <v>40070</v>
      </c>
      <c r="N133" s="3">
        <v>40070</v>
      </c>
      <c r="O133" s="3">
        <v>40070</v>
      </c>
      <c r="P133" s="2" t="s">
        <v>333</v>
      </c>
      <c r="Q133" s="2" t="s">
        <v>225</v>
      </c>
      <c r="R133" s="2" t="s">
        <v>37</v>
      </c>
      <c r="S133" s="2" t="s">
        <v>100</v>
      </c>
      <c r="T133" s="2" t="s">
        <v>39</v>
      </c>
      <c r="U133" s="2">
        <v>60</v>
      </c>
      <c r="V133" s="2">
        <v>192</v>
      </c>
      <c r="W133" s="2">
        <v>1445.76</v>
      </c>
      <c r="X133" s="2">
        <v>7.53</v>
      </c>
      <c r="Y133" s="2">
        <v>0.13</v>
      </c>
      <c r="Z133" s="2">
        <v>11</v>
      </c>
      <c r="AA133" s="2">
        <v>1112.31</v>
      </c>
      <c r="AB133">
        <v>1</v>
      </c>
      <c r="AC133">
        <v>2009</v>
      </c>
      <c r="AE133" s="2">
        <v>24.96</v>
      </c>
    </row>
    <row r="134" spans="2:31" ht="14.5">
      <c r="B134" s="2">
        <v>11068</v>
      </c>
      <c r="C134" s="2" t="s">
        <v>378</v>
      </c>
      <c r="D134" s="2" t="s">
        <v>379</v>
      </c>
      <c r="E134" s="2" t="s">
        <v>118</v>
      </c>
      <c r="F134" s="2" t="s">
        <v>29</v>
      </c>
      <c r="G134" s="2" t="s">
        <v>30</v>
      </c>
      <c r="H134" s="2" t="s">
        <v>218</v>
      </c>
      <c r="I134" s="2" t="s">
        <v>219</v>
      </c>
      <c r="J134" s="2" t="s">
        <v>220</v>
      </c>
      <c r="K134" s="2" t="s">
        <v>34</v>
      </c>
      <c r="L134" s="3"/>
      <c r="M134" s="3">
        <v>40094</v>
      </c>
      <c r="N134" s="3">
        <v>40094</v>
      </c>
      <c r="O134" s="3">
        <v>40094</v>
      </c>
      <c r="P134" s="2" t="s">
        <v>95</v>
      </c>
      <c r="Q134" s="2" t="s">
        <v>96</v>
      </c>
      <c r="R134" s="2" t="s">
        <v>37</v>
      </c>
      <c r="S134" s="2" t="s">
        <v>97</v>
      </c>
      <c r="T134" s="2" t="s">
        <v>39</v>
      </c>
      <c r="U134" s="2">
        <v>30</v>
      </c>
      <c r="V134" s="2">
        <v>3740</v>
      </c>
      <c r="W134" s="2">
        <v>26441.8</v>
      </c>
      <c r="X134" s="2">
        <v>7.07</v>
      </c>
      <c r="Y134" s="2">
        <v>0.24</v>
      </c>
      <c r="Z134" s="2">
        <v>322</v>
      </c>
      <c r="AA134" s="2">
        <v>3054.1</v>
      </c>
      <c r="AB134">
        <v>1</v>
      </c>
      <c r="AC134">
        <v>2009</v>
      </c>
      <c r="AE134" s="2">
        <v>897.6</v>
      </c>
    </row>
    <row r="135" spans="2:31" ht="14.5">
      <c r="B135" s="2">
        <v>11138</v>
      </c>
      <c r="C135" s="2" t="s">
        <v>380</v>
      </c>
      <c r="D135" s="2" t="s">
        <v>381</v>
      </c>
      <c r="E135" s="2" t="s">
        <v>28</v>
      </c>
      <c r="F135" s="2" t="s">
        <v>29</v>
      </c>
      <c r="G135" s="2" t="s">
        <v>30</v>
      </c>
      <c r="H135" s="2" t="s">
        <v>218</v>
      </c>
      <c r="I135" s="2" t="s">
        <v>219</v>
      </c>
      <c r="J135" s="2" t="s">
        <v>220</v>
      </c>
      <c r="K135" s="2" t="s">
        <v>34</v>
      </c>
      <c r="L135" s="3"/>
      <c r="M135" s="3">
        <v>39307</v>
      </c>
      <c r="N135" s="3">
        <v>39307</v>
      </c>
      <c r="O135" s="3">
        <v>39307</v>
      </c>
      <c r="P135" s="2" t="s">
        <v>150</v>
      </c>
      <c r="Q135" s="2" t="s">
        <v>84</v>
      </c>
      <c r="R135" s="2" t="s">
        <v>151</v>
      </c>
      <c r="S135" s="2" t="s">
        <v>152</v>
      </c>
      <c r="T135" s="2" t="s">
        <v>39</v>
      </c>
      <c r="U135" s="2">
        <v>120</v>
      </c>
      <c r="V135" s="2">
        <v>3000</v>
      </c>
      <c r="W135" s="2">
        <v>123300</v>
      </c>
      <c r="X135" s="2">
        <v>41.1</v>
      </c>
      <c r="Y135" s="2">
        <v>0.34</v>
      </c>
      <c r="Z135" s="2">
        <v>1422</v>
      </c>
      <c r="AA135" s="2">
        <v>4198</v>
      </c>
      <c r="AB135">
        <v>1</v>
      </c>
      <c r="AC135">
        <v>2007</v>
      </c>
      <c r="AE135" s="2">
        <v>1020.0000000000001</v>
      </c>
    </row>
    <row r="136" spans="2:31" ht="14.5">
      <c r="B136" s="2">
        <v>11139</v>
      </c>
      <c r="C136" s="2" t="s">
        <v>382</v>
      </c>
      <c r="D136" s="2" t="s">
        <v>383</v>
      </c>
      <c r="E136" s="2" t="s">
        <v>28</v>
      </c>
      <c r="F136" s="2" t="s">
        <v>29</v>
      </c>
      <c r="G136" s="2" t="s">
        <v>30</v>
      </c>
      <c r="H136" s="2" t="s">
        <v>218</v>
      </c>
      <c r="I136" s="2" t="s">
        <v>219</v>
      </c>
      <c r="J136" s="2" t="s">
        <v>220</v>
      </c>
      <c r="K136" s="2" t="s">
        <v>34</v>
      </c>
      <c r="L136" s="3"/>
      <c r="M136" s="3">
        <v>39293</v>
      </c>
      <c r="N136" s="3">
        <v>39293</v>
      </c>
      <c r="O136" s="3">
        <v>39293</v>
      </c>
      <c r="P136" s="2" t="s">
        <v>384</v>
      </c>
      <c r="Q136" s="2" t="s">
        <v>385</v>
      </c>
      <c r="R136" s="2" t="s">
        <v>386</v>
      </c>
      <c r="S136" s="2" t="s">
        <v>330</v>
      </c>
      <c r="T136" s="2" t="s">
        <v>64</v>
      </c>
      <c r="U136" s="2">
        <v>336</v>
      </c>
      <c r="V136" s="2">
        <v>157</v>
      </c>
      <c r="W136" s="2">
        <v>6022.52</v>
      </c>
      <c r="X136" s="2">
        <v>38.36</v>
      </c>
      <c r="Y136" s="2">
        <v>0.11</v>
      </c>
      <c r="Z136" s="2">
        <v>547</v>
      </c>
      <c r="AA136" s="2">
        <v>2094</v>
      </c>
      <c r="AB136">
        <v>1</v>
      </c>
      <c r="AC136">
        <v>2007</v>
      </c>
      <c r="AE136" s="2">
        <v>17.27</v>
      </c>
    </row>
    <row r="137" spans="2:31" ht="14.5">
      <c r="B137" s="2">
        <v>11153</v>
      </c>
      <c r="C137" s="2" t="s">
        <v>387</v>
      </c>
      <c r="D137" s="2" t="s">
        <v>388</v>
      </c>
      <c r="E137" s="2" t="s">
        <v>28</v>
      </c>
      <c r="F137" s="2" t="s">
        <v>29</v>
      </c>
      <c r="G137" s="2" t="s">
        <v>30</v>
      </c>
      <c r="H137" s="2" t="s">
        <v>218</v>
      </c>
      <c r="I137" s="2" t="s">
        <v>219</v>
      </c>
      <c r="J137" s="2" t="s">
        <v>220</v>
      </c>
      <c r="K137" s="2" t="s">
        <v>34</v>
      </c>
      <c r="L137" s="3"/>
      <c r="M137" s="3">
        <v>39323</v>
      </c>
      <c r="N137" s="3">
        <v>39323</v>
      </c>
      <c r="O137" s="3">
        <v>39323</v>
      </c>
      <c r="P137" s="2" t="s">
        <v>95</v>
      </c>
      <c r="Q137" s="2" t="s">
        <v>96</v>
      </c>
      <c r="R137" s="2" t="s">
        <v>37</v>
      </c>
      <c r="S137" s="2" t="s">
        <v>97</v>
      </c>
      <c r="T137" s="2" t="s">
        <v>39</v>
      </c>
      <c r="U137" s="2">
        <v>30</v>
      </c>
      <c r="V137" s="2">
        <v>23814</v>
      </c>
      <c r="W137" s="2">
        <v>387215.64</v>
      </c>
      <c r="X137" s="2">
        <v>16.260000000000002</v>
      </c>
      <c r="Y137" s="2">
        <v>0.54</v>
      </c>
      <c r="Z137" s="2">
        <v>2102</v>
      </c>
      <c r="AA137" s="2">
        <v>5834</v>
      </c>
      <c r="AB137">
        <v>1</v>
      </c>
      <c r="AC137">
        <v>2007</v>
      </c>
      <c r="AE137" s="2">
        <v>12859.560000000001</v>
      </c>
    </row>
    <row r="138" spans="2:31" ht="14.5">
      <c r="B138" s="2">
        <v>11156</v>
      </c>
      <c r="C138" s="2" t="s">
        <v>389</v>
      </c>
      <c r="D138" s="2" t="s">
        <v>390</v>
      </c>
      <c r="E138" s="2" t="s">
        <v>118</v>
      </c>
      <c r="F138" s="2" t="s">
        <v>29</v>
      </c>
      <c r="G138" s="2" t="s">
        <v>30</v>
      </c>
      <c r="H138" s="2" t="s">
        <v>218</v>
      </c>
      <c r="I138" s="2" t="s">
        <v>219</v>
      </c>
      <c r="J138" s="2" t="s">
        <v>220</v>
      </c>
      <c r="K138" s="2" t="s">
        <v>223</v>
      </c>
      <c r="L138" s="3"/>
      <c r="M138" s="3">
        <v>39372</v>
      </c>
      <c r="N138" s="3">
        <v>39372</v>
      </c>
      <c r="O138" s="3">
        <v>39372</v>
      </c>
      <c r="P138" s="2" t="s">
        <v>61</v>
      </c>
      <c r="Q138" s="2" t="s">
        <v>62</v>
      </c>
      <c r="R138" s="2" t="s">
        <v>37</v>
      </c>
      <c r="S138" s="2" t="s">
        <v>63</v>
      </c>
      <c r="T138" s="2" t="s">
        <v>64</v>
      </c>
      <c r="U138" s="2">
        <v>60</v>
      </c>
      <c r="V138" s="2">
        <v>294</v>
      </c>
      <c r="W138" s="2">
        <v>446.88</v>
      </c>
      <c r="X138" s="2">
        <v>1.52</v>
      </c>
      <c r="Y138" s="2">
        <v>0.03</v>
      </c>
      <c r="Z138" s="2">
        <v>14</v>
      </c>
      <c r="AA138" s="2">
        <v>632.6</v>
      </c>
      <c r="AB138">
        <v>1</v>
      </c>
      <c r="AC138">
        <v>2007</v>
      </c>
      <c r="AE138" s="2">
        <v>8.82</v>
      </c>
    </row>
    <row r="139" spans="2:31" ht="14.5">
      <c r="B139" s="2">
        <v>11160</v>
      </c>
      <c r="C139" s="2" t="s">
        <v>216</v>
      </c>
      <c r="D139" s="2" t="s">
        <v>217</v>
      </c>
      <c r="E139" s="2" t="s">
        <v>118</v>
      </c>
      <c r="F139" s="2" t="s">
        <v>29</v>
      </c>
      <c r="G139" s="2" t="s">
        <v>30</v>
      </c>
      <c r="H139" s="2" t="s">
        <v>218</v>
      </c>
      <c r="I139" s="2" t="s">
        <v>219</v>
      </c>
      <c r="J139" s="2" t="s">
        <v>220</v>
      </c>
      <c r="K139" s="2" t="s">
        <v>34</v>
      </c>
      <c r="L139" s="3"/>
      <c r="M139" s="3">
        <v>39391</v>
      </c>
      <c r="N139" s="3">
        <v>39391</v>
      </c>
      <c r="O139" s="3">
        <v>39391</v>
      </c>
      <c r="P139" s="2" t="s">
        <v>95</v>
      </c>
      <c r="Q139" s="2" t="s">
        <v>96</v>
      </c>
      <c r="R139" s="2" t="s">
        <v>37</v>
      </c>
      <c r="S139" s="2" t="s">
        <v>97</v>
      </c>
      <c r="T139" s="2" t="s">
        <v>39</v>
      </c>
      <c r="U139" s="2">
        <v>30</v>
      </c>
      <c r="V139" s="2">
        <v>1717</v>
      </c>
      <c r="W139" s="2">
        <v>21325.14</v>
      </c>
      <c r="X139" s="2">
        <v>12.42</v>
      </c>
      <c r="Y139" s="2">
        <v>0.41</v>
      </c>
      <c r="AB139">
        <v>1</v>
      </c>
      <c r="AC139">
        <v>2007</v>
      </c>
      <c r="AE139" s="2">
        <v>703.96999999999991</v>
      </c>
    </row>
    <row r="140" spans="2:31" ht="14.5">
      <c r="B140" s="2">
        <v>11174</v>
      </c>
      <c r="C140" s="2" t="s">
        <v>221</v>
      </c>
      <c r="D140" s="2" t="s">
        <v>222</v>
      </c>
      <c r="E140" s="2" t="s">
        <v>60</v>
      </c>
      <c r="F140" s="2" t="s">
        <v>29</v>
      </c>
      <c r="G140" s="2" t="s">
        <v>30</v>
      </c>
      <c r="H140" s="2" t="s">
        <v>218</v>
      </c>
      <c r="I140" s="2" t="s">
        <v>219</v>
      </c>
      <c r="J140" s="2" t="s">
        <v>220</v>
      </c>
      <c r="K140" s="2" t="s">
        <v>223</v>
      </c>
      <c r="L140" s="3"/>
      <c r="M140" s="3">
        <v>39329</v>
      </c>
      <c r="N140" s="3">
        <v>39329</v>
      </c>
      <c r="O140" s="3">
        <v>39329</v>
      </c>
      <c r="P140" s="2" t="s">
        <v>164</v>
      </c>
      <c r="Q140" s="2" t="s">
        <v>165</v>
      </c>
      <c r="R140" s="2" t="s">
        <v>37</v>
      </c>
      <c r="S140" s="2" t="s">
        <v>166</v>
      </c>
      <c r="T140" s="2" t="s">
        <v>39</v>
      </c>
      <c r="U140" s="2">
        <v>60</v>
      </c>
      <c r="V140" s="2">
        <v>60029</v>
      </c>
      <c r="W140" s="2">
        <v>182488.16</v>
      </c>
      <c r="X140" s="2">
        <v>3.04</v>
      </c>
      <c r="Y140" s="2">
        <v>0.05</v>
      </c>
      <c r="AB140">
        <v>1</v>
      </c>
      <c r="AC140">
        <v>2007</v>
      </c>
      <c r="AE140" s="2">
        <v>3001.4500000000003</v>
      </c>
    </row>
    <row r="141" spans="2:31" ht="14.5">
      <c r="B141" s="2">
        <v>11198</v>
      </c>
      <c r="C141" s="2" t="s">
        <v>307</v>
      </c>
      <c r="D141" s="2" t="s">
        <v>308</v>
      </c>
      <c r="E141" s="2" t="s">
        <v>118</v>
      </c>
      <c r="F141" s="2" t="s">
        <v>29</v>
      </c>
      <c r="G141" s="2" t="s">
        <v>30</v>
      </c>
      <c r="H141" s="2" t="s">
        <v>218</v>
      </c>
      <c r="I141" s="2" t="s">
        <v>219</v>
      </c>
      <c r="J141" s="2" t="s">
        <v>220</v>
      </c>
      <c r="K141" s="2" t="s">
        <v>34</v>
      </c>
      <c r="L141" s="3"/>
      <c r="M141" s="3">
        <v>39426</v>
      </c>
      <c r="N141" s="3">
        <v>39426</v>
      </c>
      <c r="O141" s="3">
        <v>39426</v>
      </c>
      <c r="P141" s="2" t="s">
        <v>112</v>
      </c>
      <c r="Q141" s="2" t="s">
        <v>113</v>
      </c>
      <c r="R141" s="2" t="s">
        <v>37</v>
      </c>
      <c r="S141" s="2" t="s">
        <v>114</v>
      </c>
      <c r="T141" s="2" t="s">
        <v>47</v>
      </c>
      <c r="U141" s="2">
        <v>60</v>
      </c>
      <c r="V141" s="2">
        <v>3930</v>
      </c>
      <c r="W141" s="2">
        <v>80565</v>
      </c>
      <c r="X141" s="2">
        <v>20.5</v>
      </c>
      <c r="Y141" s="2">
        <v>0.34</v>
      </c>
      <c r="AB141">
        <v>1</v>
      </c>
      <c r="AC141">
        <v>2007</v>
      </c>
      <c r="AE141" s="2">
        <v>1336.2</v>
      </c>
    </row>
    <row r="142" spans="2:31" ht="14.5">
      <c r="B142" s="2">
        <v>11217</v>
      </c>
      <c r="C142" s="2" t="s">
        <v>391</v>
      </c>
      <c r="D142" s="2" t="s">
        <v>392</v>
      </c>
      <c r="E142" s="2" t="s">
        <v>60</v>
      </c>
      <c r="F142" s="2" t="s">
        <v>29</v>
      </c>
      <c r="G142" s="2" t="s">
        <v>30</v>
      </c>
      <c r="H142" s="2" t="s">
        <v>218</v>
      </c>
      <c r="I142" s="2" t="s">
        <v>219</v>
      </c>
      <c r="J142" s="2" t="s">
        <v>220</v>
      </c>
      <c r="K142" s="2" t="s">
        <v>34</v>
      </c>
      <c r="L142" s="3"/>
      <c r="M142" s="3">
        <v>39436</v>
      </c>
      <c r="N142" s="3">
        <v>39436</v>
      </c>
      <c r="O142" s="3">
        <v>39436</v>
      </c>
      <c r="P142" s="2" t="s">
        <v>44</v>
      </c>
      <c r="Q142" s="2" t="s">
        <v>45</v>
      </c>
      <c r="R142" s="2" t="s">
        <v>37</v>
      </c>
      <c r="S142" s="2" t="s">
        <v>46</v>
      </c>
      <c r="T142" s="2" t="s">
        <v>47</v>
      </c>
      <c r="U142" s="2">
        <v>60</v>
      </c>
      <c r="V142" s="2">
        <v>9692</v>
      </c>
      <c r="W142" s="2">
        <v>92074</v>
      </c>
      <c r="X142" s="2">
        <v>9.5</v>
      </c>
      <c r="Y142" s="2">
        <v>0.16</v>
      </c>
      <c r="Z142" s="2">
        <v>1215</v>
      </c>
      <c r="AA142" s="2">
        <v>6346.22</v>
      </c>
      <c r="AB142">
        <v>1</v>
      </c>
      <c r="AC142">
        <v>2007</v>
      </c>
      <c r="AE142" s="2">
        <v>1550.72</v>
      </c>
    </row>
    <row r="143" spans="2:31" ht="14.5">
      <c r="B143" s="2">
        <v>11225</v>
      </c>
      <c r="C143" s="2" t="s">
        <v>393</v>
      </c>
      <c r="D143" s="2" t="s">
        <v>394</v>
      </c>
      <c r="E143" s="2" t="s">
        <v>42</v>
      </c>
      <c r="F143" s="2" t="s">
        <v>29</v>
      </c>
      <c r="G143" s="2" t="s">
        <v>30</v>
      </c>
      <c r="H143" s="2" t="s">
        <v>218</v>
      </c>
      <c r="I143" s="2" t="s">
        <v>219</v>
      </c>
      <c r="J143" s="2" t="s">
        <v>220</v>
      </c>
      <c r="K143" s="2" t="s">
        <v>34</v>
      </c>
      <c r="L143" s="3"/>
      <c r="M143" s="3">
        <v>39475</v>
      </c>
      <c r="N143" s="3">
        <v>39475</v>
      </c>
      <c r="O143" s="3">
        <v>39475</v>
      </c>
      <c r="P143" s="2" t="s">
        <v>61</v>
      </c>
      <c r="Q143" s="2" t="s">
        <v>62</v>
      </c>
      <c r="R143" s="2" t="s">
        <v>37</v>
      </c>
      <c r="S143" s="2" t="s">
        <v>63</v>
      </c>
      <c r="T143" s="2" t="s">
        <v>64</v>
      </c>
      <c r="U143" s="2">
        <v>60</v>
      </c>
      <c r="V143" s="2">
        <v>392</v>
      </c>
      <c r="W143" s="2">
        <v>842.8</v>
      </c>
      <c r="X143" s="2">
        <v>2.15</v>
      </c>
      <c r="Y143" s="2">
        <v>0.04</v>
      </c>
      <c r="Z143" s="2">
        <v>29</v>
      </c>
      <c r="AA143" s="2">
        <v>1372.38</v>
      </c>
      <c r="AB143">
        <v>1</v>
      </c>
      <c r="AC143">
        <v>2008</v>
      </c>
      <c r="AE143" s="2">
        <v>15.68</v>
      </c>
    </row>
    <row r="144" spans="2:31" ht="14.5">
      <c r="B144" s="2">
        <v>11226</v>
      </c>
      <c r="C144" s="2" t="s">
        <v>231</v>
      </c>
      <c r="D144" s="2" t="s">
        <v>232</v>
      </c>
      <c r="E144" s="2" t="s">
        <v>28</v>
      </c>
      <c r="F144" s="2" t="s">
        <v>29</v>
      </c>
      <c r="G144" s="2" t="s">
        <v>30</v>
      </c>
      <c r="H144" s="2" t="s">
        <v>218</v>
      </c>
      <c r="I144" s="2" t="s">
        <v>219</v>
      </c>
      <c r="J144" s="2" t="s">
        <v>220</v>
      </c>
      <c r="K144" s="2" t="s">
        <v>34</v>
      </c>
      <c r="L144" s="3"/>
      <c r="M144" s="3">
        <v>39484</v>
      </c>
      <c r="N144" s="3">
        <v>39484</v>
      </c>
      <c r="O144" s="3">
        <v>39484</v>
      </c>
      <c r="P144" s="2" t="s">
        <v>98</v>
      </c>
      <c r="Q144" s="2" t="s">
        <v>99</v>
      </c>
      <c r="R144" s="2" t="s">
        <v>37</v>
      </c>
      <c r="S144" s="2" t="s">
        <v>100</v>
      </c>
      <c r="T144" s="2" t="s">
        <v>39</v>
      </c>
      <c r="U144" s="2">
        <v>60</v>
      </c>
      <c r="V144" s="2">
        <v>1128</v>
      </c>
      <c r="W144" s="2">
        <v>31053.84</v>
      </c>
      <c r="X144" s="2">
        <v>27.53</v>
      </c>
      <c r="Y144" s="2">
        <v>0.46</v>
      </c>
      <c r="AB144">
        <v>1</v>
      </c>
      <c r="AC144">
        <v>2008</v>
      </c>
      <c r="AE144" s="2">
        <v>518.88</v>
      </c>
    </row>
    <row r="145" spans="2:31" ht="14.5">
      <c r="B145" s="2">
        <v>11231</v>
      </c>
      <c r="C145" s="2" t="s">
        <v>239</v>
      </c>
      <c r="D145" s="2" t="s">
        <v>240</v>
      </c>
      <c r="E145" s="2" t="s">
        <v>118</v>
      </c>
      <c r="F145" s="2" t="s">
        <v>29</v>
      </c>
      <c r="G145" s="2" t="s">
        <v>30</v>
      </c>
      <c r="H145" s="2" t="s">
        <v>218</v>
      </c>
      <c r="I145" s="2" t="s">
        <v>219</v>
      </c>
      <c r="J145" s="2" t="s">
        <v>220</v>
      </c>
      <c r="K145" s="2" t="s">
        <v>223</v>
      </c>
      <c r="L145" s="3"/>
      <c r="M145" s="3">
        <v>39506</v>
      </c>
      <c r="N145" s="3">
        <v>39506</v>
      </c>
      <c r="O145" s="3">
        <v>39506</v>
      </c>
      <c r="P145" s="2" t="s">
        <v>44</v>
      </c>
      <c r="Q145" s="2" t="s">
        <v>45</v>
      </c>
      <c r="R145" s="2" t="s">
        <v>37</v>
      </c>
      <c r="S145" s="2" t="s">
        <v>46</v>
      </c>
      <c r="T145" s="2" t="s">
        <v>47</v>
      </c>
      <c r="U145" s="2">
        <v>60</v>
      </c>
      <c r="V145" s="2">
        <v>2883</v>
      </c>
      <c r="W145" s="2">
        <v>27388.5</v>
      </c>
      <c r="X145" s="2">
        <v>9.5</v>
      </c>
      <c r="Y145" s="2">
        <v>0.16</v>
      </c>
      <c r="AB145">
        <v>1</v>
      </c>
      <c r="AC145">
        <v>2008</v>
      </c>
      <c r="AE145" s="2">
        <v>461.28000000000003</v>
      </c>
    </row>
    <row r="146" spans="2:31" ht="14.5">
      <c r="B146" s="2">
        <v>11235</v>
      </c>
      <c r="C146" s="2" t="s">
        <v>241</v>
      </c>
      <c r="D146" s="2" t="s">
        <v>242</v>
      </c>
      <c r="E146" s="2" t="s">
        <v>28</v>
      </c>
      <c r="F146" s="2" t="s">
        <v>29</v>
      </c>
      <c r="G146" s="2" t="s">
        <v>30</v>
      </c>
      <c r="H146" s="2" t="s">
        <v>218</v>
      </c>
      <c r="I146" s="2" t="s">
        <v>219</v>
      </c>
      <c r="J146" s="2" t="s">
        <v>220</v>
      </c>
      <c r="K146" s="2" t="s">
        <v>34</v>
      </c>
      <c r="L146" s="3"/>
      <c r="M146" s="3">
        <v>39658</v>
      </c>
      <c r="N146" s="3">
        <v>39658</v>
      </c>
      <c r="O146" s="3">
        <v>39658</v>
      </c>
      <c r="P146" s="2" t="s">
        <v>44</v>
      </c>
      <c r="Q146" s="2" t="s">
        <v>45</v>
      </c>
      <c r="R146" s="2" t="s">
        <v>37</v>
      </c>
      <c r="S146" s="2" t="s">
        <v>46</v>
      </c>
      <c r="T146" s="2" t="s">
        <v>47</v>
      </c>
      <c r="U146" s="2">
        <v>60</v>
      </c>
      <c r="V146" s="2">
        <v>5809</v>
      </c>
      <c r="W146" s="2">
        <v>54895.05</v>
      </c>
      <c r="X146" s="2">
        <v>9.4499999999999993</v>
      </c>
      <c r="Y146" s="2">
        <v>0.16</v>
      </c>
      <c r="AB146">
        <v>1</v>
      </c>
      <c r="AC146">
        <v>2008</v>
      </c>
      <c r="AE146" s="2">
        <v>929.44</v>
      </c>
    </row>
    <row r="147" spans="2:31" ht="14.5">
      <c r="B147" s="2">
        <v>11249</v>
      </c>
      <c r="C147" s="2" t="s">
        <v>395</v>
      </c>
      <c r="D147" s="2" t="s">
        <v>396</v>
      </c>
      <c r="E147" s="2" t="s">
        <v>60</v>
      </c>
      <c r="F147" s="2" t="s">
        <v>29</v>
      </c>
      <c r="G147" s="2" t="s">
        <v>30</v>
      </c>
      <c r="H147" s="2" t="s">
        <v>218</v>
      </c>
      <c r="I147" s="2" t="s">
        <v>219</v>
      </c>
      <c r="J147" s="2" t="s">
        <v>220</v>
      </c>
      <c r="K147" s="2" t="s">
        <v>34</v>
      </c>
      <c r="L147" s="3"/>
      <c r="M147" s="3">
        <v>39519</v>
      </c>
      <c r="N147" s="3">
        <v>39519</v>
      </c>
      <c r="O147" s="3">
        <v>39519</v>
      </c>
      <c r="P147" s="2" t="s">
        <v>164</v>
      </c>
      <c r="Q147" s="2" t="s">
        <v>165</v>
      </c>
      <c r="R147" s="2" t="s">
        <v>37</v>
      </c>
      <c r="S147" s="2" t="s">
        <v>166</v>
      </c>
      <c r="T147" s="2" t="s">
        <v>39</v>
      </c>
      <c r="U147" s="2">
        <v>60</v>
      </c>
      <c r="V147" s="2">
        <v>14044</v>
      </c>
      <c r="W147" s="2">
        <v>42693.760000000002</v>
      </c>
      <c r="X147" s="2">
        <v>3.04</v>
      </c>
      <c r="Y147" s="2">
        <v>0.05</v>
      </c>
      <c r="Z147" s="2">
        <v>732</v>
      </c>
      <c r="AA147" s="2">
        <v>2963.8</v>
      </c>
      <c r="AB147">
        <v>1</v>
      </c>
      <c r="AC147">
        <v>2008</v>
      </c>
      <c r="AE147" s="2">
        <v>702.2</v>
      </c>
    </row>
    <row r="148" spans="2:31" ht="14.5">
      <c r="B148" s="2">
        <v>11263</v>
      </c>
      <c r="C148" s="2" t="s">
        <v>397</v>
      </c>
      <c r="D148" s="2" t="s">
        <v>398</v>
      </c>
      <c r="E148" s="2" t="s">
        <v>60</v>
      </c>
      <c r="F148" s="2" t="s">
        <v>29</v>
      </c>
      <c r="G148" s="2" t="s">
        <v>50</v>
      </c>
      <c r="H148" s="2" t="s">
        <v>218</v>
      </c>
      <c r="I148" s="2" t="s">
        <v>219</v>
      </c>
      <c r="J148" s="2" t="s">
        <v>220</v>
      </c>
      <c r="K148" s="2" t="s">
        <v>34</v>
      </c>
      <c r="L148" s="3"/>
      <c r="M148" s="3">
        <v>39559</v>
      </c>
      <c r="N148" s="3">
        <v>39559</v>
      </c>
      <c r="O148" s="3">
        <v>39559</v>
      </c>
      <c r="P148" s="2" t="s">
        <v>224</v>
      </c>
      <c r="Q148" s="2" t="s">
        <v>225</v>
      </c>
      <c r="R148" s="2" t="s">
        <v>37</v>
      </c>
      <c r="S148" s="2" t="s">
        <v>226</v>
      </c>
      <c r="T148" s="2" t="s">
        <v>87</v>
      </c>
      <c r="U148" s="2">
        <v>240</v>
      </c>
      <c r="V148" s="2">
        <v>1846</v>
      </c>
      <c r="W148" s="2">
        <v>3968.9</v>
      </c>
      <c r="X148" s="2">
        <v>2.15</v>
      </c>
      <c r="Y148" s="2">
        <v>0.01</v>
      </c>
      <c r="Z148" s="2">
        <v>773</v>
      </c>
      <c r="AA148" s="2">
        <v>3472.55</v>
      </c>
      <c r="AB148">
        <v>1</v>
      </c>
      <c r="AC148">
        <v>2008</v>
      </c>
      <c r="AE148" s="2">
        <v>18.46</v>
      </c>
    </row>
    <row r="149" spans="2:31" ht="14.5">
      <c r="B149" s="2">
        <v>11269</v>
      </c>
      <c r="C149" s="2" t="s">
        <v>399</v>
      </c>
      <c r="D149" s="2" t="s">
        <v>400</v>
      </c>
      <c r="E149" s="2" t="s">
        <v>118</v>
      </c>
      <c r="F149" s="2" t="s">
        <v>29</v>
      </c>
      <c r="G149" s="2" t="s">
        <v>30</v>
      </c>
      <c r="H149" s="2" t="s">
        <v>218</v>
      </c>
      <c r="I149" s="2" t="s">
        <v>219</v>
      </c>
      <c r="J149" s="2" t="s">
        <v>220</v>
      </c>
      <c r="K149" s="2" t="s">
        <v>34</v>
      </c>
      <c r="L149" s="3"/>
      <c r="M149" s="3">
        <v>39681</v>
      </c>
      <c r="N149" s="3">
        <v>39681</v>
      </c>
      <c r="O149" s="3">
        <v>39681</v>
      </c>
      <c r="P149" s="2" t="s">
        <v>139</v>
      </c>
      <c r="Q149" s="2" t="s">
        <v>140</v>
      </c>
      <c r="R149" s="2" t="s">
        <v>37</v>
      </c>
      <c r="S149" s="2" t="s">
        <v>141</v>
      </c>
      <c r="T149" s="2" t="s">
        <v>47</v>
      </c>
      <c r="U149" s="2">
        <v>60</v>
      </c>
      <c r="V149" s="2">
        <v>2700</v>
      </c>
      <c r="W149" s="2">
        <v>19980</v>
      </c>
      <c r="X149" s="2">
        <v>7.4</v>
      </c>
      <c r="Y149" s="2">
        <v>0.12</v>
      </c>
      <c r="Z149" s="2">
        <v>199</v>
      </c>
      <c r="AA149" s="2">
        <v>1476.8</v>
      </c>
      <c r="AB149">
        <v>1</v>
      </c>
      <c r="AC149">
        <v>2008</v>
      </c>
      <c r="AE149" s="2">
        <v>324</v>
      </c>
    </row>
    <row r="150" spans="2:31" ht="14.5">
      <c r="B150" s="2">
        <v>11270</v>
      </c>
      <c r="C150" s="2" t="s">
        <v>401</v>
      </c>
      <c r="D150" s="2" t="s">
        <v>402</v>
      </c>
      <c r="E150" s="2" t="s">
        <v>118</v>
      </c>
      <c r="F150" s="2" t="s">
        <v>29</v>
      </c>
      <c r="G150" s="2" t="s">
        <v>30</v>
      </c>
      <c r="H150" s="2" t="s">
        <v>218</v>
      </c>
      <c r="I150" s="2" t="s">
        <v>219</v>
      </c>
      <c r="J150" s="2" t="s">
        <v>220</v>
      </c>
      <c r="K150" s="2" t="s">
        <v>34</v>
      </c>
      <c r="L150" s="3"/>
      <c r="M150" s="3">
        <v>39681</v>
      </c>
      <c r="N150" s="3">
        <v>39681</v>
      </c>
      <c r="O150" s="3">
        <v>39681</v>
      </c>
      <c r="P150" s="2" t="s">
        <v>44</v>
      </c>
      <c r="Q150" s="2" t="s">
        <v>45</v>
      </c>
      <c r="R150" s="2" t="s">
        <v>37</v>
      </c>
      <c r="S150" s="2" t="s">
        <v>46</v>
      </c>
      <c r="T150" s="2" t="s">
        <v>47</v>
      </c>
      <c r="U150" s="2">
        <v>60</v>
      </c>
      <c r="V150" s="2">
        <v>1350</v>
      </c>
      <c r="W150" s="2">
        <v>12757.5</v>
      </c>
      <c r="X150" s="2">
        <v>9.4499999999999993</v>
      </c>
      <c r="Y150" s="2">
        <v>0.16</v>
      </c>
      <c r="Z150" s="2">
        <v>239</v>
      </c>
      <c r="AA150" s="2">
        <v>1277.22</v>
      </c>
      <c r="AB150">
        <v>1</v>
      </c>
      <c r="AC150">
        <v>2008</v>
      </c>
      <c r="AE150" s="2">
        <v>216</v>
      </c>
    </row>
    <row r="151" spans="2:31" ht="14.5">
      <c r="B151" s="2">
        <v>11273</v>
      </c>
      <c r="C151" s="2" t="s">
        <v>403</v>
      </c>
      <c r="D151" s="2" t="s">
        <v>404</v>
      </c>
      <c r="E151" s="2" t="s">
        <v>28</v>
      </c>
      <c r="F151" s="2" t="s">
        <v>29</v>
      </c>
      <c r="G151" s="2" t="s">
        <v>30</v>
      </c>
      <c r="H151" s="2" t="s">
        <v>218</v>
      </c>
      <c r="I151" s="2" t="s">
        <v>219</v>
      </c>
      <c r="J151" s="2" t="s">
        <v>220</v>
      </c>
      <c r="K151" s="2" t="s">
        <v>267</v>
      </c>
      <c r="L151" s="3"/>
      <c r="M151" s="3">
        <v>39717</v>
      </c>
      <c r="N151" s="3">
        <v>39717</v>
      </c>
      <c r="O151" s="3">
        <v>39717</v>
      </c>
      <c r="P151" s="2" t="s">
        <v>150</v>
      </c>
      <c r="Q151" s="2" t="s">
        <v>84</v>
      </c>
      <c r="R151" s="2" t="s">
        <v>151</v>
      </c>
      <c r="S151" s="2" t="s">
        <v>152</v>
      </c>
      <c r="T151" s="2" t="s">
        <v>39</v>
      </c>
      <c r="U151" s="2">
        <v>120</v>
      </c>
      <c r="V151" s="2">
        <v>2580</v>
      </c>
      <c r="W151" s="2">
        <v>106038</v>
      </c>
      <c r="X151" s="2">
        <v>41.1</v>
      </c>
      <c r="Y151" s="2">
        <v>0.34</v>
      </c>
      <c r="Z151" s="2">
        <v>587</v>
      </c>
      <c r="AA151" s="2">
        <v>1146.27</v>
      </c>
      <c r="AB151">
        <v>1</v>
      </c>
      <c r="AC151">
        <v>2008</v>
      </c>
      <c r="AE151" s="2">
        <v>877.2</v>
      </c>
    </row>
    <row r="152" spans="2:31" ht="14.5">
      <c r="B152" s="2">
        <v>11289</v>
      </c>
      <c r="C152" s="2" t="s">
        <v>405</v>
      </c>
      <c r="D152" s="2" t="s">
        <v>406</v>
      </c>
      <c r="E152" s="2" t="s">
        <v>118</v>
      </c>
      <c r="F152" s="2" t="s">
        <v>29</v>
      </c>
      <c r="G152" s="2" t="s">
        <v>30</v>
      </c>
      <c r="H152" s="2" t="s">
        <v>218</v>
      </c>
      <c r="I152" s="2" t="s">
        <v>219</v>
      </c>
      <c r="J152" s="2" t="s">
        <v>220</v>
      </c>
      <c r="K152" s="2" t="s">
        <v>34</v>
      </c>
      <c r="L152" s="3"/>
      <c r="M152" s="3">
        <v>39791</v>
      </c>
      <c r="N152" s="3">
        <v>39791</v>
      </c>
      <c r="O152" s="3">
        <v>39791</v>
      </c>
      <c r="P152" s="2" t="s">
        <v>150</v>
      </c>
      <c r="Q152" s="2" t="s">
        <v>84</v>
      </c>
      <c r="R152" s="2" t="s">
        <v>151</v>
      </c>
      <c r="S152" s="2" t="s">
        <v>152</v>
      </c>
      <c r="T152" s="2" t="s">
        <v>39</v>
      </c>
      <c r="U152" s="2">
        <v>120</v>
      </c>
      <c r="V152" s="2">
        <v>60</v>
      </c>
      <c r="W152" s="2">
        <v>2466</v>
      </c>
      <c r="X152" s="2">
        <v>41.1</v>
      </c>
      <c r="Y152" s="2">
        <v>0.34</v>
      </c>
      <c r="Z152" s="2">
        <v>547</v>
      </c>
      <c r="AA152" s="2">
        <v>2437.63</v>
      </c>
      <c r="AB152">
        <v>1</v>
      </c>
      <c r="AC152">
        <v>2008</v>
      </c>
      <c r="AE152" s="2">
        <v>20.400000000000002</v>
      </c>
    </row>
    <row r="153" spans="2:31" ht="14.5">
      <c r="B153" s="2">
        <v>11291</v>
      </c>
      <c r="C153" s="2" t="s">
        <v>356</v>
      </c>
      <c r="D153" s="2" t="s">
        <v>357</v>
      </c>
      <c r="E153" s="2" t="s">
        <v>118</v>
      </c>
      <c r="F153" s="2" t="s">
        <v>29</v>
      </c>
      <c r="G153" s="2" t="s">
        <v>30</v>
      </c>
      <c r="H153" s="2" t="s">
        <v>218</v>
      </c>
      <c r="I153" s="2" t="s">
        <v>219</v>
      </c>
      <c r="J153" s="2" t="s">
        <v>220</v>
      </c>
      <c r="K153" s="2" t="s">
        <v>34</v>
      </c>
      <c r="L153" s="3"/>
      <c r="M153" s="3">
        <v>39791</v>
      </c>
      <c r="N153" s="3">
        <v>39791</v>
      </c>
      <c r="O153" s="3">
        <v>39791</v>
      </c>
      <c r="P153" s="2" t="s">
        <v>44</v>
      </c>
      <c r="Q153" s="2" t="s">
        <v>45</v>
      </c>
      <c r="R153" s="2" t="s">
        <v>37</v>
      </c>
      <c r="S153" s="2" t="s">
        <v>46</v>
      </c>
      <c r="T153" s="2" t="s">
        <v>47</v>
      </c>
      <c r="U153" s="2">
        <v>60</v>
      </c>
      <c r="V153" s="2">
        <v>1144</v>
      </c>
      <c r="W153" s="2">
        <v>10696.4</v>
      </c>
      <c r="X153" s="2">
        <v>9.35</v>
      </c>
      <c r="Y153" s="2">
        <v>0.16</v>
      </c>
      <c r="AB153">
        <v>1</v>
      </c>
      <c r="AC153">
        <v>2008</v>
      </c>
      <c r="AE153" s="2">
        <v>183.04</v>
      </c>
    </row>
    <row r="154" spans="2:31" ht="14.5">
      <c r="B154" s="2">
        <v>11292</v>
      </c>
      <c r="C154" s="2" t="s">
        <v>263</v>
      </c>
      <c r="D154" s="2" t="s">
        <v>264</v>
      </c>
      <c r="E154" s="2" t="s">
        <v>60</v>
      </c>
      <c r="F154" s="2" t="s">
        <v>29</v>
      </c>
      <c r="G154" s="2" t="s">
        <v>30</v>
      </c>
      <c r="H154" s="2" t="s">
        <v>218</v>
      </c>
      <c r="I154" s="2" t="s">
        <v>219</v>
      </c>
      <c r="J154" s="2" t="s">
        <v>220</v>
      </c>
      <c r="K154" s="2" t="s">
        <v>34</v>
      </c>
      <c r="L154" s="3"/>
      <c r="M154" s="3">
        <v>39875</v>
      </c>
      <c r="N154" s="3">
        <v>39875</v>
      </c>
      <c r="O154" s="3">
        <v>39875</v>
      </c>
      <c r="P154" s="2" t="s">
        <v>407</v>
      </c>
      <c r="Q154" s="2" t="s">
        <v>408</v>
      </c>
      <c r="R154" s="2" t="s">
        <v>37</v>
      </c>
      <c r="S154" s="2" t="s">
        <v>409</v>
      </c>
      <c r="T154" s="2" t="s">
        <v>47</v>
      </c>
      <c r="U154" s="2">
        <v>60</v>
      </c>
      <c r="V154" s="2">
        <v>1044</v>
      </c>
      <c r="W154" s="2">
        <v>3967.2</v>
      </c>
      <c r="X154" s="2">
        <v>3.8</v>
      </c>
      <c r="Y154" s="2">
        <v>0.06</v>
      </c>
      <c r="AB154">
        <v>1</v>
      </c>
      <c r="AC154">
        <v>2009</v>
      </c>
      <c r="AE154" s="2">
        <v>62.64</v>
      </c>
    </row>
    <row r="155" spans="2:31" ht="14.5">
      <c r="B155" s="2">
        <v>11293</v>
      </c>
      <c r="C155" s="2" t="s">
        <v>410</v>
      </c>
      <c r="D155" s="2" t="s">
        <v>411</v>
      </c>
      <c r="E155" s="2" t="s">
        <v>28</v>
      </c>
      <c r="F155" s="2" t="s">
        <v>29</v>
      </c>
      <c r="G155" s="2" t="s">
        <v>50</v>
      </c>
      <c r="H155" s="2" t="s">
        <v>218</v>
      </c>
      <c r="I155" s="2" t="s">
        <v>219</v>
      </c>
      <c r="J155" s="2" t="s">
        <v>220</v>
      </c>
      <c r="K155" s="2" t="s">
        <v>267</v>
      </c>
      <c r="L155" s="3"/>
      <c r="M155" s="3">
        <v>39878</v>
      </c>
      <c r="N155" s="3">
        <v>39878</v>
      </c>
      <c r="O155" s="3">
        <v>39878</v>
      </c>
      <c r="P155" s="2" t="s">
        <v>291</v>
      </c>
      <c r="Q155" s="2" t="s">
        <v>99</v>
      </c>
      <c r="R155" s="2" t="s">
        <v>37</v>
      </c>
      <c r="S155" s="2" t="s">
        <v>172</v>
      </c>
      <c r="T155" s="2" t="s">
        <v>87</v>
      </c>
      <c r="U155" s="2">
        <v>240</v>
      </c>
      <c r="V155" s="2">
        <v>4439</v>
      </c>
      <c r="W155" s="2">
        <v>71689.850000000006</v>
      </c>
      <c r="X155" s="2">
        <v>16.149999999999999</v>
      </c>
      <c r="Y155" s="2">
        <v>7.0000000000000007E-2</v>
      </c>
      <c r="Z155" s="2">
        <v>1592</v>
      </c>
      <c r="AA155" s="2">
        <v>6708.25</v>
      </c>
      <c r="AB155">
        <v>1</v>
      </c>
      <c r="AC155">
        <v>2009</v>
      </c>
      <c r="AE155" s="2">
        <v>310.73</v>
      </c>
    </row>
    <row r="156" spans="2:31" ht="14.5">
      <c r="B156" s="2">
        <v>11295</v>
      </c>
      <c r="C156" s="2" t="s">
        <v>412</v>
      </c>
      <c r="D156" s="2" t="s">
        <v>413</v>
      </c>
      <c r="E156" s="2" t="s">
        <v>118</v>
      </c>
      <c r="F156" s="2" t="s">
        <v>29</v>
      </c>
      <c r="G156" s="2" t="s">
        <v>30</v>
      </c>
      <c r="H156" s="2" t="s">
        <v>218</v>
      </c>
      <c r="I156" s="2" t="s">
        <v>219</v>
      </c>
      <c r="J156" s="2" t="s">
        <v>220</v>
      </c>
      <c r="K156" s="2" t="s">
        <v>34</v>
      </c>
      <c r="L156" s="3"/>
      <c r="M156" s="3">
        <v>39877</v>
      </c>
      <c r="N156" s="3">
        <v>39877</v>
      </c>
      <c r="O156" s="3">
        <v>39877</v>
      </c>
      <c r="P156" s="2" t="s">
        <v>235</v>
      </c>
      <c r="Q156" s="2" t="s">
        <v>236</v>
      </c>
      <c r="R156" s="2" t="s">
        <v>237</v>
      </c>
      <c r="S156" s="2" t="s">
        <v>238</v>
      </c>
      <c r="T156" s="2" t="s">
        <v>47</v>
      </c>
      <c r="U156" s="2">
        <v>30</v>
      </c>
      <c r="V156" s="2">
        <v>382</v>
      </c>
      <c r="W156" s="2">
        <v>10027.5</v>
      </c>
      <c r="X156" s="2">
        <v>26.25</v>
      </c>
      <c r="Y156" s="2">
        <v>0.88</v>
      </c>
      <c r="Z156" s="2">
        <v>177</v>
      </c>
      <c r="AA156" s="2">
        <v>2151.27</v>
      </c>
      <c r="AB156">
        <v>1</v>
      </c>
      <c r="AC156">
        <v>2009</v>
      </c>
      <c r="AE156" s="2">
        <v>336.16</v>
      </c>
    </row>
    <row r="157" spans="2:31" ht="14.5">
      <c r="B157" s="2">
        <v>11298</v>
      </c>
      <c r="C157" s="2" t="s">
        <v>414</v>
      </c>
      <c r="D157" s="2" t="s">
        <v>415</v>
      </c>
      <c r="E157" s="2" t="s">
        <v>118</v>
      </c>
      <c r="F157" s="2" t="s">
        <v>29</v>
      </c>
      <c r="G157" s="2" t="s">
        <v>30</v>
      </c>
      <c r="H157" s="2" t="s">
        <v>218</v>
      </c>
      <c r="I157" s="2" t="s">
        <v>219</v>
      </c>
      <c r="J157" s="2" t="s">
        <v>220</v>
      </c>
      <c r="K157" s="2" t="s">
        <v>34</v>
      </c>
      <c r="L157" s="3"/>
      <c r="M157" s="3">
        <v>39911</v>
      </c>
      <c r="N157" s="3">
        <v>39911</v>
      </c>
      <c r="O157" s="3">
        <v>39911</v>
      </c>
      <c r="P157" s="2" t="s">
        <v>235</v>
      </c>
      <c r="Q157" s="2" t="s">
        <v>236</v>
      </c>
      <c r="R157" s="2" t="s">
        <v>237</v>
      </c>
      <c r="S157" s="2" t="s">
        <v>238</v>
      </c>
      <c r="T157" s="2" t="s">
        <v>47</v>
      </c>
      <c r="U157" s="2">
        <v>30</v>
      </c>
      <c r="V157" s="2">
        <v>3014</v>
      </c>
      <c r="W157" s="2">
        <v>79117.5</v>
      </c>
      <c r="X157" s="2">
        <v>26.25</v>
      </c>
      <c r="Y157" s="2">
        <v>0.88</v>
      </c>
      <c r="Z157" s="2">
        <v>291</v>
      </c>
      <c r="AA157" s="2">
        <v>1755</v>
      </c>
      <c r="AB157">
        <v>1</v>
      </c>
      <c r="AC157">
        <v>2009</v>
      </c>
      <c r="AE157" s="2">
        <v>2652.32</v>
      </c>
    </row>
    <row r="158" spans="2:31" ht="14.5">
      <c r="B158" s="2">
        <v>11302</v>
      </c>
      <c r="C158" s="2" t="s">
        <v>416</v>
      </c>
      <c r="D158" s="2" t="s">
        <v>417</v>
      </c>
      <c r="E158" s="2" t="s">
        <v>118</v>
      </c>
      <c r="F158" s="2" t="s">
        <v>29</v>
      </c>
      <c r="G158" s="2" t="s">
        <v>30</v>
      </c>
      <c r="H158" s="2" t="s">
        <v>218</v>
      </c>
      <c r="I158" s="2" t="s">
        <v>219</v>
      </c>
      <c r="J158" s="2" t="s">
        <v>220</v>
      </c>
      <c r="K158" s="2" t="s">
        <v>34</v>
      </c>
      <c r="L158" s="3"/>
      <c r="M158" s="3">
        <v>39779</v>
      </c>
      <c r="N158" s="3">
        <v>39779</v>
      </c>
      <c r="O158" s="3">
        <v>39779</v>
      </c>
      <c r="P158" s="2" t="s">
        <v>44</v>
      </c>
      <c r="Q158" s="2" t="s">
        <v>45</v>
      </c>
      <c r="R158" s="2" t="s">
        <v>37</v>
      </c>
      <c r="S158" s="2" t="s">
        <v>46</v>
      </c>
      <c r="T158" s="2" t="s">
        <v>47</v>
      </c>
      <c r="U158" s="2">
        <v>60</v>
      </c>
      <c r="V158" s="2">
        <v>5377</v>
      </c>
      <c r="W158" s="2">
        <v>50274.95</v>
      </c>
      <c r="X158" s="2">
        <v>9.35</v>
      </c>
      <c r="Y158" s="2">
        <v>0.16</v>
      </c>
      <c r="Z158" s="2">
        <v>501</v>
      </c>
      <c r="AA158" s="2">
        <v>3266.38</v>
      </c>
      <c r="AB158">
        <v>1</v>
      </c>
      <c r="AC158">
        <v>2008</v>
      </c>
      <c r="AE158" s="2">
        <v>860.32</v>
      </c>
    </row>
    <row r="159" spans="2:31" ht="14.5">
      <c r="B159" s="2">
        <v>11303</v>
      </c>
      <c r="C159" s="2" t="s">
        <v>418</v>
      </c>
      <c r="D159" s="2" t="s">
        <v>419</v>
      </c>
      <c r="E159" s="2" t="s">
        <v>60</v>
      </c>
      <c r="F159" s="2" t="s">
        <v>29</v>
      </c>
      <c r="G159" s="2" t="s">
        <v>30</v>
      </c>
      <c r="H159" s="2" t="s">
        <v>218</v>
      </c>
      <c r="I159" s="2" t="s">
        <v>219</v>
      </c>
      <c r="J159" s="2" t="s">
        <v>220</v>
      </c>
      <c r="K159" s="2" t="s">
        <v>34</v>
      </c>
      <c r="L159" s="3"/>
      <c r="M159" s="3">
        <v>39892</v>
      </c>
      <c r="N159" s="3">
        <v>39892</v>
      </c>
      <c r="O159" s="3">
        <v>39892</v>
      </c>
      <c r="P159" s="2" t="s">
        <v>112</v>
      </c>
      <c r="Q159" s="2" t="s">
        <v>113</v>
      </c>
      <c r="R159" s="2" t="s">
        <v>37</v>
      </c>
      <c r="S159" s="2" t="s">
        <v>114</v>
      </c>
      <c r="T159" s="2" t="s">
        <v>47</v>
      </c>
      <c r="U159" s="2">
        <v>60</v>
      </c>
      <c r="V159" s="2">
        <v>11188</v>
      </c>
      <c r="W159" s="2">
        <v>132018.4</v>
      </c>
      <c r="X159" s="2">
        <v>11.8</v>
      </c>
      <c r="Y159" s="2">
        <v>0.2</v>
      </c>
      <c r="Z159" s="2">
        <v>1435</v>
      </c>
      <c r="AA159" s="2">
        <v>9138</v>
      </c>
      <c r="AB159">
        <v>1</v>
      </c>
      <c r="AC159">
        <v>2009</v>
      </c>
      <c r="AE159" s="2">
        <v>2237.6</v>
      </c>
    </row>
    <row r="160" spans="2:31" ht="14.5">
      <c r="B160" s="2">
        <v>11309</v>
      </c>
      <c r="C160" s="2" t="s">
        <v>420</v>
      </c>
      <c r="D160" s="2" t="s">
        <v>421</v>
      </c>
      <c r="E160" s="2" t="s">
        <v>118</v>
      </c>
      <c r="F160" s="2" t="s">
        <v>29</v>
      </c>
      <c r="G160" s="2" t="s">
        <v>30</v>
      </c>
      <c r="H160" s="2" t="s">
        <v>218</v>
      </c>
      <c r="I160" s="2" t="s">
        <v>219</v>
      </c>
      <c r="J160" s="2" t="s">
        <v>220</v>
      </c>
      <c r="K160" s="2" t="s">
        <v>34</v>
      </c>
      <c r="L160" s="3"/>
      <c r="M160" s="3">
        <v>39729</v>
      </c>
      <c r="N160" s="3">
        <v>39729</v>
      </c>
      <c r="O160" s="3">
        <v>39729</v>
      </c>
      <c r="P160" s="2" t="s">
        <v>150</v>
      </c>
      <c r="Q160" s="2" t="s">
        <v>84</v>
      </c>
      <c r="R160" s="2" t="s">
        <v>151</v>
      </c>
      <c r="S160" s="2" t="s">
        <v>152</v>
      </c>
      <c r="T160" s="2" t="s">
        <v>39</v>
      </c>
      <c r="U160" s="2">
        <v>120</v>
      </c>
      <c r="V160" s="2">
        <v>80</v>
      </c>
      <c r="W160" s="2">
        <v>3288</v>
      </c>
      <c r="X160" s="2">
        <v>41.1</v>
      </c>
      <c r="Y160" s="2">
        <v>0.34</v>
      </c>
      <c r="Z160" s="2">
        <v>18</v>
      </c>
      <c r="AA160" s="2">
        <v>418.75</v>
      </c>
      <c r="AB160">
        <v>1</v>
      </c>
      <c r="AC160">
        <v>2008</v>
      </c>
      <c r="AE160" s="2">
        <v>27.200000000000003</v>
      </c>
    </row>
    <row r="161" spans="2:31" ht="14.5">
      <c r="B161" s="2">
        <v>11310</v>
      </c>
      <c r="C161" s="2" t="s">
        <v>422</v>
      </c>
      <c r="D161" s="2" t="s">
        <v>423</v>
      </c>
      <c r="E161" s="2" t="s">
        <v>42</v>
      </c>
      <c r="F161" s="2" t="s">
        <v>29</v>
      </c>
      <c r="G161" s="2" t="s">
        <v>30</v>
      </c>
      <c r="H161" s="2" t="s">
        <v>218</v>
      </c>
      <c r="I161" s="2" t="s">
        <v>219</v>
      </c>
      <c r="J161" s="2" t="s">
        <v>220</v>
      </c>
      <c r="K161" s="2" t="s">
        <v>34</v>
      </c>
      <c r="L161" s="3"/>
      <c r="M161" s="3">
        <v>39912</v>
      </c>
      <c r="N161" s="3">
        <v>39912</v>
      </c>
      <c r="O161" s="3">
        <v>39912</v>
      </c>
      <c r="P161" s="2" t="s">
        <v>164</v>
      </c>
      <c r="Q161" s="2" t="s">
        <v>165</v>
      </c>
      <c r="R161" s="2" t="s">
        <v>37</v>
      </c>
      <c r="S161" s="2" t="s">
        <v>166</v>
      </c>
      <c r="T161" s="2" t="s">
        <v>39</v>
      </c>
      <c r="U161" s="2">
        <v>60</v>
      </c>
      <c r="V161" s="2">
        <v>6385</v>
      </c>
      <c r="W161" s="2">
        <v>15579.4</v>
      </c>
      <c r="X161" s="2">
        <v>2.44</v>
      </c>
      <c r="Y161" s="2">
        <v>0.04</v>
      </c>
      <c r="Z161" s="2">
        <v>327</v>
      </c>
      <c r="AA161" s="2">
        <v>1762.5</v>
      </c>
      <c r="AB161">
        <v>1</v>
      </c>
      <c r="AC161">
        <v>2009</v>
      </c>
      <c r="AE161" s="2">
        <v>255.4</v>
      </c>
    </row>
    <row r="162" spans="2:31" ht="14.5">
      <c r="B162" s="2">
        <v>11312</v>
      </c>
      <c r="C162" s="2" t="s">
        <v>424</v>
      </c>
      <c r="D162" s="2" t="s">
        <v>425</v>
      </c>
      <c r="E162" s="2" t="s">
        <v>426</v>
      </c>
      <c r="F162" s="2" t="s">
        <v>29</v>
      </c>
      <c r="G162" s="2" t="s">
        <v>50</v>
      </c>
      <c r="H162" s="2" t="s">
        <v>218</v>
      </c>
      <c r="I162" s="2" t="s">
        <v>219</v>
      </c>
      <c r="J162" s="2" t="s">
        <v>220</v>
      </c>
      <c r="K162" s="2" t="s">
        <v>267</v>
      </c>
      <c r="L162" s="3"/>
      <c r="M162" s="3">
        <v>39926</v>
      </c>
      <c r="N162" s="3">
        <v>39926</v>
      </c>
      <c r="O162" s="3">
        <v>39926</v>
      </c>
      <c r="P162" s="2" t="s">
        <v>427</v>
      </c>
      <c r="Q162" s="2" t="s">
        <v>96</v>
      </c>
      <c r="R162" s="2" t="s">
        <v>320</v>
      </c>
      <c r="S162" s="2" t="s">
        <v>428</v>
      </c>
      <c r="T162" s="2" t="s">
        <v>87</v>
      </c>
      <c r="U162" s="2">
        <v>180</v>
      </c>
      <c r="V162" s="2">
        <v>3930</v>
      </c>
      <c r="W162" s="2">
        <v>39.299999999999997</v>
      </c>
      <c r="X162" s="2">
        <v>0.01</v>
      </c>
      <c r="Y162" s="2">
        <v>0</v>
      </c>
      <c r="AB162">
        <v>1</v>
      </c>
      <c r="AC162">
        <v>2009</v>
      </c>
      <c r="AE162" s="2">
        <v>0</v>
      </c>
    </row>
    <row r="163" spans="2:31" ht="14.5">
      <c r="B163" s="2">
        <v>11317</v>
      </c>
      <c r="C163" s="2" t="s">
        <v>429</v>
      </c>
      <c r="D163" s="2" t="s">
        <v>430</v>
      </c>
      <c r="E163" s="2" t="s">
        <v>118</v>
      </c>
      <c r="F163" s="2" t="s">
        <v>29</v>
      </c>
      <c r="G163" s="2" t="s">
        <v>30</v>
      </c>
      <c r="H163" s="2" t="s">
        <v>218</v>
      </c>
      <c r="I163" s="2" t="s">
        <v>219</v>
      </c>
      <c r="J163" s="2" t="s">
        <v>220</v>
      </c>
      <c r="K163" s="2" t="s">
        <v>34</v>
      </c>
      <c r="L163" s="3"/>
      <c r="M163" s="3">
        <v>39988</v>
      </c>
      <c r="N163" s="3">
        <v>39988</v>
      </c>
      <c r="O163" s="3">
        <v>39988</v>
      </c>
      <c r="P163" s="2" t="s">
        <v>95</v>
      </c>
      <c r="Q163" s="2" t="s">
        <v>96</v>
      </c>
      <c r="R163" s="2" t="s">
        <v>37</v>
      </c>
      <c r="S163" s="2" t="s">
        <v>97</v>
      </c>
      <c r="T163" s="2" t="s">
        <v>39</v>
      </c>
      <c r="U163" s="2">
        <v>30</v>
      </c>
      <c r="V163" s="2">
        <v>867</v>
      </c>
      <c r="W163" s="2">
        <v>8427.24</v>
      </c>
      <c r="X163" s="2">
        <v>9.7200000000000006</v>
      </c>
      <c r="Y163" s="2">
        <v>0.32</v>
      </c>
      <c r="Z163" s="2">
        <v>76</v>
      </c>
      <c r="AA163" s="2">
        <v>1954.23</v>
      </c>
      <c r="AB163">
        <v>1</v>
      </c>
      <c r="AC163">
        <v>2009</v>
      </c>
      <c r="AE163" s="2">
        <v>277.44</v>
      </c>
    </row>
    <row r="164" spans="2:31" ht="14.5">
      <c r="B164" s="2">
        <v>11319</v>
      </c>
      <c r="C164" s="2" t="s">
        <v>272</v>
      </c>
      <c r="D164" s="2" t="s">
        <v>273</v>
      </c>
      <c r="E164" s="2" t="s">
        <v>118</v>
      </c>
      <c r="F164" s="2" t="s">
        <v>29</v>
      </c>
      <c r="G164" s="2" t="s">
        <v>30</v>
      </c>
      <c r="H164" s="2" t="s">
        <v>218</v>
      </c>
      <c r="I164" s="2" t="s">
        <v>219</v>
      </c>
      <c r="J164" s="2" t="s">
        <v>220</v>
      </c>
      <c r="K164" s="2" t="s">
        <v>34</v>
      </c>
      <c r="L164" s="3"/>
      <c r="M164" s="3">
        <v>39965</v>
      </c>
      <c r="N164" s="3">
        <v>39965</v>
      </c>
      <c r="O164" s="3">
        <v>39965</v>
      </c>
      <c r="P164" s="2" t="s">
        <v>235</v>
      </c>
      <c r="Q164" s="2" t="s">
        <v>236</v>
      </c>
      <c r="R164" s="2" t="s">
        <v>237</v>
      </c>
      <c r="S164" s="2" t="s">
        <v>238</v>
      </c>
      <c r="T164" s="2" t="s">
        <v>47</v>
      </c>
      <c r="U164" s="2">
        <v>30</v>
      </c>
      <c r="V164" s="2">
        <v>90</v>
      </c>
      <c r="W164" s="2">
        <v>2362.5</v>
      </c>
      <c r="X164" s="2">
        <v>26.25</v>
      </c>
      <c r="Y164" s="2">
        <v>0.88</v>
      </c>
      <c r="AB164">
        <v>1</v>
      </c>
      <c r="AC164">
        <v>2009</v>
      </c>
      <c r="AE164" s="2">
        <v>79.2</v>
      </c>
    </row>
    <row r="165" spans="2:31" ht="14.5">
      <c r="B165" s="2">
        <v>11361</v>
      </c>
      <c r="C165" s="2" t="s">
        <v>431</v>
      </c>
      <c r="D165" s="2" t="s">
        <v>432</v>
      </c>
      <c r="E165" s="2" t="s">
        <v>28</v>
      </c>
      <c r="F165" s="2" t="s">
        <v>29</v>
      </c>
      <c r="G165" s="2" t="s">
        <v>30</v>
      </c>
      <c r="H165" s="2" t="s">
        <v>218</v>
      </c>
      <c r="I165" s="2" t="s">
        <v>219</v>
      </c>
      <c r="J165" s="2" t="s">
        <v>220</v>
      </c>
      <c r="K165" s="2" t="s">
        <v>267</v>
      </c>
      <c r="L165" s="3"/>
      <c r="M165" s="3">
        <v>40192</v>
      </c>
      <c r="N165" s="3">
        <v>40192</v>
      </c>
      <c r="O165" s="3">
        <v>40192</v>
      </c>
      <c r="P165" s="2" t="s">
        <v>98</v>
      </c>
      <c r="Q165" s="2" t="s">
        <v>99</v>
      </c>
      <c r="R165" s="2" t="s">
        <v>37</v>
      </c>
      <c r="S165" s="2" t="s">
        <v>100</v>
      </c>
      <c r="T165" s="2" t="s">
        <v>39</v>
      </c>
      <c r="U165" s="2">
        <v>60</v>
      </c>
      <c r="V165" s="2">
        <v>6376</v>
      </c>
      <c r="W165" s="2">
        <v>136573.92000000001</v>
      </c>
      <c r="X165" s="2">
        <v>21.42</v>
      </c>
      <c r="Y165" s="2">
        <v>0.36</v>
      </c>
      <c r="Z165" s="2">
        <v>640</v>
      </c>
      <c r="AA165" s="2">
        <v>2751</v>
      </c>
      <c r="AB165">
        <v>1</v>
      </c>
      <c r="AC165">
        <v>2010</v>
      </c>
      <c r="AE165" s="2">
        <v>2295.36</v>
      </c>
    </row>
    <row r="166" spans="2:31" ht="14.5">
      <c r="B166" s="2">
        <v>11367</v>
      </c>
      <c r="C166" s="2" t="s">
        <v>433</v>
      </c>
      <c r="D166" s="2" t="s">
        <v>434</v>
      </c>
      <c r="E166" s="2" t="s">
        <v>42</v>
      </c>
      <c r="F166" s="2" t="s">
        <v>29</v>
      </c>
      <c r="G166" s="2" t="s">
        <v>30</v>
      </c>
      <c r="H166" s="2" t="s">
        <v>218</v>
      </c>
      <c r="I166" s="2" t="s">
        <v>219</v>
      </c>
      <c r="J166" s="2" t="s">
        <v>220</v>
      </c>
      <c r="K166" s="2" t="s">
        <v>34</v>
      </c>
      <c r="L166" s="3"/>
      <c r="M166" s="3">
        <v>39158</v>
      </c>
      <c r="N166" s="3">
        <v>39158</v>
      </c>
      <c r="O166" s="3">
        <v>39158</v>
      </c>
      <c r="P166" s="2" t="s">
        <v>104</v>
      </c>
      <c r="Q166" s="2" t="s">
        <v>105</v>
      </c>
      <c r="R166" s="2" t="s">
        <v>106</v>
      </c>
      <c r="S166" s="2" t="s">
        <v>100</v>
      </c>
      <c r="T166" s="2" t="s">
        <v>39</v>
      </c>
      <c r="U166" s="2">
        <v>30</v>
      </c>
      <c r="V166" s="2">
        <v>4000</v>
      </c>
      <c r="W166" s="2">
        <v>68000</v>
      </c>
      <c r="X166" s="2">
        <v>17</v>
      </c>
      <c r="Y166" s="2">
        <v>0.56999999999999995</v>
      </c>
      <c r="Z166" s="2">
        <v>256</v>
      </c>
      <c r="AA166" s="2">
        <v>12205.4</v>
      </c>
      <c r="AB166">
        <v>1</v>
      </c>
      <c r="AC166">
        <v>2007</v>
      </c>
      <c r="AE166" s="2">
        <v>2280</v>
      </c>
    </row>
    <row r="167" spans="2:31" ht="14.5">
      <c r="B167" s="2">
        <v>11376</v>
      </c>
      <c r="C167" s="2" t="s">
        <v>435</v>
      </c>
      <c r="D167" s="2" t="s">
        <v>436</v>
      </c>
      <c r="E167" s="2" t="s">
        <v>28</v>
      </c>
      <c r="F167" s="2" t="s">
        <v>29</v>
      </c>
      <c r="G167" s="2" t="s">
        <v>30</v>
      </c>
      <c r="H167" s="2" t="s">
        <v>218</v>
      </c>
      <c r="I167" s="2" t="s">
        <v>219</v>
      </c>
      <c r="J167" s="2" t="s">
        <v>220</v>
      </c>
      <c r="K167" s="2" t="s">
        <v>34</v>
      </c>
      <c r="L167" s="3"/>
      <c r="M167" s="3">
        <v>39239</v>
      </c>
      <c r="N167" s="3">
        <v>39239</v>
      </c>
      <c r="O167" s="3">
        <v>39239</v>
      </c>
      <c r="P167" s="2" t="s">
        <v>44</v>
      </c>
      <c r="Q167" s="2" t="s">
        <v>45</v>
      </c>
      <c r="R167" s="2" t="s">
        <v>37</v>
      </c>
      <c r="S167" s="2" t="s">
        <v>46</v>
      </c>
      <c r="T167" s="2" t="s">
        <v>47</v>
      </c>
      <c r="U167" s="2">
        <v>60</v>
      </c>
      <c r="V167" s="2">
        <v>28512</v>
      </c>
      <c r="W167" s="2">
        <v>304508.15999999997</v>
      </c>
      <c r="X167" s="2">
        <v>10.68</v>
      </c>
      <c r="Y167" s="2">
        <v>0.18</v>
      </c>
      <c r="Z167" s="2">
        <v>2630</v>
      </c>
      <c r="AA167" s="2">
        <v>13820.4</v>
      </c>
      <c r="AB167">
        <v>1</v>
      </c>
      <c r="AC167">
        <v>2007</v>
      </c>
      <c r="AE167" s="2">
        <v>5132.16</v>
      </c>
    </row>
    <row r="168" spans="2:31" ht="14.5">
      <c r="B168" s="2">
        <v>11381</v>
      </c>
      <c r="C168" s="2" t="s">
        <v>437</v>
      </c>
      <c r="D168" s="2" t="s">
        <v>438</v>
      </c>
      <c r="E168" s="2" t="s">
        <v>42</v>
      </c>
      <c r="F168" s="2" t="s">
        <v>29</v>
      </c>
      <c r="G168" s="2" t="s">
        <v>30</v>
      </c>
      <c r="H168" s="2" t="s">
        <v>218</v>
      </c>
      <c r="I168" s="2" t="s">
        <v>219</v>
      </c>
      <c r="J168" s="2" t="s">
        <v>220</v>
      </c>
      <c r="K168" s="2" t="s">
        <v>34</v>
      </c>
      <c r="L168" s="3"/>
      <c r="M168" s="3">
        <v>39158</v>
      </c>
      <c r="N168" s="3">
        <v>39158</v>
      </c>
      <c r="O168" s="3">
        <v>39158</v>
      </c>
      <c r="P168" s="2" t="s">
        <v>104</v>
      </c>
      <c r="Q168" s="2" t="s">
        <v>105</v>
      </c>
      <c r="R168" s="2" t="s">
        <v>106</v>
      </c>
      <c r="S168" s="2" t="s">
        <v>100</v>
      </c>
      <c r="T168" s="2" t="s">
        <v>39</v>
      </c>
      <c r="U168" s="2">
        <v>30</v>
      </c>
      <c r="V168" s="2">
        <v>4000</v>
      </c>
      <c r="W168" s="2">
        <v>68000</v>
      </c>
      <c r="X168" s="2">
        <v>17</v>
      </c>
      <c r="Y168" s="2">
        <v>0.56999999999999995</v>
      </c>
      <c r="Z168" s="2">
        <v>265</v>
      </c>
      <c r="AA168" s="2">
        <v>11931</v>
      </c>
      <c r="AB168">
        <v>1</v>
      </c>
      <c r="AC168">
        <v>2007</v>
      </c>
      <c r="AE168" s="2">
        <v>2280</v>
      </c>
    </row>
    <row r="169" spans="2:31" ht="14.5">
      <c r="B169" s="2">
        <v>11384</v>
      </c>
      <c r="C169" s="2" t="s">
        <v>289</v>
      </c>
      <c r="D169" s="2" t="s">
        <v>290</v>
      </c>
      <c r="E169" s="2" t="s">
        <v>42</v>
      </c>
      <c r="F169" s="2" t="s">
        <v>29</v>
      </c>
      <c r="G169" s="2" t="s">
        <v>30</v>
      </c>
      <c r="H169" s="2" t="s">
        <v>218</v>
      </c>
      <c r="I169" s="2" t="s">
        <v>219</v>
      </c>
      <c r="J169" s="2" t="s">
        <v>220</v>
      </c>
      <c r="K169" s="2" t="s">
        <v>34</v>
      </c>
      <c r="L169" s="3"/>
      <c r="M169" s="3">
        <v>39216</v>
      </c>
      <c r="N169" s="3">
        <v>39216</v>
      </c>
      <c r="O169" s="3">
        <v>39216</v>
      </c>
      <c r="P169" s="2" t="s">
        <v>61</v>
      </c>
      <c r="Q169" s="2" t="s">
        <v>62</v>
      </c>
      <c r="R169" s="2" t="s">
        <v>37</v>
      </c>
      <c r="S169" s="2" t="s">
        <v>63</v>
      </c>
      <c r="T169" s="2" t="s">
        <v>64</v>
      </c>
      <c r="U169" s="2">
        <v>60</v>
      </c>
      <c r="V169" s="2">
        <v>117</v>
      </c>
      <c r="W169" s="2">
        <v>188.37</v>
      </c>
      <c r="X169" s="2">
        <v>1.61</v>
      </c>
      <c r="Y169" s="2">
        <v>0.03</v>
      </c>
      <c r="AB169">
        <v>1</v>
      </c>
      <c r="AC169">
        <v>2007</v>
      </c>
      <c r="AE169" s="2">
        <v>3.51</v>
      </c>
    </row>
    <row r="170" spans="2:31" ht="14.5">
      <c r="B170" s="2">
        <v>11385</v>
      </c>
      <c r="C170" s="2" t="s">
        <v>289</v>
      </c>
      <c r="D170" s="2" t="s">
        <v>290</v>
      </c>
      <c r="E170" s="2" t="s">
        <v>42</v>
      </c>
      <c r="F170" s="2" t="s">
        <v>29</v>
      </c>
      <c r="G170" s="2" t="s">
        <v>30</v>
      </c>
      <c r="H170" s="2" t="s">
        <v>218</v>
      </c>
      <c r="I170" s="2" t="s">
        <v>219</v>
      </c>
      <c r="J170" s="2" t="s">
        <v>220</v>
      </c>
      <c r="K170" s="2" t="s">
        <v>34</v>
      </c>
      <c r="L170" s="3"/>
      <c r="M170" s="3">
        <v>39216</v>
      </c>
      <c r="N170" s="3">
        <v>39216</v>
      </c>
      <c r="O170" s="3">
        <v>39216</v>
      </c>
      <c r="P170" s="2" t="s">
        <v>439</v>
      </c>
      <c r="Q170" s="2" t="s">
        <v>62</v>
      </c>
      <c r="R170" s="2" t="s">
        <v>37</v>
      </c>
      <c r="S170" s="2" t="s">
        <v>440</v>
      </c>
      <c r="T170" s="2" t="s">
        <v>64</v>
      </c>
      <c r="U170" s="2">
        <v>60</v>
      </c>
      <c r="V170" s="2">
        <v>306</v>
      </c>
      <c r="W170" s="2">
        <v>651.78</v>
      </c>
      <c r="X170" s="2">
        <v>2.13</v>
      </c>
      <c r="Y170" s="2">
        <v>0.04</v>
      </c>
      <c r="AB170">
        <v>1</v>
      </c>
      <c r="AC170">
        <v>2007</v>
      </c>
      <c r="AE170" s="2">
        <v>12.24</v>
      </c>
    </row>
    <row r="171" spans="2:31" ht="14.5">
      <c r="B171" s="2">
        <v>11430</v>
      </c>
      <c r="C171" s="2" t="s">
        <v>300</v>
      </c>
      <c r="D171" s="2" t="s">
        <v>301</v>
      </c>
      <c r="E171" s="2" t="s">
        <v>118</v>
      </c>
      <c r="F171" s="2" t="s">
        <v>29</v>
      </c>
      <c r="G171" s="2" t="s">
        <v>30</v>
      </c>
      <c r="H171" s="2" t="s">
        <v>218</v>
      </c>
      <c r="I171" s="2" t="s">
        <v>219</v>
      </c>
      <c r="J171" s="2" t="s">
        <v>220</v>
      </c>
      <c r="K171" s="2" t="s">
        <v>34</v>
      </c>
      <c r="L171" s="3"/>
      <c r="M171" s="3">
        <v>39321</v>
      </c>
      <c r="N171" s="3">
        <v>39321</v>
      </c>
      <c r="O171" s="3">
        <v>39321</v>
      </c>
      <c r="P171" s="2" t="s">
        <v>61</v>
      </c>
      <c r="Q171" s="2" t="s">
        <v>62</v>
      </c>
      <c r="R171" s="2" t="s">
        <v>37</v>
      </c>
      <c r="S171" s="2" t="s">
        <v>63</v>
      </c>
      <c r="T171" s="2" t="s">
        <v>64</v>
      </c>
      <c r="U171" s="2">
        <v>60</v>
      </c>
      <c r="V171" s="2">
        <v>1000</v>
      </c>
      <c r="W171" s="2">
        <v>1520</v>
      </c>
      <c r="X171" s="2">
        <v>1.52</v>
      </c>
      <c r="Y171" s="2">
        <v>0.03</v>
      </c>
      <c r="AB171">
        <v>1</v>
      </c>
      <c r="AC171">
        <v>2007</v>
      </c>
      <c r="AE171" s="2">
        <v>30</v>
      </c>
    </row>
    <row r="172" spans="2:31" ht="14.5">
      <c r="B172" s="2">
        <v>11454</v>
      </c>
      <c r="C172" s="2" t="s">
        <v>221</v>
      </c>
      <c r="D172" s="2" t="s">
        <v>222</v>
      </c>
      <c r="E172" s="2" t="s">
        <v>60</v>
      </c>
      <c r="F172" s="2" t="s">
        <v>29</v>
      </c>
      <c r="G172" s="2" t="s">
        <v>30</v>
      </c>
      <c r="H172" s="2" t="s">
        <v>218</v>
      </c>
      <c r="I172" s="2" t="s">
        <v>219</v>
      </c>
      <c r="J172" s="2" t="s">
        <v>220</v>
      </c>
      <c r="K172" s="2" t="s">
        <v>223</v>
      </c>
      <c r="L172" s="3"/>
      <c r="M172" s="3">
        <v>39329</v>
      </c>
      <c r="N172" s="3">
        <v>39329</v>
      </c>
      <c r="O172" s="3">
        <v>39329</v>
      </c>
      <c r="P172" s="2" t="s">
        <v>164</v>
      </c>
      <c r="Q172" s="2" t="s">
        <v>165</v>
      </c>
      <c r="R172" s="2" t="s">
        <v>37</v>
      </c>
      <c r="S172" s="2" t="s">
        <v>166</v>
      </c>
      <c r="T172" s="2" t="s">
        <v>39</v>
      </c>
      <c r="U172" s="2">
        <v>60</v>
      </c>
      <c r="V172" s="2">
        <v>15960</v>
      </c>
      <c r="W172" s="2">
        <v>48518.400000000001</v>
      </c>
      <c r="X172" s="2">
        <v>3.04</v>
      </c>
      <c r="Y172" s="2">
        <v>0.05</v>
      </c>
      <c r="AB172">
        <v>1</v>
      </c>
      <c r="AC172">
        <v>2007</v>
      </c>
      <c r="AE172" s="2">
        <v>798</v>
      </c>
    </row>
    <row r="173" spans="2:31" ht="14.5">
      <c r="B173" s="2">
        <v>11516</v>
      </c>
      <c r="C173" s="2" t="s">
        <v>441</v>
      </c>
      <c r="D173" s="2" t="s">
        <v>442</v>
      </c>
      <c r="E173" s="2" t="s">
        <v>118</v>
      </c>
      <c r="F173" s="2" t="s">
        <v>29</v>
      </c>
      <c r="G173" s="2" t="s">
        <v>30</v>
      </c>
      <c r="H173" s="2" t="s">
        <v>218</v>
      </c>
      <c r="I173" s="2" t="s">
        <v>219</v>
      </c>
      <c r="J173" s="2" t="s">
        <v>220</v>
      </c>
      <c r="K173" s="2" t="s">
        <v>34</v>
      </c>
      <c r="L173" s="3"/>
      <c r="M173" s="3">
        <v>39462</v>
      </c>
      <c r="N173" s="3">
        <v>39462</v>
      </c>
      <c r="O173" s="3">
        <v>39462</v>
      </c>
      <c r="P173" s="2" t="s">
        <v>44</v>
      </c>
      <c r="Q173" s="2" t="s">
        <v>45</v>
      </c>
      <c r="R173" s="2" t="s">
        <v>37</v>
      </c>
      <c r="S173" s="2" t="s">
        <v>46</v>
      </c>
      <c r="T173" s="2" t="s">
        <v>47</v>
      </c>
      <c r="U173" s="2">
        <v>60</v>
      </c>
      <c r="V173" s="2">
        <v>2084</v>
      </c>
      <c r="W173" s="2">
        <v>19798</v>
      </c>
      <c r="X173" s="2">
        <v>9.5</v>
      </c>
      <c r="Y173" s="2">
        <v>0.16</v>
      </c>
      <c r="Z173" s="2">
        <v>237</v>
      </c>
      <c r="AA173" s="2">
        <v>1154.5</v>
      </c>
      <c r="AB173">
        <v>1</v>
      </c>
      <c r="AC173">
        <v>2008</v>
      </c>
      <c r="AE173" s="2">
        <v>333.44</v>
      </c>
    </row>
    <row r="174" spans="2:31" ht="14.5">
      <c r="B174" s="2">
        <v>11517</v>
      </c>
      <c r="C174" s="2" t="s">
        <v>443</v>
      </c>
      <c r="D174" s="2" t="s">
        <v>444</v>
      </c>
      <c r="E174" s="2" t="s">
        <v>42</v>
      </c>
      <c r="F174" s="2" t="s">
        <v>29</v>
      </c>
      <c r="G174" s="2" t="s">
        <v>30</v>
      </c>
      <c r="H174" s="2" t="s">
        <v>218</v>
      </c>
      <c r="I174" s="2" t="s">
        <v>219</v>
      </c>
      <c r="J174" s="2" t="s">
        <v>220</v>
      </c>
      <c r="K174" s="2" t="s">
        <v>34</v>
      </c>
      <c r="L174" s="3"/>
      <c r="M174" s="3">
        <v>39507</v>
      </c>
      <c r="N174" s="3">
        <v>39507</v>
      </c>
      <c r="O174" s="3">
        <v>39507</v>
      </c>
      <c r="P174" s="2" t="s">
        <v>150</v>
      </c>
      <c r="Q174" s="2" t="s">
        <v>84</v>
      </c>
      <c r="R174" s="2" t="s">
        <v>151</v>
      </c>
      <c r="S174" s="2" t="s">
        <v>152</v>
      </c>
      <c r="T174" s="2" t="s">
        <v>39</v>
      </c>
      <c r="U174" s="2">
        <v>120</v>
      </c>
      <c r="V174" s="2">
        <v>600</v>
      </c>
      <c r="W174" s="2">
        <v>24660</v>
      </c>
      <c r="X174" s="2">
        <v>41.1</v>
      </c>
      <c r="Y174" s="2">
        <v>0.34</v>
      </c>
      <c r="Z174" s="2">
        <v>859</v>
      </c>
      <c r="AA174" s="2">
        <v>5531.4</v>
      </c>
      <c r="AB174">
        <v>1</v>
      </c>
      <c r="AC174">
        <v>2008</v>
      </c>
      <c r="AE174" s="2">
        <v>204.00000000000003</v>
      </c>
    </row>
    <row r="175" spans="2:31" ht="14.5">
      <c r="B175" s="2">
        <v>11520</v>
      </c>
      <c r="C175" s="2" t="s">
        <v>445</v>
      </c>
      <c r="D175" s="2" t="s">
        <v>446</v>
      </c>
      <c r="E175" s="2" t="s">
        <v>60</v>
      </c>
      <c r="F175" s="2" t="s">
        <v>29</v>
      </c>
      <c r="G175" s="2" t="s">
        <v>30</v>
      </c>
      <c r="H175" s="2" t="s">
        <v>218</v>
      </c>
      <c r="I175" s="2" t="s">
        <v>219</v>
      </c>
      <c r="J175" s="2" t="s">
        <v>220</v>
      </c>
      <c r="K175" s="2" t="s">
        <v>34</v>
      </c>
      <c r="L175" s="3"/>
      <c r="M175" s="3">
        <v>39430</v>
      </c>
      <c r="N175" s="3">
        <v>39430</v>
      </c>
      <c r="O175" s="3">
        <v>39430</v>
      </c>
      <c r="P175" s="2" t="s">
        <v>104</v>
      </c>
      <c r="Q175" s="2" t="s">
        <v>105</v>
      </c>
      <c r="R175" s="2" t="s">
        <v>106</v>
      </c>
      <c r="S175" s="2" t="s">
        <v>100</v>
      </c>
      <c r="T175" s="2" t="s">
        <v>39</v>
      </c>
      <c r="U175" s="2">
        <v>30</v>
      </c>
      <c r="V175" s="2">
        <v>535</v>
      </c>
      <c r="W175" s="2">
        <v>9095</v>
      </c>
      <c r="X175" s="2">
        <v>17</v>
      </c>
      <c r="Y175" s="2">
        <v>0.56999999999999995</v>
      </c>
      <c r="Z175" s="2">
        <v>33</v>
      </c>
      <c r="AA175" s="2">
        <v>755.5</v>
      </c>
      <c r="AB175">
        <v>1</v>
      </c>
      <c r="AC175">
        <v>2007</v>
      </c>
      <c r="AE175" s="2">
        <v>304.95</v>
      </c>
    </row>
    <row r="176" spans="2:31" ht="14.5">
      <c r="B176" s="2">
        <v>11522</v>
      </c>
      <c r="C176" s="2" t="s">
        <v>447</v>
      </c>
      <c r="D176" s="2" t="s">
        <v>448</v>
      </c>
      <c r="E176" s="2" t="s">
        <v>60</v>
      </c>
      <c r="F176" s="2" t="s">
        <v>29</v>
      </c>
      <c r="G176" s="2" t="s">
        <v>30</v>
      </c>
      <c r="H176" s="2" t="s">
        <v>218</v>
      </c>
      <c r="I176" s="2" t="s">
        <v>219</v>
      </c>
      <c r="J176" s="2" t="s">
        <v>220</v>
      </c>
      <c r="K176" s="2" t="s">
        <v>34</v>
      </c>
      <c r="L176" s="3"/>
      <c r="M176" s="3">
        <v>39485</v>
      </c>
      <c r="N176" s="3">
        <v>39485</v>
      </c>
      <c r="O176" s="3">
        <v>39485</v>
      </c>
      <c r="P176" s="2" t="s">
        <v>104</v>
      </c>
      <c r="Q176" s="2" t="s">
        <v>105</v>
      </c>
      <c r="R176" s="2" t="s">
        <v>106</v>
      </c>
      <c r="S176" s="2" t="s">
        <v>100</v>
      </c>
      <c r="T176" s="2" t="s">
        <v>39</v>
      </c>
      <c r="U176" s="2">
        <v>30</v>
      </c>
      <c r="V176" s="2">
        <v>4394</v>
      </c>
      <c r="W176" s="2">
        <v>74698</v>
      </c>
      <c r="X176" s="2">
        <v>17</v>
      </c>
      <c r="Y176" s="2">
        <v>0.56999999999999995</v>
      </c>
      <c r="Z176" s="2">
        <v>317</v>
      </c>
      <c r="AA176" s="2">
        <v>1628.18</v>
      </c>
      <c r="AB176">
        <v>1</v>
      </c>
      <c r="AC176">
        <v>2008</v>
      </c>
      <c r="AE176" s="2">
        <v>2504.58</v>
      </c>
    </row>
    <row r="177" spans="2:31" ht="14.5">
      <c r="B177" s="2">
        <v>11524</v>
      </c>
      <c r="C177" s="2" t="s">
        <v>449</v>
      </c>
      <c r="D177" s="2" t="s">
        <v>450</v>
      </c>
      <c r="E177" s="2" t="s">
        <v>60</v>
      </c>
      <c r="F177" s="2" t="s">
        <v>29</v>
      </c>
      <c r="G177" s="2" t="s">
        <v>30</v>
      </c>
      <c r="H177" s="2" t="s">
        <v>218</v>
      </c>
      <c r="I177" s="2" t="s">
        <v>219</v>
      </c>
      <c r="J177" s="2" t="s">
        <v>220</v>
      </c>
      <c r="K177" s="2" t="s">
        <v>34</v>
      </c>
      <c r="L177" s="3"/>
      <c r="M177" s="3">
        <v>39436</v>
      </c>
      <c r="N177" s="3">
        <v>39463</v>
      </c>
      <c r="O177" s="3">
        <v>39463</v>
      </c>
      <c r="P177" s="2" t="s">
        <v>164</v>
      </c>
      <c r="Q177" s="2" t="s">
        <v>165</v>
      </c>
      <c r="R177" s="2" t="s">
        <v>37</v>
      </c>
      <c r="S177" s="2" t="s">
        <v>166</v>
      </c>
      <c r="T177" s="2" t="s">
        <v>39</v>
      </c>
      <c r="U177" s="2">
        <v>60</v>
      </c>
      <c r="V177" s="2">
        <v>29500</v>
      </c>
      <c r="W177" s="2">
        <v>89680</v>
      </c>
      <c r="X177" s="2">
        <v>3.04</v>
      </c>
      <c r="Y177" s="2">
        <v>0.05</v>
      </c>
      <c r="Z177" s="2">
        <v>1650</v>
      </c>
      <c r="AA177" s="2">
        <v>11339.5</v>
      </c>
      <c r="AB177">
        <v>0</v>
      </c>
      <c r="AC177">
        <v>2008</v>
      </c>
      <c r="AE177" s="2">
        <v>1475</v>
      </c>
    </row>
    <row r="178" spans="2:31" ht="14.5">
      <c r="B178" s="2">
        <v>11525</v>
      </c>
      <c r="C178" s="2" t="s">
        <v>327</v>
      </c>
      <c r="D178" s="2" t="s">
        <v>328</v>
      </c>
      <c r="E178" s="2" t="s">
        <v>28</v>
      </c>
      <c r="F178" s="2" t="s">
        <v>29</v>
      </c>
      <c r="G178" s="2" t="s">
        <v>30</v>
      </c>
      <c r="H178" s="2" t="s">
        <v>218</v>
      </c>
      <c r="I178" s="2" t="s">
        <v>219</v>
      </c>
      <c r="J178" s="2" t="s">
        <v>220</v>
      </c>
      <c r="K178" s="2" t="s">
        <v>34</v>
      </c>
      <c r="L178" s="3"/>
      <c r="M178" s="3">
        <v>39503</v>
      </c>
      <c r="N178" s="3">
        <v>39503</v>
      </c>
      <c r="O178" s="3">
        <v>39503</v>
      </c>
      <c r="P178" s="2" t="s">
        <v>95</v>
      </c>
      <c r="Q178" s="2" t="s">
        <v>96</v>
      </c>
      <c r="R178" s="2" t="s">
        <v>37</v>
      </c>
      <c r="S178" s="2" t="s">
        <v>97</v>
      </c>
      <c r="T178" s="2" t="s">
        <v>39</v>
      </c>
      <c r="U178" s="2">
        <v>30</v>
      </c>
      <c r="V178" s="2">
        <v>20000</v>
      </c>
      <c r="W178" s="2">
        <v>248400</v>
      </c>
      <c r="X178" s="2">
        <v>12.42</v>
      </c>
      <c r="Y178" s="2">
        <v>0.41</v>
      </c>
      <c r="AB178">
        <v>1</v>
      </c>
      <c r="AC178">
        <v>2008</v>
      </c>
      <c r="AE178" s="2">
        <v>8200</v>
      </c>
    </row>
    <row r="179" spans="2:31" ht="14.5">
      <c r="B179" s="2">
        <v>11535</v>
      </c>
      <c r="C179" s="2" t="s">
        <v>451</v>
      </c>
      <c r="D179" s="2" t="s">
        <v>452</v>
      </c>
      <c r="E179" s="2" t="s">
        <v>28</v>
      </c>
      <c r="F179" s="2" t="s">
        <v>29</v>
      </c>
      <c r="G179" s="2" t="s">
        <v>30</v>
      </c>
      <c r="H179" s="2" t="s">
        <v>218</v>
      </c>
      <c r="I179" s="2" t="s">
        <v>219</v>
      </c>
      <c r="J179" s="2" t="s">
        <v>220</v>
      </c>
      <c r="K179" s="2" t="s">
        <v>223</v>
      </c>
      <c r="L179" s="3"/>
      <c r="M179" s="3">
        <v>39535</v>
      </c>
      <c r="N179" s="3">
        <v>39535</v>
      </c>
      <c r="O179" s="3">
        <v>39535</v>
      </c>
      <c r="P179" s="2" t="s">
        <v>95</v>
      </c>
      <c r="Q179" s="2" t="s">
        <v>96</v>
      </c>
      <c r="R179" s="2" t="s">
        <v>37</v>
      </c>
      <c r="S179" s="2" t="s">
        <v>97</v>
      </c>
      <c r="T179" s="2" t="s">
        <v>39</v>
      </c>
      <c r="U179" s="2">
        <v>30</v>
      </c>
      <c r="V179" s="2">
        <v>49997</v>
      </c>
      <c r="W179" s="2">
        <v>620962.74</v>
      </c>
      <c r="X179" s="2">
        <v>12.42</v>
      </c>
      <c r="Y179" s="2">
        <v>0.41</v>
      </c>
      <c r="Z179" s="2">
        <v>4345</v>
      </c>
      <c r="AA179" s="2">
        <v>14637</v>
      </c>
      <c r="AB179">
        <v>1</v>
      </c>
      <c r="AC179">
        <v>2008</v>
      </c>
      <c r="AE179" s="2">
        <v>20498.77</v>
      </c>
    </row>
    <row r="180" spans="2:31" ht="14.5">
      <c r="B180" s="2">
        <v>11538</v>
      </c>
      <c r="C180" s="2" t="s">
        <v>338</v>
      </c>
      <c r="D180" s="2" t="s">
        <v>339</v>
      </c>
      <c r="E180" s="2" t="s">
        <v>28</v>
      </c>
      <c r="F180" s="2" t="s">
        <v>29</v>
      </c>
      <c r="G180" s="2" t="s">
        <v>30</v>
      </c>
      <c r="H180" s="2" t="s">
        <v>218</v>
      </c>
      <c r="I180" s="2" t="s">
        <v>219</v>
      </c>
      <c r="J180" s="2" t="s">
        <v>220</v>
      </c>
      <c r="K180" s="2" t="s">
        <v>223</v>
      </c>
      <c r="L180" s="3"/>
      <c r="M180" s="3">
        <v>39560</v>
      </c>
      <c r="N180" s="3">
        <v>39561</v>
      </c>
      <c r="O180" s="3">
        <v>39561</v>
      </c>
      <c r="P180" s="2" t="s">
        <v>98</v>
      </c>
      <c r="Q180" s="2" t="s">
        <v>99</v>
      </c>
      <c r="R180" s="2" t="s">
        <v>37</v>
      </c>
      <c r="S180" s="2" t="s">
        <v>100</v>
      </c>
      <c r="T180" s="2" t="s">
        <v>39</v>
      </c>
      <c r="U180" s="2">
        <v>60</v>
      </c>
      <c r="V180" s="2">
        <v>5730</v>
      </c>
      <c r="W180" s="2">
        <v>157746.9</v>
      </c>
      <c r="X180" s="2">
        <v>27.53</v>
      </c>
      <c r="Y180" s="2">
        <v>0.46</v>
      </c>
      <c r="AB180">
        <v>0</v>
      </c>
      <c r="AC180">
        <v>2008</v>
      </c>
      <c r="AE180" s="2">
        <v>2635.8</v>
      </c>
    </row>
    <row r="181" spans="2:31" ht="14.5">
      <c r="B181" s="2">
        <v>11541</v>
      </c>
      <c r="C181" s="2" t="s">
        <v>245</v>
      </c>
      <c r="D181" s="2" t="s">
        <v>246</v>
      </c>
      <c r="E181" s="2" t="s">
        <v>118</v>
      </c>
      <c r="F181" s="2" t="s">
        <v>29</v>
      </c>
      <c r="G181" s="2" t="s">
        <v>30</v>
      </c>
      <c r="H181" s="2" t="s">
        <v>218</v>
      </c>
      <c r="I181" s="2" t="s">
        <v>219</v>
      </c>
      <c r="J181" s="2" t="s">
        <v>220</v>
      </c>
      <c r="K181" s="2" t="s">
        <v>34</v>
      </c>
      <c r="L181" s="3"/>
      <c r="M181" s="3">
        <v>39526</v>
      </c>
      <c r="N181" s="3">
        <v>39526</v>
      </c>
      <c r="O181" s="3">
        <v>39526</v>
      </c>
      <c r="P181" s="2" t="s">
        <v>453</v>
      </c>
      <c r="Q181" s="2" t="s">
        <v>408</v>
      </c>
      <c r="R181" s="2" t="s">
        <v>37</v>
      </c>
      <c r="S181" s="2" t="s">
        <v>409</v>
      </c>
      <c r="T181" s="2" t="s">
        <v>47</v>
      </c>
      <c r="U181" s="2">
        <v>30</v>
      </c>
      <c r="V181" s="2">
        <v>300</v>
      </c>
      <c r="W181" s="2">
        <v>600</v>
      </c>
      <c r="X181" s="2">
        <v>2</v>
      </c>
      <c r="Y181" s="2">
        <v>7.0000000000000007E-2</v>
      </c>
      <c r="AB181">
        <v>1</v>
      </c>
      <c r="AC181">
        <v>2008</v>
      </c>
      <c r="AE181" s="2">
        <v>21.000000000000004</v>
      </c>
    </row>
    <row r="182" spans="2:31" ht="14.5">
      <c r="B182" s="2">
        <v>11545</v>
      </c>
      <c r="C182" s="2" t="s">
        <v>454</v>
      </c>
      <c r="D182" s="2" t="s">
        <v>455</v>
      </c>
      <c r="E182" s="2" t="s">
        <v>28</v>
      </c>
      <c r="F182" s="2" t="s">
        <v>29</v>
      </c>
      <c r="G182" s="2" t="s">
        <v>50</v>
      </c>
      <c r="H182" s="2" t="s">
        <v>218</v>
      </c>
      <c r="I182" s="2" t="s">
        <v>219</v>
      </c>
      <c r="J182" s="2" t="s">
        <v>220</v>
      </c>
      <c r="K182" s="2" t="s">
        <v>34</v>
      </c>
      <c r="L182" s="3"/>
      <c r="M182" s="3">
        <v>39539</v>
      </c>
      <c r="N182" s="3">
        <v>39539</v>
      </c>
      <c r="O182" s="3">
        <v>39539</v>
      </c>
      <c r="P182" s="2" t="s">
        <v>329</v>
      </c>
      <c r="Q182" s="2" t="s">
        <v>54</v>
      </c>
      <c r="R182" s="2" t="s">
        <v>37</v>
      </c>
      <c r="S182" s="2" t="s">
        <v>330</v>
      </c>
      <c r="T182" s="2" t="s">
        <v>180</v>
      </c>
      <c r="U182" s="2">
        <v>60</v>
      </c>
      <c r="V182" s="2">
        <v>9367</v>
      </c>
      <c r="W182" s="2">
        <v>72594.25</v>
      </c>
      <c r="X182" s="2">
        <v>7.75</v>
      </c>
      <c r="Y182" s="2">
        <v>0.13</v>
      </c>
      <c r="Z182" s="2">
        <v>1955</v>
      </c>
      <c r="AA182" s="2">
        <v>6923.3</v>
      </c>
      <c r="AB182">
        <v>1</v>
      </c>
      <c r="AC182">
        <v>2008</v>
      </c>
      <c r="AE182" s="2">
        <v>1217.71</v>
      </c>
    </row>
    <row r="183" spans="2:31" ht="14.5">
      <c r="B183" s="2">
        <v>11550</v>
      </c>
      <c r="C183" s="2" t="s">
        <v>456</v>
      </c>
      <c r="D183" s="2" t="s">
        <v>457</v>
      </c>
      <c r="E183" s="2" t="s">
        <v>118</v>
      </c>
      <c r="F183" s="2" t="s">
        <v>29</v>
      </c>
      <c r="G183" s="2" t="s">
        <v>30</v>
      </c>
      <c r="H183" s="2" t="s">
        <v>218</v>
      </c>
      <c r="I183" s="2" t="s">
        <v>219</v>
      </c>
      <c r="J183" s="2" t="s">
        <v>220</v>
      </c>
      <c r="K183" s="2" t="s">
        <v>223</v>
      </c>
      <c r="L183" s="3"/>
      <c r="M183" s="3">
        <v>39545</v>
      </c>
      <c r="N183" s="3">
        <v>39545</v>
      </c>
      <c r="O183" s="3">
        <v>39545</v>
      </c>
      <c r="P183" s="2" t="s">
        <v>112</v>
      </c>
      <c r="Q183" s="2" t="s">
        <v>113</v>
      </c>
      <c r="R183" s="2" t="s">
        <v>37</v>
      </c>
      <c r="S183" s="2" t="s">
        <v>114</v>
      </c>
      <c r="T183" s="2" t="s">
        <v>47</v>
      </c>
      <c r="U183" s="2">
        <v>60</v>
      </c>
      <c r="V183" s="2">
        <v>1450</v>
      </c>
      <c r="W183" s="2">
        <v>19575</v>
      </c>
      <c r="X183" s="2">
        <v>13.5</v>
      </c>
      <c r="Y183" s="2">
        <v>0.22</v>
      </c>
      <c r="Z183" s="2">
        <v>167</v>
      </c>
      <c r="AA183" s="2">
        <v>1472.77</v>
      </c>
      <c r="AB183">
        <v>1</v>
      </c>
      <c r="AC183">
        <v>2008</v>
      </c>
      <c r="AE183" s="2">
        <v>319</v>
      </c>
    </row>
    <row r="184" spans="2:31" ht="14.5">
      <c r="B184" s="2">
        <v>11552</v>
      </c>
      <c r="C184" s="2" t="s">
        <v>458</v>
      </c>
      <c r="D184" s="2" t="s">
        <v>459</v>
      </c>
      <c r="E184" s="2" t="s">
        <v>60</v>
      </c>
      <c r="F184" s="2" t="s">
        <v>29</v>
      </c>
      <c r="G184" s="2" t="s">
        <v>30</v>
      </c>
      <c r="H184" s="2" t="s">
        <v>218</v>
      </c>
      <c r="I184" s="2" t="s">
        <v>219</v>
      </c>
      <c r="J184" s="2" t="s">
        <v>220</v>
      </c>
      <c r="K184" s="2" t="s">
        <v>34</v>
      </c>
      <c r="L184" s="3"/>
      <c r="M184" s="3">
        <v>39513</v>
      </c>
      <c r="N184" s="3">
        <v>39513</v>
      </c>
      <c r="O184" s="3">
        <v>39513</v>
      </c>
      <c r="P184" s="2" t="s">
        <v>164</v>
      </c>
      <c r="Q184" s="2" t="s">
        <v>165</v>
      </c>
      <c r="R184" s="2" t="s">
        <v>37</v>
      </c>
      <c r="S184" s="2" t="s">
        <v>166</v>
      </c>
      <c r="T184" s="2" t="s">
        <v>39</v>
      </c>
      <c r="U184" s="2">
        <v>60</v>
      </c>
      <c r="V184" s="2">
        <v>65500</v>
      </c>
      <c r="W184" s="2">
        <v>199120</v>
      </c>
      <c r="X184" s="2">
        <v>3.04</v>
      </c>
      <c r="Y184" s="2">
        <v>0.05</v>
      </c>
      <c r="Z184" s="2">
        <v>3858</v>
      </c>
      <c r="AA184" s="2">
        <v>12047.8</v>
      </c>
      <c r="AB184">
        <v>1</v>
      </c>
      <c r="AC184">
        <v>2008</v>
      </c>
      <c r="AE184" s="2">
        <v>3275</v>
      </c>
    </row>
    <row r="185" spans="2:31" ht="14.5">
      <c r="B185" s="2">
        <v>11558</v>
      </c>
      <c r="C185" s="2" t="s">
        <v>460</v>
      </c>
      <c r="D185" s="2" t="s">
        <v>461</v>
      </c>
      <c r="E185" s="2" t="s">
        <v>28</v>
      </c>
      <c r="F185" s="2" t="s">
        <v>29</v>
      </c>
      <c r="G185" s="2" t="s">
        <v>30</v>
      </c>
      <c r="H185" s="2" t="s">
        <v>218</v>
      </c>
      <c r="I185" s="2" t="s">
        <v>219</v>
      </c>
      <c r="J185" s="2" t="s">
        <v>220</v>
      </c>
      <c r="K185" s="2" t="s">
        <v>34</v>
      </c>
      <c r="L185" s="3"/>
      <c r="M185" s="3">
        <v>39639</v>
      </c>
      <c r="N185" s="3">
        <v>39639</v>
      </c>
      <c r="O185" s="3">
        <v>39639</v>
      </c>
      <c r="P185" s="2" t="s">
        <v>164</v>
      </c>
      <c r="Q185" s="2" t="s">
        <v>165</v>
      </c>
      <c r="R185" s="2" t="s">
        <v>37</v>
      </c>
      <c r="S185" s="2" t="s">
        <v>166</v>
      </c>
      <c r="T185" s="2" t="s">
        <v>39</v>
      </c>
      <c r="U185" s="2">
        <v>60</v>
      </c>
      <c r="V185" s="2">
        <v>11352</v>
      </c>
      <c r="W185" s="2">
        <v>33034.32</v>
      </c>
      <c r="X185" s="2">
        <v>2.91</v>
      </c>
      <c r="Y185" s="2">
        <v>0.05</v>
      </c>
      <c r="Z185" s="2">
        <v>572</v>
      </c>
      <c r="AA185" s="2">
        <v>4152.5600000000004</v>
      </c>
      <c r="AB185">
        <v>1</v>
      </c>
      <c r="AC185">
        <v>2008</v>
      </c>
      <c r="AE185" s="2">
        <v>567.6</v>
      </c>
    </row>
    <row r="186" spans="2:31" ht="14.5">
      <c r="B186" s="2">
        <v>11559</v>
      </c>
      <c r="C186" s="2" t="s">
        <v>462</v>
      </c>
      <c r="D186" s="2" t="s">
        <v>463</v>
      </c>
      <c r="E186" s="2" t="s">
        <v>28</v>
      </c>
      <c r="F186" s="2" t="s">
        <v>29</v>
      </c>
      <c r="G186" s="2" t="s">
        <v>30</v>
      </c>
      <c r="H186" s="2" t="s">
        <v>218</v>
      </c>
      <c r="I186" s="2" t="s">
        <v>219</v>
      </c>
      <c r="J186" s="2" t="s">
        <v>220</v>
      </c>
      <c r="K186" s="2" t="s">
        <v>34</v>
      </c>
      <c r="L186" s="3"/>
      <c r="M186" s="3">
        <v>39717</v>
      </c>
      <c r="N186" s="3">
        <v>39717</v>
      </c>
      <c r="O186" s="3">
        <v>39717</v>
      </c>
      <c r="P186" s="2" t="s">
        <v>150</v>
      </c>
      <c r="Q186" s="2" t="s">
        <v>84</v>
      </c>
      <c r="R186" s="2" t="s">
        <v>151</v>
      </c>
      <c r="S186" s="2" t="s">
        <v>152</v>
      </c>
      <c r="T186" s="2" t="s">
        <v>39</v>
      </c>
      <c r="U186" s="2">
        <v>120</v>
      </c>
      <c r="V186" s="2">
        <v>2580</v>
      </c>
      <c r="W186" s="2">
        <v>106038</v>
      </c>
      <c r="X186" s="2">
        <v>41.1</v>
      </c>
      <c r="Y186" s="2">
        <v>0.34</v>
      </c>
      <c r="Z186" s="2">
        <v>587</v>
      </c>
      <c r="AA186" s="2">
        <v>1153.97</v>
      </c>
      <c r="AB186">
        <v>1</v>
      </c>
      <c r="AC186">
        <v>2008</v>
      </c>
      <c r="AE186" s="2">
        <v>877.2</v>
      </c>
    </row>
    <row r="187" spans="2:31" ht="14.5">
      <c r="B187" s="2">
        <v>11560</v>
      </c>
      <c r="C187" s="2" t="s">
        <v>464</v>
      </c>
      <c r="D187" s="2" t="s">
        <v>465</v>
      </c>
      <c r="E187" s="2" t="s">
        <v>60</v>
      </c>
      <c r="F187" s="2" t="s">
        <v>29</v>
      </c>
      <c r="G187" s="2" t="s">
        <v>30</v>
      </c>
      <c r="H187" s="2" t="s">
        <v>218</v>
      </c>
      <c r="I187" s="2" t="s">
        <v>219</v>
      </c>
      <c r="J187" s="2" t="s">
        <v>220</v>
      </c>
      <c r="K187" s="2" t="s">
        <v>34</v>
      </c>
      <c r="L187" s="3"/>
      <c r="M187" s="3">
        <v>39763</v>
      </c>
      <c r="N187" s="3">
        <v>39763</v>
      </c>
      <c r="O187" s="3">
        <v>39763</v>
      </c>
      <c r="P187" s="2" t="s">
        <v>333</v>
      </c>
      <c r="Q187" s="2" t="s">
        <v>225</v>
      </c>
      <c r="R187" s="2" t="s">
        <v>37</v>
      </c>
      <c r="S187" s="2" t="s">
        <v>100</v>
      </c>
      <c r="T187" s="2" t="s">
        <v>39</v>
      </c>
      <c r="U187" s="2">
        <v>60</v>
      </c>
      <c r="V187" s="2">
        <v>5000</v>
      </c>
      <c r="W187" s="2">
        <v>39500</v>
      </c>
      <c r="X187" s="2">
        <v>7.9</v>
      </c>
      <c r="Y187" s="2">
        <v>0.13</v>
      </c>
      <c r="Z187" s="2">
        <v>229</v>
      </c>
      <c r="AA187" s="2">
        <v>1774.3</v>
      </c>
      <c r="AB187">
        <v>1</v>
      </c>
      <c r="AC187">
        <v>2008</v>
      </c>
      <c r="AE187" s="2">
        <v>650</v>
      </c>
    </row>
    <row r="188" spans="2:31" ht="14.5">
      <c r="B188" s="2">
        <v>11565</v>
      </c>
      <c r="C188" s="2" t="s">
        <v>466</v>
      </c>
      <c r="D188" s="2" t="s">
        <v>467</v>
      </c>
      <c r="E188" s="2" t="s">
        <v>118</v>
      </c>
      <c r="F188" s="2" t="s">
        <v>29</v>
      </c>
      <c r="G188" s="2" t="s">
        <v>30</v>
      </c>
      <c r="H188" s="2" t="s">
        <v>218</v>
      </c>
      <c r="I188" s="2" t="s">
        <v>219</v>
      </c>
      <c r="J188" s="2" t="s">
        <v>220</v>
      </c>
      <c r="K188" s="2" t="s">
        <v>34</v>
      </c>
      <c r="L188" s="3"/>
      <c r="M188" s="3">
        <v>39875</v>
      </c>
      <c r="N188" s="3">
        <v>39875</v>
      </c>
      <c r="O188" s="3">
        <v>39875</v>
      </c>
      <c r="P188" s="2" t="s">
        <v>333</v>
      </c>
      <c r="Q188" s="2" t="s">
        <v>225</v>
      </c>
      <c r="R188" s="2" t="s">
        <v>37</v>
      </c>
      <c r="S188" s="2" t="s">
        <v>100</v>
      </c>
      <c r="T188" s="2" t="s">
        <v>39</v>
      </c>
      <c r="U188" s="2">
        <v>60</v>
      </c>
      <c r="V188" s="2">
        <v>50</v>
      </c>
      <c r="W188" s="2">
        <v>395</v>
      </c>
      <c r="X188" s="2">
        <v>7.9</v>
      </c>
      <c r="Y188" s="2">
        <v>0.13</v>
      </c>
      <c r="Z188" s="2">
        <v>3</v>
      </c>
      <c r="AA188" s="2">
        <v>978.92</v>
      </c>
      <c r="AB188">
        <v>1</v>
      </c>
      <c r="AC188">
        <v>2009</v>
      </c>
      <c r="AE188" s="2">
        <v>6.5</v>
      </c>
    </row>
    <row r="189" spans="2:31" ht="14.5">
      <c r="B189" s="2">
        <v>11568</v>
      </c>
      <c r="C189" s="2" t="s">
        <v>468</v>
      </c>
      <c r="D189" s="2" t="s">
        <v>469</v>
      </c>
      <c r="E189" s="2" t="s">
        <v>118</v>
      </c>
      <c r="F189" s="2" t="s">
        <v>29</v>
      </c>
      <c r="G189" s="2" t="s">
        <v>30</v>
      </c>
      <c r="H189" s="2" t="s">
        <v>218</v>
      </c>
      <c r="I189" s="2" t="s">
        <v>219</v>
      </c>
      <c r="J189" s="2" t="s">
        <v>220</v>
      </c>
      <c r="K189" s="2" t="s">
        <v>267</v>
      </c>
      <c r="L189" s="3"/>
      <c r="M189" s="3">
        <v>39797</v>
      </c>
      <c r="N189" s="3">
        <v>39797</v>
      </c>
      <c r="O189" s="3">
        <v>39797</v>
      </c>
      <c r="P189" s="2" t="s">
        <v>35</v>
      </c>
      <c r="Q189" s="2" t="s">
        <v>36</v>
      </c>
      <c r="R189" s="2" t="s">
        <v>37</v>
      </c>
      <c r="S189" s="2" t="s">
        <v>38</v>
      </c>
      <c r="T189" s="2" t="s">
        <v>39</v>
      </c>
      <c r="U189" s="2">
        <v>60</v>
      </c>
      <c r="V189" s="2">
        <v>2523</v>
      </c>
      <c r="W189" s="2">
        <v>8073.6</v>
      </c>
      <c r="X189" s="2">
        <v>3.2</v>
      </c>
      <c r="Y189" s="2">
        <v>0.05</v>
      </c>
      <c r="Z189" s="2">
        <v>585</v>
      </c>
      <c r="AA189" s="2">
        <v>5698.01</v>
      </c>
      <c r="AB189">
        <v>1</v>
      </c>
      <c r="AC189">
        <v>2008</v>
      </c>
      <c r="AE189" s="2">
        <v>126.15</v>
      </c>
    </row>
    <row r="190" spans="2:31" ht="14.5">
      <c r="B190" s="2">
        <v>11569</v>
      </c>
      <c r="C190" s="2" t="s">
        <v>470</v>
      </c>
      <c r="D190" s="2" t="s">
        <v>471</v>
      </c>
      <c r="E190" s="2" t="s">
        <v>42</v>
      </c>
      <c r="F190" s="2" t="s">
        <v>29</v>
      </c>
      <c r="G190" s="2" t="s">
        <v>30</v>
      </c>
      <c r="H190" s="2" t="s">
        <v>218</v>
      </c>
      <c r="I190" s="2" t="s">
        <v>219</v>
      </c>
      <c r="J190" s="2" t="s">
        <v>220</v>
      </c>
      <c r="K190" s="2" t="s">
        <v>34</v>
      </c>
      <c r="L190" s="3"/>
      <c r="M190" s="3">
        <v>39878</v>
      </c>
      <c r="N190" s="3">
        <v>39878</v>
      </c>
      <c r="O190" s="3">
        <v>39878</v>
      </c>
      <c r="P190" s="2" t="s">
        <v>44</v>
      </c>
      <c r="Q190" s="2" t="s">
        <v>45</v>
      </c>
      <c r="R190" s="2" t="s">
        <v>37</v>
      </c>
      <c r="S190" s="2" t="s">
        <v>46</v>
      </c>
      <c r="T190" s="2" t="s">
        <v>47</v>
      </c>
      <c r="U190" s="2">
        <v>60</v>
      </c>
      <c r="V190" s="2">
        <v>15000</v>
      </c>
      <c r="W190" s="2">
        <v>131400</v>
      </c>
      <c r="X190" s="2">
        <v>8.76</v>
      </c>
      <c r="Y190" s="2">
        <v>0.15</v>
      </c>
      <c r="Z190" s="2">
        <v>1364</v>
      </c>
      <c r="AA190" s="2">
        <v>21215.4</v>
      </c>
      <c r="AB190">
        <v>1</v>
      </c>
      <c r="AC190">
        <v>2009</v>
      </c>
      <c r="AE190" s="2">
        <v>2250</v>
      </c>
    </row>
    <row r="191" spans="2:31" ht="14.5">
      <c r="B191" s="2">
        <v>11587</v>
      </c>
      <c r="C191" s="2" t="s">
        <v>472</v>
      </c>
      <c r="D191" s="2" t="s">
        <v>473</v>
      </c>
      <c r="E191" s="2" t="s">
        <v>60</v>
      </c>
      <c r="F191" s="2" t="s">
        <v>29</v>
      </c>
      <c r="G191" s="2" t="s">
        <v>30</v>
      </c>
      <c r="H191" s="2" t="s">
        <v>218</v>
      </c>
      <c r="I191" s="2" t="s">
        <v>219</v>
      </c>
      <c r="J191" s="2" t="s">
        <v>220</v>
      </c>
      <c r="K191" s="2" t="s">
        <v>34</v>
      </c>
      <c r="L191" s="3"/>
      <c r="M191" s="3">
        <v>39876</v>
      </c>
      <c r="N191" s="3">
        <v>39876</v>
      </c>
      <c r="O191" s="3">
        <v>39876</v>
      </c>
      <c r="P191" s="2" t="s">
        <v>139</v>
      </c>
      <c r="Q191" s="2" t="s">
        <v>140</v>
      </c>
      <c r="R191" s="2" t="s">
        <v>37</v>
      </c>
      <c r="S191" s="2" t="s">
        <v>141</v>
      </c>
      <c r="T191" s="2" t="s">
        <v>47</v>
      </c>
      <c r="U191" s="2">
        <v>60</v>
      </c>
      <c r="V191" s="2">
        <v>41922</v>
      </c>
      <c r="W191" s="2">
        <v>298484.64</v>
      </c>
      <c r="X191" s="2">
        <v>7.12</v>
      </c>
      <c r="Y191" s="2">
        <v>0.12</v>
      </c>
      <c r="Z191" s="2">
        <v>3190</v>
      </c>
      <c r="AA191" s="2">
        <v>14732.36</v>
      </c>
      <c r="AB191">
        <v>1</v>
      </c>
      <c r="AC191">
        <v>2009</v>
      </c>
      <c r="AE191" s="2">
        <v>5030.6399999999994</v>
      </c>
    </row>
    <row r="192" spans="2:31" ht="14.5">
      <c r="B192" s="2">
        <v>11592</v>
      </c>
      <c r="C192" s="2" t="s">
        <v>405</v>
      </c>
      <c r="D192" s="2" t="s">
        <v>406</v>
      </c>
      <c r="E192" s="2" t="s">
        <v>118</v>
      </c>
      <c r="F192" s="2" t="s">
        <v>29</v>
      </c>
      <c r="G192" s="2" t="s">
        <v>30</v>
      </c>
      <c r="H192" s="2" t="s">
        <v>218</v>
      </c>
      <c r="I192" s="2" t="s">
        <v>219</v>
      </c>
      <c r="J192" s="2" t="s">
        <v>220</v>
      </c>
      <c r="K192" s="2" t="s">
        <v>34</v>
      </c>
      <c r="L192" s="3"/>
      <c r="M192" s="3">
        <v>39791</v>
      </c>
      <c r="N192" s="3">
        <v>39791</v>
      </c>
      <c r="O192" s="3">
        <v>39791</v>
      </c>
      <c r="P192" s="2" t="s">
        <v>112</v>
      </c>
      <c r="Q192" s="2" t="s">
        <v>113</v>
      </c>
      <c r="R192" s="2" t="s">
        <v>37</v>
      </c>
      <c r="S192" s="2" t="s">
        <v>114</v>
      </c>
      <c r="T192" s="2" t="s">
        <v>47</v>
      </c>
      <c r="U192" s="2">
        <v>60</v>
      </c>
      <c r="V192" s="2">
        <v>4704</v>
      </c>
      <c r="W192" s="2">
        <v>55507.199999999997</v>
      </c>
      <c r="X192" s="2">
        <v>11.8</v>
      </c>
      <c r="Y192" s="2">
        <v>0.2</v>
      </c>
      <c r="AB192">
        <v>1</v>
      </c>
      <c r="AC192">
        <v>2008</v>
      </c>
      <c r="AE192" s="2">
        <v>940.80000000000007</v>
      </c>
    </row>
    <row r="193" spans="2:31" ht="14.5">
      <c r="B193" s="2">
        <v>11593</v>
      </c>
      <c r="C193" s="2" t="s">
        <v>474</v>
      </c>
      <c r="D193" s="2" t="s">
        <v>475</v>
      </c>
      <c r="E193" s="2" t="s">
        <v>118</v>
      </c>
      <c r="F193" s="2" t="s">
        <v>29</v>
      </c>
      <c r="G193" s="2" t="s">
        <v>30</v>
      </c>
      <c r="H193" s="2" t="s">
        <v>218</v>
      </c>
      <c r="I193" s="2" t="s">
        <v>219</v>
      </c>
      <c r="J193" s="2" t="s">
        <v>220</v>
      </c>
      <c r="K193" s="2" t="s">
        <v>34</v>
      </c>
      <c r="L193" s="3"/>
      <c r="M193" s="3">
        <v>39756</v>
      </c>
      <c r="N193" s="3">
        <v>39756</v>
      </c>
      <c r="O193" s="3">
        <v>39756</v>
      </c>
      <c r="P193" s="2" t="s">
        <v>235</v>
      </c>
      <c r="Q193" s="2" t="s">
        <v>236</v>
      </c>
      <c r="R193" s="2" t="s">
        <v>237</v>
      </c>
      <c r="S193" s="2" t="s">
        <v>238</v>
      </c>
      <c r="T193" s="2" t="s">
        <v>47</v>
      </c>
      <c r="U193" s="2">
        <v>30</v>
      </c>
      <c r="V193" s="2">
        <v>67</v>
      </c>
      <c r="W193" s="2">
        <v>1758.75</v>
      </c>
      <c r="X193" s="2">
        <v>26.25</v>
      </c>
      <c r="Y193" s="2">
        <v>0.88</v>
      </c>
      <c r="Z193" s="2">
        <v>666</v>
      </c>
      <c r="AA193" s="2">
        <v>4503</v>
      </c>
      <c r="AB193">
        <v>1</v>
      </c>
      <c r="AC193">
        <v>2008</v>
      </c>
      <c r="AE193" s="2">
        <v>58.96</v>
      </c>
    </row>
    <row r="194" spans="2:31" ht="14.5">
      <c r="B194" s="2">
        <v>11594</v>
      </c>
      <c r="C194" s="2" t="s">
        <v>474</v>
      </c>
      <c r="D194" s="2" t="s">
        <v>475</v>
      </c>
      <c r="E194" s="2" t="s">
        <v>118</v>
      </c>
      <c r="F194" s="2" t="s">
        <v>29</v>
      </c>
      <c r="G194" s="2" t="s">
        <v>30</v>
      </c>
      <c r="H194" s="2" t="s">
        <v>218</v>
      </c>
      <c r="I194" s="2" t="s">
        <v>219</v>
      </c>
      <c r="J194" s="2" t="s">
        <v>220</v>
      </c>
      <c r="K194" s="2" t="s">
        <v>34</v>
      </c>
      <c r="L194" s="3"/>
      <c r="M194" s="3">
        <v>39756</v>
      </c>
      <c r="N194" s="3">
        <v>39756</v>
      </c>
      <c r="O194" s="3">
        <v>39756</v>
      </c>
      <c r="P194" s="2" t="s">
        <v>112</v>
      </c>
      <c r="Q194" s="2" t="s">
        <v>113</v>
      </c>
      <c r="R194" s="2" t="s">
        <v>37</v>
      </c>
      <c r="S194" s="2" t="s">
        <v>114</v>
      </c>
      <c r="T194" s="2" t="s">
        <v>47</v>
      </c>
      <c r="U194" s="2">
        <v>60</v>
      </c>
      <c r="V194" s="2">
        <v>5919</v>
      </c>
      <c r="W194" s="2">
        <v>69844.2</v>
      </c>
      <c r="X194" s="2">
        <v>11.8</v>
      </c>
      <c r="Y194" s="2">
        <v>0.2</v>
      </c>
      <c r="AB194">
        <v>1</v>
      </c>
      <c r="AC194">
        <v>2008</v>
      </c>
      <c r="AE194" s="2">
        <v>1183.8</v>
      </c>
    </row>
    <row r="195" spans="2:31" ht="14.5">
      <c r="B195" s="2">
        <v>11596</v>
      </c>
      <c r="C195" s="2" t="s">
        <v>476</v>
      </c>
      <c r="D195" s="2" t="s">
        <v>477</v>
      </c>
      <c r="E195" s="2" t="s">
        <v>28</v>
      </c>
      <c r="F195" s="2" t="s">
        <v>29</v>
      </c>
      <c r="G195" s="2" t="s">
        <v>30</v>
      </c>
      <c r="H195" s="2" t="s">
        <v>218</v>
      </c>
      <c r="I195" s="2" t="s">
        <v>219</v>
      </c>
      <c r="J195" s="2" t="s">
        <v>220</v>
      </c>
      <c r="K195" s="2" t="s">
        <v>223</v>
      </c>
      <c r="L195" s="3"/>
      <c r="M195" s="3">
        <v>39706</v>
      </c>
      <c r="N195" s="3">
        <v>39706</v>
      </c>
      <c r="O195" s="3">
        <v>39706</v>
      </c>
      <c r="P195" s="2" t="s">
        <v>44</v>
      </c>
      <c r="Q195" s="2" t="s">
        <v>45</v>
      </c>
      <c r="R195" s="2" t="s">
        <v>37</v>
      </c>
      <c r="S195" s="2" t="s">
        <v>46</v>
      </c>
      <c r="T195" s="2" t="s">
        <v>47</v>
      </c>
      <c r="U195" s="2">
        <v>60</v>
      </c>
      <c r="V195" s="2">
        <v>58086</v>
      </c>
      <c r="W195" s="2">
        <v>551817</v>
      </c>
      <c r="X195" s="2">
        <v>9.5</v>
      </c>
      <c r="Y195" s="2">
        <v>0.16</v>
      </c>
      <c r="Z195" s="2">
        <v>8343</v>
      </c>
      <c r="AA195" s="2">
        <v>9001.0300000000007</v>
      </c>
      <c r="AB195">
        <v>1</v>
      </c>
      <c r="AC195">
        <v>2008</v>
      </c>
      <c r="AE195" s="2">
        <v>9293.76</v>
      </c>
    </row>
    <row r="196" spans="2:31" ht="14.5">
      <c r="B196" s="2">
        <v>11602</v>
      </c>
      <c r="C196" s="2" t="s">
        <v>478</v>
      </c>
      <c r="D196" s="2" t="s">
        <v>479</v>
      </c>
      <c r="E196" s="2" t="s">
        <v>118</v>
      </c>
      <c r="F196" s="2" t="s">
        <v>29</v>
      </c>
      <c r="G196" s="2" t="s">
        <v>30</v>
      </c>
      <c r="H196" s="2" t="s">
        <v>218</v>
      </c>
      <c r="I196" s="2" t="s">
        <v>219</v>
      </c>
      <c r="J196" s="2" t="s">
        <v>220</v>
      </c>
      <c r="K196" s="2" t="s">
        <v>34</v>
      </c>
      <c r="L196" s="3"/>
      <c r="M196" s="3">
        <v>39822</v>
      </c>
      <c r="N196" s="3">
        <v>39822</v>
      </c>
      <c r="O196" s="3">
        <v>39822</v>
      </c>
      <c r="P196" s="2" t="s">
        <v>139</v>
      </c>
      <c r="Q196" s="2" t="s">
        <v>140</v>
      </c>
      <c r="R196" s="2" t="s">
        <v>37</v>
      </c>
      <c r="S196" s="2" t="s">
        <v>141</v>
      </c>
      <c r="T196" s="2" t="s">
        <v>47</v>
      </c>
      <c r="U196" s="2">
        <v>60</v>
      </c>
      <c r="V196" s="2">
        <v>1511</v>
      </c>
      <c r="W196" s="2">
        <v>10879.2</v>
      </c>
      <c r="X196" s="2">
        <v>7.2</v>
      </c>
      <c r="Y196" s="2">
        <v>0.12</v>
      </c>
      <c r="Z196" s="2">
        <v>205</v>
      </c>
      <c r="AA196" s="2">
        <v>2202.02</v>
      </c>
      <c r="AB196">
        <v>1</v>
      </c>
      <c r="AC196">
        <v>2009</v>
      </c>
      <c r="AE196" s="2">
        <v>181.32</v>
      </c>
    </row>
    <row r="197" spans="2:31" ht="14.5">
      <c r="B197" s="2">
        <v>11603</v>
      </c>
      <c r="C197" s="2" t="s">
        <v>263</v>
      </c>
      <c r="D197" s="2" t="s">
        <v>264</v>
      </c>
      <c r="E197" s="2" t="s">
        <v>60</v>
      </c>
      <c r="F197" s="2" t="s">
        <v>29</v>
      </c>
      <c r="G197" s="2" t="s">
        <v>30</v>
      </c>
      <c r="H197" s="2" t="s">
        <v>218</v>
      </c>
      <c r="I197" s="2" t="s">
        <v>219</v>
      </c>
      <c r="J197" s="2" t="s">
        <v>220</v>
      </c>
      <c r="K197" s="2" t="s">
        <v>34</v>
      </c>
      <c r="L197" s="3"/>
      <c r="M197" s="3">
        <v>39875</v>
      </c>
      <c r="N197" s="3">
        <v>39875</v>
      </c>
      <c r="O197" s="3">
        <v>39875</v>
      </c>
      <c r="P197" s="2" t="s">
        <v>95</v>
      </c>
      <c r="Q197" s="2" t="s">
        <v>96</v>
      </c>
      <c r="R197" s="2" t="s">
        <v>37</v>
      </c>
      <c r="S197" s="2" t="s">
        <v>97</v>
      </c>
      <c r="T197" s="2" t="s">
        <v>39</v>
      </c>
      <c r="U197" s="2">
        <v>30</v>
      </c>
      <c r="V197" s="2">
        <v>11549</v>
      </c>
      <c r="W197" s="2">
        <v>122650.38</v>
      </c>
      <c r="X197" s="2">
        <v>10.62</v>
      </c>
      <c r="Y197" s="2">
        <v>0.35</v>
      </c>
      <c r="AB197">
        <v>1</v>
      </c>
      <c r="AC197">
        <v>2009</v>
      </c>
      <c r="AE197" s="2">
        <v>4042.1499999999996</v>
      </c>
    </row>
    <row r="198" spans="2:31" ht="14.5">
      <c r="B198" s="2">
        <v>11605</v>
      </c>
      <c r="C198" s="2" t="s">
        <v>480</v>
      </c>
      <c r="D198" s="2" t="s">
        <v>481</v>
      </c>
      <c r="E198" s="2" t="s">
        <v>118</v>
      </c>
      <c r="F198" s="2" t="s">
        <v>29</v>
      </c>
      <c r="G198" s="2" t="s">
        <v>50</v>
      </c>
      <c r="H198" s="2" t="s">
        <v>218</v>
      </c>
      <c r="I198" s="2" t="s">
        <v>219</v>
      </c>
      <c r="J198" s="2" t="s">
        <v>220</v>
      </c>
      <c r="K198" s="2" t="s">
        <v>34</v>
      </c>
      <c r="L198" s="3"/>
      <c r="M198" s="3">
        <v>39716</v>
      </c>
      <c r="N198" s="3">
        <v>39716</v>
      </c>
      <c r="O198" s="3">
        <v>39716</v>
      </c>
      <c r="P198" s="2" t="s">
        <v>224</v>
      </c>
      <c r="Q198" s="2" t="s">
        <v>225</v>
      </c>
      <c r="R198" s="2" t="s">
        <v>37</v>
      </c>
      <c r="S198" s="2" t="s">
        <v>226</v>
      </c>
      <c r="T198" s="2" t="s">
        <v>87</v>
      </c>
      <c r="U198" s="2">
        <v>240</v>
      </c>
      <c r="V198" s="2">
        <v>14668</v>
      </c>
      <c r="W198" s="2">
        <v>30802.799999999999</v>
      </c>
      <c r="X198" s="2">
        <v>2.1</v>
      </c>
      <c r="Y198" s="2">
        <v>0.01</v>
      </c>
      <c r="Z198" s="2">
        <v>5511</v>
      </c>
      <c r="AA198" s="2">
        <v>7876.44</v>
      </c>
      <c r="AB198">
        <v>1</v>
      </c>
      <c r="AC198">
        <v>2008</v>
      </c>
      <c r="AE198" s="2">
        <v>146.68</v>
      </c>
    </row>
    <row r="199" spans="2:31" ht="14.5">
      <c r="B199" s="2">
        <v>11606</v>
      </c>
      <c r="C199" s="2" t="s">
        <v>482</v>
      </c>
      <c r="D199" s="2" t="s">
        <v>483</v>
      </c>
      <c r="E199" s="2" t="s">
        <v>28</v>
      </c>
      <c r="F199" s="2" t="s">
        <v>29</v>
      </c>
      <c r="G199" s="2" t="s">
        <v>30</v>
      </c>
      <c r="H199" s="2" t="s">
        <v>218</v>
      </c>
      <c r="I199" s="2" t="s">
        <v>219</v>
      </c>
      <c r="J199" s="2" t="s">
        <v>220</v>
      </c>
      <c r="K199" s="2" t="s">
        <v>34</v>
      </c>
      <c r="L199" s="3"/>
      <c r="M199" s="3">
        <v>39717</v>
      </c>
      <c r="N199" s="3">
        <v>39717</v>
      </c>
      <c r="O199" s="3">
        <v>39717</v>
      </c>
      <c r="P199" s="2" t="s">
        <v>95</v>
      </c>
      <c r="Q199" s="2" t="s">
        <v>96</v>
      </c>
      <c r="R199" s="2" t="s">
        <v>37</v>
      </c>
      <c r="S199" s="2" t="s">
        <v>97</v>
      </c>
      <c r="T199" s="2" t="s">
        <v>39</v>
      </c>
      <c r="U199" s="2">
        <v>30</v>
      </c>
      <c r="V199" s="2">
        <v>131808</v>
      </c>
      <c r="W199" s="2">
        <v>1583014.08</v>
      </c>
      <c r="X199" s="2">
        <v>12.01</v>
      </c>
      <c r="Y199" s="2">
        <v>0.4</v>
      </c>
      <c r="Z199" s="2">
        <v>9996</v>
      </c>
      <c r="AA199" s="2">
        <v>8399.76</v>
      </c>
      <c r="AB199">
        <v>1</v>
      </c>
      <c r="AC199">
        <v>2008</v>
      </c>
      <c r="AE199" s="2">
        <v>52723.200000000004</v>
      </c>
    </row>
    <row r="200" spans="2:31" ht="14.5">
      <c r="B200" s="2">
        <v>11607</v>
      </c>
      <c r="C200" s="2" t="s">
        <v>412</v>
      </c>
      <c r="D200" s="2" t="s">
        <v>413</v>
      </c>
      <c r="E200" s="2" t="s">
        <v>118</v>
      </c>
      <c r="F200" s="2" t="s">
        <v>29</v>
      </c>
      <c r="G200" s="2" t="s">
        <v>30</v>
      </c>
      <c r="H200" s="2" t="s">
        <v>218</v>
      </c>
      <c r="I200" s="2" t="s">
        <v>219</v>
      </c>
      <c r="J200" s="2" t="s">
        <v>220</v>
      </c>
      <c r="K200" s="2" t="s">
        <v>34</v>
      </c>
      <c r="L200" s="3"/>
      <c r="M200" s="3">
        <v>39877</v>
      </c>
      <c r="N200" s="3">
        <v>39877</v>
      </c>
      <c r="O200" s="3">
        <v>39877</v>
      </c>
      <c r="P200" s="2" t="s">
        <v>35</v>
      </c>
      <c r="Q200" s="2" t="s">
        <v>36</v>
      </c>
      <c r="R200" s="2" t="s">
        <v>37</v>
      </c>
      <c r="S200" s="2" t="s">
        <v>38</v>
      </c>
      <c r="T200" s="2" t="s">
        <v>39</v>
      </c>
      <c r="U200" s="2">
        <v>60</v>
      </c>
      <c r="V200" s="2">
        <v>1524</v>
      </c>
      <c r="W200" s="2">
        <v>4876.8</v>
      </c>
      <c r="X200" s="2">
        <v>3.2</v>
      </c>
      <c r="Y200" s="2">
        <v>0.05</v>
      </c>
      <c r="AB200">
        <v>1</v>
      </c>
      <c r="AC200">
        <v>2009</v>
      </c>
      <c r="AE200" s="2">
        <v>76.2</v>
      </c>
    </row>
    <row r="201" spans="2:31" ht="14.5">
      <c r="B201" s="2">
        <v>11608</v>
      </c>
      <c r="C201" s="2" t="s">
        <v>263</v>
      </c>
      <c r="D201" s="2" t="s">
        <v>264</v>
      </c>
      <c r="E201" s="2" t="s">
        <v>60</v>
      </c>
      <c r="F201" s="2" t="s">
        <v>29</v>
      </c>
      <c r="G201" s="2" t="s">
        <v>30</v>
      </c>
      <c r="H201" s="2" t="s">
        <v>218</v>
      </c>
      <c r="I201" s="2" t="s">
        <v>219</v>
      </c>
      <c r="J201" s="2" t="s">
        <v>220</v>
      </c>
      <c r="K201" s="2" t="s">
        <v>34</v>
      </c>
      <c r="L201" s="3"/>
      <c r="M201" s="3">
        <v>39875</v>
      </c>
      <c r="N201" s="3">
        <v>39875</v>
      </c>
      <c r="O201" s="3">
        <v>39875</v>
      </c>
      <c r="P201" s="2" t="s">
        <v>484</v>
      </c>
      <c r="Q201" s="2" t="s">
        <v>105</v>
      </c>
      <c r="R201" s="2" t="s">
        <v>37</v>
      </c>
      <c r="S201" s="2" t="s">
        <v>100</v>
      </c>
      <c r="T201" s="2" t="s">
        <v>39</v>
      </c>
      <c r="U201" s="2">
        <v>30</v>
      </c>
      <c r="V201" s="2">
        <v>7000</v>
      </c>
      <c r="W201" s="2">
        <v>92960</v>
      </c>
      <c r="X201" s="2">
        <v>13.28</v>
      </c>
      <c r="Y201" s="2">
        <v>0.44</v>
      </c>
      <c r="AB201">
        <v>1</v>
      </c>
      <c r="AC201">
        <v>2009</v>
      </c>
      <c r="AE201" s="2">
        <v>3080</v>
      </c>
    </row>
    <row r="202" spans="2:31" ht="14.5">
      <c r="B202" s="2">
        <v>11609</v>
      </c>
      <c r="C202" s="2" t="s">
        <v>263</v>
      </c>
      <c r="D202" s="2" t="s">
        <v>264</v>
      </c>
      <c r="E202" s="2" t="s">
        <v>60</v>
      </c>
      <c r="F202" s="2" t="s">
        <v>29</v>
      </c>
      <c r="G202" s="2" t="s">
        <v>30</v>
      </c>
      <c r="H202" s="2" t="s">
        <v>218</v>
      </c>
      <c r="I202" s="2" t="s">
        <v>219</v>
      </c>
      <c r="J202" s="2" t="s">
        <v>220</v>
      </c>
      <c r="K202" s="2" t="s">
        <v>34</v>
      </c>
      <c r="L202" s="3"/>
      <c r="M202" s="3">
        <v>39875</v>
      </c>
      <c r="N202" s="3">
        <v>39875</v>
      </c>
      <c r="O202" s="3">
        <v>39875</v>
      </c>
      <c r="P202" s="2" t="s">
        <v>453</v>
      </c>
      <c r="Q202" s="2" t="s">
        <v>408</v>
      </c>
      <c r="R202" s="2" t="s">
        <v>37</v>
      </c>
      <c r="S202" s="2" t="s">
        <v>409</v>
      </c>
      <c r="T202" s="2" t="s">
        <v>47</v>
      </c>
      <c r="U202" s="2">
        <v>30</v>
      </c>
      <c r="V202" s="2">
        <v>14814</v>
      </c>
      <c r="W202" s="2">
        <v>29628</v>
      </c>
      <c r="X202" s="2">
        <v>2</v>
      </c>
      <c r="Y202" s="2">
        <v>7.0000000000000007E-2</v>
      </c>
      <c r="AB202">
        <v>1</v>
      </c>
      <c r="AC202">
        <v>2009</v>
      </c>
      <c r="AE202" s="2">
        <v>1036.98</v>
      </c>
    </row>
    <row r="203" spans="2:31" ht="14.5">
      <c r="B203" s="2">
        <v>11616</v>
      </c>
      <c r="C203" s="2" t="s">
        <v>485</v>
      </c>
      <c r="D203" s="2" t="s">
        <v>486</v>
      </c>
      <c r="E203" s="2" t="s">
        <v>118</v>
      </c>
      <c r="F203" s="2" t="s">
        <v>29</v>
      </c>
      <c r="G203" s="2" t="s">
        <v>30</v>
      </c>
      <c r="H203" s="2" t="s">
        <v>218</v>
      </c>
      <c r="I203" s="2" t="s">
        <v>219</v>
      </c>
      <c r="J203" s="2" t="s">
        <v>220</v>
      </c>
      <c r="K203" s="2" t="s">
        <v>34</v>
      </c>
      <c r="L203" s="3"/>
      <c r="M203" s="3">
        <v>39822</v>
      </c>
      <c r="N203" s="3">
        <v>39822</v>
      </c>
      <c r="O203" s="3">
        <v>39822</v>
      </c>
      <c r="P203" s="2" t="s">
        <v>139</v>
      </c>
      <c r="Q203" s="2" t="s">
        <v>140</v>
      </c>
      <c r="R203" s="2" t="s">
        <v>37</v>
      </c>
      <c r="S203" s="2" t="s">
        <v>141</v>
      </c>
      <c r="T203" s="2" t="s">
        <v>47</v>
      </c>
      <c r="U203" s="2">
        <v>60</v>
      </c>
      <c r="V203" s="2">
        <v>3374</v>
      </c>
      <c r="W203" s="2">
        <v>24292.799999999999</v>
      </c>
      <c r="X203" s="2">
        <v>7.2</v>
      </c>
      <c r="Y203" s="2">
        <v>0.12</v>
      </c>
      <c r="Z203" s="2">
        <v>250</v>
      </c>
      <c r="AA203" s="2">
        <v>2331.0300000000002</v>
      </c>
      <c r="AB203">
        <v>1</v>
      </c>
      <c r="AC203">
        <v>2009</v>
      </c>
      <c r="AE203" s="2">
        <v>404.88</v>
      </c>
    </row>
    <row r="204" spans="2:31" ht="14.5">
      <c r="B204" s="2">
        <v>11617</v>
      </c>
      <c r="C204" s="2" t="s">
        <v>268</v>
      </c>
      <c r="D204" s="2" t="s">
        <v>269</v>
      </c>
      <c r="E204" s="2" t="s">
        <v>118</v>
      </c>
      <c r="F204" s="2" t="s">
        <v>29</v>
      </c>
      <c r="G204" s="2" t="s">
        <v>30</v>
      </c>
      <c r="H204" s="2" t="s">
        <v>218</v>
      </c>
      <c r="I204" s="2" t="s">
        <v>219</v>
      </c>
      <c r="J204" s="2" t="s">
        <v>220</v>
      </c>
      <c r="K204" s="2" t="s">
        <v>34</v>
      </c>
      <c r="L204" s="3"/>
      <c r="M204" s="3">
        <v>39822</v>
      </c>
      <c r="N204" s="3">
        <v>39822</v>
      </c>
      <c r="O204" s="3">
        <v>39822</v>
      </c>
      <c r="P204" s="2" t="s">
        <v>95</v>
      </c>
      <c r="Q204" s="2" t="s">
        <v>96</v>
      </c>
      <c r="R204" s="2" t="s">
        <v>37</v>
      </c>
      <c r="S204" s="2" t="s">
        <v>97</v>
      </c>
      <c r="T204" s="2" t="s">
        <v>39</v>
      </c>
      <c r="U204" s="2">
        <v>30</v>
      </c>
      <c r="V204" s="2">
        <v>1444</v>
      </c>
      <c r="W204" s="2">
        <v>15884</v>
      </c>
      <c r="X204" s="2">
        <v>11</v>
      </c>
      <c r="Y204" s="2">
        <v>0.37</v>
      </c>
      <c r="AB204">
        <v>1</v>
      </c>
      <c r="AC204">
        <v>2009</v>
      </c>
      <c r="AE204" s="2">
        <v>534.28</v>
      </c>
    </row>
    <row r="205" spans="2:31" ht="14.5">
      <c r="B205" s="2">
        <v>11618</v>
      </c>
      <c r="C205" s="2" t="s">
        <v>487</v>
      </c>
      <c r="D205" s="2" t="s">
        <v>488</v>
      </c>
      <c r="E205" s="2" t="s">
        <v>60</v>
      </c>
      <c r="F205" s="2" t="s">
        <v>29</v>
      </c>
      <c r="G205" s="2" t="s">
        <v>30</v>
      </c>
      <c r="H205" s="2" t="s">
        <v>218</v>
      </c>
      <c r="I205" s="2" t="s">
        <v>219</v>
      </c>
      <c r="J205" s="2" t="s">
        <v>220</v>
      </c>
      <c r="K205" s="2" t="s">
        <v>34</v>
      </c>
      <c r="L205" s="3"/>
      <c r="M205" s="3">
        <v>39862</v>
      </c>
      <c r="N205" s="3">
        <v>39862</v>
      </c>
      <c r="O205" s="3">
        <v>39862</v>
      </c>
      <c r="P205" s="2" t="s">
        <v>139</v>
      </c>
      <c r="Q205" s="2" t="s">
        <v>140</v>
      </c>
      <c r="R205" s="2" t="s">
        <v>37</v>
      </c>
      <c r="S205" s="2" t="s">
        <v>141</v>
      </c>
      <c r="T205" s="2" t="s">
        <v>47</v>
      </c>
      <c r="U205" s="2">
        <v>60</v>
      </c>
      <c r="V205" s="2">
        <v>8258</v>
      </c>
      <c r="W205" s="2">
        <v>58796.959999999999</v>
      </c>
      <c r="X205" s="2">
        <v>7.12</v>
      </c>
      <c r="Y205" s="2">
        <v>0.12</v>
      </c>
      <c r="Z205" s="2">
        <v>5147</v>
      </c>
      <c r="AA205" s="2">
        <v>29336.46</v>
      </c>
      <c r="AB205">
        <v>1</v>
      </c>
      <c r="AC205">
        <v>2009</v>
      </c>
      <c r="AE205" s="2">
        <v>990.95999999999992</v>
      </c>
    </row>
    <row r="206" spans="2:31" ht="14.5">
      <c r="B206" s="2">
        <v>11619</v>
      </c>
      <c r="C206" s="2" t="s">
        <v>489</v>
      </c>
      <c r="D206" s="2" t="s">
        <v>490</v>
      </c>
      <c r="E206" s="2" t="s">
        <v>60</v>
      </c>
      <c r="F206" s="2" t="s">
        <v>29</v>
      </c>
      <c r="G206" s="2" t="s">
        <v>30</v>
      </c>
      <c r="H206" s="2" t="s">
        <v>218</v>
      </c>
      <c r="I206" s="2" t="s">
        <v>219</v>
      </c>
      <c r="J206" s="2" t="s">
        <v>220</v>
      </c>
      <c r="K206" s="2" t="s">
        <v>34</v>
      </c>
      <c r="L206" s="3"/>
      <c r="M206" s="3">
        <v>39876</v>
      </c>
      <c r="N206" s="3">
        <v>39876</v>
      </c>
      <c r="O206" s="3">
        <v>39876</v>
      </c>
      <c r="P206" s="2" t="s">
        <v>112</v>
      </c>
      <c r="Q206" s="2" t="s">
        <v>113</v>
      </c>
      <c r="R206" s="2" t="s">
        <v>37</v>
      </c>
      <c r="S206" s="2" t="s">
        <v>114</v>
      </c>
      <c r="T206" s="2" t="s">
        <v>47</v>
      </c>
      <c r="U206" s="2">
        <v>60</v>
      </c>
      <c r="V206" s="2">
        <v>27588</v>
      </c>
      <c r="W206" s="2">
        <v>325538.40000000002</v>
      </c>
      <c r="X206" s="2">
        <v>11.8</v>
      </c>
      <c r="Y206" s="2">
        <v>0.2</v>
      </c>
      <c r="Z206" s="2">
        <v>3146</v>
      </c>
      <c r="AA206" s="2">
        <v>14538.36</v>
      </c>
      <c r="AB206">
        <v>1</v>
      </c>
      <c r="AC206">
        <v>2009</v>
      </c>
      <c r="AE206" s="2">
        <v>5517.6</v>
      </c>
    </row>
    <row r="207" spans="2:31" ht="14.5">
      <c r="B207" s="2">
        <v>11626</v>
      </c>
      <c r="C207" s="2" t="s">
        <v>491</v>
      </c>
      <c r="D207" s="2" t="s">
        <v>492</v>
      </c>
      <c r="E207" s="2" t="s">
        <v>42</v>
      </c>
      <c r="F207" s="2" t="s">
        <v>29</v>
      </c>
      <c r="G207" s="2" t="s">
        <v>30</v>
      </c>
      <c r="H207" s="2" t="s">
        <v>218</v>
      </c>
      <c r="I207" s="2" t="s">
        <v>219</v>
      </c>
      <c r="J207" s="2" t="s">
        <v>220</v>
      </c>
      <c r="K207" s="2" t="s">
        <v>267</v>
      </c>
      <c r="L207" s="3"/>
      <c r="M207" s="3">
        <v>39749</v>
      </c>
      <c r="N207" s="3">
        <v>39749</v>
      </c>
      <c r="O207" s="3">
        <v>39749</v>
      </c>
      <c r="P207" s="2" t="s">
        <v>35</v>
      </c>
      <c r="Q207" s="2" t="s">
        <v>36</v>
      </c>
      <c r="R207" s="2" t="s">
        <v>37</v>
      </c>
      <c r="S207" s="2" t="s">
        <v>38</v>
      </c>
      <c r="T207" s="2" t="s">
        <v>39</v>
      </c>
      <c r="U207" s="2">
        <v>60</v>
      </c>
      <c r="V207" s="2">
        <v>288</v>
      </c>
      <c r="W207" s="2">
        <v>921.6</v>
      </c>
      <c r="X207" s="2">
        <v>3.2</v>
      </c>
      <c r="Y207" s="2">
        <v>0.05</v>
      </c>
      <c r="Z207" s="2">
        <v>28</v>
      </c>
      <c r="AA207" s="2">
        <v>896.26</v>
      </c>
      <c r="AB207">
        <v>1</v>
      </c>
      <c r="AC207">
        <v>2008</v>
      </c>
      <c r="AE207" s="2">
        <v>14.4</v>
      </c>
    </row>
    <row r="208" spans="2:31" ht="14.5">
      <c r="B208" s="2">
        <v>11637</v>
      </c>
      <c r="C208" s="2" t="s">
        <v>493</v>
      </c>
      <c r="D208" s="2" t="s">
        <v>494</v>
      </c>
      <c r="E208" s="2" t="s">
        <v>118</v>
      </c>
      <c r="F208" s="2" t="s">
        <v>29</v>
      </c>
      <c r="G208" s="2" t="s">
        <v>30</v>
      </c>
      <c r="H208" s="2" t="s">
        <v>218</v>
      </c>
      <c r="I208" s="2" t="s">
        <v>219</v>
      </c>
      <c r="J208" s="2" t="s">
        <v>220</v>
      </c>
      <c r="K208" s="2" t="s">
        <v>34</v>
      </c>
      <c r="L208" s="3"/>
      <c r="M208" s="3">
        <v>39965</v>
      </c>
      <c r="N208" s="3">
        <v>39965</v>
      </c>
      <c r="O208" s="3">
        <v>39965</v>
      </c>
      <c r="P208" s="2" t="s">
        <v>44</v>
      </c>
      <c r="Q208" s="2" t="s">
        <v>45</v>
      </c>
      <c r="R208" s="2" t="s">
        <v>37</v>
      </c>
      <c r="S208" s="2" t="s">
        <v>46</v>
      </c>
      <c r="T208" s="2" t="s">
        <v>47</v>
      </c>
      <c r="U208" s="2">
        <v>60</v>
      </c>
      <c r="V208" s="2">
        <v>685</v>
      </c>
      <c r="W208" s="2">
        <v>6000.6</v>
      </c>
      <c r="X208" s="2">
        <v>8.76</v>
      </c>
      <c r="Y208" s="2">
        <v>0.15</v>
      </c>
      <c r="Z208" s="2">
        <v>67</v>
      </c>
      <c r="AA208" s="2">
        <v>1122.8699999999999</v>
      </c>
      <c r="AB208">
        <v>1</v>
      </c>
      <c r="AC208">
        <v>2009</v>
      </c>
      <c r="AE208" s="2">
        <v>102.75</v>
      </c>
    </row>
    <row r="209" spans="2:31" ht="14.5">
      <c r="B209" s="2">
        <v>11646</v>
      </c>
      <c r="C209" s="2" t="s">
        <v>495</v>
      </c>
      <c r="D209" s="2" t="s">
        <v>496</v>
      </c>
      <c r="E209" s="2" t="s">
        <v>118</v>
      </c>
      <c r="F209" s="2" t="s">
        <v>29</v>
      </c>
      <c r="G209" s="2" t="s">
        <v>30</v>
      </c>
      <c r="H209" s="2" t="s">
        <v>218</v>
      </c>
      <c r="I209" s="2" t="s">
        <v>219</v>
      </c>
      <c r="J209" s="2" t="s">
        <v>220</v>
      </c>
      <c r="K209" s="2" t="s">
        <v>34</v>
      </c>
      <c r="L209" s="3"/>
      <c r="M209" s="3">
        <v>39987</v>
      </c>
      <c r="N209" s="3">
        <v>39987</v>
      </c>
      <c r="O209" s="3">
        <v>39987</v>
      </c>
      <c r="P209" s="2" t="s">
        <v>112</v>
      </c>
      <c r="Q209" s="2" t="s">
        <v>113</v>
      </c>
      <c r="R209" s="2" t="s">
        <v>37</v>
      </c>
      <c r="S209" s="2" t="s">
        <v>114</v>
      </c>
      <c r="T209" s="2" t="s">
        <v>47</v>
      </c>
      <c r="U209" s="2">
        <v>60</v>
      </c>
      <c r="V209" s="2">
        <v>10371</v>
      </c>
      <c r="W209" s="2">
        <v>117710.85</v>
      </c>
      <c r="X209" s="2">
        <v>11.35</v>
      </c>
      <c r="Y209" s="2">
        <v>0.19</v>
      </c>
      <c r="Z209" s="2">
        <v>1273</v>
      </c>
      <c r="AA209" s="2">
        <v>7493.5</v>
      </c>
      <c r="AB209">
        <v>1</v>
      </c>
      <c r="AC209">
        <v>2009</v>
      </c>
      <c r="AE209" s="2">
        <v>1970.49</v>
      </c>
    </row>
    <row r="210" spans="2:31" ht="14.5">
      <c r="B210" s="2">
        <v>11654</v>
      </c>
      <c r="C210" s="2" t="s">
        <v>497</v>
      </c>
      <c r="D210" s="2" t="s">
        <v>498</v>
      </c>
      <c r="E210" s="2" t="s">
        <v>118</v>
      </c>
      <c r="F210" s="2" t="s">
        <v>29</v>
      </c>
      <c r="G210" s="2" t="s">
        <v>30</v>
      </c>
      <c r="H210" s="2" t="s">
        <v>218</v>
      </c>
      <c r="I210" s="2" t="s">
        <v>219</v>
      </c>
      <c r="J210" s="2" t="s">
        <v>220</v>
      </c>
      <c r="K210" s="2" t="s">
        <v>34</v>
      </c>
      <c r="L210" s="3"/>
      <c r="M210" s="3">
        <v>39987</v>
      </c>
      <c r="N210" s="3">
        <v>39987</v>
      </c>
      <c r="O210" s="3">
        <v>39987</v>
      </c>
      <c r="P210" s="2" t="s">
        <v>44</v>
      </c>
      <c r="Q210" s="2" t="s">
        <v>45</v>
      </c>
      <c r="R210" s="2" t="s">
        <v>37</v>
      </c>
      <c r="S210" s="2" t="s">
        <v>46</v>
      </c>
      <c r="T210" s="2" t="s">
        <v>47</v>
      </c>
      <c r="U210" s="2">
        <v>60</v>
      </c>
      <c r="V210" s="2">
        <v>6000</v>
      </c>
      <c r="W210" s="2">
        <v>52560</v>
      </c>
      <c r="X210" s="2">
        <v>8.76</v>
      </c>
      <c r="Y210" s="2">
        <v>0.15</v>
      </c>
      <c r="Z210" s="2">
        <v>486</v>
      </c>
      <c r="AA210" s="2">
        <v>3338.35</v>
      </c>
      <c r="AB210">
        <v>1</v>
      </c>
      <c r="AC210">
        <v>2009</v>
      </c>
      <c r="AE210" s="2">
        <v>900</v>
      </c>
    </row>
    <row r="211" spans="2:31" ht="14.5">
      <c r="B211" s="2">
        <v>11655</v>
      </c>
      <c r="C211" s="2" t="s">
        <v>374</v>
      </c>
      <c r="D211" s="2" t="s">
        <v>375</v>
      </c>
      <c r="E211" s="2" t="s">
        <v>118</v>
      </c>
      <c r="F211" s="2" t="s">
        <v>29</v>
      </c>
      <c r="G211" s="2" t="s">
        <v>30</v>
      </c>
      <c r="H211" s="2" t="s">
        <v>218</v>
      </c>
      <c r="I211" s="2" t="s">
        <v>219</v>
      </c>
      <c r="J211" s="2" t="s">
        <v>220</v>
      </c>
      <c r="K211" s="2" t="s">
        <v>34</v>
      </c>
      <c r="L211" s="3"/>
      <c r="M211" s="3">
        <v>39986</v>
      </c>
      <c r="N211" s="3">
        <v>39986</v>
      </c>
      <c r="O211" s="3">
        <v>39986</v>
      </c>
      <c r="P211" s="2" t="s">
        <v>95</v>
      </c>
      <c r="Q211" s="2" t="s">
        <v>96</v>
      </c>
      <c r="R211" s="2" t="s">
        <v>37</v>
      </c>
      <c r="S211" s="2" t="s">
        <v>97</v>
      </c>
      <c r="T211" s="2" t="s">
        <v>39</v>
      </c>
      <c r="U211" s="2">
        <v>30</v>
      </c>
      <c r="V211" s="2">
        <v>7300</v>
      </c>
      <c r="W211" s="2">
        <v>50005</v>
      </c>
      <c r="X211" s="2">
        <v>6.85</v>
      </c>
      <c r="Y211" s="2">
        <v>0.23</v>
      </c>
      <c r="AB211">
        <v>1</v>
      </c>
      <c r="AC211">
        <v>2009</v>
      </c>
      <c r="AE211" s="2">
        <v>1679</v>
      </c>
    </row>
    <row r="212" spans="2:31" ht="14.5">
      <c r="B212" s="2">
        <v>11661</v>
      </c>
      <c r="C212" s="2" t="s">
        <v>499</v>
      </c>
      <c r="D212" s="2" t="s">
        <v>500</v>
      </c>
      <c r="E212" s="2" t="s">
        <v>118</v>
      </c>
      <c r="F212" s="2" t="s">
        <v>29</v>
      </c>
      <c r="G212" s="2" t="s">
        <v>30</v>
      </c>
      <c r="H212" s="2" t="s">
        <v>218</v>
      </c>
      <c r="I212" s="2" t="s">
        <v>219</v>
      </c>
      <c r="J212" s="2" t="s">
        <v>220</v>
      </c>
      <c r="K212" s="2" t="s">
        <v>34</v>
      </c>
      <c r="L212" s="3"/>
      <c r="M212" s="3">
        <v>40039</v>
      </c>
      <c r="N212" s="3">
        <v>40039</v>
      </c>
      <c r="O212" s="3">
        <v>40039</v>
      </c>
      <c r="P212" s="2" t="s">
        <v>35</v>
      </c>
      <c r="Q212" s="2" t="s">
        <v>36</v>
      </c>
      <c r="R212" s="2" t="s">
        <v>37</v>
      </c>
      <c r="S212" s="2" t="s">
        <v>38</v>
      </c>
      <c r="T212" s="2" t="s">
        <v>39</v>
      </c>
      <c r="U212" s="2">
        <v>60</v>
      </c>
      <c r="V212" s="2">
        <v>2844</v>
      </c>
      <c r="W212" s="2">
        <v>8247.6</v>
      </c>
      <c r="X212" s="2">
        <v>2.9</v>
      </c>
      <c r="Y212" s="2">
        <v>0.05</v>
      </c>
      <c r="Z212" s="2">
        <v>1587</v>
      </c>
      <c r="AA212" s="2">
        <v>11206.84</v>
      </c>
      <c r="AB212">
        <v>1</v>
      </c>
      <c r="AC212">
        <v>2009</v>
      </c>
      <c r="AE212" s="2">
        <v>142.20000000000002</v>
      </c>
    </row>
    <row r="213" spans="2:31" ht="14.5">
      <c r="B213" s="2">
        <v>11669</v>
      </c>
      <c r="C213" s="2" t="s">
        <v>501</v>
      </c>
      <c r="D213" s="2" t="s">
        <v>502</v>
      </c>
      <c r="E213" s="2" t="s">
        <v>118</v>
      </c>
      <c r="F213" s="2" t="s">
        <v>29</v>
      </c>
      <c r="G213" s="2" t="s">
        <v>30</v>
      </c>
      <c r="H213" s="2" t="s">
        <v>218</v>
      </c>
      <c r="I213" s="2" t="s">
        <v>219</v>
      </c>
      <c r="J213" s="2" t="s">
        <v>220</v>
      </c>
      <c r="K213" s="2" t="s">
        <v>34</v>
      </c>
      <c r="L213" s="3"/>
      <c r="M213" s="3">
        <v>40071</v>
      </c>
      <c r="N213" s="3">
        <v>40071</v>
      </c>
      <c r="O213" s="3">
        <v>40071</v>
      </c>
      <c r="P213" s="2" t="s">
        <v>235</v>
      </c>
      <c r="Q213" s="2" t="s">
        <v>236</v>
      </c>
      <c r="R213" s="2" t="s">
        <v>237</v>
      </c>
      <c r="S213" s="2" t="s">
        <v>238</v>
      </c>
      <c r="T213" s="2" t="s">
        <v>47</v>
      </c>
      <c r="U213" s="2">
        <v>30</v>
      </c>
      <c r="V213" s="2">
        <v>1201</v>
      </c>
      <c r="W213" s="2">
        <v>31526.25</v>
      </c>
      <c r="X213" s="2">
        <v>26.25</v>
      </c>
      <c r="Y213" s="2">
        <v>0.88</v>
      </c>
      <c r="Z213" s="2">
        <v>327</v>
      </c>
      <c r="AA213" s="2">
        <v>2737.97</v>
      </c>
      <c r="AB213">
        <v>1</v>
      </c>
      <c r="AC213">
        <v>2009</v>
      </c>
      <c r="AE213" s="2">
        <v>1056.8800000000001</v>
      </c>
    </row>
    <row r="214" spans="2:31" ht="14.5">
      <c r="B214" s="2">
        <v>11678</v>
      </c>
      <c r="C214" s="2" t="s">
        <v>503</v>
      </c>
      <c r="D214" s="2" t="s">
        <v>504</v>
      </c>
      <c r="E214" s="2" t="s">
        <v>118</v>
      </c>
      <c r="F214" s="2" t="s">
        <v>29</v>
      </c>
      <c r="G214" s="2" t="s">
        <v>30</v>
      </c>
      <c r="H214" s="2" t="s">
        <v>218</v>
      </c>
      <c r="I214" s="2" t="s">
        <v>219</v>
      </c>
      <c r="J214" s="2" t="s">
        <v>220</v>
      </c>
      <c r="K214" s="2" t="s">
        <v>34</v>
      </c>
      <c r="L214" s="3"/>
      <c r="M214" s="3">
        <v>40049</v>
      </c>
      <c r="N214" s="3">
        <v>40049</v>
      </c>
      <c r="O214" s="3">
        <v>40049</v>
      </c>
      <c r="P214" s="2" t="s">
        <v>35</v>
      </c>
      <c r="Q214" s="2" t="s">
        <v>36</v>
      </c>
      <c r="R214" s="2" t="s">
        <v>37</v>
      </c>
      <c r="S214" s="2" t="s">
        <v>38</v>
      </c>
      <c r="T214" s="2" t="s">
        <v>39</v>
      </c>
      <c r="U214" s="2">
        <v>60</v>
      </c>
      <c r="V214" s="2">
        <v>4564</v>
      </c>
      <c r="W214" s="2">
        <v>13235.6</v>
      </c>
      <c r="X214" s="2">
        <v>2.9</v>
      </c>
      <c r="Y214" s="2">
        <v>0.05</v>
      </c>
      <c r="Z214" s="2">
        <v>847</v>
      </c>
      <c r="AA214" s="2">
        <v>4999.4799999999996</v>
      </c>
      <c r="AB214">
        <v>1</v>
      </c>
      <c r="AC214">
        <v>2009</v>
      </c>
      <c r="AE214" s="2">
        <v>228.20000000000002</v>
      </c>
    </row>
    <row r="215" spans="2:31" ht="14.5">
      <c r="B215" s="2">
        <v>11680</v>
      </c>
      <c r="C215" s="2" t="s">
        <v>505</v>
      </c>
      <c r="D215" s="2" t="s">
        <v>506</v>
      </c>
      <c r="E215" s="2" t="s">
        <v>118</v>
      </c>
      <c r="F215" s="2" t="s">
        <v>29</v>
      </c>
      <c r="G215" s="2" t="s">
        <v>30</v>
      </c>
      <c r="H215" s="2" t="s">
        <v>218</v>
      </c>
      <c r="I215" s="2" t="s">
        <v>219</v>
      </c>
      <c r="J215" s="2" t="s">
        <v>220</v>
      </c>
      <c r="K215" s="2" t="s">
        <v>34</v>
      </c>
      <c r="L215" s="3"/>
      <c r="M215" s="3">
        <v>40067</v>
      </c>
      <c r="N215" s="3">
        <v>40067</v>
      </c>
      <c r="O215" s="3">
        <v>40067</v>
      </c>
      <c r="P215" s="2" t="s">
        <v>44</v>
      </c>
      <c r="Q215" s="2" t="s">
        <v>45</v>
      </c>
      <c r="R215" s="2" t="s">
        <v>37</v>
      </c>
      <c r="S215" s="2" t="s">
        <v>46</v>
      </c>
      <c r="T215" s="2" t="s">
        <v>47</v>
      </c>
      <c r="U215" s="2">
        <v>60</v>
      </c>
      <c r="V215" s="2">
        <v>13000</v>
      </c>
      <c r="W215" s="2">
        <v>113880</v>
      </c>
      <c r="X215" s="2">
        <v>8.76</v>
      </c>
      <c r="Y215" s="2">
        <v>0.15</v>
      </c>
      <c r="Z215" s="2">
        <v>1051</v>
      </c>
      <c r="AA215" s="2">
        <v>6575.7</v>
      </c>
      <c r="AB215">
        <v>1</v>
      </c>
      <c r="AC215">
        <v>2009</v>
      </c>
      <c r="AE215" s="2">
        <v>1950</v>
      </c>
    </row>
    <row r="216" spans="2:31" ht="14.5">
      <c r="B216" s="2">
        <v>11689</v>
      </c>
      <c r="C216" s="2" t="s">
        <v>507</v>
      </c>
      <c r="D216" s="2" t="s">
        <v>508</v>
      </c>
      <c r="E216" s="2" t="s">
        <v>118</v>
      </c>
      <c r="F216" s="2" t="s">
        <v>29</v>
      </c>
      <c r="G216" s="2" t="s">
        <v>30</v>
      </c>
      <c r="H216" s="2" t="s">
        <v>218</v>
      </c>
      <c r="I216" s="2" t="s">
        <v>219</v>
      </c>
      <c r="J216" s="2" t="s">
        <v>220</v>
      </c>
      <c r="K216" s="2" t="s">
        <v>34</v>
      </c>
      <c r="L216" s="3"/>
      <c r="M216" s="3">
        <v>40098</v>
      </c>
      <c r="N216" s="3">
        <v>40098</v>
      </c>
      <c r="O216" s="3">
        <v>40098</v>
      </c>
      <c r="P216" s="2" t="s">
        <v>112</v>
      </c>
      <c r="Q216" s="2" t="s">
        <v>113</v>
      </c>
      <c r="R216" s="2" t="s">
        <v>37</v>
      </c>
      <c r="S216" s="2" t="s">
        <v>114</v>
      </c>
      <c r="T216" s="2" t="s">
        <v>47</v>
      </c>
      <c r="U216" s="2">
        <v>60</v>
      </c>
      <c r="V216" s="2">
        <v>350</v>
      </c>
      <c r="W216" s="2">
        <v>3972.5</v>
      </c>
      <c r="X216" s="2">
        <v>11.35</v>
      </c>
      <c r="Y216" s="2">
        <v>0.19</v>
      </c>
      <c r="Z216" s="2">
        <v>45</v>
      </c>
      <c r="AA216" s="2">
        <v>749.25</v>
      </c>
      <c r="AB216">
        <v>1</v>
      </c>
      <c r="AC216">
        <v>2009</v>
      </c>
      <c r="AE216" s="2">
        <v>66.5</v>
      </c>
    </row>
    <row r="217" spans="2:31" ht="14.5">
      <c r="B217" s="2">
        <v>11690</v>
      </c>
      <c r="C217" s="2" t="s">
        <v>278</v>
      </c>
      <c r="D217" s="2" t="s">
        <v>279</v>
      </c>
      <c r="E217" s="2" t="s">
        <v>28</v>
      </c>
      <c r="F217" s="2" t="s">
        <v>29</v>
      </c>
      <c r="G217" s="2" t="s">
        <v>30</v>
      </c>
      <c r="H217" s="2" t="s">
        <v>218</v>
      </c>
      <c r="I217" s="2" t="s">
        <v>219</v>
      </c>
      <c r="J217" s="2" t="s">
        <v>220</v>
      </c>
      <c r="K217" s="2" t="s">
        <v>267</v>
      </c>
      <c r="L217" s="3"/>
      <c r="M217" s="3">
        <v>40112</v>
      </c>
      <c r="N217" s="3">
        <v>40112</v>
      </c>
      <c r="O217" s="3">
        <v>40112</v>
      </c>
      <c r="P217" s="2" t="s">
        <v>98</v>
      </c>
      <c r="Q217" s="2" t="s">
        <v>99</v>
      </c>
      <c r="R217" s="2" t="s">
        <v>37</v>
      </c>
      <c r="S217" s="2" t="s">
        <v>100</v>
      </c>
      <c r="T217" s="2" t="s">
        <v>39</v>
      </c>
      <c r="U217" s="2">
        <v>60</v>
      </c>
      <c r="V217" s="2">
        <v>3752</v>
      </c>
      <c r="W217" s="2">
        <v>95488.4</v>
      </c>
      <c r="X217" s="2">
        <v>25.45</v>
      </c>
      <c r="Y217" s="2">
        <v>0.42</v>
      </c>
      <c r="AB217">
        <v>1</v>
      </c>
      <c r="AC217">
        <v>2009</v>
      </c>
      <c r="AE217" s="2">
        <v>1575.84</v>
      </c>
    </row>
    <row r="218" spans="2:31" ht="14.5">
      <c r="B218" s="2">
        <v>11691</v>
      </c>
      <c r="C218" s="2" t="s">
        <v>509</v>
      </c>
      <c r="D218" s="2" t="s">
        <v>510</v>
      </c>
      <c r="E218" s="2" t="s">
        <v>60</v>
      </c>
      <c r="F218" s="2" t="s">
        <v>29</v>
      </c>
      <c r="G218" s="2" t="s">
        <v>50</v>
      </c>
      <c r="H218" s="2" t="s">
        <v>218</v>
      </c>
      <c r="I218" s="2" t="s">
        <v>219</v>
      </c>
      <c r="J218" s="2" t="s">
        <v>220</v>
      </c>
      <c r="K218" s="2" t="s">
        <v>34</v>
      </c>
      <c r="L218" s="3"/>
      <c r="M218" s="3">
        <v>40106</v>
      </c>
      <c r="N218" s="3">
        <v>40106</v>
      </c>
      <c r="O218" s="3">
        <v>40106</v>
      </c>
      <c r="P218" s="2" t="s">
        <v>291</v>
      </c>
      <c r="Q218" s="2" t="s">
        <v>99</v>
      </c>
      <c r="R218" s="2" t="s">
        <v>37</v>
      </c>
      <c r="S218" s="2" t="s">
        <v>172</v>
      </c>
      <c r="T218" s="2" t="s">
        <v>87</v>
      </c>
      <c r="U218" s="2">
        <v>240</v>
      </c>
      <c r="V218" s="2">
        <v>100</v>
      </c>
      <c r="W218" s="2">
        <v>1464</v>
      </c>
      <c r="X218" s="2">
        <v>14.64</v>
      </c>
      <c r="Y218" s="2">
        <v>0.06</v>
      </c>
      <c r="Z218" s="2">
        <v>18</v>
      </c>
      <c r="AA218" s="2">
        <v>523.45000000000005</v>
      </c>
      <c r="AB218">
        <v>1</v>
      </c>
      <c r="AC218">
        <v>2009</v>
      </c>
      <c r="AE218" s="2">
        <v>6</v>
      </c>
    </row>
    <row r="219" spans="2:31" ht="14.5">
      <c r="B219" s="2">
        <v>11697</v>
      </c>
      <c r="C219" s="2" t="s">
        <v>511</v>
      </c>
      <c r="D219" s="2" t="s">
        <v>512</v>
      </c>
      <c r="E219" s="2" t="s">
        <v>60</v>
      </c>
      <c r="F219" s="2" t="s">
        <v>29</v>
      </c>
      <c r="G219" s="2" t="s">
        <v>30</v>
      </c>
      <c r="H219" s="2" t="s">
        <v>218</v>
      </c>
      <c r="I219" s="2" t="s">
        <v>219</v>
      </c>
      <c r="J219" s="2" t="s">
        <v>220</v>
      </c>
      <c r="K219" s="2" t="s">
        <v>34</v>
      </c>
      <c r="L219" s="3"/>
      <c r="M219" s="3">
        <v>40143</v>
      </c>
      <c r="N219" s="3">
        <v>40143</v>
      </c>
      <c r="O219" s="3">
        <v>40143</v>
      </c>
      <c r="P219" s="2" t="s">
        <v>35</v>
      </c>
      <c r="Q219" s="2" t="s">
        <v>36</v>
      </c>
      <c r="R219" s="2" t="s">
        <v>37</v>
      </c>
      <c r="S219" s="2" t="s">
        <v>38</v>
      </c>
      <c r="T219" s="2" t="s">
        <v>39</v>
      </c>
      <c r="U219" s="2">
        <v>60</v>
      </c>
      <c r="V219" s="2">
        <v>6661</v>
      </c>
      <c r="W219" s="2">
        <v>19316.900000000001</v>
      </c>
      <c r="X219" s="2">
        <v>2.9</v>
      </c>
      <c r="Y219" s="2">
        <v>0.05</v>
      </c>
      <c r="Z219" s="2">
        <v>778</v>
      </c>
      <c r="AA219" s="2">
        <v>4702.0200000000004</v>
      </c>
      <c r="AB219">
        <v>1</v>
      </c>
      <c r="AC219">
        <v>2009</v>
      </c>
      <c r="AE219" s="2">
        <v>333.05</v>
      </c>
    </row>
    <row r="220" spans="2:31" ht="14.5">
      <c r="B220" s="2">
        <v>11732</v>
      </c>
      <c r="C220" s="2" t="s">
        <v>513</v>
      </c>
      <c r="D220" s="2" t="s">
        <v>514</v>
      </c>
      <c r="E220" s="2" t="s">
        <v>28</v>
      </c>
      <c r="F220" s="2" t="s">
        <v>29</v>
      </c>
      <c r="G220" s="2" t="s">
        <v>30</v>
      </c>
      <c r="H220" s="2" t="s">
        <v>218</v>
      </c>
      <c r="I220" s="2" t="s">
        <v>219</v>
      </c>
      <c r="J220" s="2" t="s">
        <v>220</v>
      </c>
      <c r="K220" s="2" t="s">
        <v>34</v>
      </c>
      <c r="L220" s="3"/>
      <c r="M220" s="3">
        <v>39269</v>
      </c>
      <c r="N220" s="3">
        <v>39269</v>
      </c>
      <c r="O220" s="3">
        <v>39269</v>
      </c>
      <c r="P220" s="2" t="s">
        <v>95</v>
      </c>
      <c r="Q220" s="2" t="s">
        <v>96</v>
      </c>
      <c r="R220" s="2" t="s">
        <v>37</v>
      </c>
      <c r="S220" s="2" t="s">
        <v>97</v>
      </c>
      <c r="T220" s="2" t="s">
        <v>39</v>
      </c>
      <c r="U220" s="2">
        <v>30</v>
      </c>
      <c r="V220" s="2">
        <v>28665</v>
      </c>
      <c r="W220" s="2">
        <v>466092.9</v>
      </c>
      <c r="X220" s="2">
        <v>16.260000000000002</v>
      </c>
      <c r="Y220" s="2">
        <v>0.54</v>
      </c>
      <c r="Z220" s="2">
        <v>2515</v>
      </c>
      <c r="AA220" s="2">
        <v>6834</v>
      </c>
      <c r="AB220">
        <v>1</v>
      </c>
      <c r="AC220">
        <v>2007</v>
      </c>
      <c r="AE220" s="2">
        <v>15479.1</v>
      </c>
    </row>
    <row r="221" spans="2:31" ht="14.5">
      <c r="B221" s="2">
        <v>11741</v>
      </c>
      <c r="C221" s="2" t="s">
        <v>515</v>
      </c>
      <c r="D221" s="2" t="s">
        <v>516</v>
      </c>
      <c r="E221" s="2" t="s">
        <v>28</v>
      </c>
      <c r="F221" s="2" t="s">
        <v>29</v>
      </c>
      <c r="G221" s="2" t="s">
        <v>30</v>
      </c>
      <c r="H221" s="2" t="s">
        <v>218</v>
      </c>
      <c r="I221" s="2" t="s">
        <v>219</v>
      </c>
      <c r="J221" s="2" t="s">
        <v>220</v>
      </c>
      <c r="K221" s="2" t="s">
        <v>34</v>
      </c>
      <c r="L221" s="3"/>
      <c r="M221" s="3">
        <v>39316</v>
      </c>
      <c r="N221" s="3">
        <v>39316</v>
      </c>
      <c r="O221" s="3">
        <v>39316</v>
      </c>
      <c r="P221" s="2" t="s">
        <v>35</v>
      </c>
      <c r="Q221" s="2" t="s">
        <v>36</v>
      </c>
      <c r="R221" s="2" t="s">
        <v>37</v>
      </c>
      <c r="S221" s="2" t="s">
        <v>38</v>
      </c>
      <c r="T221" s="2" t="s">
        <v>39</v>
      </c>
      <c r="U221" s="2">
        <v>60</v>
      </c>
      <c r="V221" s="2">
        <v>11807</v>
      </c>
      <c r="W221" s="2">
        <v>42150.99</v>
      </c>
      <c r="X221" s="2">
        <v>3.57</v>
      </c>
      <c r="Y221" s="2">
        <v>0.06</v>
      </c>
      <c r="Z221" s="2">
        <v>1802</v>
      </c>
      <c r="AA221" s="2">
        <v>3267</v>
      </c>
      <c r="AB221">
        <v>1</v>
      </c>
      <c r="AC221">
        <v>2007</v>
      </c>
      <c r="AE221" s="2">
        <v>708.42</v>
      </c>
    </row>
    <row r="222" spans="2:31" ht="14.5">
      <c r="B222" s="2">
        <v>11744</v>
      </c>
      <c r="C222" s="2" t="s">
        <v>517</v>
      </c>
      <c r="D222" s="2" t="s">
        <v>518</v>
      </c>
      <c r="E222" s="2" t="s">
        <v>28</v>
      </c>
      <c r="F222" s="2" t="s">
        <v>29</v>
      </c>
      <c r="G222" s="2" t="s">
        <v>30</v>
      </c>
      <c r="H222" s="2" t="s">
        <v>218</v>
      </c>
      <c r="I222" s="2" t="s">
        <v>219</v>
      </c>
      <c r="J222" s="2" t="s">
        <v>220</v>
      </c>
      <c r="K222" s="2" t="s">
        <v>34</v>
      </c>
      <c r="L222" s="3"/>
      <c r="M222" s="3">
        <v>39293</v>
      </c>
      <c r="N222" s="3">
        <v>39293</v>
      </c>
      <c r="O222" s="3">
        <v>39293</v>
      </c>
      <c r="P222" s="2" t="s">
        <v>44</v>
      </c>
      <c r="Q222" s="2" t="s">
        <v>45</v>
      </c>
      <c r="R222" s="2" t="s">
        <v>37</v>
      </c>
      <c r="S222" s="2" t="s">
        <v>46</v>
      </c>
      <c r="T222" s="2" t="s">
        <v>47</v>
      </c>
      <c r="U222" s="2">
        <v>60</v>
      </c>
      <c r="V222" s="2">
        <v>10977</v>
      </c>
      <c r="W222" s="2">
        <v>117234.36</v>
      </c>
      <c r="X222" s="2">
        <v>10.68</v>
      </c>
      <c r="Y222" s="2">
        <v>0.18</v>
      </c>
      <c r="Z222" s="2">
        <v>957</v>
      </c>
      <c r="AA222" s="2">
        <v>3243</v>
      </c>
      <c r="AB222">
        <v>1</v>
      </c>
      <c r="AC222">
        <v>2007</v>
      </c>
      <c r="AE222" s="2">
        <v>1975.86</v>
      </c>
    </row>
    <row r="223" spans="2:31" ht="14.5">
      <c r="B223" s="2">
        <v>11747</v>
      </c>
      <c r="C223" s="2" t="s">
        <v>519</v>
      </c>
      <c r="D223" s="2" t="s">
        <v>520</v>
      </c>
      <c r="E223" s="2" t="s">
        <v>28</v>
      </c>
      <c r="F223" s="2" t="s">
        <v>29</v>
      </c>
      <c r="G223" s="2" t="s">
        <v>30</v>
      </c>
      <c r="H223" s="2" t="s">
        <v>218</v>
      </c>
      <c r="I223" s="2" t="s">
        <v>219</v>
      </c>
      <c r="J223" s="2" t="s">
        <v>220</v>
      </c>
      <c r="K223" s="2" t="s">
        <v>34</v>
      </c>
      <c r="L223" s="3"/>
      <c r="M223" s="3">
        <v>39293</v>
      </c>
      <c r="N223" s="3">
        <v>39293</v>
      </c>
      <c r="O223" s="3">
        <v>39293</v>
      </c>
      <c r="P223" s="2" t="s">
        <v>150</v>
      </c>
      <c r="Q223" s="2" t="s">
        <v>84</v>
      </c>
      <c r="R223" s="2" t="s">
        <v>151</v>
      </c>
      <c r="S223" s="2" t="s">
        <v>152</v>
      </c>
      <c r="T223" s="2" t="s">
        <v>39</v>
      </c>
      <c r="U223" s="2">
        <v>120</v>
      </c>
      <c r="V223" s="2">
        <v>1155</v>
      </c>
      <c r="W223" s="2">
        <v>47470.5</v>
      </c>
      <c r="X223" s="2">
        <v>41.1</v>
      </c>
      <c r="Y223" s="2">
        <v>0.34</v>
      </c>
      <c r="Z223" s="2">
        <v>255</v>
      </c>
      <c r="AA223" s="2">
        <v>1388</v>
      </c>
      <c r="AB223">
        <v>1</v>
      </c>
      <c r="AC223">
        <v>2007</v>
      </c>
      <c r="AE223" s="2">
        <v>392.70000000000005</v>
      </c>
    </row>
    <row r="224" spans="2:31" ht="14.5">
      <c r="B224" s="2">
        <v>11753</v>
      </c>
      <c r="C224" s="2" t="s">
        <v>298</v>
      </c>
      <c r="D224" s="2" t="s">
        <v>299</v>
      </c>
      <c r="E224" s="2" t="s">
        <v>28</v>
      </c>
      <c r="F224" s="2" t="s">
        <v>29</v>
      </c>
      <c r="G224" s="2" t="s">
        <v>30</v>
      </c>
      <c r="H224" s="2" t="s">
        <v>218</v>
      </c>
      <c r="I224" s="2" t="s">
        <v>219</v>
      </c>
      <c r="J224" s="2" t="s">
        <v>220</v>
      </c>
      <c r="K224" s="2" t="s">
        <v>223</v>
      </c>
      <c r="L224" s="3"/>
      <c r="M224" s="3">
        <v>39335</v>
      </c>
      <c r="N224" s="3">
        <v>39335</v>
      </c>
      <c r="O224" s="3">
        <v>39335</v>
      </c>
      <c r="P224" s="2" t="s">
        <v>44</v>
      </c>
      <c r="Q224" s="2" t="s">
        <v>45</v>
      </c>
      <c r="R224" s="2" t="s">
        <v>37</v>
      </c>
      <c r="S224" s="2" t="s">
        <v>46</v>
      </c>
      <c r="T224" s="2" t="s">
        <v>47</v>
      </c>
      <c r="U224" s="2">
        <v>60</v>
      </c>
      <c r="V224" s="2">
        <v>10000</v>
      </c>
      <c r="W224" s="2">
        <v>106800</v>
      </c>
      <c r="X224" s="2">
        <v>10.68</v>
      </c>
      <c r="Y224" s="2">
        <v>0.18</v>
      </c>
      <c r="AB224">
        <v>1</v>
      </c>
      <c r="AC224">
        <v>2007</v>
      </c>
      <c r="AE224" s="2">
        <v>1800</v>
      </c>
    </row>
    <row r="225" spans="2:31" ht="14.5">
      <c r="B225" s="2">
        <v>11754</v>
      </c>
      <c r="C225" s="2" t="s">
        <v>521</v>
      </c>
      <c r="D225" s="2" t="s">
        <v>522</v>
      </c>
      <c r="E225" s="2" t="s">
        <v>28</v>
      </c>
      <c r="F225" s="2" t="s">
        <v>29</v>
      </c>
      <c r="G225" s="2" t="s">
        <v>30</v>
      </c>
      <c r="H225" s="2" t="s">
        <v>218</v>
      </c>
      <c r="I225" s="2" t="s">
        <v>219</v>
      </c>
      <c r="J225" s="2" t="s">
        <v>220</v>
      </c>
      <c r="K225" s="2" t="s">
        <v>223</v>
      </c>
      <c r="L225" s="3"/>
      <c r="M225" s="3">
        <v>39351</v>
      </c>
      <c r="N225" s="3">
        <v>39351</v>
      </c>
      <c r="O225" s="3">
        <v>39351</v>
      </c>
      <c r="P225" s="2" t="s">
        <v>98</v>
      </c>
      <c r="Q225" s="2" t="s">
        <v>99</v>
      </c>
      <c r="R225" s="2" t="s">
        <v>37</v>
      </c>
      <c r="S225" s="2" t="s">
        <v>100</v>
      </c>
      <c r="T225" s="2" t="s">
        <v>39</v>
      </c>
      <c r="U225" s="2">
        <v>60</v>
      </c>
      <c r="V225" s="2">
        <v>7661</v>
      </c>
      <c r="W225" s="2">
        <v>274263.8</v>
      </c>
      <c r="X225" s="2">
        <v>35.799999999999997</v>
      </c>
      <c r="Y225" s="2">
        <v>0.6</v>
      </c>
      <c r="Z225" s="2">
        <v>750</v>
      </c>
      <c r="AA225" s="2">
        <v>3901.78</v>
      </c>
      <c r="AB225">
        <v>1</v>
      </c>
      <c r="AC225">
        <v>2007</v>
      </c>
      <c r="AE225" s="2">
        <v>4596.5999999999995</v>
      </c>
    </row>
    <row r="226" spans="2:31" ht="14.5">
      <c r="B226" s="2">
        <v>11824</v>
      </c>
      <c r="C226" s="2" t="s">
        <v>523</v>
      </c>
      <c r="D226" s="2" t="s">
        <v>524</v>
      </c>
      <c r="E226" s="2" t="s">
        <v>60</v>
      </c>
      <c r="F226" s="2" t="s">
        <v>29</v>
      </c>
      <c r="G226" s="2" t="s">
        <v>50</v>
      </c>
      <c r="H226" s="2" t="s">
        <v>218</v>
      </c>
      <c r="I226" s="2" t="s">
        <v>219</v>
      </c>
      <c r="J226" s="2" t="s">
        <v>220</v>
      </c>
      <c r="K226" s="2" t="s">
        <v>223</v>
      </c>
      <c r="L226" s="3"/>
      <c r="M226" s="3">
        <v>39436</v>
      </c>
      <c r="N226" s="3">
        <v>39436</v>
      </c>
      <c r="O226" s="3">
        <v>39436</v>
      </c>
      <c r="P226" s="2" t="s">
        <v>525</v>
      </c>
      <c r="Q226" s="2" t="s">
        <v>36</v>
      </c>
      <c r="R226" s="2" t="s">
        <v>37</v>
      </c>
      <c r="S226" s="2" t="s">
        <v>226</v>
      </c>
      <c r="T226" s="2" t="s">
        <v>526</v>
      </c>
      <c r="U226" s="2">
        <v>240</v>
      </c>
      <c r="V226" s="2">
        <v>11168</v>
      </c>
      <c r="W226" s="2">
        <v>69241.600000000006</v>
      </c>
      <c r="X226" s="2">
        <v>6.2</v>
      </c>
      <c r="Y226" s="2">
        <v>0.03</v>
      </c>
      <c r="Z226" s="2">
        <v>4583</v>
      </c>
      <c r="AA226" s="2">
        <v>14554.5</v>
      </c>
      <c r="AB226">
        <v>1</v>
      </c>
      <c r="AC226">
        <v>2007</v>
      </c>
      <c r="AE226" s="2">
        <v>335.03999999999996</v>
      </c>
    </row>
    <row r="227" spans="2:31" ht="14.5">
      <c r="B227" s="2">
        <v>11830</v>
      </c>
      <c r="C227" s="2" t="s">
        <v>527</v>
      </c>
      <c r="D227" s="2" t="s">
        <v>528</v>
      </c>
      <c r="E227" s="2" t="s">
        <v>60</v>
      </c>
      <c r="F227" s="2" t="s">
        <v>29</v>
      </c>
      <c r="G227" s="2" t="s">
        <v>50</v>
      </c>
      <c r="H227" s="2" t="s">
        <v>218</v>
      </c>
      <c r="I227" s="2" t="s">
        <v>219</v>
      </c>
      <c r="J227" s="2" t="s">
        <v>220</v>
      </c>
      <c r="K227" s="2" t="s">
        <v>34</v>
      </c>
      <c r="L227" s="3"/>
      <c r="M227" s="3">
        <v>39436</v>
      </c>
      <c r="N227" s="3">
        <v>39436</v>
      </c>
      <c r="O227" s="3">
        <v>39436</v>
      </c>
      <c r="P227" s="2" t="s">
        <v>224</v>
      </c>
      <c r="Q227" s="2" t="s">
        <v>225</v>
      </c>
      <c r="R227" s="2" t="s">
        <v>37</v>
      </c>
      <c r="S227" s="2" t="s">
        <v>226</v>
      </c>
      <c r="T227" s="2" t="s">
        <v>87</v>
      </c>
      <c r="U227" s="2">
        <v>240</v>
      </c>
      <c r="V227" s="2">
        <v>3286</v>
      </c>
      <c r="W227" s="2">
        <v>7064.9</v>
      </c>
      <c r="X227" s="2">
        <v>2.15</v>
      </c>
      <c r="Y227" s="2">
        <v>0.01</v>
      </c>
      <c r="Z227" s="2">
        <v>1215</v>
      </c>
      <c r="AA227" s="2">
        <v>8586</v>
      </c>
      <c r="AB227">
        <v>1</v>
      </c>
      <c r="AC227">
        <v>2007</v>
      </c>
      <c r="AE227" s="2">
        <v>32.86</v>
      </c>
    </row>
    <row r="228" spans="2:31" ht="14.5">
      <c r="B228" s="2">
        <v>11833</v>
      </c>
      <c r="C228" s="2" t="s">
        <v>441</v>
      </c>
      <c r="D228" s="2" t="s">
        <v>442</v>
      </c>
      <c r="E228" s="2" t="s">
        <v>118</v>
      </c>
      <c r="F228" s="2" t="s">
        <v>29</v>
      </c>
      <c r="G228" s="2" t="s">
        <v>30</v>
      </c>
      <c r="H228" s="2" t="s">
        <v>218</v>
      </c>
      <c r="I228" s="2" t="s">
        <v>219</v>
      </c>
      <c r="J228" s="2" t="s">
        <v>220</v>
      </c>
      <c r="K228" s="2" t="s">
        <v>34</v>
      </c>
      <c r="L228" s="3"/>
      <c r="M228" s="3">
        <v>39462</v>
      </c>
      <c r="N228" s="3">
        <v>39462</v>
      </c>
      <c r="O228" s="3">
        <v>39462</v>
      </c>
      <c r="P228" s="2" t="s">
        <v>150</v>
      </c>
      <c r="Q228" s="2" t="s">
        <v>84</v>
      </c>
      <c r="R228" s="2" t="s">
        <v>151</v>
      </c>
      <c r="S228" s="2" t="s">
        <v>152</v>
      </c>
      <c r="T228" s="2" t="s">
        <v>39</v>
      </c>
      <c r="U228" s="2">
        <v>120</v>
      </c>
      <c r="V228" s="2">
        <v>180</v>
      </c>
      <c r="W228" s="2">
        <v>7398</v>
      </c>
      <c r="X228" s="2">
        <v>41.1</v>
      </c>
      <c r="Y228" s="2">
        <v>0.34</v>
      </c>
      <c r="AB228">
        <v>1</v>
      </c>
      <c r="AC228">
        <v>2008</v>
      </c>
      <c r="AE228" s="2">
        <v>61.2</v>
      </c>
    </row>
    <row r="229" spans="2:31" ht="14.5">
      <c r="B229" s="2">
        <v>11834</v>
      </c>
      <c r="C229" s="2" t="s">
        <v>529</v>
      </c>
      <c r="D229" s="2" t="s">
        <v>530</v>
      </c>
      <c r="E229" s="2" t="s">
        <v>42</v>
      </c>
      <c r="F229" s="2" t="s">
        <v>29</v>
      </c>
      <c r="G229" s="2" t="s">
        <v>30</v>
      </c>
      <c r="H229" s="2" t="s">
        <v>218</v>
      </c>
      <c r="I229" s="2" t="s">
        <v>219</v>
      </c>
      <c r="J229" s="2" t="s">
        <v>220</v>
      </c>
      <c r="K229" s="2" t="s">
        <v>34</v>
      </c>
      <c r="L229" s="3"/>
      <c r="M229" s="3">
        <v>39478</v>
      </c>
      <c r="N229" s="3">
        <v>39478</v>
      </c>
      <c r="O229" s="3">
        <v>39478</v>
      </c>
      <c r="P229" s="2" t="s">
        <v>95</v>
      </c>
      <c r="Q229" s="2" t="s">
        <v>96</v>
      </c>
      <c r="R229" s="2" t="s">
        <v>37</v>
      </c>
      <c r="S229" s="2" t="s">
        <v>97</v>
      </c>
      <c r="T229" s="2" t="s">
        <v>39</v>
      </c>
      <c r="U229" s="2">
        <v>30</v>
      </c>
      <c r="V229" s="2">
        <v>37258</v>
      </c>
      <c r="W229" s="2">
        <v>462744.36</v>
      </c>
      <c r="X229" s="2">
        <v>12.42</v>
      </c>
      <c r="Y229" s="2">
        <v>0.41</v>
      </c>
      <c r="Z229" s="2">
        <v>3195</v>
      </c>
      <c r="AA229" s="2">
        <v>36417.89</v>
      </c>
      <c r="AB229">
        <v>1</v>
      </c>
      <c r="AC229">
        <v>2008</v>
      </c>
      <c r="AE229" s="2">
        <v>15275.779999999999</v>
      </c>
    </row>
    <row r="230" spans="2:31" ht="14.5">
      <c r="B230" s="2">
        <v>11845</v>
      </c>
      <c r="C230" s="2" t="s">
        <v>531</v>
      </c>
      <c r="D230" s="2" t="s">
        <v>532</v>
      </c>
      <c r="E230" s="2" t="s">
        <v>60</v>
      </c>
      <c r="F230" s="2" t="s">
        <v>29</v>
      </c>
      <c r="G230" s="2" t="s">
        <v>30</v>
      </c>
      <c r="H230" s="2" t="s">
        <v>218</v>
      </c>
      <c r="I230" s="2" t="s">
        <v>219</v>
      </c>
      <c r="J230" s="2" t="s">
        <v>220</v>
      </c>
      <c r="K230" s="2" t="s">
        <v>34</v>
      </c>
      <c r="L230" s="3"/>
      <c r="M230" s="3">
        <v>39479</v>
      </c>
      <c r="N230" s="3">
        <v>39479</v>
      </c>
      <c r="O230" s="3">
        <v>39479</v>
      </c>
      <c r="P230" s="2" t="s">
        <v>164</v>
      </c>
      <c r="Q230" s="2" t="s">
        <v>165</v>
      </c>
      <c r="R230" s="2" t="s">
        <v>37</v>
      </c>
      <c r="S230" s="2" t="s">
        <v>166</v>
      </c>
      <c r="T230" s="2" t="s">
        <v>39</v>
      </c>
      <c r="U230" s="2">
        <v>60</v>
      </c>
      <c r="V230" s="2">
        <v>48671</v>
      </c>
      <c r="W230" s="2">
        <v>147959.84</v>
      </c>
      <c r="X230" s="2">
        <v>3.04</v>
      </c>
      <c r="Y230" s="2">
        <v>0.05</v>
      </c>
      <c r="Z230" s="2">
        <v>2533</v>
      </c>
      <c r="AA230" s="2">
        <v>9187.7999999999993</v>
      </c>
      <c r="AB230">
        <v>1</v>
      </c>
      <c r="AC230">
        <v>2008</v>
      </c>
      <c r="AE230" s="2">
        <v>2433.5500000000002</v>
      </c>
    </row>
    <row r="231" spans="2:31" ht="14.5">
      <c r="B231" s="2">
        <v>11846</v>
      </c>
      <c r="C231" s="2" t="s">
        <v>533</v>
      </c>
      <c r="D231" s="2" t="s">
        <v>534</v>
      </c>
      <c r="E231" s="2" t="s">
        <v>118</v>
      </c>
      <c r="F231" s="2" t="s">
        <v>29</v>
      </c>
      <c r="G231" s="2" t="s">
        <v>30</v>
      </c>
      <c r="H231" s="2" t="s">
        <v>218</v>
      </c>
      <c r="I231" s="2" t="s">
        <v>219</v>
      </c>
      <c r="J231" s="2" t="s">
        <v>220</v>
      </c>
      <c r="K231" s="2" t="s">
        <v>34</v>
      </c>
      <c r="L231" s="3"/>
      <c r="M231" s="3">
        <v>39518</v>
      </c>
      <c r="N231" s="3">
        <v>39518</v>
      </c>
      <c r="O231" s="3">
        <v>39518</v>
      </c>
      <c r="P231" s="2" t="s">
        <v>95</v>
      </c>
      <c r="Q231" s="2" t="s">
        <v>96</v>
      </c>
      <c r="R231" s="2" t="s">
        <v>37</v>
      </c>
      <c r="S231" s="2" t="s">
        <v>97</v>
      </c>
      <c r="T231" s="2" t="s">
        <v>39</v>
      </c>
      <c r="U231" s="2">
        <v>30</v>
      </c>
      <c r="V231" s="2">
        <v>3364</v>
      </c>
      <c r="W231" s="2">
        <v>41780.879999999997</v>
      </c>
      <c r="X231" s="2">
        <v>12.42</v>
      </c>
      <c r="Y231" s="2">
        <v>0.41</v>
      </c>
      <c r="Z231" s="2">
        <v>369</v>
      </c>
      <c r="AA231" s="2">
        <v>1902.9</v>
      </c>
      <c r="AB231">
        <v>1</v>
      </c>
      <c r="AC231">
        <v>2008</v>
      </c>
      <c r="AE231" s="2">
        <v>1379.24</v>
      </c>
    </row>
    <row r="232" spans="2:31" ht="14.5">
      <c r="B232" s="2">
        <v>11847</v>
      </c>
      <c r="C232" s="2" t="s">
        <v>533</v>
      </c>
      <c r="D232" s="2" t="s">
        <v>534</v>
      </c>
      <c r="E232" s="2" t="s">
        <v>118</v>
      </c>
      <c r="F232" s="2" t="s">
        <v>29</v>
      </c>
      <c r="G232" s="2" t="s">
        <v>30</v>
      </c>
      <c r="H232" s="2" t="s">
        <v>218</v>
      </c>
      <c r="I232" s="2" t="s">
        <v>219</v>
      </c>
      <c r="J232" s="2" t="s">
        <v>220</v>
      </c>
      <c r="K232" s="2" t="s">
        <v>34</v>
      </c>
      <c r="L232" s="3"/>
      <c r="M232" s="3">
        <v>39518</v>
      </c>
      <c r="N232" s="3">
        <v>39518</v>
      </c>
      <c r="O232" s="3">
        <v>39518</v>
      </c>
      <c r="P232" s="2" t="s">
        <v>235</v>
      </c>
      <c r="Q232" s="2" t="s">
        <v>236</v>
      </c>
      <c r="R232" s="2" t="s">
        <v>237</v>
      </c>
      <c r="S232" s="2" t="s">
        <v>238</v>
      </c>
      <c r="T232" s="2" t="s">
        <v>47</v>
      </c>
      <c r="U232" s="2">
        <v>30</v>
      </c>
      <c r="V232" s="2">
        <v>656</v>
      </c>
      <c r="W232" s="2">
        <v>17220</v>
      </c>
      <c r="X232" s="2">
        <v>26.25</v>
      </c>
      <c r="Y232" s="2">
        <v>0.88</v>
      </c>
      <c r="AB232">
        <v>1</v>
      </c>
      <c r="AC232">
        <v>2008</v>
      </c>
      <c r="AE232" s="2">
        <v>577.28</v>
      </c>
    </row>
    <row r="233" spans="2:31" ht="14.5">
      <c r="B233" s="2">
        <v>11850</v>
      </c>
      <c r="C233" s="2" t="s">
        <v>535</v>
      </c>
      <c r="D233" s="2" t="s">
        <v>536</v>
      </c>
      <c r="E233" s="2" t="s">
        <v>60</v>
      </c>
      <c r="F233" s="2" t="s">
        <v>29</v>
      </c>
      <c r="G233" s="2" t="s">
        <v>30</v>
      </c>
      <c r="H233" s="2" t="s">
        <v>218</v>
      </c>
      <c r="I233" s="2" t="s">
        <v>219</v>
      </c>
      <c r="J233" s="2" t="s">
        <v>220</v>
      </c>
      <c r="K233" s="2" t="s">
        <v>34</v>
      </c>
      <c r="L233" s="3"/>
      <c r="M233" s="3">
        <v>39476</v>
      </c>
      <c r="N233" s="3">
        <v>39476</v>
      </c>
      <c r="O233" s="3">
        <v>39476</v>
      </c>
      <c r="P233" s="2" t="s">
        <v>35</v>
      </c>
      <c r="Q233" s="2" t="s">
        <v>36</v>
      </c>
      <c r="R233" s="2" t="s">
        <v>37</v>
      </c>
      <c r="S233" s="2" t="s">
        <v>38</v>
      </c>
      <c r="T233" s="2" t="s">
        <v>39</v>
      </c>
      <c r="U233" s="2">
        <v>60</v>
      </c>
      <c r="V233" s="2">
        <v>55560</v>
      </c>
      <c r="W233" s="2">
        <v>188904</v>
      </c>
      <c r="X233" s="2">
        <v>3.4</v>
      </c>
      <c r="Y233" s="2">
        <v>0.06</v>
      </c>
      <c r="Z233" s="2">
        <v>5181</v>
      </c>
      <c r="AA233" s="2">
        <v>17975.21</v>
      </c>
      <c r="AB233">
        <v>1</v>
      </c>
      <c r="AC233">
        <v>2008</v>
      </c>
      <c r="AE233" s="2">
        <v>3333.6</v>
      </c>
    </row>
    <row r="234" spans="2:31" ht="14.5">
      <c r="B234" s="2">
        <v>11851</v>
      </c>
      <c r="C234" s="2" t="s">
        <v>327</v>
      </c>
      <c r="D234" s="2" t="s">
        <v>328</v>
      </c>
      <c r="E234" s="2" t="s">
        <v>28</v>
      </c>
      <c r="F234" s="2" t="s">
        <v>29</v>
      </c>
      <c r="G234" s="2" t="s">
        <v>30</v>
      </c>
      <c r="H234" s="2" t="s">
        <v>218</v>
      </c>
      <c r="I234" s="2" t="s">
        <v>219</v>
      </c>
      <c r="J234" s="2" t="s">
        <v>220</v>
      </c>
      <c r="K234" s="2" t="s">
        <v>34</v>
      </c>
      <c r="L234" s="3"/>
      <c r="M234" s="3">
        <v>39503</v>
      </c>
      <c r="N234" s="3">
        <v>39503</v>
      </c>
      <c r="O234" s="3">
        <v>39503</v>
      </c>
      <c r="P234" s="2" t="s">
        <v>150</v>
      </c>
      <c r="Q234" s="2" t="s">
        <v>84</v>
      </c>
      <c r="R234" s="2" t="s">
        <v>151</v>
      </c>
      <c r="S234" s="2" t="s">
        <v>152</v>
      </c>
      <c r="T234" s="2" t="s">
        <v>39</v>
      </c>
      <c r="U234" s="2">
        <v>120</v>
      </c>
      <c r="V234" s="2">
        <v>2580</v>
      </c>
      <c r="W234" s="2">
        <v>106038</v>
      </c>
      <c r="X234" s="2">
        <v>41.1</v>
      </c>
      <c r="Y234" s="2">
        <v>0.34</v>
      </c>
      <c r="AB234">
        <v>1</v>
      </c>
      <c r="AC234">
        <v>2008</v>
      </c>
      <c r="AE234" s="2">
        <v>877.2</v>
      </c>
    </row>
    <row r="235" spans="2:31" ht="14.5">
      <c r="B235" s="2">
        <v>11883</v>
      </c>
      <c r="C235" s="2" t="s">
        <v>537</v>
      </c>
      <c r="D235" s="2" t="s">
        <v>538</v>
      </c>
      <c r="E235" s="2" t="s">
        <v>28</v>
      </c>
      <c r="F235" s="2" t="s">
        <v>29</v>
      </c>
      <c r="G235" s="2" t="s">
        <v>50</v>
      </c>
      <c r="H235" s="2" t="s">
        <v>218</v>
      </c>
      <c r="I235" s="2" t="s">
        <v>219</v>
      </c>
      <c r="J235" s="2" t="s">
        <v>220</v>
      </c>
      <c r="K235" s="2" t="s">
        <v>34</v>
      </c>
      <c r="L235" s="3"/>
      <c r="M235" s="3">
        <v>39561</v>
      </c>
      <c r="N235" s="3">
        <v>39561</v>
      </c>
      <c r="O235" s="3">
        <v>39561</v>
      </c>
      <c r="P235" s="2" t="s">
        <v>329</v>
      </c>
      <c r="Q235" s="2" t="s">
        <v>54</v>
      </c>
      <c r="R235" s="2" t="s">
        <v>37</v>
      </c>
      <c r="S235" s="2" t="s">
        <v>330</v>
      </c>
      <c r="T235" s="2" t="s">
        <v>180</v>
      </c>
      <c r="U235" s="2">
        <v>60</v>
      </c>
      <c r="V235" s="2">
        <v>11640</v>
      </c>
      <c r="W235" s="2">
        <v>90210</v>
      </c>
      <c r="X235" s="2">
        <v>7.75</v>
      </c>
      <c r="Y235" s="2">
        <v>0.13</v>
      </c>
      <c r="Z235" s="2">
        <v>2427</v>
      </c>
      <c r="AA235" s="2">
        <v>8381.2199999999993</v>
      </c>
      <c r="AB235">
        <v>1</v>
      </c>
      <c r="AC235">
        <v>2008</v>
      </c>
      <c r="AE235" s="2">
        <v>1513.2</v>
      </c>
    </row>
    <row r="236" spans="2:31" ht="14.5">
      <c r="B236" s="2">
        <v>11887</v>
      </c>
      <c r="C236" s="2" t="s">
        <v>342</v>
      </c>
      <c r="D236" s="2" t="s">
        <v>343</v>
      </c>
      <c r="E236" s="2" t="s">
        <v>118</v>
      </c>
      <c r="F236" s="2" t="s">
        <v>29</v>
      </c>
      <c r="G236" s="2" t="s">
        <v>30</v>
      </c>
      <c r="H236" s="2" t="s">
        <v>218</v>
      </c>
      <c r="I236" s="2" t="s">
        <v>219</v>
      </c>
      <c r="J236" s="2" t="s">
        <v>220</v>
      </c>
      <c r="K236" s="2" t="s">
        <v>34</v>
      </c>
      <c r="L236" s="3"/>
      <c r="M236" s="3">
        <v>39640</v>
      </c>
      <c r="N236" s="3">
        <v>39640</v>
      </c>
      <c r="O236" s="3">
        <v>39640</v>
      </c>
      <c r="P236" s="2" t="s">
        <v>333</v>
      </c>
      <c r="Q236" s="2" t="s">
        <v>225</v>
      </c>
      <c r="R236" s="2" t="s">
        <v>37</v>
      </c>
      <c r="S236" s="2" t="s">
        <v>100</v>
      </c>
      <c r="T236" s="2" t="s">
        <v>39</v>
      </c>
      <c r="U236" s="2">
        <v>60</v>
      </c>
      <c r="V236" s="2">
        <v>46</v>
      </c>
      <c r="W236" s="2">
        <v>368</v>
      </c>
      <c r="X236" s="2">
        <v>8</v>
      </c>
      <c r="Y236" s="2">
        <v>0.13</v>
      </c>
      <c r="AB236">
        <v>1</v>
      </c>
      <c r="AC236">
        <v>2008</v>
      </c>
      <c r="AE236" s="2">
        <v>5.98</v>
      </c>
    </row>
    <row r="237" spans="2:31" ht="14.5">
      <c r="B237" s="2">
        <v>11892</v>
      </c>
      <c r="C237" s="2" t="s">
        <v>539</v>
      </c>
      <c r="D237" s="2" t="s">
        <v>540</v>
      </c>
      <c r="E237" s="2" t="s">
        <v>28</v>
      </c>
      <c r="F237" s="2" t="s">
        <v>29</v>
      </c>
      <c r="G237" s="2" t="s">
        <v>30</v>
      </c>
      <c r="H237" s="2" t="s">
        <v>218</v>
      </c>
      <c r="I237" s="2" t="s">
        <v>219</v>
      </c>
      <c r="J237" s="2" t="s">
        <v>220</v>
      </c>
      <c r="K237" s="2" t="s">
        <v>34</v>
      </c>
      <c r="L237" s="3"/>
      <c r="M237" s="3">
        <v>39561</v>
      </c>
      <c r="N237" s="3">
        <v>39561</v>
      </c>
      <c r="O237" s="3">
        <v>39561</v>
      </c>
      <c r="P237" s="2" t="s">
        <v>95</v>
      </c>
      <c r="Q237" s="2" t="s">
        <v>96</v>
      </c>
      <c r="R237" s="2" t="s">
        <v>37</v>
      </c>
      <c r="S237" s="2" t="s">
        <v>97</v>
      </c>
      <c r="T237" s="2" t="s">
        <v>39</v>
      </c>
      <c r="U237" s="2">
        <v>30</v>
      </c>
      <c r="V237" s="2">
        <v>18451</v>
      </c>
      <c r="W237" s="2">
        <v>229161.42</v>
      </c>
      <c r="X237" s="2">
        <v>12.42</v>
      </c>
      <c r="Y237" s="2">
        <v>0.41</v>
      </c>
      <c r="Z237" s="2">
        <v>1636</v>
      </c>
      <c r="AA237" s="2">
        <v>6195.24</v>
      </c>
      <c r="AB237">
        <v>1</v>
      </c>
      <c r="AC237">
        <v>2008</v>
      </c>
      <c r="AE237" s="2">
        <v>7564.91</v>
      </c>
    </row>
    <row r="238" spans="2:31" ht="14.5">
      <c r="B238" s="2">
        <v>11893</v>
      </c>
      <c r="C238" s="2" t="s">
        <v>344</v>
      </c>
      <c r="D238" s="2" t="s">
        <v>345</v>
      </c>
      <c r="E238" s="2" t="s">
        <v>60</v>
      </c>
      <c r="F238" s="2" t="s">
        <v>29</v>
      </c>
      <c r="G238" s="2" t="s">
        <v>30</v>
      </c>
      <c r="H238" s="2" t="s">
        <v>218</v>
      </c>
      <c r="I238" s="2" t="s">
        <v>219</v>
      </c>
      <c r="J238" s="2" t="s">
        <v>220</v>
      </c>
      <c r="K238" s="2" t="s">
        <v>34</v>
      </c>
      <c r="L238" s="3"/>
      <c r="M238" s="3">
        <v>39528</v>
      </c>
      <c r="N238" s="3">
        <v>39528</v>
      </c>
      <c r="O238" s="3">
        <v>39528</v>
      </c>
      <c r="P238" s="2" t="s">
        <v>35</v>
      </c>
      <c r="Q238" s="2" t="s">
        <v>36</v>
      </c>
      <c r="R238" s="2" t="s">
        <v>37</v>
      </c>
      <c r="S238" s="2" t="s">
        <v>38</v>
      </c>
      <c r="T238" s="2" t="s">
        <v>39</v>
      </c>
      <c r="U238" s="2">
        <v>60</v>
      </c>
      <c r="V238" s="2">
        <v>100731</v>
      </c>
      <c r="W238" s="2">
        <v>342485.4</v>
      </c>
      <c r="X238" s="2">
        <v>3.4</v>
      </c>
      <c r="Y238" s="2">
        <v>0.06</v>
      </c>
      <c r="AB238">
        <v>1</v>
      </c>
      <c r="AC238">
        <v>2008</v>
      </c>
      <c r="AE238" s="2">
        <v>6043.86</v>
      </c>
    </row>
    <row r="239" spans="2:31" ht="14.5">
      <c r="B239" s="2">
        <v>11906</v>
      </c>
      <c r="C239" s="2" t="s">
        <v>468</v>
      </c>
      <c r="D239" s="2" t="s">
        <v>469</v>
      </c>
      <c r="E239" s="2" t="s">
        <v>118</v>
      </c>
      <c r="F239" s="2" t="s">
        <v>29</v>
      </c>
      <c r="G239" s="2" t="s">
        <v>30</v>
      </c>
      <c r="H239" s="2" t="s">
        <v>218</v>
      </c>
      <c r="I239" s="2" t="s">
        <v>219</v>
      </c>
      <c r="J239" s="2" t="s">
        <v>220</v>
      </c>
      <c r="K239" s="2" t="s">
        <v>267</v>
      </c>
      <c r="L239" s="3"/>
      <c r="M239" s="3">
        <v>39797</v>
      </c>
      <c r="N239" s="3">
        <v>39797</v>
      </c>
      <c r="O239" s="3">
        <v>39797</v>
      </c>
      <c r="P239" s="2" t="s">
        <v>95</v>
      </c>
      <c r="Q239" s="2" t="s">
        <v>96</v>
      </c>
      <c r="R239" s="2" t="s">
        <v>37</v>
      </c>
      <c r="S239" s="2" t="s">
        <v>97</v>
      </c>
      <c r="T239" s="2" t="s">
        <v>39</v>
      </c>
      <c r="U239" s="2">
        <v>30</v>
      </c>
      <c r="V239" s="2">
        <v>5147</v>
      </c>
      <c r="W239" s="2">
        <v>56617</v>
      </c>
      <c r="X239" s="2">
        <v>11</v>
      </c>
      <c r="Y239" s="2">
        <v>0.37</v>
      </c>
      <c r="AB239">
        <v>1</v>
      </c>
      <c r="AC239">
        <v>2008</v>
      </c>
      <c r="AE239" s="2">
        <v>1904.3899999999999</v>
      </c>
    </row>
    <row r="240" spans="2:31" ht="14.5">
      <c r="B240" s="2">
        <v>11913</v>
      </c>
      <c r="C240" s="2" t="s">
        <v>418</v>
      </c>
      <c r="D240" s="2" t="s">
        <v>419</v>
      </c>
      <c r="E240" s="2" t="s">
        <v>60</v>
      </c>
      <c r="F240" s="2" t="s">
        <v>29</v>
      </c>
      <c r="G240" s="2" t="s">
        <v>30</v>
      </c>
      <c r="H240" s="2" t="s">
        <v>218</v>
      </c>
      <c r="I240" s="2" t="s">
        <v>219</v>
      </c>
      <c r="J240" s="2" t="s">
        <v>220</v>
      </c>
      <c r="K240" s="2" t="s">
        <v>34</v>
      </c>
      <c r="L240" s="3"/>
      <c r="M240" s="3">
        <v>39892</v>
      </c>
      <c r="N240" s="3">
        <v>39892</v>
      </c>
      <c r="O240" s="3">
        <v>39892</v>
      </c>
      <c r="P240" s="2" t="s">
        <v>112</v>
      </c>
      <c r="Q240" s="2" t="s">
        <v>113</v>
      </c>
      <c r="R240" s="2" t="s">
        <v>37</v>
      </c>
      <c r="S240" s="2" t="s">
        <v>114</v>
      </c>
      <c r="T240" s="2" t="s">
        <v>47</v>
      </c>
      <c r="U240" s="2">
        <v>60</v>
      </c>
      <c r="V240" s="2">
        <v>10812</v>
      </c>
      <c r="W240" s="2">
        <v>127581.6</v>
      </c>
      <c r="X240" s="2">
        <v>11.8</v>
      </c>
      <c r="Y240" s="2">
        <v>0.2</v>
      </c>
      <c r="AB240">
        <v>1</v>
      </c>
      <c r="AC240">
        <v>2009</v>
      </c>
      <c r="AE240" s="2">
        <v>2162.4</v>
      </c>
    </row>
    <row r="241" spans="2:31" ht="14.5">
      <c r="B241" s="2">
        <v>11920</v>
      </c>
      <c r="C241" s="2" t="s">
        <v>541</v>
      </c>
      <c r="D241" s="2" t="s">
        <v>542</v>
      </c>
      <c r="E241" s="2" t="s">
        <v>42</v>
      </c>
      <c r="F241" s="2" t="s">
        <v>29</v>
      </c>
      <c r="G241" s="2" t="s">
        <v>30</v>
      </c>
      <c r="H241" s="2" t="s">
        <v>218</v>
      </c>
      <c r="I241" s="2" t="s">
        <v>219</v>
      </c>
      <c r="J241" s="2" t="s">
        <v>220</v>
      </c>
      <c r="K241" s="2" t="s">
        <v>267</v>
      </c>
      <c r="L241" s="3"/>
      <c r="M241" s="3">
        <v>39757</v>
      </c>
      <c r="N241" s="3">
        <v>39757</v>
      </c>
      <c r="O241" s="3">
        <v>39757</v>
      </c>
      <c r="P241" s="2" t="s">
        <v>35</v>
      </c>
      <c r="Q241" s="2" t="s">
        <v>36</v>
      </c>
      <c r="R241" s="2" t="s">
        <v>37</v>
      </c>
      <c r="S241" s="2" t="s">
        <v>38</v>
      </c>
      <c r="T241" s="2" t="s">
        <v>39</v>
      </c>
      <c r="U241" s="2">
        <v>60</v>
      </c>
      <c r="V241" s="2">
        <v>4703</v>
      </c>
      <c r="W241" s="2">
        <v>15049.6</v>
      </c>
      <c r="X241" s="2">
        <v>3.2</v>
      </c>
      <c r="Y241" s="2">
        <v>0.05</v>
      </c>
      <c r="Z241" s="2">
        <v>455</v>
      </c>
      <c r="AA241" s="2">
        <v>3754.14</v>
      </c>
      <c r="AB241">
        <v>1</v>
      </c>
      <c r="AC241">
        <v>2008</v>
      </c>
      <c r="AE241" s="2">
        <v>235.15</v>
      </c>
    </row>
    <row r="242" spans="2:31" ht="14.5">
      <c r="B242" s="2">
        <v>11924</v>
      </c>
      <c r="C242" s="2" t="s">
        <v>543</v>
      </c>
      <c r="D242" s="2" t="s">
        <v>544</v>
      </c>
      <c r="E242" s="2" t="s">
        <v>42</v>
      </c>
      <c r="F242" s="2" t="s">
        <v>29</v>
      </c>
      <c r="G242" s="2" t="s">
        <v>30</v>
      </c>
      <c r="H242" s="2" t="s">
        <v>218</v>
      </c>
      <c r="I242" s="2" t="s">
        <v>219</v>
      </c>
      <c r="J242" s="2" t="s">
        <v>220</v>
      </c>
      <c r="K242" s="2" t="s">
        <v>34</v>
      </c>
      <c r="L242" s="3"/>
      <c r="M242" s="3">
        <v>39850</v>
      </c>
      <c r="N242" s="3">
        <v>39850</v>
      </c>
      <c r="O242" s="3">
        <v>39850</v>
      </c>
      <c r="P242" s="2" t="s">
        <v>164</v>
      </c>
      <c r="Q242" s="2" t="s">
        <v>165</v>
      </c>
      <c r="R242" s="2" t="s">
        <v>37</v>
      </c>
      <c r="S242" s="2" t="s">
        <v>166</v>
      </c>
      <c r="T242" s="2" t="s">
        <v>39</v>
      </c>
      <c r="U242" s="2">
        <v>60</v>
      </c>
      <c r="V242" s="2">
        <v>10530</v>
      </c>
      <c r="W242" s="2">
        <v>25693.200000000001</v>
      </c>
      <c r="X242" s="2">
        <v>2.44</v>
      </c>
      <c r="Y242" s="2">
        <v>0.04</v>
      </c>
      <c r="Z242" s="2">
        <v>544</v>
      </c>
      <c r="AA242" s="2">
        <v>5029.05</v>
      </c>
      <c r="AB242">
        <v>1</v>
      </c>
      <c r="AC242">
        <v>2009</v>
      </c>
      <c r="AE242" s="2">
        <v>421.2</v>
      </c>
    </row>
    <row r="243" spans="2:31" ht="14.5">
      <c r="B243" s="2">
        <v>11925</v>
      </c>
      <c r="C243" s="2" t="s">
        <v>476</v>
      </c>
      <c r="D243" s="2" t="s">
        <v>477</v>
      </c>
      <c r="E243" s="2" t="s">
        <v>28</v>
      </c>
      <c r="F243" s="2" t="s">
        <v>29</v>
      </c>
      <c r="G243" s="2" t="s">
        <v>50</v>
      </c>
      <c r="H243" s="2" t="s">
        <v>218</v>
      </c>
      <c r="I243" s="2" t="s">
        <v>219</v>
      </c>
      <c r="J243" s="2" t="s">
        <v>220</v>
      </c>
      <c r="K243" s="2" t="s">
        <v>223</v>
      </c>
      <c r="L243" s="3"/>
      <c r="M243" s="3">
        <v>39706</v>
      </c>
      <c r="N243" s="3">
        <v>39706</v>
      </c>
      <c r="O243" s="3">
        <v>39706</v>
      </c>
      <c r="P243" s="2" t="s">
        <v>329</v>
      </c>
      <c r="Q243" s="2" t="s">
        <v>54</v>
      </c>
      <c r="R243" s="2" t="s">
        <v>37</v>
      </c>
      <c r="S243" s="2" t="s">
        <v>330</v>
      </c>
      <c r="T243" s="2" t="s">
        <v>180</v>
      </c>
      <c r="U243" s="2">
        <v>60</v>
      </c>
      <c r="V243" s="2">
        <v>11640</v>
      </c>
      <c r="W243" s="2">
        <v>90210</v>
      </c>
      <c r="X243" s="2">
        <v>7.75</v>
      </c>
      <c r="Y243" s="2">
        <v>0.13</v>
      </c>
      <c r="AB243">
        <v>1</v>
      </c>
      <c r="AC243">
        <v>2008</v>
      </c>
      <c r="AE243" s="2">
        <v>1513.2</v>
      </c>
    </row>
    <row r="244" spans="2:31" ht="14.5">
      <c r="B244" s="2">
        <v>11940</v>
      </c>
      <c r="C244" s="2" t="s">
        <v>545</v>
      </c>
      <c r="D244" s="2" t="s">
        <v>546</v>
      </c>
      <c r="E244" s="2" t="s">
        <v>28</v>
      </c>
      <c r="F244" s="2" t="s">
        <v>29</v>
      </c>
      <c r="G244" s="2" t="s">
        <v>30</v>
      </c>
      <c r="H244" s="2" t="s">
        <v>218</v>
      </c>
      <c r="I244" s="2" t="s">
        <v>219</v>
      </c>
      <c r="J244" s="2" t="s">
        <v>220</v>
      </c>
      <c r="K244" s="2" t="s">
        <v>34</v>
      </c>
      <c r="L244" s="3"/>
      <c r="M244" s="3">
        <v>39689</v>
      </c>
      <c r="N244" s="3">
        <v>39689</v>
      </c>
      <c r="O244" s="3">
        <v>39689</v>
      </c>
      <c r="P244" s="2" t="s">
        <v>139</v>
      </c>
      <c r="Q244" s="2" t="s">
        <v>140</v>
      </c>
      <c r="R244" s="2" t="s">
        <v>37</v>
      </c>
      <c r="S244" s="2" t="s">
        <v>141</v>
      </c>
      <c r="T244" s="2" t="s">
        <v>47</v>
      </c>
      <c r="U244" s="2">
        <v>60</v>
      </c>
      <c r="V244" s="2">
        <v>2011</v>
      </c>
      <c r="W244" s="2">
        <v>14881.4</v>
      </c>
      <c r="X244" s="2">
        <v>7.4</v>
      </c>
      <c r="Y244" s="2">
        <v>0.12</v>
      </c>
      <c r="Z244" s="2">
        <v>6650</v>
      </c>
      <c r="AA244" s="2">
        <v>36855.599999999999</v>
      </c>
      <c r="AB244">
        <v>1</v>
      </c>
      <c r="AC244">
        <v>2008</v>
      </c>
      <c r="AE244" s="2">
        <v>241.32</v>
      </c>
    </row>
    <row r="245" spans="2:31" ht="14.5">
      <c r="B245" s="2">
        <v>11944</v>
      </c>
      <c r="C245" s="2" t="s">
        <v>487</v>
      </c>
      <c r="D245" s="2" t="s">
        <v>488</v>
      </c>
      <c r="E245" s="2" t="s">
        <v>60</v>
      </c>
      <c r="F245" s="2" t="s">
        <v>29</v>
      </c>
      <c r="G245" s="2" t="s">
        <v>30</v>
      </c>
      <c r="H245" s="2" t="s">
        <v>218</v>
      </c>
      <c r="I245" s="2" t="s">
        <v>219</v>
      </c>
      <c r="J245" s="2" t="s">
        <v>220</v>
      </c>
      <c r="K245" s="2" t="s">
        <v>34</v>
      </c>
      <c r="L245" s="3"/>
      <c r="M245" s="3">
        <v>39862</v>
      </c>
      <c r="N245" s="3">
        <v>39862</v>
      </c>
      <c r="O245" s="3">
        <v>39862</v>
      </c>
      <c r="P245" s="2" t="s">
        <v>139</v>
      </c>
      <c r="Q245" s="2" t="s">
        <v>140</v>
      </c>
      <c r="R245" s="2" t="s">
        <v>37</v>
      </c>
      <c r="S245" s="2" t="s">
        <v>141</v>
      </c>
      <c r="T245" s="2" t="s">
        <v>47</v>
      </c>
      <c r="U245" s="2">
        <v>60</v>
      </c>
      <c r="V245" s="2">
        <v>2855</v>
      </c>
      <c r="W245" s="2">
        <v>20327.599999999999</v>
      </c>
      <c r="X245" s="2">
        <v>7.12</v>
      </c>
      <c r="Y245" s="2">
        <v>0.12</v>
      </c>
      <c r="AB245">
        <v>1</v>
      </c>
      <c r="AC245">
        <v>2009</v>
      </c>
      <c r="AE245" s="2">
        <v>342.59999999999997</v>
      </c>
    </row>
    <row r="246" spans="2:31" ht="14.5">
      <c r="B246" s="2">
        <v>11966</v>
      </c>
      <c r="C246" s="2" t="s">
        <v>424</v>
      </c>
      <c r="D246" s="2" t="s">
        <v>425</v>
      </c>
      <c r="E246" s="2" t="s">
        <v>426</v>
      </c>
      <c r="F246" s="2" t="s">
        <v>29</v>
      </c>
      <c r="G246" s="2" t="s">
        <v>50</v>
      </c>
      <c r="H246" s="2" t="s">
        <v>218</v>
      </c>
      <c r="I246" s="2" t="s">
        <v>219</v>
      </c>
      <c r="J246" s="2" t="s">
        <v>220</v>
      </c>
      <c r="K246" s="2" t="s">
        <v>267</v>
      </c>
      <c r="L246" s="3"/>
      <c r="M246" s="3">
        <v>39926</v>
      </c>
      <c r="N246" s="3">
        <v>39926</v>
      </c>
      <c r="O246" s="3">
        <v>39926</v>
      </c>
      <c r="P246" s="2" t="s">
        <v>547</v>
      </c>
      <c r="Q246" s="2" t="s">
        <v>96</v>
      </c>
      <c r="R246" s="2" t="s">
        <v>37</v>
      </c>
      <c r="S246" s="2" t="s">
        <v>38</v>
      </c>
      <c r="T246" s="2" t="s">
        <v>64</v>
      </c>
      <c r="U246" s="2">
        <v>90</v>
      </c>
      <c r="V246" s="2">
        <v>170</v>
      </c>
      <c r="W246" s="2">
        <v>1.7</v>
      </c>
      <c r="X246" s="2">
        <v>0.01</v>
      </c>
      <c r="Y246" s="2">
        <v>0</v>
      </c>
      <c r="AB246">
        <v>1</v>
      </c>
      <c r="AC246">
        <v>2009</v>
      </c>
      <c r="AE246" s="2">
        <v>0</v>
      </c>
    </row>
    <row r="247" spans="2:31" ht="14.5">
      <c r="B247" s="2">
        <v>11991</v>
      </c>
      <c r="C247" s="2" t="s">
        <v>499</v>
      </c>
      <c r="D247" s="2" t="s">
        <v>500</v>
      </c>
      <c r="E247" s="2" t="s">
        <v>118</v>
      </c>
      <c r="F247" s="2" t="s">
        <v>29</v>
      </c>
      <c r="G247" s="2" t="s">
        <v>30</v>
      </c>
      <c r="H247" s="2" t="s">
        <v>218</v>
      </c>
      <c r="I247" s="2" t="s">
        <v>219</v>
      </c>
      <c r="J247" s="2" t="s">
        <v>220</v>
      </c>
      <c r="K247" s="2" t="s">
        <v>34</v>
      </c>
      <c r="L247" s="3"/>
      <c r="M247" s="3">
        <v>40039</v>
      </c>
      <c r="N247" s="3">
        <v>40039</v>
      </c>
      <c r="O247" s="3">
        <v>40039</v>
      </c>
      <c r="P247" s="2" t="s">
        <v>44</v>
      </c>
      <c r="Q247" s="2" t="s">
        <v>45</v>
      </c>
      <c r="R247" s="2" t="s">
        <v>37</v>
      </c>
      <c r="S247" s="2" t="s">
        <v>46</v>
      </c>
      <c r="T247" s="2" t="s">
        <v>47</v>
      </c>
      <c r="U247" s="2">
        <v>60</v>
      </c>
      <c r="V247" s="2">
        <v>14479</v>
      </c>
      <c r="W247" s="2">
        <v>97878.04</v>
      </c>
      <c r="X247" s="2">
        <v>6.76</v>
      </c>
      <c r="Y247" s="2">
        <v>0.11</v>
      </c>
      <c r="AB247">
        <v>1</v>
      </c>
      <c r="AC247">
        <v>2009</v>
      </c>
      <c r="AE247" s="2">
        <v>1592.69</v>
      </c>
    </row>
    <row r="248" spans="2:31" ht="14.5">
      <c r="B248" s="2">
        <v>11992</v>
      </c>
      <c r="C248" s="2" t="s">
        <v>548</v>
      </c>
      <c r="D248" s="2" t="s">
        <v>549</v>
      </c>
      <c r="E248" s="2" t="s">
        <v>118</v>
      </c>
      <c r="F248" s="2" t="s">
        <v>29</v>
      </c>
      <c r="G248" s="2" t="s">
        <v>30</v>
      </c>
      <c r="H248" s="2" t="s">
        <v>218</v>
      </c>
      <c r="I248" s="2" t="s">
        <v>219</v>
      </c>
      <c r="J248" s="2" t="s">
        <v>220</v>
      </c>
      <c r="K248" s="2" t="s">
        <v>34</v>
      </c>
      <c r="L248" s="3"/>
      <c r="M248" s="3">
        <v>40039</v>
      </c>
      <c r="N248" s="3">
        <v>40039</v>
      </c>
      <c r="O248" s="3">
        <v>40039</v>
      </c>
      <c r="P248" s="2" t="s">
        <v>139</v>
      </c>
      <c r="Q248" s="2" t="s">
        <v>140</v>
      </c>
      <c r="R248" s="2" t="s">
        <v>37</v>
      </c>
      <c r="S248" s="2" t="s">
        <v>141</v>
      </c>
      <c r="T248" s="2" t="s">
        <v>47</v>
      </c>
      <c r="U248" s="2">
        <v>60</v>
      </c>
      <c r="V248" s="2">
        <v>1604</v>
      </c>
      <c r="W248" s="2">
        <v>11420.48</v>
      </c>
      <c r="X248" s="2">
        <v>7.12</v>
      </c>
      <c r="Y248" s="2">
        <v>0.12</v>
      </c>
      <c r="Z248" s="2">
        <v>120</v>
      </c>
      <c r="AA248" s="2">
        <v>1670.63</v>
      </c>
      <c r="AB248">
        <v>1</v>
      </c>
      <c r="AC248">
        <v>2009</v>
      </c>
      <c r="AE248" s="2">
        <v>192.48</v>
      </c>
    </row>
    <row r="249" spans="2:31" ht="14.5">
      <c r="B249" s="2">
        <v>11993</v>
      </c>
      <c r="C249" s="2" t="s">
        <v>550</v>
      </c>
      <c r="D249" s="2" t="s">
        <v>551</v>
      </c>
      <c r="E249" s="2" t="s">
        <v>118</v>
      </c>
      <c r="F249" s="2" t="s">
        <v>29</v>
      </c>
      <c r="G249" s="2" t="s">
        <v>30</v>
      </c>
      <c r="H249" s="2" t="s">
        <v>218</v>
      </c>
      <c r="I249" s="2" t="s">
        <v>219</v>
      </c>
      <c r="J249" s="2" t="s">
        <v>220</v>
      </c>
      <c r="K249" s="2" t="s">
        <v>34</v>
      </c>
      <c r="L249" s="3"/>
      <c r="M249" s="3">
        <v>40011</v>
      </c>
      <c r="N249" s="3">
        <v>40011</v>
      </c>
      <c r="O249" s="3">
        <v>40011</v>
      </c>
      <c r="P249" s="2" t="s">
        <v>139</v>
      </c>
      <c r="Q249" s="2" t="s">
        <v>140</v>
      </c>
      <c r="R249" s="2" t="s">
        <v>37</v>
      </c>
      <c r="S249" s="2" t="s">
        <v>141</v>
      </c>
      <c r="T249" s="2" t="s">
        <v>47</v>
      </c>
      <c r="U249" s="2">
        <v>60</v>
      </c>
      <c r="V249" s="2">
        <v>4340</v>
      </c>
      <c r="W249" s="2">
        <v>30900.799999999999</v>
      </c>
      <c r="X249" s="2">
        <v>7.12</v>
      </c>
      <c r="Y249" s="2">
        <v>0.12</v>
      </c>
      <c r="Z249" s="2">
        <v>322</v>
      </c>
      <c r="AA249" s="2">
        <v>3017.15</v>
      </c>
      <c r="AB249">
        <v>1</v>
      </c>
      <c r="AC249">
        <v>2009</v>
      </c>
      <c r="AE249" s="2">
        <v>520.79999999999995</v>
      </c>
    </row>
    <row r="250" spans="2:31" ht="14.5">
      <c r="B250" s="2">
        <v>12004</v>
      </c>
      <c r="C250" s="2" t="s">
        <v>552</v>
      </c>
      <c r="D250" s="2" t="s">
        <v>553</v>
      </c>
      <c r="E250" s="2" t="s">
        <v>118</v>
      </c>
      <c r="F250" s="2" t="s">
        <v>29</v>
      </c>
      <c r="G250" s="2" t="s">
        <v>30</v>
      </c>
      <c r="H250" s="2" t="s">
        <v>218</v>
      </c>
      <c r="I250" s="2" t="s">
        <v>219</v>
      </c>
      <c r="J250" s="2" t="s">
        <v>220</v>
      </c>
      <c r="K250" s="2" t="s">
        <v>34</v>
      </c>
      <c r="L250" s="3"/>
      <c r="M250" s="3">
        <v>40065</v>
      </c>
      <c r="N250" s="3">
        <v>40065</v>
      </c>
      <c r="O250" s="3">
        <v>40065</v>
      </c>
      <c r="P250" s="2" t="s">
        <v>112</v>
      </c>
      <c r="Q250" s="2" t="s">
        <v>113</v>
      </c>
      <c r="R250" s="2" t="s">
        <v>37</v>
      </c>
      <c r="S250" s="2" t="s">
        <v>114</v>
      </c>
      <c r="T250" s="2" t="s">
        <v>47</v>
      </c>
      <c r="U250" s="2">
        <v>60</v>
      </c>
      <c r="V250" s="2">
        <v>19650</v>
      </c>
      <c r="W250" s="2">
        <v>223027.5</v>
      </c>
      <c r="X250" s="2">
        <v>11.35</v>
      </c>
      <c r="Y250" s="2">
        <v>0.19</v>
      </c>
      <c r="Z250" s="2">
        <v>2237</v>
      </c>
      <c r="AA250" s="2">
        <v>15250.99</v>
      </c>
      <c r="AB250">
        <v>1</v>
      </c>
      <c r="AC250">
        <v>2009</v>
      </c>
      <c r="AE250" s="2">
        <v>3733.5</v>
      </c>
    </row>
    <row r="251" spans="2:31" ht="14.5">
      <c r="B251" s="2">
        <v>12008</v>
      </c>
      <c r="C251" s="2" t="s">
        <v>554</v>
      </c>
      <c r="D251" s="2" t="s">
        <v>555</v>
      </c>
      <c r="E251" s="2" t="s">
        <v>118</v>
      </c>
      <c r="F251" s="2" t="s">
        <v>29</v>
      </c>
      <c r="G251" s="2" t="s">
        <v>30</v>
      </c>
      <c r="H251" s="2" t="s">
        <v>218</v>
      </c>
      <c r="I251" s="2" t="s">
        <v>219</v>
      </c>
      <c r="J251" s="2" t="s">
        <v>220</v>
      </c>
      <c r="K251" s="2" t="s">
        <v>34</v>
      </c>
      <c r="L251" s="3"/>
      <c r="M251" s="3">
        <v>40070</v>
      </c>
      <c r="N251" s="3">
        <v>40070</v>
      </c>
      <c r="O251" s="3">
        <v>40070</v>
      </c>
      <c r="P251" s="2" t="s">
        <v>235</v>
      </c>
      <c r="Q251" s="2" t="s">
        <v>236</v>
      </c>
      <c r="R251" s="2" t="s">
        <v>237</v>
      </c>
      <c r="S251" s="2" t="s">
        <v>238</v>
      </c>
      <c r="T251" s="2" t="s">
        <v>47</v>
      </c>
      <c r="U251" s="2">
        <v>30</v>
      </c>
      <c r="V251" s="2">
        <v>1795</v>
      </c>
      <c r="W251" s="2">
        <v>47118.75</v>
      </c>
      <c r="X251" s="2">
        <v>26.25</v>
      </c>
      <c r="Y251" s="2">
        <v>0.88</v>
      </c>
      <c r="Z251" s="2">
        <v>160</v>
      </c>
      <c r="AA251" s="2">
        <v>2590.35</v>
      </c>
      <c r="AB251">
        <v>1</v>
      </c>
      <c r="AC251">
        <v>2009</v>
      </c>
      <c r="AE251" s="2">
        <v>1579.6</v>
      </c>
    </row>
    <row r="252" spans="2:31" ht="14.5">
      <c r="B252" s="2">
        <v>12015</v>
      </c>
      <c r="C252" s="2" t="s">
        <v>556</v>
      </c>
      <c r="D252" s="2" t="s">
        <v>557</v>
      </c>
      <c r="E252" s="2" t="s">
        <v>60</v>
      </c>
      <c r="F252" s="2" t="s">
        <v>29</v>
      </c>
      <c r="G252" s="2" t="s">
        <v>30</v>
      </c>
      <c r="H252" s="2" t="s">
        <v>218</v>
      </c>
      <c r="I252" s="2" t="s">
        <v>219</v>
      </c>
      <c r="J252" s="2" t="s">
        <v>220</v>
      </c>
      <c r="K252" s="2" t="s">
        <v>34</v>
      </c>
      <c r="L252" s="3"/>
      <c r="M252" s="3">
        <v>40092</v>
      </c>
      <c r="N252" s="3">
        <v>40092</v>
      </c>
      <c r="O252" s="3">
        <v>40092</v>
      </c>
      <c r="P252" s="2" t="s">
        <v>164</v>
      </c>
      <c r="Q252" s="2" t="s">
        <v>165</v>
      </c>
      <c r="R252" s="2" t="s">
        <v>37</v>
      </c>
      <c r="S252" s="2" t="s">
        <v>166</v>
      </c>
      <c r="T252" s="2" t="s">
        <v>39</v>
      </c>
      <c r="U252" s="2">
        <v>60</v>
      </c>
      <c r="V252" s="2">
        <v>4500</v>
      </c>
      <c r="W252" s="2">
        <v>10980</v>
      </c>
      <c r="X252" s="2">
        <v>2.44</v>
      </c>
      <c r="Y252" s="2">
        <v>0.04</v>
      </c>
      <c r="Z252" s="2">
        <v>658</v>
      </c>
      <c r="AA252" s="2">
        <v>4311.22</v>
      </c>
      <c r="AB252">
        <v>1</v>
      </c>
      <c r="AC252">
        <v>2009</v>
      </c>
      <c r="AE252" s="2">
        <v>180</v>
      </c>
    </row>
    <row r="253" spans="2:31" ht="14.5">
      <c r="B253" s="2">
        <v>12017</v>
      </c>
      <c r="C253" s="2" t="s">
        <v>558</v>
      </c>
      <c r="D253" s="2" t="s">
        <v>559</v>
      </c>
      <c r="E253" s="2" t="s">
        <v>118</v>
      </c>
      <c r="F253" s="2" t="s">
        <v>29</v>
      </c>
      <c r="G253" s="2" t="s">
        <v>30</v>
      </c>
      <c r="H253" s="2" t="s">
        <v>218</v>
      </c>
      <c r="I253" s="2" t="s">
        <v>219</v>
      </c>
      <c r="J253" s="2" t="s">
        <v>220</v>
      </c>
      <c r="K253" s="2" t="s">
        <v>34</v>
      </c>
      <c r="L253" s="3"/>
      <c r="M253" s="3">
        <v>40115</v>
      </c>
      <c r="N253" s="3">
        <v>40115</v>
      </c>
      <c r="O253" s="3">
        <v>40115</v>
      </c>
      <c r="P253" s="2" t="s">
        <v>61</v>
      </c>
      <c r="Q253" s="2" t="s">
        <v>62</v>
      </c>
      <c r="R253" s="2" t="s">
        <v>37</v>
      </c>
      <c r="S253" s="2" t="s">
        <v>63</v>
      </c>
      <c r="T253" s="2" t="s">
        <v>64</v>
      </c>
      <c r="U253" s="2">
        <v>60</v>
      </c>
      <c r="V253" s="2">
        <v>300</v>
      </c>
      <c r="W253" s="2">
        <v>438</v>
      </c>
      <c r="X253" s="2">
        <v>1.46</v>
      </c>
      <c r="Y253" s="2">
        <v>0.02</v>
      </c>
      <c r="Z253" s="2">
        <v>20</v>
      </c>
      <c r="AA253" s="2">
        <v>667.17</v>
      </c>
      <c r="AB253">
        <v>1</v>
      </c>
      <c r="AC253">
        <v>2009</v>
      </c>
      <c r="AE253" s="2">
        <v>6</v>
      </c>
    </row>
    <row r="254" spans="2:31" ht="14.5">
      <c r="B254" s="2">
        <v>12018</v>
      </c>
      <c r="C254" s="2" t="s">
        <v>560</v>
      </c>
      <c r="D254" s="2" t="s">
        <v>561</v>
      </c>
      <c r="E254" s="2" t="s">
        <v>118</v>
      </c>
      <c r="F254" s="2" t="s">
        <v>29</v>
      </c>
      <c r="G254" s="2" t="s">
        <v>30</v>
      </c>
      <c r="H254" s="2" t="s">
        <v>218</v>
      </c>
      <c r="I254" s="2" t="s">
        <v>219</v>
      </c>
      <c r="J254" s="2" t="s">
        <v>220</v>
      </c>
      <c r="K254" s="2" t="s">
        <v>34</v>
      </c>
      <c r="L254" s="3"/>
      <c r="M254" s="3">
        <v>40115</v>
      </c>
      <c r="N254" s="3">
        <v>40115</v>
      </c>
      <c r="O254" s="3">
        <v>40115</v>
      </c>
      <c r="P254" s="2" t="s">
        <v>333</v>
      </c>
      <c r="Q254" s="2" t="s">
        <v>225</v>
      </c>
      <c r="R254" s="2" t="s">
        <v>37</v>
      </c>
      <c r="S254" s="2" t="s">
        <v>100</v>
      </c>
      <c r="T254" s="2" t="s">
        <v>39</v>
      </c>
      <c r="U254" s="2">
        <v>60</v>
      </c>
      <c r="V254" s="2">
        <v>589</v>
      </c>
      <c r="W254" s="2">
        <v>4435.17</v>
      </c>
      <c r="X254" s="2">
        <v>7.53</v>
      </c>
      <c r="Y254" s="2">
        <v>0.13</v>
      </c>
      <c r="Z254" s="2">
        <v>33</v>
      </c>
      <c r="AA254" s="2">
        <v>747.17</v>
      </c>
      <c r="AB254">
        <v>1</v>
      </c>
      <c r="AC254">
        <v>2009</v>
      </c>
      <c r="AE254" s="2">
        <v>76.570000000000007</v>
      </c>
    </row>
    <row r="255" spans="2:31" ht="14.5">
      <c r="B255" s="2">
        <v>12020</v>
      </c>
      <c r="C255" s="2" t="s">
        <v>562</v>
      </c>
      <c r="D255" s="2" t="s">
        <v>563</v>
      </c>
      <c r="E255" s="2" t="s">
        <v>60</v>
      </c>
      <c r="F255" s="2" t="s">
        <v>29</v>
      </c>
      <c r="G255" s="2" t="s">
        <v>30</v>
      </c>
      <c r="H255" s="2" t="s">
        <v>218</v>
      </c>
      <c r="I255" s="2" t="s">
        <v>219</v>
      </c>
      <c r="J255" s="2" t="s">
        <v>220</v>
      </c>
      <c r="K255" s="2" t="s">
        <v>34</v>
      </c>
      <c r="L255" s="3"/>
      <c r="M255" s="3">
        <v>40155</v>
      </c>
      <c r="N255" s="3">
        <v>40155</v>
      </c>
      <c r="O255" s="3">
        <v>40155</v>
      </c>
      <c r="P255" s="2" t="s">
        <v>35</v>
      </c>
      <c r="Q255" s="2" t="s">
        <v>36</v>
      </c>
      <c r="R255" s="2" t="s">
        <v>37</v>
      </c>
      <c r="S255" s="2" t="s">
        <v>38</v>
      </c>
      <c r="T255" s="2" t="s">
        <v>39</v>
      </c>
      <c r="U255" s="2">
        <v>60</v>
      </c>
      <c r="V255" s="2">
        <v>20000</v>
      </c>
      <c r="W255" s="2">
        <v>58000</v>
      </c>
      <c r="X255" s="2">
        <v>2.9</v>
      </c>
      <c r="Y255" s="2">
        <v>0.05</v>
      </c>
      <c r="Z255" s="2">
        <v>2190</v>
      </c>
      <c r="AA255" s="2">
        <v>7573.92</v>
      </c>
      <c r="AB255">
        <v>1</v>
      </c>
      <c r="AC255">
        <v>2009</v>
      </c>
      <c r="AE255" s="2">
        <v>1000</v>
      </c>
    </row>
    <row r="256" spans="2:31" ht="14.5">
      <c r="B256" s="2">
        <v>12021</v>
      </c>
      <c r="C256" s="2" t="s">
        <v>564</v>
      </c>
      <c r="D256" s="2" t="s">
        <v>565</v>
      </c>
      <c r="E256" s="2" t="s">
        <v>60</v>
      </c>
      <c r="F256" s="2" t="s">
        <v>29</v>
      </c>
      <c r="G256" s="2" t="s">
        <v>30</v>
      </c>
      <c r="H256" s="2" t="s">
        <v>218</v>
      </c>
      <c r="I256" s="2" t="s">
        <v>219</v>
      </c>
      <c r="J256" s="2" t="s">
        <v>220</v>
      </c>
      <c r="K256" s="2" t="s">
        <v>34</v>
      </c>
      <c r="L256" s="3"/>
      <c r="M256" s="3">
        <v>40191</v>
      </c>
      <c r="N256" s="3">
        <v>40191</v>
      </c>
      <c r="O256" s="3">
        <v>40191</v>
      </c>
      <c r="P256" s="2" t="s">
        <v>35</v>
      </c>
      <c r="Q256" s="2" t="s">
        <v>36</v>
      </c>
      <c r="R256" s="2" t="s">
        <v>37</v>
      </c>
      <c r="S256" s="2" t="s">
        <v>38</v>
      </c>
      <c r="T256" s="2" t="s">
        <v>39</v>
      </c>
      <c r="U256" s="2">
        <v>60</v>
      </c>
      <c r="V256" s="2">
        <v>25540</v>
      </c>
      <c r="W256" s="2">
        <v>74066</v>
      </c>
      <c r="X256" s="2">
        <v>2.9</v>
      </c>
      <c r="Y256" s="2">
        <v>0.05</v>
      </c>
      <c r="Z256" s="2">
        <v>2031</v>
      </c>
      <c r="AA256" s="2">
        <v>6774.59</v>
      </c>
      <c r="AB256">
        <v>1</v>
      </c>
      <c r="AC256">
        <v>2010</v>
      </c>
      <c r="AE256" s="2">
        <v>1277</v>
      </c>
    </row>
    <row r="257" spans="2:31" ht="14.5">
      <c r="B257" s="2">
        <v>12041</v>
      </c>
      <c r="C257" s="2" t="s">
        <v>289</v>
      </c>
      <c r="D257" s="2" t="s">
        <v>290</v>
      </c>
      <c r="E257" s="2" t="s">
        <v>42</v>
      </c>
      <c r="F257" s="2" t="s">
        <v>29</v>
      </c>
      <c r="G257" s="2" t="s">
        <v>30</v>
      </c>
      <c r="H257" s="2" t="s">
        <v>218</v>
      </c>
      <c r="I257" s="2" t="s">
        <v>219</v>
      </c>
      <c r="J257" s="2" t="s">
        <v>220</v>
      </c>
      <c r="K257" s="2" t="s">
        <v>34</v>
      </c>
      <c r="L257" s="3"/>
      <c r="M257" s="3">
        <v>39216</v>
      </c>
      <c r="N257" s="3">
        <v>39216</v>
      </c>
      <c r="O257" s="3">
        <v>39216</v>
      </c>
      <c r="P257" s="2" t="s">
        <v>164</v>
      </c>
      <c r="Q257" s="2" t="s">
        <v>165</v>
      </c>
      <c r="R257" s="2" t="s">
        <v>37</v>
      </c>
      <c r="S257" s="2" t="s">
        <v>166</v>
      </c>
      <c r="T257" s="2" t="s">
        <v>39</v>
      </c>
      <c r="U257" s="2">
        <v>60</v>
      </c>
      <c r="V257" s="2">
        <v>1267</v>
      </c>
      <c r="W257" s="2">
        <v>4193.7700000000004</v>
      </c>
      <c r="X257" s="2">
        <v>3.31</v>
      </c>
      <c r="Y257" s="2">
        <v>0.06</v>
      </c>
      <c r="AB257">
        <v>1</v>
      </c>
      <c r="AC257">
        <v>2007</v>
      </c>
      <c r="AE257" s="2">
        <v>76.02</v>
      </c>
    </row>
    <row r="258" spans="2:31" ht="14.5">
      <c r="B258" s="2">
        <v>12073</v>
      </c>
      <c r="C258" s="2" t="s">
        <v>382</v>
      </c>
      <c r="D258" s="2" t="s">
        <v>383</v>
      </c>
      <c r="E258" s="2" t="s">
        <v>28</v>
      </c>
      <c r="F258" s="2" t="s">
        <v>29</v>
      </c>
      <c r="G258" s="2" t="s">
        <v>50</v>
      </c>
      <c r="H258" s="2" t="s">
        <v>218</v>
      </c>
      <c r="I258" s="2" t="s">
        <v>219</v>
      </c>
      <c r="J258" s="2" t="s">
        <v>220</v>
      </c>
      <c r="K258" s="2" t="s">
        <v>34</v>
      </c>
      <c r="L258" s="3"/>
      <c r="M258" s="3">
        <v>39293</v>
      </c>
      <c r="N258" s="3">
        <v>39293</v>
      </c>
      <c r="O258" s="3">
        <v>39293</v>
      </c>
      <c r="P258" s="2" t="s">
        <v>83</v>
      </c>
      <c r="Q258" s="2" t="s">
        <v>84</v>
      </c>
      <c r="R258" s="2" t="s">
        <v>85</v>
      </c>
      <c r="S258" s="2" t="s">
        <v>86</v>
      </c>
      <c r="T258" s="2" t="s">
        <v>87</v>
      </c>
      <c r="U258" s="2">
        <v>300</v>
      </c>
      <c r="V258" s="2">
        <v>147</v>
      </c>
      <c r="W258" s="2">
        <v>6041.7</v>
      </c>
      <c r="X258" s="2">
        <v>41.1</v>
      </c>
      <c r="Y258" s="2">
        <v>0.14000000000000001</v>
      </c>
      <c r="AB258">
        <v>1</v>
      </c>
      <c r="AC258">
        <v>2007</v>
      </c>
      <c r="AE258" s="2">
        <v>20.580000000000002</v>
      </c>
    </row>
    <row r="259" spans="2:31" ht="14.5">
      <c r="B259" s="2">
        <v>12078</v>
      </c>
      <c r="C259" s="2" t="s">
        <v>566</v>
      </c>
      <c r="D259" s="2" t="s">
        <v>567</v>
      </c>
      <c r="E259" s="2" t="s">
        <v>42</v>
      </c>
      <c r="F259" s="2" t="s">
        <v>29</v>
      </c>
      <c r="G259" s="2" t="s">
        <v>30</v>
      </c>
      <c r="H259" s="2" t="s">
        <v>218</v>
      </c>
      <c r="I259" s="2" t="s">
        <v>219</v>
      </c>
      <c r="J259" s="2" t="s">
        <v>220</v>
      </c>
      <c r="K259" s="2" t="s">
        <v>34</v>
      </c>
      <c r="L259" s="3"/>
      <c r="M259" s="3">
        <v>39300</v>
      </c>
      <c r="N259" s="3">
        <v>39300</v>
      </c>
      <c r="O259" s="3">
        <v>39300</v>
      </c>
      <c r="P259" s="2" t="s">
        <v>568</v>
      </c>
      <c r="Q259" s="2" t="s">
        <v>569</v>
      </c>
      <c r="R259" s="2" t="s">
        <v>570</v>
      </c>
      <c r="S259" s="2" t="s">
        <v>70</v>
      </c>
      <c r="T259" s="2" t="s">
        <v>64</v>
      </c>
      <c r="U259" s="2">
        <v>180</v>
      </c>
      <c r="V259" s="2">
        <v>112</v>
      </c>
      <c r="W259" s="2">
        <v>5600</v>
      </c>
      <c r="X259" s="2">
        <v>50</v>
      </c>
      <c r="Y259" s="2">
        <v>0.28000000000000003</v>
      </c>
      <c r="Z259" s="2">
        <v>24</v>
      </c>
      <c r="AA259" s="2">
        <v>1161</v>
      </c>
      <c r="AB259">
        <v>1</v>
      </c>
      <c r="AC259">
        <v>2007</v>
      </c>
      <c r="AE259" s="2">
        <v>31.360000000000003</v>
      </c>
    </row>
    <row r="260" spans="2:31" ht="14.5">
      <c r="B260" s="2">
        <v>12086</v>
      </c>
      <c r="C260" s="2" t="s">
        <v>571</v>
      </c>
      <c r="D260" s="2" t="s">
        <v>572</v>
      </c>
      <c r="E260" s="2" t="s">
        <v>28</v>
      </c>
      <c r="F260" s="2" t="s">
        <v>29</v>
      </c>
      <c r="G260" s="2" t="s">
        <v>30</v>
      </c>
      <c r="H260" s="2" t="s">
        <v>218</v>
      </c>
      <c r="I260" s="2" t="s">
        <v>219</v>
      </c>
      <c r="J260" s="2" t="s">
        <v>220</v>
      </c>
      <c r="K260" s="2" t="s">
        <v>34</v>
      </c>
      <c r="L260" s="3"/>
      <c r="M260" s="3">
        <v>39323</v>
      </c>
      <c r="N260" s="3">
        <v>39323</v>
      </c>
      <c r="O260" s="3">
        <v>39323</v>
      </c>
      <c r="P260" s="2" t="s">
        <v>44</v>
      </c>
      <c r="Q260" s="2" t="s">
        <v>45</v>
      </c>
      <c r="R260" s="2" t="s">
        <v>37</v>
      </c>
      <c r="S260" s="2" t="s">
        <v>46</v>
      </c>
      <c r="T260" s="2" t="s">
        <v>47</v>
      </c>
      <c r="U260" s="2">
        <v>60</v>
      </c>
      <c r="V260" s="2">
        <v>29489</v>
      </c>
      <c r="W260" s="2">
        <v>314942.52</v>
      </c>
      <c r="X260" s="2">
        <v>10.68</v>
      </c>
      <c r="Y260" s="2">
        <v>0.18</v>
      </c>
      <c r="Z260" s="2">
        <v>2670</v>
      </c>
      <c r="AA260" s="2">
        <v>7533</v>
      </c>
      <c r="AB260">
        <v>1</v>
      </c>
      <c r="AC260">
        <v>2007</v>
      </c>
      <c r="AE260" s="2">
        <v>5308.0199999999995</v>
      </c>
    </row>
    <row r="261" spans="2:31" ht="14.5">
      <c r="B261" s="2">
        <v>12109</v>
      </c>
      <c r="C261" s="2" t="s">
        <v>221</v>
      </c>
      <c r="D261" s="2" t="s">
        <v>222</v>
      </c>
      <c r="E261" s="2" t="s">
        <v>60</v>
      </c>
      <c r="F261" s="2" t="s">
        <v>29</v>
      </c>
      <c r="G261" s="2" t="s">
        <v>50</v>
      </c>
      <c r="H261" s="2" t="s">
        <v>218</v>
      </c>
      <c r="I261" s="2" t="s">
        <v>219</v>
      </c>
      <c r="J261" s="2" t="s">
        <v>220</v>
      </c>
      <c r="K261" s="2" t="s">
        <v>223</v>
      </c>
      <c r="L261" s="3"/>
      <c r="M261" s="3">
        <v>39329</v>
      </c>
      <c r="N261" s="3">
        <v>39329</v>
      </c>
      <c r="O261" s="3">
        <v>39329</v>
      </c>
      <c r="P261" s="2" t="s">
        <v>302</v>
      </c>
      <c r="Q261" s="2" t="s">
        <v>165</v>
      </c>
      <c r="R261" s="2" t="s">
        <v>37</v>
      </c>
      <c r="S261" s="2" t="s">
        <v>226</v>
      </c>
      <c r="T261" s="2" t="s">
        <v>87</v>
      </c>
      <c r="U261" s="2">
        <v>240</v>
      </c>
      <c r="V261" s="2">
        <v>11950</v>
      </c>
      <c r="W261" s="2">
        <v>23541.5</v>
      </c>
      <c r="X261" s="2">
        <v>1.97</v>
      </c>
      <c r="Y261" s="2">
        <v>0.01</v>
      </c>
      <c r="AB261">
        <v>1</v>
      </c>
      <c r="AC261">
        <v>2007</v>
      </c>
      <c r="AE261" s="2">
        <v>119.5</v>
      </c>
    </row>
    <row r="262" spans="2:31" ht="14.5">
      <c r="B262" s="2">
        <v>12110</v>
      </c>
      <c r="C262" s="2" t="s">
        <v>221</v>
      </c>
      <c r="D262" s="2" t="s">
        <v>222</v>
      </c>
      <c r="E262" s="2" t="s">
        <v>60</v>
      </c>
      <c r="F262" s="2" t="s">
        <v>29</v>
      </c>
      <c r="G262" s="2" t="s">
        <v>30</v>
      </c>
      <c r="H262" s="2" t="s">
        <v>218</v>
      </c>
      <c r="I262" s="2" t="s">
        <v>219</v>
      </c>
      <c r="J262" s="2" t="s">
        <v>220</v>
      </c>
      <c r="K262" s="2" t="s">
        <v>223</v>
      </c>
      <c r="L262" s="3"/>
      <c r="M262" s="3">
        <v>39329</v>
      </c>
      <c r="N262" s="3">
        <v>39329</v>
      </c>
      <c r="O262" s="3">
        <v>39329</v>
      </c>
      <c r="P262" s="2" t="s">
        <v>164</v>
      </c>
      <c r="Q262" s="2" t="s">
        <v>165</v>
      </c>
      <c r="R262" s="2" t="s">
        <v>37</v>
      </c>
      <c r="S262" s="2" t="s">
        <v>166</v>
      </c>
      <c r="T262" s="2" t="s">
        <v>39</v>
      </c>
      <c r="U262" s="2">
        <v>60</v>
      </c>
      <c r="V262" s="2">
        <v>46855</v>
      </c>
      <c r="W262" s="2">
        <v>142439.20000000001</v>
      </c>
      <c r="X262" s="2">
        <v>3.04</v>
      </c>
      <c r="Y262" s="2">
        <v>0.05</v>
      </c>
      <c r="AB262">
        <v>1</v>
      </c>
      <c r="AC262">
        <v>2007</v>
      </c>
      <c r="AE262" s="2">
        <v>2342.75</v>
      </c>
    </row>
    <row r="263" spans="2:31" ht="14.5">
      <c r="B263" s="2">
        <v>12136</v>
      </c>
      <c r="C263" s="2" t="s">
        <v>523</v>
      </c>
      <c r="D263" s="2" t="s">
        <v>524</v>
      </c>
      <c r="E263" s="2" t="s">
        <v>60</v>
      </c>
      <c r="F263" s="2" t="s">
        <v>29</v>
      </c>
      <c r="G263" s="2" t="s">
        <v>30</v>
      </c>
      <c r="H263" s="2" t="s">
        <v>218</v>
      </c>
      <c r="I263" s="2" t="s">
        <v>219</v>
      </c>
      <c r="J263" s="2" t="s">
        <v>220</v>
      </c>
      <c r="K263" s="2" t="s">
        <v>223</v>
      </c>
      <c r="L263" s="3"/>
      <c r="M263" s="3">
        <v>39436</v>
      </c>
      <c r="N263" s="3">
        <v>39436</v>
      </c>
      <c r="O263" s="3">
        <v>39436</v>
      </c>
      <c r="P263" s="2" t="s">
        <v>164</v>
      </c>
      <c r="Q263" s="2" t="s">
        <v>165</v>
      </c>
      <c r="R263" s="2" t="s">
        <v>37</v>
      </c>
      <c r="S263" s="2" t="s">
        <v>166</v>
      </c>
      <c r="T263" s="2" t="s">
        <v>39</v>
      </c>
      <c r="U263" s="2">
        <v>60</v>
      </c>
      <c r="V263" s="2">
        <v>14040</v>
      </c>
      <c r="W263" s="2">
        <v>42681.599999999999</v>
      </c>
      <c r="X263" s="2">
        <v>3.04</v>
      </c>
      <c r="Y263" s="2">
        <v>0.05</v>
      </c>
      <c r="AB263">
        <v>1</v>
      </c>
      <c r="AC263">
        <v>2007</v>
      </c>
      <c r="AE263" s="2">
        <v>702</v>
      </c>
    </row>
    <row r="264" spans="2:31" ht="14.5">
      <c r="B264" s="2">
        <v>12138</v>
      </c>
      <c r="C264" s="2" t="s">
        <v>573</v>
      </c>
      <c r="D264" s="2" t="s">
        <v>574</v>
      </c>
      <c r="E264" s="2" t="s">
        <v>60</v>
      </c>
      <c r="F264" s="2" t="s">
        <v>29</v>
      </c>
      <c r="G264" s="2" t="s">
        <v>30</v>
      </c>
      <c r="H264" s="2" t="s">
        <v>218</v>
      </c>
      <c r="I264" s="2" t="s">
        <v>219</v>
      </c>
      <c r="J264" s="2" t="s">
        <v>220</v>
      </c>
      <c r="K264" s="2" t="s">
        <v>34</v>
      </c>
      <c r="L264" s="3"/>
      <c r="M264" s="3">
        <v>39436</v>
      </c>
      <c r="N264" s="3">
        <v>39436</v>
      </c>
      <c r="O264" s="3">
        <v>39436</v>
      </c>
      <c r="P264" s="2" t="s">
        <v>44</v>
      </c>
      <c r="Q264" s="2" t="s">
        <v>45</v>
      </c>
      <c r="R264" s="2" t="s">
        <v>37</v>
      </c>
      <c r="S264" s="2" t="s">
        <v>46</v>
      </c>
      <c r="T264" s="2" t="s">
        <v>47</v>
      </c>
      <c r="U264" s="2">
        <v>60</v>
      </c>
      <c r="V264" s="2">
        <v>1797</v>
      </c>
      <c r="W264" s="2">
        <v>17071.5</v>
      </c>
      <c r="X264" s="2">
        <v>9.5</v>
      </c>
      <c r="Y264" s="2">
        <v>0.16</v>
      </c>
      <c r="Z264" s="2">
        <v>170</v>
      </c>
      <c r="AA264" s="2">
        <v>892</v>
      </c>
      <c r="AB264">
        <v>1</v>
      </c>
      <c r="AC264">
        <v>2007</v>
      </c>
      <c r="AE264" s="2">
        <v>287.52</v>
      </c>
    </row>
    <row r="265" spans="2:31" ht="14.5">
      <c r="B265" s="2">
        <v>12143</v>
      </c>
      <c r="C265" s="2" t="s">
        <v>575</v>
      </c>
      <c r="D265" s="2" t="s">
        <v>576</v>
      </c>
      <c r="E265" s="2" t="s">
        <v>60</v>
      </c>
      <c r="F265" s="2" t="s">
        <v>29</v>
      </c>
      <c r="G265" s="2" t="s">
        <v>30</v>
      </c>
      <c r="H265" s="2" t="s">
        <v>218</v>
      </c>
      <c r="I265" s="2" t="s">
        <v>219</v>
      </c>
      <c r="J265" s="2" t="s">
        <v>220</v>
      </c>
      <c r="K265" s="2" t="s">
        <v>34</v>
      </c>
      <c r="L265" s="3"/>
      <c r="M265" s="3">
        <v>39436</v>
      </c>
      <c r="N265" s="3">
        <v>39436</v>
      </c>
      <c r="O265" s="3">
        <v>39436</v>
      </c>
      <c r="P265" s="2" t="s">
        <v>35</v>
      </c>
      <c r="Q265" s="2" t="s">
        <v>36</v>
      </c>
      <c r="R265" s="2" t="s">
        <v>37</v>
      </c>
      <c r="S265" s="2" t="s">
        <v>38</v>
      </c>
      <c r="T265" s="2" t="s">
        <v>39</v>
      </c>
      <c r="U265" s="2">
        <v>60</v>
      </c>
      <c r="V265" s="2">
        <v>1255</v>
      </c>
      <c r="W265" s="2">
        <v>4267</v>
      </c>
      <c r="X265" s="2">
        <v>3.4</v>
      </c>
      <c r="Y265" s="2">
        <v>0.06</v>
      </c>
      <c r="Z265" s="2">
        <v>120</v>
      </c>
      <c r="AA265" s="2">
        <v>1318</v>
      </c>
      <c r="AB265">
        <v>1</v>
      </c>
      <c r="AC265">
        <v>2007</v>
      </c>
      <c r="AE265" s="2">
        <v>75.3</v>
      </c>
    </row>
    <row r="266" spans="2:31" ht="14.5">
      <c r="B266" s="2">
        <v>12148</v>
      </c>
      <c r="C266" s="2" t="s">
        <v>441</v>
      </c>
      <c r="D266" s="2" t="s">
        <v>442</v>
      </c>
      <c r="E266" s="2" t="s">
        <v>118</v>
      </c>
      <c r="F266" s="2" t="s">
        <v>29</v>
      </c>
      <c r="G266" s="2" t="s">
        <v>30</v>
      </c>
      <c r="H266" s="2" t="s">
        <v>218</v>
      </c>
      <c r="I266" s="2" t="s">
        <v>219</v>
      </c>
      <c r="J266" s="2" t="s">
        <v>220</v>
      </c>
      <c r="K266" s="2" t="s">
        <v>34</v>
      </c>
      <c r="L266" s="3"/>
      <c r="M266" s="3">
        <v>39462</v>
      </c>
      <c r="N266" s="3">
        <v>39462</v>
      </c>
      <c r="O266" s="3">
        <v>39462</v>
      </c>
      <c r="P266" s="2" t="s">
        <v>44</v>
      </c>
      <c r="Q266" s="2" t="s">
        <v>45</v>
      </c>
      <c r="R266" s="2" t="s">
        <v>37</v>
      </c>
      <c r="S266" s="2" t="s">
        <v>46</v>
      </c>
      <c r="T266" s="2" t="s">
        <v>47</v>
      </c>
      <c r="U266" s="2">
        <v>60</v>
      </c>
      <c r="V266" s="2">
        <v>16</v>
      </c>
      <c r="W266" s="2">
        <v>152</v>
      </c>
      <c r="X266" s="2">
        <v>9.5</v>
      </c>
      <c r="Y266" s="2">
        <v>0.16</v>
      </c>
      <c r="AB266">
        <v>1</v>
      </c>
      <c r="AC266">
        <v>2008</v>
      </c>
      <c r="AE266" s="2">
        <v>2.56</v>
      </c>
    </row>
    <row r="267" spans="2:31" ht="14.5">
      <c r="B267" s="2">
        <v>12169</v>
      </c>
      <c r="C267" s="2" t="s">
        <v>577</v>
      </c>
      <c r="D267" s="2" t="s">
        <v>578</v>
      </c>
      <c r="E267" s="2" t="s">
        <v>28</v>
      </c>
      <c r="F267" s="2" t="s">
        <v>29</v>
      </c>
      <c r="G267" s="2" t="s">
        <v>30</v>
      </c>
      <c r="H267" s="2" t="s">
        <v>218</v>
      </c>
      <c r="I267" s="2" t="s">
        <v>219</v>
      </c>
      <c r="J267" s="2" t="s">
        <v>220</v>
      </c>
      <c r="K267" s="2" t="s">
        <v>223</v>
      </c>
      <c r="L267" s="3"/>
      <c r="M267" s="3">
        <v>39539</v>
      </c>
      <c r="N267" s="3">
        <v>39539</v>
      </c>
      <c r="O267" s="3">
        <v>39539</v>
      </c>
      <c r="P267" s="2" t="s">
        <v>95</v>
      </c>
      <c r="Q267" s="2" t="s">
        <v>96</v>
      </c>
      <c r="R267" s="2" t="s">
        <v>37</v>
      </c>
      <c r="S267" s="2" t="s">
        <v>97</v>
      </c>
      <c r="T267" s="2" t="s">
        <v>39</v>
      </c>
      <c r="U267" s="2">
        <v>30</v>
      </c>
      <c r="V267" s="2">
        <v>32997</v>
      </c>
      <c r="W267" s="2">
        <v>409822.74</v>
      </c>
      <c r="X267" s="2">
        <v>12.42</v>
      </c>
      <c r="Y267" s="2">
        <v>0.41</v>
      </c>
      <c r="Z267" s="2">
        <v>2867</v>
      </c>
      <c r="AA267" s="2">
        <v>10288.1</v>
      </c>
      <c r="AB267">
        <v>1</v>
      </c>
      <c r="AC267">
        <v>2008</v>
      </c>
      <c r="AE267" s="2">
        <v>13528.769999999999</v>
      </c>
    </row>
    <row r="268" spans="2:31" ht="14.5">
      <c r="B268" s="2">
        <v>12172</v>
      </c>
      <c r="C268" s="2" t="s">
        <v>579</v>
      </c>
      <c r="D268" s="2" t="s">
        <v>580</v>
      </c>
      <c r="E268" s="2" t="s">
        <v>118</v>
      </c>
      <c r="F268" s="2" t="s">
        <v>29</v>
      </c>
      <c r="G268" s="2" t="s">
        <v>30</v>
      </c>
      <c r="H268" s="2" t="s">
        <v>218</v>
      </c>
      <c r="I268" s="2" t="s">
        <v>219</v>
      </c>
      <c r="J268" s="2" t="s">
        <v>220</v>
      </c>
      <c r="K268" s="2" t="s">
        <v>34</v>
      </c>
      <c r="L268" s="3"/>
      <c r="M268" s="3">
        <v>39601</v>
      </c>
      <c r="N268" s="3">
        <v>39601</v>
      </c>
      <c r="O268" s="3">
        <v>39601</v>
      </c>
      <c r="P268" s="2" t="s">
        <v>95</v>
      </c>
      <c r="Q268" s="2" t="s">
        <v>96</v>
      </c>
      <c r="R268" s="2" t="s">
        <v>37</v>
      </c>
      <c r="S268" s="2" t="s">
        <v>97</v>
      </c>
      <c r="T268" s="2" t="s">
        <v>39</v>
      </c>
      <c r="U268" s="2">
        <v>30</v>
      </c>
      <c r="V268" s="2">
        <v>860</v>
      </c>
      <c r="W268" s="2">
        <v>10328.6</v>
      </c>
      <c r="X268" s="2">
        <v>12.01</v>
      </c>
      <c r="Y268" s="2">
        <v>0.4</v>
      </c>
      <c r="Z268" s="2">
        <v>76</v>
      </c>
      <c r="AA268" s="2">
        <v>675</v>
      </c>
      <c r="AB268">
        <v>1</v>
      </c>
      <c r="AC268">
        <v>2008</v>
      </c>
      <c r="AE268" s="2">
        <v>344</v>
      </c>
    </row>
    <row r="269" spans="2:31" ht="14.5">
      <c r="B269" s="2">
        <v>12176</v>
      </c>
      <c r="C269" s="2" t="s">
        <v>581</v>
      </c>
      <c r="D269" s="2" t="s">
        <v>582</v>
      </c>
      <c r="E269" s="2" t="s">
        <v>118</v>
      </c>
      <c r="F269" s="2" t="s">
        <v>29</v>
      </c>
      <c r="G269" s="2" t="s">
        <v>30</v>
      </c>
      <c r="H269" s="2" t="s">
        <v>218</v>
      </c>
      <c r="I269" s="2" t="s">
        <v>219</v>
      </c>
      <c r="J269" s="2" t="s">
        <v>220</v>
      </c>
      <c r="K269" s="2" t="s">
        <v>34</v>
      </c>
      <c r="L269" s="3"/>
      <c r="M269" s="3">
        <v>39664</v>
      </c>
      <c r="N269" s="3">
        <v>39664</v>
      </c>
      <c r="O269" s="3">
        <v>39664</v>
      </c>
      <c r="P269" s="2" t="s">
        <v>112</v>
      </c>
      <c r="Q269" s="2" t="s">
        <v>113</v>
      </c>
      <c r="R269" s="2" t="s">
        <v>37</v>
      </c>
      <c r="S269" s="2" t="s">
        <v>114</v>
      </c>
      <c r="T269" s="2" t="s">
        <v>47</v>
      </c>
      <c r="U269" s="2">
        <v>60</v>
      </c>
      <c r="V269" s="2">
        <v>7296</v>
      </c>
      <c r="W269" s="2">
        <v>96890.880000000005</v>
      </c>
      <c r="X269" s="2">
        <v>13.28</v>
      </c>
      <c r="Y269" s="2">
        <v>0.22</v>
      </c>
      <c r="Z269" s="2">
        <v>824</v>
      </c>
      <c r="AA269" s="2">
        <v>3182.52</v>
      </c>
      <c r="AB269">
        <v>1</v>
      </c>
      <c r="AC269">
        <v>2008</v>
      </c>
      <c r="AE269" s="2">
        <v>1605.1200000000001</v>
      </c>
    </row>
    <row r="270" spans="2:31" ht="14.5">
      <c r="B270" s="2">
        <v>12189</v>
      </c>
      <c r="C270" s="2" t="s">
        <v>583</v>
      </c>
      <c r="D270" s="2" t="s">
        <v>584</v>
      </c>
      <c r="E270" s="2" t="s">
        <v>118</v>
      </c>
      <c r="F270" s="2" t="s">
        <v>29</v>
      </c>
      <c r="G270" s="2" t="s">
        <v>50</v>
      </c>
      <c r="H270" s="2" t="s">
        <v>218</v>
      </c>
      <c r="I270" s="2" t="s">
        <v>219</v>
      </c>
      <c r="J270" s="2" t="s">
        <v>220</v>
      </c>
      <c r="K270" s="2" t="s">
        <v>34</v>
      </c>
      <c r="L270" s="3"/>
      <c r="M270" s="3">
        <v>39651</v>
      </c>
      <c r="N270" s="3">
        <v>39651</v>
      </c>
      <c r="O270" s="3">
        <v>39651</v>
      </c>
      <c r="P270" s="2" t="s">
        <v>224</v>
      </c>
      <c r="Q270" s="2" t="s">
        <v>225</v>
      </c>
      <c r="R270" s="2" t="s">
        <v>37</v>
      </c>
      <c r="S270" s="2" t="s">
        <v>226</v>
      </c>
      <c r="T270" s="2" t="s">
        <v>87</v>
      </c>
      <c r="U270" s="2">
        <v>240</v>
      </c>
      <c r="V270" s="2">
        <v>6036</v>
      </c>
      <c r="W270" s="2">
        <v>12675.6</v>
      </c>
      <c r="X270" s="2">
        <v>2.1</v>
      </c>
      <c r="Y270" s="2">
        <v>0.01</v>
      </c>
      <c r="Z270" s="2">
        <v>2253</v>
      </c>
      <c r="AA270" s="2">
        <v>15923.41</v>
      </c>
      <c r="AB270">
        <v>1</v>
      </c>
      <c r="AC270">
        <v>2008</v>
      </c>
      <c r="AE270" s="2">
        <v>60.36</v>
      </c>
    </row>
    <row r="271" spans="2:31" ht="14.5">
      <c r="B271" s="2">
        <v>12195</v>
      </c>
      <c r="C271" s="2" t="s">
        <v>585</v>
      </c>
      <c r="D271" s="2" t="s">
        <v>586</v>
      </c>
      <c r="E271" s="2" t="s">
        <v>28</v>
      </c>
      <c r="F271" s="2" t="s">
        <v>29</v>
      </c>
      <c r="G271" s="2" t="s">
        <v>30</v>
      </c>
      <c r="H271" s="2" t="s">
        <v>218</v>
      </c>
      <c r="I271" s="2" t="s">
        <v>219</v>
      </c>
      <c r="J271" s="2" t="s">
        <v>220</v>
      </c>
      <c r="K271" s="2" t="s">
        <v>34</v>
      </c>
      <c r="L271" s="3"/>
      <c r="M271" s="3">
        <v>39535</v>
      </c>
      <c r="N271" s="3">
        <v>39535</v>
      </c>
      <c r="O271" s="3">
        <v>39535</v>
      </c>
      <c r="P271" s="2" t="s">
        <v>95</v>
      </c>
      <c r="Q271" s="2" t="s">
        <v>96</v>
      </c>
      <c r="R271" s="2" t="s">
        <v>37</v>
      </c>
      <c r="S271" s="2" t="s">
        <v>97</v>
      </c>
      <c r="T271" s="2" t="s">
        <v>39</v>
      </c>
      <c r="U271" s="2">
        <v>30</v>
      </c>
      <c r="V271" s="2">
        <v>17000</v>
      </c>
      <c r="W271" s="2">
        <v>211140</v>
      </c>
      <c r="X271" s="2">
        <v>12.42</v>
      </c>
      <c r="Y271" s="2">
        <v>0.41</v>
      </c>
      <c r="Z271" s="2">
        <v>6007</v>
      </c>
      <c r="AA271" s="2">
        <v>20395.599999999999</v>
      </c>
      <c r="AB271">
        <v>1</v>
      </c>
      <c r="AC271">
        <v>2008</v>
      </c>
      <c r="AE271" s="2">
        <v>6970</v>
      </c>
    </row>
    <row r="272" spans="2:31" ht="14.5">
      <c r="B272" s="2">
        <v>12204</v>
      </c>
      <c r="C272" s="2" t="s">
        <v>397</v>
      </c>
      <c r="D272" s="2" t="s">
        <v>398</v>
      </c>
      <c r="E272" s="2" t="s">
        <v>60</v>
      </c>
      <c r="F272" s="2" t="s">
        <v>29</v>
      </c>
      <c r="G272" s="2" t="s">
        <v>30</v>
      </c>
      <c r="H272" s="2" t="s">
        <v>218</v>
      </c>
      <c r="I272" s="2" t="s">
        <v>219</v>
      </c>
      <c r="J272" s="2" t="s">
        <v>220</v>
      </c>
      <c r="K272" s="2" t="s">
        <v>34</v>
      </c>
      <c r="L272" s="3"/>
      <c r="M272" s="3">
        <v>39559</v>
      </c>
      <c r="N272" s="3">
        <v>39559</v>
      </c>
      <c r="O272" s="3">
        <v>39559</v>
      </c>
      <c r="P272" s="2" t="s">
        <v>35</v>
      </c>
      <c r="Q272" s="2" t="s">
        <v>36</v>
      </c>
      <c r="R272" s="2" t="s">
        <v>37</v>
      </c>
      <c r="S272" s="2" t="s">
        <v>38</v>
      </c>
      <c r="T272" s="2" t="s">
        <v>39</v>
      </c>
      <c r="U272" s="2">
        <v>60</v>
      </c>
      <c r="V272" s="2">
        <v>1440</v>
      </c>
      <c r="W272" s="2">
        <v>4896</v>
      </c>
      <c r="X272" s="2">
        <v>3.4</v>
      </c>
      <c r="Y272" s="2">
        <v>0.06</v>
      </c>
      <c r="AB272">
        <v>1</v>
      </c>
      <c r="AC272">
        <v>2008</v>
      </c>
      <c r="AE272" s="2">
        <v>86.399999999999991</v>
      </c>
    </row>
    <row r="273" spans="2:31" ht="14.5">
      <c r="B273" s="2">
        <v>12210</v>
      </c>
      <c r="C273" s="2" t="s">
        <v>401</v>
      </c>
      <c r="D273" s="2" t="s">
        <v>402</v>
      </c>
      <c r="E273" s="2" t="s">
        <v>118</v>
      </c>
      <c r="F273" s="2" t="s">
        <v>29</v>
      </c>
      <c r="G273" s="2" t="s">
        <v>30</v>
      </c>
      <c r="H273" s="2" t="s">
        <v>218</v>
      </c>
      <c r="I273" s="2" t="s">
        <v>219</v>
      </c>
      <c r="J273" s="2" t="s">
        <v>220</v>
      </c>
      <c r="K273" s="2" t="s">
        <v>34</v>
      </c>
      <c r="L273" s="3"/>
      <c r="M273" s="3">
        <v>39681</v>
      </c>
      <c r="N273" s="3">
        <v>39681</v>
      </c>
      <c r="O273" s="3">
        <v>39681</v>
      </c>
      <c r="P273" s="2" t="s">
        <v>95</v>
      </c>
      <c r="Q273" s="2" t="s">
        <v>96</v>
      </c>
      <c r="R273" s="2" t="s">
        <v>37</v>
      </c>
      <c r="S273" s="2" t="s">
        <v>97</v>
      </c>
      <c r="T273" s="2" t="s">
        <v>39</v>
      </c>
      <c r="U273" s="2">
        <v>30</v>
      </c>
      <c r="V273" s="2">
        <v>1300</v>
      </c>
      <c r="W273" s="2">
        <v>15613</v>
      </c>
      <c r="X273" s="2">
        <v>12.01</v>
      </c>
      <c r="Y273" s="2">
        <v>0.4</v>
      </c>
      <c r="AB273">
        <v>1</v>
      </c>
      <c r="AC273">
        <v>2008</v>
      </c>
      <c r="AE273" s="2">
        <v>520</v>
      </c>
    </row>
    <row r="274" spans="2:31" ht="14.5">
      <c r="B274" s="2">
        <v>12216</v>
      </c>
      <c r="C274" s="2" t="s">
        <v>251</v>
      </c>
      <c r="D274" s="2" t="s">
        <v>252</v>
      </c>
      <c r="E274" s="2" t="s">
        <v>118</v>
      </c>
      <c r="F274" s="2" t="s">
        <v>29</v>
      </c>
      <c r="G274" s="2" t="s">
        <v>30</v>
      </c>
      <c r="H274" s="2" t="s">
        <v>218</v>
      </c>
      <c r="I274" s="2" t="s">
        <v>219</v>
      </c>
      <c r="J274" s="2" t="s">
        <v>220</v>
      </c>
      <c r="K274" s="2" t="s">
        <v>34</v>
      </c>
      <c r="L274" s="3"/>
      <c r="M274" s="3">
        <v>39905</v>
      </c>
      <c r="N274" s="3">
        <v>39905</v>
      </c>
      <c r="O274" s="3">
        <v>39905</v>
      </c>
      <c r="P274" s="2" t="s">
        <v>95</v>
      </c>
      <c r="Q274" s="2" t="s">
        <v>96</v>
      </c>
      <c r="R274" s="2" t="s">
        <v>37</v>
      </c>
      <c r="S274" s="2" t="s">
        <v>97</v>
      </c>
      <c r="T274" s="2" t="s">
        <v>39</v>
      </c>
      <c r="U274" s="2">
        <v>30</v>
      </c>
      <c r="V274" s="2">
        <v>3713</v>
      </c>
      <c r="W274" s="2">
        <v>40843</v>
      </c>
      <c r="X274" s="2">
        <v>11</v>
      </c>
      <c r="Y274" s="2">
        <v>0.37</v>
      </c>
      <c r="AB274">
        <v>1</v>
      </c>
      <c r="AC274">
        <v>2009</v>
      </c>
      <c r="AE274" s="2">
        <v>1373.81</v>
      </c>
    </row>
    <row r="275" spans="2:31" ht="14.5">
      <c r="B275" s="2">
        <v>12219</v>
      </c>
      <c r="C275" s="2" t="s">
        <v>587</v>
      </c>
      <c r="D275" s="2" t="s">
        <v>588</v>
      </c>
      <c r="E275" s="2" t="s">
        <v>118</v>
      </c>
      <c r="F275" s="2" t="s">
        <v>29</v>
      </c>
      <c r="G275" s="2" t="s">
        <v>30</v>
      </c>
      <c r="H275" s="2" t="s">
        <v>218</v>
      </c>
      <c r="I275" s="2" t="s">
        <v>219</v>
      </c>
      <c r="J275" s="2" t="s">
        <v>220</v>
      </c>
      <c r="K275" s="2" t="s">
        <v>34</v>
      </c>
      <c r="L275" s="3"/>
      <c r="M275" s="3">
        <v>39875</v>
      </c>
      <c r="N275" s="3">
        <v>39875</v>
      </c>
      <c r="O275" s="3">
        <v>39875</v>
      </c>
      <c r="P275" s="2" t="s">
        <v>235</v>
      </c>
      <c r="Q275" s="2" t="s">
        <v>236</v>
      </c>
      <c r="R275" s="2" t="s">
        <v>237</v>
      </c>
      <c r="S275" s="2" t="s">
        <v>238</v>
      </c>
      <c r="T275" s="2" t="s">
        <v>47</v>
      </c>
      <c r="U275" s="2">
        <v>30</v>
      </c>
      <c r="V275" s="2">
        <v>1166</v>
      </c>
      <c r="W275" s="2">
        <v>30607.5</v>
      </c>
      <c r="X275" s="2">
        <v>26.25</v>
      </c>
      <c r="Y275" s="2">
        <v>0.88</v>
      </c>
      <c r="Z275" s="2">
        <v>145</v>
      </c>
      <c r="AA275" s="2">
        <v>1742.25</v>
      </c>
      <c r="AB275">
        <v>1</v>
      </c>
      <c r="AC275">
        <v>2009</v>
      </c>
      <c r="AE275" s="2">
        <v>1026.08</v>
      </c>
    </row>
    <row r="276" spans="2:31" ht="14.5">
      <c r="B276" s="2">
        <v>12220</v>
      </c>
      <c r="C276" s="2" t="s">
        <v>587</v>
      </c>
      <c r="D276" s="2" t="s">
        <v>588</v>
      </c>
      <c r="E276" s="2" t="s">
        <v>118</v>
      </c>
      <c r="F276" s="2" t="s">
        <v>29</v>
      </c>
      <c r="G276" s="2" t="s">
        <v>30</v>
      </c>
      <c r="H276" s="2" t="s">
        <v>218</v>
      </c>
      <c r="I276" s="2" t="s">
        <v>219</v>
      </c>
      <c r="J276" s="2" t="s">
        <v>220</v>
      </c>
      <c r="K276" s="2" t="s">
        <v>34</v>
      </c>
      <c r="L276" s="3"/>
      <c r="M276" s="3">
        <v>39875</v>
      </c>
      <c r="N276" s="3">
        <v>39875</v>
      </c>
      <c r="O276" s="3">
        <v>39875</v>
      </c>
      <c r="P276" s="2" t="s">
        <v>112</v>
      </c>
      <c r="Q276" s="2" t="s">
        <v>113</v>
      </c>
      <c r="R276" s="2" t="s">
        <v>37</v>
      </c>
      <c r="S276" s="2" t="s">
        <v>114</v>
      </c>
      <c r="T276" s="2" t="s">
        <v>47</v>
      </c>
      <c r="U276" s="2">
        <v>60</v>
      </c>
      <c r="V276" s="2">
        <v>312</v>
      </c>
      <c r="W276" s="2">
        <v>3681.6</v>
      </c>
      <c r="X276" s="2">
        <v>11.8</v>
      </c>
      <c r="Y276" s="2">
        <v>0.2</v>
      </c>
      <c r="AB276">
        <v>1</v>
      </c>
      <c r="AC276">
        <v>2009</v>
      </c>
      <c r="AE276" s="2">
        <v>62.400000000000006</v>
      </c>
    </row>
    <row r="277" spans="2:31" ht="14.5">
      <c r="B277" s="2">
        <v>12237</v>
      </c>
      <c r="C277" s="2" t="s">
        <v>589</v>
      </c>
      <c r="D277" s="2" t="s">
        <v>590</v>
      </c>
      <c r="E277" s="2" t="s">
        <v>60</v>
      </c>
      <c r="F277" s="2" t="s">
        <v>29</v>
      </c>
      <c r="G277" s="2" t="s">
        <v>30</v>
      </c>
      <c r="H277" s="2" t="s">
        <v>218</v>
      </c>
      <c r="I277" s="2" t="s">
        <v>219</v>
      </c>
      <c r="J277" s="2" t="s">
        <v>220</v>
      </c>
      <c r="K277" s="2" t="s">
        <v>34</v>
      </c>
      <c r="L277" s="3"/>
      <c r="M277" s="3">
        <v>39847</v>
      </c>
      <c r="N277" s="3">
        <v>39847</v>
      </c>
      <c r="O277" s="3">
        <v>39847</v>
      </c>
      <c r="P277" s="2" t="s">
        <v>139</v>
      </c>
      <c r="Q277" s="2" t="s">
        <v>140</v>
      </c>
      <c r="R277" s="2" t="s">
        <v>37</v>
      </c>
      <c r="S277" s="2" t="s">
        <v>141</v>
      </c>
      <c r="T277" s="2" t="s">
        <v>47</v>
      </c>
      <c r="U277" s="2">
        <v>60</v>
      </c>
      <c r="V277" s="2">
        <v>22918</v>
      </c>
      <c r="W277" s="2">
        <v>163176.16</v>
      </c>
      <c r="X277" s="2">
        <v>7.12</v>
      </c>
      <c r="Y277" s="2">
        <v>0.12</v>
      </c>
      <c r="Z277" s="2">
        <v>1689</v>
      </c>
      <c r="AA277" s="2">
        <v>9189.57</v>
      </c>
      <c r="AB277">
        <v>1</v>
      </c>
      <c r="AC277">
        <v>2009</v>
      </c>
      <c r="AE277" s="2">
        <v>2750.16</v>
      </c>
    </row>
    <row r="278" spans="2:31" ht="14.5">
      <c r="B278" s="2">
        <v>12238</v>
      </c>
      <c r="C278" s="2" t="s">
        <v>591</v>
      </c>
      <c r="D278" s="2" t="s">
        <v>592</v>
      </c>
      <c r="E278" s="2" t="s">
        <v>28</v>
      </c>
      <c r="F278" s="2" t="s">
        <v>29</v>
      </c>
      <c r="G278" s="2" t="s">
        <v>30</v>
      </c>
      <c r="H278" s="2" t="s">
        <v>218</v>
      </c>
      <c r="I278" s="2" t="s">
        <v>219</v>
      </c>
      <c r="J278" s="2" t="s">
        <v>220</v>
      </c>
      <c r="K278" s="2" t="s">
        <v>267</v>
      </c>
      <c r="L278" s="3"/>
      <c r="M278" s="3">
        <v>39881</v>
      </c>
      <c r="N278" s="3">
        <v>39881</v>
      </c>
      <c r="O278" s="3">
        <v>39881</v>
      </c>
      <c r="P278" s="2" t="s">
        <v>104</v>
      </c>
      <c r="Q278" s="2" t="s">
        <v>105</v>
      </c>
      <c r="R278" s="2" t="s">
        <v>106</v>
      </c>
      <c r="S278" s="2" t="s">
        <v>100</v>
      </c>
      <c r="T278" s="2" t="s">
        <v>39</v>
      </c>
      <c r="U278" s="2">
        <v>30</v>
      </c>
      <c r="V278" s="2">
        <v>883</v>
      </c>
      <c r="W278" s="2">
        <v>15011</v>
      </c>
      <c r="X278" s="2">
        <v>17</v>
      </c>
      <c r="Y278" s="2">
        <v>0.56999999999999995</v>
      </c>
      <c r="Z278" s="2">
        <v>70</v>
      </c>
      <c r="AA278" s="2">
        <v>1169.9000000000001</v>
      </c>
      <c r="AB278">
        <v>1</v>
      </c>
      <c r="AC278">
        <v>2009</v>
      </c>
      <c r="AE278" s="2">
        <v>503.30999999999995</v>
      </c>
    </row>
    <row r="279" spans="2:31" ht="14.5">
      <c r="B279" s="2">
        <v>12252</v>
      </c>
      <c r="C279" s="2" t="s">
        <v>593</v>
      </c>
      <c r="D279" s="2" t="s">
        <v>594</v>
      </c>
      <c r="E279" s="2" t="s">
        <v>118</v>
      </c>
      <c r="F279" s="2" t="s">
        <v>29</v>
      </c>
      <c r="G279" s="2" t="s">
        <v>30</v>
      </c>
      <c r="H279" s="2" t="s">
        <v>218</v>
      </c>
      <c r="I279" s="2" t="s">
        <v>219</v>
      </c>
      <c r="J279" s="2" t="s">
        <v>220</v>
      </c>
      <c r="K279" s="2" t="s">
        <v>34</v>
      </c>
      <c r="L279" s="3"/>
      <c r="M279" s="3">
        <v>39819</v>
      </c>
      <c r="N279" s="3">
        <v>39819</v>
      </c>
      <c r="O279" s="3">
        <v>39819</v>
      </c>
      <c r="P279" s="2" t="s">
        <v>112</v>
      </c>
      <c r="Q279" s="2" t="s">
        <v>113</v>
      </c>
      <c r="R279" s="2" t="s">
        <v>37</v>
      </c>
      <c r="S279" s="2" t="s">
        <v>114</v>
      </c>
      <c r="T279" s="2" t="s">
        <v>47</v>
      </c>
      <c r="U279" s="2">
        <v>60</v>
      </c>
      <c r="V279" s="2">
        <v>5131</v>
      </c>
      <c r="W279" s="2">
        <v>60545.8</v>
      </c>
      <c r="X279" s="2">
        <v>11.8</v>
      </c>
      <c r="Y279" s="2">
        <v>0.2</v>
      </c>
      <c r="Z279" s="2">
        <v>691</v>
      </c>
      <c r="AA279" s="2">
        <v>8252.73</v>
      </c>
      <c r="AB279">
        <v>1</v>
      </c>
      <c r="AC279">
        <v>2009</v>
      </c>
      <c r="AE279" s="2">
        <v>1026.2</v>
      </c>
    </row>
    <row r="280" spans="2:31" ht="14.5">
      <c r="B280" s="2">
        <v>12253</v>
      </c>
      <c r="C280" s="2" t="s">
        <v>593</v>
      </c>
      <c r="D280" s="2" t="s">
        <v>594</v>
      </c>
      <c r="E280" s="2" t="s">
        <v>118</v>
      </c>
      <c r="F280" s="2" t="s">
        <v>29</v>
      </c>
      <c r="G280" s="2" t="s">
        <v>30</v>
      </c>
      <c r="H280" s="2" t="s">
        <v>218</v>
      </c>
      <c r="I280" s="2" t="s">
        <v>219</v>
      </c>
      <c r="J280" s="2" t="s">
        <v>220</v>
      </c>
      <c r="K280" s="2" t="s">
        <v>34</v>
      </c>
      <c r="L280" s="3"/>
      <c r="M280" s="3">
        <v>39819</v>
      </c>
      <c r="N280" s="3">
        <v>39819</v>
      </c>
      <c r="O280" s="3">
        <v>39819</v>
      </c>
      <c r="P280" s="2" t="s">
        <v>453</v>
      </c>
      <c r="Q280" s="2" t="s">
        <v>408</v>
      </c>
      <c r="R280" s="2" t="s">
        <v>37</v>
      </c>
      <c r="S280" s="2" t="s">
        <v>409</v>
      </c>
      <c r="T280" s="2" t="s">
        <v>47</v>
      </c>
      <c r="U280" s="2">
        <v>30</v>
      </c>
      <c r="V280" s="2">
        <v>1082</v>
      </c>
      <c r="W280" s="2">
        <v>2164</v>
      </c>
      <c r="X280" s="2">
        <v>2</v>
      </c>
      <c r="Y280" s="2">
        <v>7.0000000000000007E-2</v>
      </c>
      <c r="AB280">
        <v>1</v>
      </c>
      <c r="AC280">
        <v>2009</v>
      </c>
      <c r="AE280" s="2">
        <v>75.740000000000009</v>
      </c>
    </row>
    <row r="281" spans="2:31" ht="14.5">
      <c r="B281" s="2">
        <v>12254</v>
      </c>
      <c r="C281" s="2" t="s">
        <v>545</v>
      </c>
      <c r="D281" s="2" t="s">
        <v>546</v>
      </c>
      <c r="E281" s="2" t="s">
        <v>28</v>
      </c>
      <c r="F281" s="2" t="s">
        <v>29</v>
      </c>
      <c r="G281" s="2" t="s">
        <v>30</v>
      </c>
      <c r="H281" s="2" t="s">
        <v>218</v>
      </c>
      <c r="I281" s="2" t="s">
        <v>219</v>
      </c>
      <c r="J281" s="2" t="s">
        <v>220</v>
      </c>
      <c r="K281" s="2" t="s">
        <v>34</v>
      </c>
      <c r="L281" s="3"/>
      <c r="M281" s="3">
        <v>39689</v>
      </c>
      <c r="N281" s="3">
        <v>39689</v>
      </c>
      <c r="O281" s="3">
        <v>39689</v>
      </c>
      <c r="P281" s="2" t="s">
        <v>139</v>
      </c>
      <c r="Q281" s="2" t="s">
        <v>140</v>
      </c>
      <c r="R281" s="2" t="s">
        <v>37</v>
      </c>
      <c r="S281" s="2" t="s">
        <v>141</v>
      </c>
      <c r="T281" s="2" t="s">
        <v>47</v>
      </c>
      <c r="U281" s="2">
        <v>60</v>
      </c>
      <c r="V281" s="2">
        <v>60332</v>
      </c>
      <c r="W281" s="2">
        <v>446456.8</v>
      </c>
      <c r="X281" s="2">
        <v>7.4</v>
      </c>
      <c r="Y281" s="2">
        <v>0.12</v>
      </c>
      <c r="AB281">
        <v>1</v>
      </c>
      <c r="AC281">
        <v>2008</v>
      </c>
      <c r="AE281" s="2">
        <v>7239.84</v>
      </c>
    </row>
    <row r="282" spans="2:31" ht="14.5">
      <c r="B282" s="2">
        <v>12255</v>
      </c>
      <c r="C282" s="2" t="s">
        <v>487</v>
      </c>
      <c r="D282" s="2" t="s">
        <v>488</v>
      </c>
      <c r="E282" s="2" t="s">
        <v>60</v>
      </c>
      <c r="F282" s="2" t="s">
        <v>29</v>
      </c>
      <c r="G282" s="2" t="s">
        <v>30</v>
      </c>
      <c r="H282" s="2" t="s">
        <v>218</v>
      </c>
      <c r="I282" s="2" t="s">
        <v>219</v>
      </c>
      <c r="J282" s="2" t="s">
        <v>220</v>
      </c>
      <c r="K282" s="2" t="s">
        <v>34</v>
      </c>
      <c r="L282" s="3"/>
      <c r="M282" s="3">
        <v>39862</v>
      </c>
      <c r="N282" s="3">
        <v>39862</v>
      </c>
      <c r="O282" s="3">
        <v>39862</v>
      </c>
      <c r="P282" s="2" t="s">
        <v>407</v>
      </c>
      <c r="Q282" s="2" t="s">
        <v>408</v>
      </c>
      <c r="R282" s="2" t="s">
        <v>37</v>
      </c>
      <c r="S282" s="2" t="s">
        <v>409</v>
      </c>
      <c r="T282" s="2" t="s">
        <v>47</v>
      </c>
      <c r="U282" s="2">
        <v>60</v>
      </c>
      <c r="V282" s="2">
        <v>27000</v>
      </c>
      <c r="W282" s="2">
        <v>102600</v>
      </c>
      <c r="X282" s="2">
        <v>3.8</v>
      </c>
      <c r="Y282" s="2">
        <v>0.06</v>
      </c>
      <c r="AB282">
        <v>1</v>
      </c>
      <c r="AC282">
        <v>2009</v>
      </c>
      <c r="AE282" s="2">
        <v>1620</v>
      </c>
    </row>
    <row r="283" spans="2:31" ht="14.5">
      <c r="B283" s="2">
        <v>12256</v>
      </c>
      <c r="C283" s="2" t="s">
        <v>595</v>
      </c>
      <c r="D283" s="2" t="s">
        <v>596</v>
      </c>
      <c r="E283" s="2" t="s">
        <v>60</v>
      </c>
      <c r="F283" s="2" t="s">
        <v>29</v>
      </c>
      <c r="G283" s="2" t="s">
        <v>30</v>
      </c>
      <c r="H283" s="2" t="s">
        <v>218</v>
      </c>
      <c r="I283" s="2" t="s">
        <v>219</v>
      </c>
      <c r="J283" s="2" t="s">
        <v>220</v>
      </c>
      <c r="K283" s="2" t="s">
        <v>34</v>
      </c>
      <c r="L283" s="3"/>
      <c r="M283" s="3">
        <v>39876</v>
      </c>
      <c r="N283" s="3">
        <v>39876</v>
      </c>
      <c r="O283" s="3">
        <v>39876</v>
      </c>
      <c r="P283" s="2" t="s">
        <v>139</v>
      </c>
      <c r="Q283" s="2" t="s">
        <v>140</v>
      </c>
      <c r="R283" s="2" t="s">
        <v>37</v>
      </c>
      <c r="S283" s="2" t="s">
        <v>141</v>
      </c>
      <c r="T283" s="2" t="s">
        <v>47</v>
      </c>
      <c r="U283" s="2">
        <v>60</v>
      </c>
      <c r="V283" s="2">
        <v>107556</v>
      </c>
      <c r="W283" s="2">
        <v>765798.72</v>
      </c>
      <c r="X283" s="2">
        <v>7.12</v>
      </c>
      <c r="Y283" s="2">
        <v>0.12</v>
      </c>
      <c r="Z283" s="2">
        <v>14450</v>
      </c>
      <c r="AA283" s="2">
        <v>14144.68</v>
      </c>
      <c r="AB283">
        <v>1</v>
      </c>
      <c r="AC283">
        <v>2009</v>
      </c>
      <c r="AE283" s="2">
        <v>12906.72</v>
      </c>
    </row>
    <row r="284" spans="2:31" ht="14.5">
      <c r="B284" s="2">
        <v>12267</v>
      </c>
      <c r="C284" s="2" t="s">
        <v>597</v>
      </c>
      <c r="D284" s="2" t="s">
        <v>598</v>
      </c>
      <c r="E284" s="2" t="s">
        <v>60</v>
      </c>
      <c r="F284" s="2" t="s">
        <v>29</v>
      </c>
      <c r="G284" s="2" t="s">
        <v>30</v>
      </c>
      <c r="H284" s="2" t="s">
        <v>218</v>
      </c>
      <c r="I284" s="2" t="s">
        <v>219</v>
      </c>
      <c r="J284" s="2" t="s">
        <v>220</v>
      </c>
      <c r="K284" s="2" t="s">
        <v>34</v>
      </c>
      <c r="L284" s="3"/>
      <c r="M284" s="3">
        <v>39862</v>
      </c>
      <c r="N284" s="3">
        <v>39862</v>
      </c>
      <c r="O284" s="3">
        <v>39862</v>
      </c>
      <c r="P284" s="2" t="s">
        <v>44</v>
      </c>
      <c r="Q284" s="2" t="s">
        <v>45</v>
      </c>
      <c r="R284" s="2" t="s">
        <v>37</v>
      </c>
      <c r="S284" s="2" t="s">
        <v>46</v>
      </c>
      <c r="T284" s="2" t="s">
        <v>47</v>
      </c>
      <c r="U284" s="2">
        <v>60</v>
      </c>
      <c r="V284" s="2">
        <v>5000</v>
      </c>
      <c r="W284" s="2">
        <v>43800</v>
      </c>
      <c r="X284" s="2">
        <v>8.76</v>
      </c>
      <c r="Y284" s="2">
        <v>0.15</v>
      </c>
      <c r="Z284" s="2">
        <v>403</v>
      </c>
      <c r="AA284" s="2">
        <v>1719.65</v>
      </c>
      <c r="AB284">
        <v>1</v>
      </c>
      <c r="AC284">
        <v>2009</v>
      </c>
      <c r="AE284" s="2">
        <v>750</v>
      </c>
    </row>
    <row r="285" spans="2:31" ht="14.5">
      <c r="B285" s="2">
        <v>12273</v>
      </c>
      <c r="C285" s="2" t="s">
        <v>364</v>
      </c>
      <c r="D285" s="2" t="s">
        <v>365</v>
      </c>
      <c r="E285" s="2" t="s">
        <v>28</v>
      </c>
      <c r="F285" s="2" t="s">
        <v>29</v>
      </c>
      <c r="G285" s="2" t="s">
        <v>30</v>
      </c>
      <c r="H285" s="2" t="s">
        <v>218</v>
      </c>
      <c r="I285" s="2" t="s">
        <v>219</v>
      </c>
      <c r="J285" s="2" t="s">
        <v>220</v>
      </c>
      <c r="K285" s="2" t="s">
        <v>267</v>
      </c>
      <c r="L285" s="3"/>
      <c r="M285" s="3">
        <v>39944</v>
      </c>
      <c r="N285" s="3">
        <v>39944</v>
      </c>
      <c r="O285" s="3">
        <v>39944</v>
      </c>
      <c r="P285" s="2" t="s">
        <v>235</v>
      </c>
      <c r="Q285" s="2" t="s">
        <v>236</v>
      </c>
      <c r="R285" s="2" t="s">
        <v>237</v>
      </c>
      <c r="S285" s="2" t="s">
        <v>238</v>
      </c>
      <c r="T285" s="2" t="s">
        <v>47</v>
      </c>
      <c r="U285" s="2">
        <v>30</v>
      </c>
      <c r="V285" s="2">
        <v>20240</v>
      </c>
      <c r="W285" s="2">
        <v>531300</v>
      </c>
      <c r="X285" s="2">
        <v>26.25</v>
      </c>
      <c r="Y285" s="2">
        <v>0.88</v>
      </c>
      <c r="AB285">
        <v>1</v>
      </c>
      <c r="AC285">
        <v>2009</v>
      </c>
      <c r="AE285" s="2">
        <v>17811.2</v>
      </c>
    </row>
    <row r="286" spans="2:31" ht="14.5">
      <c r="B286" s="2">
        <v>12281</v>
      </c>
      <c r="C286" s="2" t="s">
        <v>599</v>
      </c>
      <c r="D286" s="2" t="s">
        <v>600</v>
      </c>
      <c r="E286" s="2" t="s">
        <v>118</v>
      </c>
      <c r="F286" s="2" t="s">
        <v>29</v>
      </c>
      <c r="G286" s="2" t="s">
        <v>30</v>
      </c>
      <c r="H286" s="2" t="s">
        <v>218</v>
      </c>
      <c r="I286" s="2" t="s">
        <v>219</v>
      </c>
      <c r="J286" s="2" t="s">
        <v>220</v>
      </c>
      <c r="K286" s="2" t="s">
        <v>34</v>
      </c>
      <c r="L286" s="3"/>
      <c r="M286" s="3">
        <v>39955</v>
      </c>
      <c r="N286" s="3">
        <v>39955</v>
      </c>
      <c r="O286" s="3">
        <v>39955</v>
      </c>
      <c r="P286" s="2" t="s">
        <v>61</v>
      </c>
      <c r="Q286" s="2" t="s">
        <v>62</v>
      </c>
      <c r="R286" s="2" t="s">
        <v>37</v>
      </c>
      <c r="S286" s="2" t="s">
        <v>63</v>
      </c>
      <c r="T286" s="2" t="s">
        <v>64</v>
      </c>
      <c r="U286" s="2">
        <v>60</v>
      </c>
      <c r="V286" s="2">
        <v>60</v>
      </c>
      <c r="W286" s="2">
        <v>89.4</v>
      </c>
      <c r="X286" s="2">
        <v>1.49</v>
      </c>
      <c r="Y286" s="2">
        <v>0.02</v>
      </c>
      <c r="Z286" s="2">
        <v>4</v>
      </c>
      <c r="AA286" s="2">
        <v>526.41</v>
      </c>
      <c r="AB286">
        <v>1</v>
      </c>
      <c r="AC286">
        <v>2009</v>
      </c>
      <c r="AE286" s="2">
        <v>1.2</v>
      </c>
    </row>
    <row r="287" spans="2:31" ht="14.5">
      <c r="B287" s="2">
        <v>12296</v>
      </c>
      <c r="C287" s="2" t="s">
        <v>601</v>
      </c>
      <c r="D287" s="2" t="s">
        <v>602</v>
      </c>
      <c r="E287" s="2" t="s">
        <v>118</v>
      </c>
      <c r="F287" s="2" t="s">
        <v>29</v>
      </c>
      <c r="G287" s="2" t="s">
        <v>30</v>
      </c>
      <c r="H287" s="2" t="s">
        <v>218</v>
      </c>
      <c r="I287" s="2" t="s">
        <v>219</v>
      </c>
      <c r="J287" s="2" t="s">
        <v>220</v>
      </c>
      <c r="K287" s="2" t="s">
        <v>34</v>
      </c>
      <c r="L287" s="3"/>
      <c r="M287" s="3">
        <v>39993</v>
      </c>
      <c r="N287" s="3">
        <v>39993</v>
      </c>
      <c r="O287" s="3">
        <v>39993</v>
      </c>
      <c r="P287" s="2" t="s">
        <v>112</v>
      </c>
      <c r="Q287" s="2" t="s">
        <v>113</v>
      </c>
      <c r="R287" s="2" t="s">
        <v>37</v>
      </c>
      <c r="S287" s="2" t="s">
        <v>114</v>
      </c>
      <c r="T287" s="2" t="s">
        <v>47</v>
      </c>
      <c r="U287" s="2">
        <v>60</v>
      </c>
      <c r="V287" s="2">
        <v>10372</v>
      </c>
      <c r="W287" s="2">
        <v>119900.32</v>
      </c>
      <c r="X287" s="2">
        <v>11.56</v>
      </c>
      <c r="Y287" s="2">
        <v>0.19</v>
      </c>
      <c r="Z287" s="2">
        <v>1312</v>
      </c>
      <c r="AA287" s="2">
        <v>14569.14</v>
      </c>
      <c r="AB287">
        <v>1</v>
      </c>
      <c r="AC287">
        <v>2009</v>
      </c>
      <c r="AE287" s="2">
        <v>1970.68</v>
      </c>
    </row>
    <row r="288" spans="2:31" ht="14.5">
      <c r="B288" s="2">
        <v>12309</v>
      </c>
      <c r="C288" s="2" t="s">
        <v>603</v>
      </c>
      <c r="D288" s="2" t="s">
        <v>604</v>
      </c>
      <c r="E288" s="2" t="s">
        <v>42</v>
      </c>
      <c r="F288" s="2" t="s">
        <v>29</v>
      </c>
      <c r="G288" s="2" t="s">
        <v>30</v>
      </c>
      <c r="H288" s="2" t="s">
        <v>218</v>
      </c>
      <c r="I288" s="2" t="s">
        <v>219</v>
      </c>
      <c r="J288" s="2" t="s">
        <v>220</v>
      </c>
      <c r="K288" s="2" t="s">
        <v>34</v>
      </c>
      <c r="L288" s="3"/>
      <c r="M288" s="3">
        <v>40025</v>
      </c>
      <c r="N288" s="3">
        <v>40025</v>
      </c>
      <c r="O288" s="3">
        <v>40025</v>
      </c>
      <c r="P288" s="2" t="s">
        <v>164</v>
      </c>
      <c r="Q288" s="2" t="s">
        <v>165</v>
      </c>
      <c r="R288" s="2" t="s">
        <v>37</v>
      </c>
      <c r="S288" s="2" t="s">
        <v>166</v>
      </c>
      <c r="T288" s="2" t="s">
        <v>39</v>
      </c>
      <c r="U288" s="2">
        <v>60</v>
      </c>
      <c r="V288" s="2">
        <v>8766</v>
      </c>
      <c r="W288" s="2">
        <v>21389.040000000001</v>
      </c>
      <c r="X288" s="2">
        <v>2.44</v>
      </c>
      <c r="Y288" s="2">
        <v>0.04</v>
      </c>
      <c r="Z288" s="2">
        <v>447</v>
      </c>
      <c r="AA288" s="2">
        <v>4257.01</v>
      </c>
      <c r="AB288">
        <v>1</v>
      </c>
      <c r="AC288">
        <v>2009</v>
      </c>
      <c r="AE288" s="2">
        <v>350.64</v>
      </c>
    </row>
    <row r="289" spans="2:31" ht="14.5">
      <c r="B289" s="2">
        <v>12310</v>
      </c>
      <c r="C289" s="2" t="s">
        <v>503</v>
      </c>
      <c r="D289" s="2" t="s">
        <v>504</v>
      </c>
      <c r="E289" s="2" t="s">
        <v>118</v>
      </c>
      <c r="F289" s="2" t="s">
        <v>29</v>
      </c>
      <c r="G289" s="2" t="s">
        <v>30</v>
      </c>
      <c r="H289" s="2" t="s">
        <v>218</v>
      </c>
      <c r="I289" s="2" t="s">
        <v>219</v>
      </c>
      <c r="J289" s="2" t="s">
        <v>220</v>
      </c>
      <c r="K289" s="2" t="s">
        <v>34</v>
      </c>
      <c r="L289" s="3"/>
      <c r="M289" s="3">
        <v>40049</v>
      </c>
      <c r="N289" s="3">
        <v>40049</v>
      </c>
      <c r="O289" s="3">
        <v>40049</v>
      </c>
      <c r="P289" s="2" t="s">
        <v>35</v>
      </c>
      <c r="Q289" s="2" t="s">
        <v>36</v>
      </c>
      <c r="R289" s="2" t="s">
        <v>37</v>
      </c>
      <c r="S289" s="2" t="s">
        <v>38</v>
      </c>
      <c r="T289" s="2" t="s">
        <v>39</v>
      </c>
      <c r="U289" s="2">
        <v>60</v>
      </c>
      <c r="V289" s="2">
        <v>1650</v>
      </c>
      <c r="W289" s="2">
        <v>4785</v>
      </c>
      <c r="X289" s="2">
        <v>2.9</v>
      </c>
      <c r="Y289" s="2">
        <v>0.05</v>
      </c>
      <c r="AB289">
        <v>1</v>
      </c>
      <c r="AC289">
        <v>2009</v>
      </c>
      <c r="AE289" s="2">
        <v>82.5</v>
      </c>
    </row>
    <row r="290" spans="2:31" ht="14.5">
      <c r="B290" s="2">
        <v>12311</v>
      </c>
      <c r="C290" s="2" t="s">
        <v>605</v>
      </c>
      <c r="D290" s="2" t="s">
        <v>606</v>
      </c>
      <c r="E290" s="2" t="s">
        <v>118</v>
      </c>
      <c r="F290" s="2" t="s">
        <v>29</v>
      </c>
      <c r="G290" s="2" t="s">
        <v>30</v>
      </c>
      <c r="H290" s="2" t="s">
        <v>218</v>
      </c>
      <c r="I290" s="2" t="s">
        <v>219</v>
      </c>
      <c r="J290" s="2" t="s">
        <v>220</v>
      </c>
      <c r="K290" s="2" t="s">
        <v>34</v>
      </c>
      <c r="L290" s="3"/>
      <c r="M290" s="3">
        <v>40053</v>
      </c>
      <c r="N290" s="3">
        <v>40053</v>
      </c>
      <c r="O290" s="3">
        <v>40053</v>
      </c>
      <c r="P290" s="2" t="s">
        <v>44</v>
      </c>
      <c r="Q290" s="2" t="s">
        <v>45</v>
      </c>
      <c r="R290" s="2" t="s">
        <v>37</v>
      </c>
      <c r="S290" s="2" t="s">
        <v>46</v>
      </c>
      <c r="T290" s="2" t="s">
        <v>47</v>
      </c>
      <c r="U290" s="2">
        <v>60</v>
      </c>
      <c r="V290" s="2">
        <v>24000</v>
      </c>
      <c r="W290" s="2">
        <v>210240</v>
      </c>
      <c r="X290" s="2">
        <v>8.76</v>
      </c>
      <c r="Y290" s="2">
        <v>0.15</v>
      </c>
      <c r="Z290" s="2">
        <v>5748</v>
      </c>
      <c r="AA290" s="2">
        <v>38957.51</v>
      </c>
      <c r="AB290">
        <v>1</v>
      </c>
      <c r="AC290">
        <v>2009</v>
      </c>
      <c r="AE290" s="2">
        <v>3600</v>
      </c>
    </row>
    <row r="291" spans="2:31" ht="14.5">
      <c r="B291" s="2">
        <v>12312</v>
      </c>
      <c r="C291" s="2" t="s">
        <v>605</v>
      </c>
      <c r="D291" s="2" t="s">
        <v>606</v>
      </c>
      <c r="E291" s="2" t="s">
        <v>118</v>
      </c>
      <c r="F291" s="2" t="s">
        <v>29</v>
      </c>
      <c r="G291" s="2" t="s">
        <v>30</v>
      </c>
      <c r="H291" s="2" t="s">
        <v>218</v>
      </c>
      <c r="I291" s="2" t="s">
        <v>219</v>
      </c>
      <c r="J291" s="2" t="s">
        <v>220</v>
      </c>
      <c r="K291" s="2" t="s">
        <v>34</v>
      </c>
      <c r="L291" s="3"/>
      <c r="M291" s="3">
        <v>40053</v>
      </c>
      <c r="N291" s="3">
        <v>40053</v>
      </c>
      <c r="O291" s="3">
        <v>40053</v>
      </c>
      <c r="P291" s="2" t="s">
        <v>112</v>
      </c>
      <c r="Q291" s="2" t="s">
        <v>113</v>
      </c>
      <c r="R291" s="2" t="s">
        <v>37</v>
      </c>
      <c r="S291" s="2" t="s">
        <v>114</v>
      </c>
      <c r="T291" s="2" t="s">
        <v>47</v>
      </c>
      <c r="U291" s="2">
        <v>60</v>
      </c>
      <c r="V291" s="2">
        <v>34000</v>
      </c>
      <c r="W291" s="2">
        <v>385900</v>
      </c>
      <c r="X291" s="2">
        <v>11.35</v>
      </c>
      <c r="Y291" s="2">
        <v>0.19</v>
      </c>
      <c r="AB291">
        <v>1</v>
      </c>
      <c r="AC291">
        <v>2009</v>
      </c>
      <c r="AE291" s="2">
        <v>6460</v>
      </c>
    </row>
    <row r="292" spans="2:31" ht="14.5">
      <c r="B292" s="2">
        <v>12319</v>
      </c>
      <c r="C292" s="2" t="s">
        <v>607</v>
      </c>
      <c r="D292" s="2" t="s">
        <v>608</v>
      </c>
      <c r="E292" s="2" t="s">
        <v>28</v>
      </c>
      <c r="F292" s="2" t="s">
        <v>29</v>
      </c>
      <c r="G292" s="2" t="s">
        <v>30</v>
      </c>
      <c r="H292" s="2" t="s">
        <v>218</v>
      </c>
      <c r="I292" s="2" t="s">
        <v>219</v>
      </c>
      <c r="J292" s="2" t="s">
        <v>220</v>
      </c>
      <c r="K292" s="2" t="s">
        <v>267</v>
      </c>
      <c r="L292" s="3"/>
      <c r="M292" s="3">
        <v>40081</v>
      </c>
      <c r="N292" s="3">
        <v>40081</v>
      </c>
      <c r="O292" s="3">
        <v>40081</v>
      </c>
      <c r="P292" s="2" t="s">
        <v>98</v>
      </c>
      <c r="Q292" s="2" t="s">
        <v>99</v>
      </c>
      <c r="R292" s="2" t="s">
        <v>37</v>
      </c>
      <c r="S292" s="2" t="s">
        <v>100</v>
      </c>
      <c r="T292" s="2" t="s">
        <v>39</v>
      </c>
      <c r="U292" s="2">
        <v>60</v>
      </c>
      <c r="V292" s="2">
        <v>9243</v>
      </c>
      <c r="W292" s="2">
        <v>235234.35</v>
      </c>
      <c r="X292" s="2">
        <v>25.45</v>
      </c>
      <c r="Y292" s="2">
        <v>0.42</v>
      </c>
      <c r="Z292" s="2">
        <v>936</v>
      </c>
      <c r="AA292" s="2">
        <v>2233.61</v>
      </c>
      <c r="AB292">
        <v>1</v>
      </c>
      <c r="AC292">
        <v>2009</v>
      </c>
      <c r="AE292" s="2">
        <v>3882.06</v>
      </c>
    </row>
    <row r="293" spans="2:31" ht="14.5">
      <c r="B293" s="2">
        <v>12325</v>
      </c>
      <c r="C293" s="2" t="s">
        <v>609</v>
      </c>
      <c r="D293" s="2" t="s">
        <v>610</v>
      </c>
      <c r="E293" s="2" t="s">
        <v>60</v>
      </c>
      <c r="F293" s="2" t="s">
        <v>29</v>
      </c>
      <c r="G293" s="2" t="s">
        <v>30</v>
      </c>
      <c r="H293" s="2" t="s">
        <v>218</v>
      </c>
      <c r="I293" s="2" t="s">
        <v>219</v>
      </c>
      <c r="J293" s="2" t="s">
        <v>220</v>
      </c>
      <c r="K293" s="2" t="s">
        <v>34</v>
      </c>
      <c r="L293" s="3"/>
      <c r="M293" s="3">
        <v>40085</v>
      </c>
      <c r="N293" s="3">
        <v>40085</v>
      </c>
      <c r="O293" s="3">
        <v>40085</v>
      </c>
      <c r="P293" s="2" t="s">
        <v>164</v>
      </c>
      <c r="Q293" s="2" t="s">
        <v>165</v>
      </c>
      <c r="R293" s="2" t="s">
        <v>37</v>
      </c>
      <c r="S293" s="2" t="s">
        <v>166</v>
      </c>
      <c r="T293" s="2" t="s">
        <v>39</v>
      </c>
      <c r="U293" s="2">
        <v>60</v>
      </c>
      <c r="V293" s="2">
        <v>4234</v>
      </c>
      <c r="W293" s="2">
        <v>10330.959999999999</v>
      </c>
      <c r="X293" s="2">
        <v>2.44</v>
      </c>
      <c r="Y293" s="2">
        <v>0.04</v>
      </c>
      <c r="Z293" s="2">
        <v>212</v>
      </c>
      <c r="AA293" s="2">
        <v>1489.4</v>
      </c>
      <c r="AB293">
        <v>1</v>
      </c>
      <c r="AC293">
        <v>2009</v>
      </c>
      <c r="AE293" s="2">
        <v>169.36</v>
      </c>
    </row>
    <row r="294" spans="2:31" ht="14.5">
      <c r="B294" s="2">
        <v>12329</v>
      </c>
      <c r="C294" s="2" t="s">
        <v>611</v>
      </c>
      <c r="D294" s="2" t="s">
        <v>612</v>
      </c>
      <c r="E294" s="2" t="s">
        <v>118</v>
      </c>
      <c r="F294" s="2" t="s">
        <v>29</v>
      </c>
      <c r="G294" s="2" t="s">
        <v>30</v>
      </c>
      <c r="H294" s="2" t="s">
        <v>218</v>
      </c>
      <c r="I294" s="2" t="s">
        <v>219</v>
      </c>
      <c r="J294" s="2" t="s">
        <v>220</v>
      </c>
      <c r="K294" s="2" t="s">
        <v>34</v>
      </c>
      <c r="L294" s="3"/>
      <c r="M294" s="3">
        <v>40140</v>
      </c>
      <c r="N294" s="3">
        <v>40140</v>
      </c>
      <c r="O294" s="3">
        <v>40140</v>
      </c>
      <c r="P294" s="2" t="s">
        <v>407</v>
      </c>
      <c r="Q294" s="2" t="s">
        <v>408</v>
      </c>
      <c r="R294" s="2" t="s">
        <v>37</v>
      </c>
      <c r="S294" s="2" t="s">
        <v>409</v>
      </c>
      <c r="T294" s="2" t="s">
        <v>47</v>
      </c>
      <c r="U294" s="2">
        <v>60</v>
      </c>
      <c r="V294" s="2">
        <v>60</v>
      </c>
      <c r="W294" s="2">
        <v>240</v>
      </c>
      <c r="X294" s="2">
        <v>4</v>
      </c>
      <c r="Y294" s="2">
        <v>7.0000000000000007E-2</v>
      </c>
      <c r="Z294" s="2">
        <v>4</v>
      </c>
      <c r="AA294" s="2">
        <v>396.08</v>
      </c>
      <c r="AB294">
        <v>1</v>
      </c>
      <c r="AC294">
        <v>2009</v>
      </c>
      <c r="AE294" s="2">
        <v>4.2</v>
      </c>
    </row>
    <row r="295" spans="2:31" ht="14.5">
      <c r="B295" s="2">
        <v>12330</v>
      </c>
      <c r="C295" s="2" t="s">
        <v>613</v>
      </c>
      <c r="D295" s="2" t="s">
        <v>614</v>
      </c>
      <c r="E295" s="2" t="s">
        <v>60</v>
      </c>
      <c r="F295" s="2" t="s">
        <v>29</v>
      </c>
      <c r="G295" s="2" t="s">
        <v>30</v>
      </c>
      <c r="H295" s="2" t="s">
        <v>218</v>
      </c>
      <c r="I295" s="2" t="s">
        <v>219</v>
      </c>
      <c r="J295" s="2" t="s">
        <v>220</v>
      </c>
      <c r="K295" s="2" t="s">
        <v>34</v>
      </c>
      <c r="L295" s="3"/>
      <c r="M295" s="3">
        <v>40149</v>
      </c>
      <c r="N295" s="3">
        <v>40149</v>
      </c>
      <c r="O295" s="3">
        <v>40149</v>
      </c>
      <c r="P295" s="2" t="s">
        <v>35</v>
      </c>
      <c r="Q295" s="2" t="s">
        <v>36</v>
      </c>
      <c r="R295" s="2" t="s">
        <v>37</v>
      </c>
      <c r="S295" s="2" t="s">
        <v>38</v>
      </c>
      <c r="T295" s="2" t="s">
        <v>39</v>
      </c>
      <c r="U295" s="2">
        <v>60</v>
      </c>
      <c r="V295" s="2">
        <v>4460</v>
      </c>
      <c r="W295" s="2">
        <v>12934</v>
      </c>
      <c r="X295" s="2">
        <v>2.9</v>
      </c>
      <c r="Y295" s="2">
        <v>0.05</v>
      </c>
      <c r="Z295" s="2">
        <v>250</v>
      </c>
      <c r="AA295" s="2">
        <v>1366.22</v>
      </c>
      <c r="AB295">
        <v>1</v>
      </c>
      <c r="AC295">
        <v>2009</v>
      </c>
      <c r="AE295" s="2">
        <v>223</v>
      </c>
    </row>
    <row r="296" spans="2:31" ht="14.5">
      <c r="B296" s="2">
        <v>12358</v>
      </c>
      <c r="C296" s="2" t="s">
        <v>615</v>
      </c>
      <c r="D296" s="2" t="s">
        <v>616</v>
      </c>
      <c r="E296" s="2" t="s">
        <v>42</v>
      </c>
      <c r="F296" s="2" t="s">
        <v>29</v>
      </c>
      <c r="G296" s="2" t="s">
        <v>30</v>
      </c>
      <c r="H296" s="2" t="s">
        <v>218</v>
      </c>
      <c r="I296" s="2" t="s">
        <v>219</v>
      </c>
      <c r="J296" s="2" t="s">
        <v>220</v>
      </c>
      <c r="K296" s="2" t="s">
        <v>34</v>
      </c>
      <c r="L296" s="3"/>
      <c r="M296" s="3">
        <v>39238</v>
      </c>
      <c r="N296" s="3">
        <v>39238</v>
      </c>
      <c r="O296" s="3">
        <v>39238</v>
      </c>
      <c r="P296" s="2" t="s">
        <v>164</v>
      </c>
      <c r="Q296" s="2" t="s">
        <v>165</v>
      </c>
      <c r="R296" s="2" t="s">
        <v>37</v>
      </c>
      <c r="S296" s="2" t="s">
        <v>166</v>
      </c>
      <c r="T296" s="2" t="s">
        <v>39</v>
      </c>
      <c r="U296" s="2">
        <v>60</v>
      </c>
      <c r="V296" s="2">
        <v>3431</v>
      </c>
      <c r="W296" s="2">
        <v>11356.61</v>
      </c>
      <c r="X296" s="2">
        <v>3.31</v>
      </c>
      <c r="Y296" s="2">
        <v>0.06</v>
      </c>
      <c r="Z296" s="2">
        <v>216</v>
      </c>
      <c r="AA296" s="2">
        <v>2520.4699999999998</v>
      </c>
      <c r="AB296">
        <v>1</v>
      </c>
      <c r="AC296">
        <v>2007</v>
      </c>
      <c r="AE296" s="2">
        <v>205.85999999999999</v>
      </c>
    </row>
    <row r="297" spans="2:31" ht="14.5">
      <c r="B297" s="2">
        <v>12372</v>
      </c>
      <c r="C297" s="2" t="s">
        <v>380</v>
      </c>
      <c r="D297" s="2" t="s">
        <v>381</v>
      </c>
      <c r="E297" s="2" t="s">
        <v>28</v>
      </c>
      <c r="F297" s="2" t="s">
        <v>29</v>
      </c>
      <c r="G297" s="2" t="s">
        <v>30</v>
      </c>
      <c r="H297" s="2" t="s">
        <v>218</v>
      </c>
      <c r="I297" s="2" t="s">
        <v>219</v>
      </c>
      <c r="J297" s="2" t="s">
        <v>220</v>
      </c>
      <c r="K297" s="2" t="s">
        <v>34</v>
      </c>
      <c r="L297" s="3"/>
      <c r="M297" s="3">
        <v>39307</v>
      </c>
      <c r="N297" s="3">
        <v>39307</v>
      </c>
      <c r="O297" s="3">
        <v>39307</v>
      </c>
      <c r="P297" s="2" t="s">
        <v>98</v>
      </c>
      <c r="Q297" s="2" t="s">
        <v>99</v>
      </c>
      <c r="R297" s="2" t="s">
        <v>37</v>
      </c>
      <c r="S297" s="2" t="s">
        <v>100</v>
      </c>
      <c r="T297" s="2" t="s">
        <v>39</v>
      </c>
      <c r="U297" s="2">
        <v>60</v>
      </c>
      <c r="V297" s="2">
        <v>4776</v>
      </c>
      <c r="W297" s="2">
        <v>170980.8</v>
      </c>
      <c r="X297" s="2">
        <v>35.799999999999997</v>
      </c>
      <c r="Y297" s="2">
        <v>0.6</v>
      </c>
      <c r="AB297">
        <v>1</v>
      </c>
      <c r="AC297">
        <v>2007</v>
      </c>
      <c r="AE297" s="2">
        <v>2865.6</v>
      </c>
    </row>
    <row r="298" spans="2:31" ht="14.5">
      <c r="B298" s="2">
        <v>12384</v>
      </c>
      <c r="C298" s="2" t="s">
        <v>617</v>
      </c>
      <c r="D298" s="2" t="s">
        <v>618</v>
      </c>
      <c r="E298" s="2" t="s">
        <v>28</v>
      </c>
      <c r="F298" s="2" t="s">
        <v>29</v>
      </c>
      <c r="G298" s="2" t="s">
        <v>30</v>
      </c>
      <c r="H298" s="2" t="s">
        <v>218</v>
      </c>
      <c r="I298" s="2" t="s">
        <v>219</v>
      </c>
      <c r="J298" s="2" t="s">
        <v>220</v>
      </c>
      <c r="K298" s="2" t="s">
        <v>34</v>
      </c>
      <c r="L298" s="3"/>
      <c r="M298" s="3">
        <v>39293</v>
      </c>
      <c r="N298" s="3">
        <v>39293</v>
      </c>
      <c r="O298" s="3">
        <v>39293</v>
      </c>
      <c r="P298" s="2" t="s">
        <v>35</v>
      </c>
      <c r="Q298" s="2" t="s">
        <v>36</v>
      </c>
      <c r="R298" s="2" t="s">
        <v>37</v>
      </c>
      <c r="S298" s="2" t="s">
        <v>38</v>
      </c>
      <c r="T298" s="2" t="s">
        <v>39</v>
      </c>
      <c r="U298" s="2">
        <v>60</v>
      </c>
      <c r="V298" s="2">
        <v>11807</v>
      </c>
      <c r="W298" s="2">
        <v>42150.99</v>
      </c>
      <c r="X298" s="2">
        <v>3.57</v>
      </c>
      <c r="Y298" s="2">
        <v>0.06</v>
      </c>
      <c r="Z298" s="2">
        <v>1050</v>
      </c>
      <c r="AA298" s="2">
        <v>3291</v>
      </c>
      <c r="AB298">
        <v>1</v>
      </c>
      <c r="AC298">
        <v>2007</v>
      </c>
      <c r="AE298" s="2">
        <v>708.42</v>
      </c>
    </row>
    <row r="299" spans="2:31" ht="14.5">
      <c r="B299" s="2">
        <v>12393</v>
      </c>
      <c r="C299" s="2" t="s">
        <v>298</v>
      </c>
      <c r="D299" s="2" t="s">
        <v>299</v>
      </c>
      <c r="E299" s="2" t="s">
        <v>28</v>
      </c>
      <c r="F299" s="2" t="s">
        <v>29</v>
      </c>
      <c r="G299" s="2" t="s">
        <v>30</v>
      </c>
      <c r="H299" s="2" t="s">
        <v>218</v>
      </c>
      <c r="I299" s="2" t="s">
        <v>219</v>
      </c>
      <c r="J299" s="2" t="s">
        <v>220</v>
      </c>
      <c r="K299" s="2" t="s">
        <v>223</v>
      </c>
      <c r="L299" s="3"/>
      <c r="M299" s="3">
        <v>39335</v>
      </c>
      <c r="N299" s="3">
        <v>39335</v>
      </c>
      <c r="O299" s="3">
        <v>39335</v>
      </c>
      <c r="P299" s="2" t="s">
        <v>384</v>
      </c>
      <c r="Q299" s="2" t="s">
        <v>385</v>
      </c>
      <c r="R299" s="2" t="s">
        <v>386</v>
      </c>
      <c r="S299" s="2" t="s">
        <v>330</v>
      </c>
      <c r="T299" s="2" t="s">
        <v>64</v>
      </c>
      <c r="U299" s="2">
        <v>336</v>
      </c>
      <c r="V299" s="2">
        <v>157</v>
      </c>
      <c r="W299" s="2">
        <v>6022.52</v>
      </c>
      <c r="X299" s="2">
        <v>38.36</v>
      </c>
      <c r="Y299" s="2">
        <v>0.11</v>
      </c>
      <c r="AB299">
        <v>1</v>
      </c>
      <c r="AC299">
        <v>2007</v>
      </c>
      <c r="AE299" s="2">
        <v>17.27</v>
      </c>
    </row>
    <row r="300" spans="2:31" ht="14.5">
      <c r="B300" s="2">
        <v>12404</v>
      </c>
      <c r="C300" s="2" t="s">
        <v>619</v>
      </c>
      <c r="D300" s="2" t="s">
        <v>620</v>
      </c>
      <c r="E300" s="2" t="s">
        <v>28</v>
      </c>
      <c r="F300" s="2" t="s">
        <v>29</v>
      </c>
      <c r="G300" s="2" t="s">
        <v>50</v>
      </c>
      <c r="H300" s="2" t="s">
        <v>218</v>
      </c>
      <c r="I300" s="2" t="s">
        <v>219</v>
      </c>
      <c r="J300" s="2" t="s">
        <v>220</v>
      </c>
      <c r="K300" s="2" t="s">
        <v>223</v>
      </c>
      <c r="L300" s="3"/>
      <c r="M300" s="3">
        <v>39366</v>
      </c>
      <c r="N300" s="3">
        <v>39366</v>
      </c>
      <c r="O300" s="3">
        <v>39366</v>
      </c>
      <c r="P300" s="2" t="s">
        <v>319</v>
      </c>
      <c r="Q300" s="2" t="s">
        <v>96</v>
      </c>
      <c r="R300" s="2" t="s">
        <v>320</v>
      </c>
      <c r="S300" s="2" t="s">
        <v>38</v>
      </c>
      <c r="T300" s="2" t="s">
        <v>64</v>
      </c>
      <c r="U300" s="2">
        <v>90</v>
      </c>
      <c r="V300" s="2">
        <v>1987</v>
      </c>
      <c r="W300" s="2">
        <v>64418.54</v>
      </c>
      <c r="X300" s="2">
        <v>32.42</v>
      </c>
      <c r="Y300" s="2">
        <v>0.36</v>
      </c>
      <c r="Z300" s="2">
        <v>238</v>
      </c>
      <c r="AA300" s="2">
        <v>2465</v>
      </c>
      <c r="AB300">
        <v>1</v>
      </c>
      <c r="AC300">
        <v>2007</v>
      </c>
      <c r="AE300" s="2">
        <v>715.31999999999994</v>
      </c>
    </row>
    <row r="301" spans="2:31" ht="14.5">
      <c r="B301" s="2">
        <v>12434</v>
      </c>
      <c r="C301" s="2" t="s">
        <v>621</v>
      </c>
      <c r="D301" s="2" t="s">
        <v>622</v>
      </c>
      <c r="E301" s="2" t="s">
        <v>60</v>
      </c>
      <c r="F301" s="2" t="s">
        <v>29</v>
      </c>
      <c r="G301" s="2" t="s">
        <v>30</v>
      </c>
      <c r="H301" s="2" t="s">
        <v>218</v>
      </c>
      <c r="I301" s="2" t="s">
        <v>219</v>
      </c>
      <c r="J301" s="2" t="s">
        <v>220</v>
      </c>
      <c r="K301" s="2" t="s">
        <v>223</v>
      </c>
      <c r="L301" s="3"/>
      <c r="M301" s="3">
        <v>39386</v>
      </c>
      <c r="N301" s="3">
        <v>39386</v>
      </c>
      <c r="O301" s="3">
        <v>39386</v>
      </c>
      <c r="P301" s="2" t="s">
        <v>164</v>
      </c>
      <c r="Q301" s="2" t="s">
        <v>165</v>
      </c>
      <c r="R301" s="2" t="s">
        <v>37</v>
      </c>
      <c r="S301" s="2" t="s">
        <v>166</v>
      </c>
      <c r="T301" s="2" t="s">
        <v>39</v>
      </c>
      <c r="U301" s="2">
        <v>60</v>
      </c>
      <c r="V301" s="2">
        <v>3145</v>
      </c>
      <c r="W301" s="2">
        <v>9560.7999999999993</v>
      </c>
      <c r="X301" s="2">
        <v>3.04</v>
      </c>
      <c r="Y301" s="2">
        <v>0.05</v>
      </c>
      <c r="Z301" s="2">
        <v>162</v>
      </c>
      <c r="AA301" s="2">
        <v>810.86</v>
      </c>
      <c r="AB301">
        <v>1</v>
      </c>
      <c r="AC301">
        <v>2007</v>
      </c>
      <c r="AE301" s="2">
        <v>157.25</v>
      </c>
    </row>
    <row r="302" spans="2:31" ht="14.5">
      <c r="B302" s="2">
        <v>12435</v>
      </c>
      <c r="C302" s="2" t="s">
        <v>307</v>
      </c>
      <c r="D302" s="2" t="s">
        <v>308</v>
      </c>
      <c r="E302" s="2" t="s">
        <v>118</v>
      </c>
      <c r="F302" s="2" t="s">
        <v>29</v>
      </c>
      <c r="G302" s="2" t="s">
        <v>30</v>
      </c>
      <c r="H302" s="2" t="s">
        <v>218</v>
      </c>
      <c r="I302" s="2" t="s">
        <v>219</v>
      </c>
      <c r="J302" s="2" t="s">
        <v>220</v>
      </c>
      <c r="K302" s="2" t="s">
        <v>34</v>
      </c>
      <c r="L302" s="3"/>
      <c r="M302" s="3">
        <v>39426</v>
      </c>
      <c r="N302" s="3">
        <v>39426</v>
      </c>
      <c r="O302" s="3">
        <v>39426</v>
      </c>
      <c r="P302" s="2" t="s">
        <v>333</v>
      </c>
      <c r="Q302" s="2" t="s">
        <v>225</v>
      </c>
      <c r="R302" s="2" t="s">
        <v>37</v>
      </c>
      <c r="S302" s="2" t="s">
        <v>100</v>
      </c>
      <c r="T302" s="2" t="s">
        <v>39</v>
      </c>
      <c r="U302" s="2">
        <v>60</v>
      </c>
      <c r="V302" s="2">
        <v>140</v>
      </c>
      <c r="W302" s="2">
        <v>1141</v>
      </c>
      <c r="X302" s="2">
        <v>8.15</v>
      </c>
      <c r="Y302" s="2">
        <v>0.14000000000000001</v>
      </c>
      <c r="AB302">
        <v>1</v>
      </c>
      <c r="AC302">
        <v>2007</v>
      </c>
      <c r="AE302" s="2">
        <v>19.600000000000001</v>
      </c>
    </row>
    <row r="303" spans="2:31" ht="14.5">
      <c r="B303" s="2">
        <v>12447</v>
      </c>
      <c r="C303" s="2" t="s">
        <v>575</v>
      </c>
      <c r="D303" s="2" t="s">
        <v>623</v>
      </c>
      <c r="E303" s="2" t="s">
        <v>60</v>
      </c>
      <c r="F303" s="2" t="s">
        <v>29</v>
      </c>
      <c r="G303" s="2" t="s">
        <v>30</v>
      </c>
      <c r="H303" s="2" t="s">
        <v>218</v>
      </c>
      <c r="I303" s="2" t="s">
        <v>219</v>
      </c>
      <c r="J303" s="2" t="s">
        <v>220</v>
      </c>
      <c r="K303" s="2" t="s">
        <v>34</v>
      </c>
      <c r="L303" s="3"/>
      <c r="M303" s="3">
        <v>39436</v>
      </c>
      <c r="N303" s="3">
        <v>39441</v>
      </c>
      <c r="O303" s="3">
        <v>39441</v>
      </c>
      <c r="P303" s="2" t="s">
        <v>35</v>
      </c>
      <c r="Q303" s="2" t="s">
        <v>36</v>
      </c>
      <c r="R303" s="2" t="s">
        <v>37</v>
      </c>
      <c r="S303" s="2" t="s">
        <v>38</v>
      </c>
      <c r="T303" s="2" t="s">
        <v>39</v>
      </c>
      <c r="U303" s="2">
        <v>60</v>
      </c>
      <c r="V303" s="2">
        <v>12745</v>
      </c>
      <c r="W303" s="2">
        <v>43333</v>
      </c>
      <c r="X303" s="2">
        <v>3.4</v>
      </c>
      <c r="Y303" s="2">
        <v>0.06</v>
      </c>
      <c r="Z303" s="2">
        <v>1197</v>
      </c>
      <c r="AA303" s="2">
        <v>8332</v>
      </c>
      <c r="AB303">
        <v>0</v>
      </c>
      <c r="AC303">
        <v>2007</v>
      </c>
      <c r="AE303" s="2">
        <v>764.69999999999993</v>
      </c>
    </row>
    <row r="304" spans="2:31" ht="14.5">
      <c r="B304" s="2">
        <v>12453</v>
      </c>
      <c r="C304" s="2" t="s">
        <v>624</v>
      </c>
      <c r="D304" s="2" t="s">
        <v>625</v>
      </c>
      <c r="E304" s="2" t="s">
        <v>60</v>
      </c>
      <c r="F304" s="2" t="s">
        <v>29</v>
      </c>
      <c r="G304" s="2" t="s">
        <v>30</v>
      </c>
      <c r="H304" s="2" t="s">
        <v>218</v>
      </c>
      <c r="I304" s="2" t="s">
        <v>219</v>
      </c>
      <c r="J304" s="2" t="s">
        <v>220</v>
      </c>
      <c r="K304" s="2" t="s">
        <v>34</v>
      </c>
      <c r="L304" s="3"/>
      <c r="M304" s="3">
        <v>39478</v>
      </c>
      <c r="N304" s="3">
        <v>39478</v>
      </c>
      <c r="O304" s="3">
        <v>39478</v>
      </c>
      <c r="P304" s="2" t="s">
        <v>95</v>
      </c>
      <c r="Q304" s="2" t="s">
        <v>96</v>
      </c>
      <c r="R304" s="2" t="s">
        <v>37</v>
      </c>
      <c r="S304" s="2" t="s">
        <v>97</v>
      </c>
      <c r="T304" s="2" t="s">
        <v>39</v>
      </c>
      <c r="U304" s="2">
        <v>30</v>
      </c>
      <c r="V304" s="2">
        <v>67624</v>
      </c>
      <c r="W304" s="2">
        <v>839890.08</v>
      </c>
      <c r="X304" s="2">
        <v>12.42</v>
      </c>
      <c r="Y304" s="2">
        <v>0.41</v>
      </c>
      <c r="Z304" s="2">
        <v>5840</v>
      </c>
      <c r="AA304" s="2">
        <v>20222.400000000001</v>
      </c>
      <c r="AB304">
        <v>1</v>
      </c>
      <c r="AC304">
        <v>2008</v>
      </c>
      <c r="AE304" s="2">
        <v>27725.84</v>
      </c>
    </row>
    <row r="305" spans="2:31" ht="14.5">
      <c r="B305" s="2">
        <v>12455</v>
      </c>
      <c r="C305" s="2" t="s">
        <v>443</v>
      </c>
      <c r="D305" s="2" t="s">
        <v>444</v>
      </c>
      <c r="E305" s="2" t="s">
        <v>42</v>
      </c>
      <c r="F305" s="2" t="s">
        <v>29</v>
      </c>
      <c r="G305" s="2" t="s">
        <v>50</v>
      </c>
      <c r="H305" s="2" t="s">
        <v>218</v>
      </c>
      <c r="I305" s="2" t="s">
        <v>219</v>
      </c>
      <c r="J305" s="2" t="s">
        <v>220</v>
      </c>
      <c r="K305" s="2" t="s">
        <v>34</v>
      </c>
      <c r="L305" s="3"/>
      <c r="M305" s="3">
        <v>39507</v>
      </c>
      <c r="N305" s="3">
        <v>39507</v>
      </c>
      <c r="O305" s="3">
        <v>39507</v>
      </c>
      <c r="P305" s="2" t="s">
        <v>302</v>
      </c>
      <c r="Q305" s="2" t="s">
        <v>165</v>
      </c>
      <c r="R305" s="2" t="s">
        <v>37</v>
      </c>
      <c r="S305" s="2" t="s">
        <v>226</v>
      </c>
      <c r="T305" s="2" t="s">
        <v>87</v>
      </c>
      <c r="U305" s="2">
        <v>240</v>
      </c>
      <c r="V305" s="2">
        <v>2000</v>
      </c>
      <c r="W305" s="2">
        <v>3940</v>
      </c>
      <c r="X305" s="2">
        <v>1.97</v>
      </c>
      <c r="Y305" s="2">
        <v>0.01</v>
      </c>
      <c r="AB305">
        <v>1</v>
      </c>
      <c r="AC305">
        <v>2008</v>
      </c>
      <c r="AE305" s="2">
        <v>20</v>
      </c>
    </row>
    <row r="306" spans="2:31" ht="14.5">
      <c r="B306" s="2">
        <v>12470</v>
      </c>
      <c r="C306" s="2" t="s">
        <v>626</v>
      </c>
      <c r="D306" s="2" t="s">
        <v>627</v>
      </c>
      <c r="E306" s="2" t="s">
        <v>60</v>
      </c>
      <c r="F306" s="2" t="s">
        <v>29</v>
      </c>
      <c r="G306" s="2" t="s">
        <v>50</v>
      </c>
      <c r="H306" s="2" t="s">
        <v>218</v>
      </c>
      <c r="I306" s="2" t="s">
        <v>219</v>
      </c>
      <c r="J306" s="2" t="s">
        <v>220</v>
      </c>
      <c r="K306" s="2" t="s">
        <v>34</v>
      </c>
      <c r="L306" s="3"/>
      <c r="M306" s="3">
        <v>39482</v>
      </c>
      <c r="N306" s="3">
        <v>39482</v>
      </c>
      <c r="O306" s="3">
        <v>39482</v>
      </c>
      <c r="P306" s="2" t="s">
        <v>224</v>
      </c>
      <c r="Q306" s="2" t="s">
        <v>225</v>
      </c>
      <c r="R306" s="2" t="s">
        <v>37</v>
      </c>
      <c r="S306" s="2" t="s">
        <v>226</v>
      </c>
      <c r="T306" s="2" t="s">
        <v>87</v>
      </c>
      <c r="U306" s="2">
        <v>240</v>
      </c>
      <c r="V306" s="2">
        <v>3326</v>
      </c>
      <c r="W306" s="2">
        <v>7150.9</v>
      </c>
      <c r="X306" s="2">
        <v>2.15</v>
      </c>
      <c r="Y306" s="2">
        <v>0.01</v>
      </c>
      <c r="Z306" s="2">
        <v>1225</v>
      </c>
      <c r="AA306" s="2">
        <v>4485.25</v>
      </c>
      <c r="AB306">
        <v>1</v>
      </c>
      <c r="AC306">
        <v>2008</v>
      </c>
      <c r="AE306" s="2">
        <v>33.26</v>
      </c>
    </row>
    <row r="307" spans="2:31" ht="14.5">
      <c r="B307" s="2">
        <v>12481</v>
      </c>
      <c r="C307" s="2" t="s">
        <v>241</v>
      </c>
      <c r="D307" s="2" t="s">
        <v>242</v>
      </c>
      <c r="E307" s="2" t="s">
        <v>28</v>
      </c>
      <c r="F307" s="2" t="s">
        <v>29</v>
      </c>
      <c r="G307" s="2" t="s">
        <v>30</v>
      </c>
      <c r="H307" s="2" t="s">
        <v>218</v>
      </c>
      <c r="I307" s="2" t="s">
        <v>219</v>
      </c>
      <c r="J307" s="2" t="s">
        <v>220</v>
      </c>
      <c r="K307" s="2" t="s">
        <v>34</v>
      </c>
      <c r="L307" s="3"/>
      <c r="M307" s="3">
        <v>39658</v>
      </c>
      <c r="N307" s="3">
        <v>39658</v>
      </c>
      <c r="O307" s="3">
        <v>39658</v>
      </c>
      <c r="P307" s="2" t="s">
        <v>44</v>
      </c>
      <c r="Q307" s="2" t="s">
        <v>45</v>
      </c>
      <c r="R307" s="2" t="s">
        <v>37</v>
      </c>
      <c r="S307" s="2" t="s">
        <v>46</v>
      </c>
      <c r="T307" s="2" t="s">
        <v>47</v>
      </c>
      <c r="U307" s="2">
        <v>60</v>
      </c>
      <c r="V307" s="2">
        <v>122590</v>
      </c>
      <c r="W307" s="2">
        <v>1158475.5</v>
      </c>
      <c r="X307" s="2">
        <v>9.4499999999999993</v>
      </c>
      <c r="Y307" s="2">
        <v>0.16</v>
      </c>
      <c r="AB307">
        <v>1</v>
      </c>
      <c r="AC307">
        <v>2008</v>
      </c>
      <c r="AE307" s="2">
        <v>19614.400000000001</v>
      </c>
    </row>
    <row r="308" spans="2:31" ht="14.5">
      <c r="B308" s="2">
        <v>12484</v>
      </c>
      <c r="C308" s="2" t="s">
        <v>628</v>
      </c>
      <c r="D308" s="2" t="s">
        <v>629</v>
      </c>
      <c r="E308" s="2" t="s">
        <v>28</v>
      </c>
      <c r="F308" s="2" t="s">
        <v>29</v>
      </c>
      <c r="G308" s="2" t="s">
        <v>30</v>
      </c>
      <c r="H308" s="2" t="s">
        <v>218</v>
      </c>
      <c r="I308" s="2" t="s">
        <v>219</v>
      </c>
      <c r="J308" s="2" t="s">
        <v>220</v>
      </c>
      <c r="K308" s="2" t="s">
        <v>267</v>
      </c>
      <c r="L308" s="3"/>
      <c r="M308" s="3">
        <v>39629</v>
      </c>
      <c r="N308" s="3">
        <v>39629</v>
      </c>
      <c r="O308" s="3">
        <v>39629</v>
      </c>
      <c r="P308" s="2" t="s">
        <v>95</v>
      </c>
      <c r="Q308" s="2" t="s">
        <v>96</v>
      </c>
      <c r="R308" s="2" t="s">
        <v>37</v>
      </c>
      <c r="S308" s="2" t="s">
        <v>97</v>
      </c>
      <c r="T308" s="2" t="s">
        <v>39</v>
      </c>
      <c r="U308" s="2">
        <v>30</v>
      </c>
      <c r="V308" s="2">
        <v>75000</v>
      </c>
      <c r="W308" s="2">
        <v>900750</v>
      </c>
      <c r="X308" s="2">
        <v>12.01</v>
      </c>
      <c r="Y308" s="2">
        <v>0.4</v>
      </c>
      <c r="Z308" s="2">
        <v>15566</v>
      </c>
      <c r="AA308" s="2">
        <v>9330</v>
      </c>
      <c r="AB308">
        <v>1</v>
      </c>
      <c r="AC308">
        <v>2008</v>
      </c>
      <c r="AE308" s="2">
        <v>30000</v>
      </c>
    </row>
    <row r="309" spans="2:31" ht="14.5">
      <c r="B309" s="2">
        <v>12486</v>
      </c>
      <c r="C309" s="2" t="s">
        <v>630</v>
      </c>
      <c r="D309" s="2" t="s">
        <v>631</v>
      </c>
      <c r="E309" s="2" t="s">
        <v>28</v>
      </c>
      <c r="F309" s="2" t="s">
        <v>29</v>
      </c>
      <c r="G309" s="2" t="s">
        <v>30</v>
      </c>
      <c r="H309" s="2" t="s">
        <v>218</v>
      </c>
      <c r="I309" s="2" t="s">
        <v>219</v>
      </c>
      <c r="J309" s="2" t="s">
        <v>220</v>
      </c>
      <c r="K309" s="2" t="s">
        <v>34</v>
      </c>
      <c r="L309" s="3"/>
      <c r="M309" s="3">
        <v>39707</v>
      </c>
      <c r="N309" s="3">
        <v>39707</v>
      </c>
      <c r="O309" s="3">
        <v>39707</v>
      </c>
      <c r="P309" s="2" t="s">
        <v>139</v>
      </c>
      <c r="Q309" s="2" t="s">
        <v>140</v>
      </c>
      <c r="R309" s="2" t="s">
        <v>37</v>
      </c>
      <c r="S309" s="2" t="s">
        <v>141</v>
      </c>
      <c r="T309" s="2" t="s">
        <v>47</v>
      </c>
      <c r="U309" s="2">
        <v>60</v>
      </c>
      <c r="V309" s="2">
        <v>155319</v>
      </c>
      <c r="W309" s="2">
        <v>1149360.6000000001</v>
      </c>
      <c r="X309" s="2">
        <v>7.4</v>
      </c>
      <c r="Y309" s="2">
        <v>0.12</v>
      </c>
      <c r="Z309" s="2">
        <v>28334</v>
      </c>
      <c r="AA309" s="2">
        <v>80239.66</v>
      </c>
      <c r="AB309">
        <v>1</v>
      </c>
      <c r="AC309">
        <v>2008</v>
      </c>
      <c r="AE309" s="2">
        <v>18638.28</v>
      </c>
    </row>
    <row r="310" spans="2:31" ht="14.5">
      <c r="B310" s="2">
        <v>12493</v>
      </c>
      <c r="C310" s="2" t="s">
        <v>632</v>
      </c>
      <c r="D310" s="2" t="s">
        <v>633</v>
      </c>
      <c r="E310" s="2" t="s">
        <v>118</v>
      </c>
      <c r="F310" s="2" t="s">
        <v>29</v>
      </c>
      <c r="G310" s="2" t="s">
        <v>30</v>
      </c>
      <c r="H310" s="2" t="s">
        <v>218</v>
      </c>
      <c r="I310" s="2" t="s">
        <v>219</v>
      </c>
      <c r="J310" s="2" t="s">
        <v>220</v>
      </c>
      <c r="K310" s="2" t="s">
        <v>34</v>
      </c>
      <c r="L310" s="3"/>
      <c r="M310" s="3">
        <v>39587</v>
      </c>
      <c r="N310" s="3">
        <v>39587</v>
      </c>
      <c r="O310" s="3">
        <v>39587</v>
      </c>
      <c r="P310" s="2" t="s">
        <v>44</v>
      </c>
      <c r="Q310" s="2" t="s">
        <v>45</v>
      </c>
      <c r="R310" s="2" t="s">
        <v>37</v>
      </c>
      <c r="S310" s="2" t="s">
        <v>46</v>
      </c>
      <c r="T310" s="2" t="s">
        <v>47</v>
      </c>
      <c r="U310" s="2">
        <v>60</v>
      </c>
      <c r="V310" s="2">
        <v>800</v>
      </c>
      <c r="W310" s="2">
        <v>7560</v>
      </c>
      <c r="X310" s="2">
        <v>9.4499999999999993</v>
      </c>
      <c r="Y310" s="2">
        <v>0.16</v>
      </c>
      <c r="Z310" s="2">
        <v>75</v>
      </c>
      <c r="AA310" s="2">
        <v>935.8</v>
      </c>
      <c r="AB310">
        <v>1</v>
      </c>
      <c r="AC310">
        <v>2008</v>
      </c>
      <c r="AE310" s="2">
        <v>128</v>
      </c>
    </row>
    <row r="311" spans="2:31" ht="14.5">
      <c r="B311" s="2">
        <v>12495</v>
      </c>
      <c r="C311" s="2" t="s">
        <v>634</v>
      </c>
      <c r="D311" s="2" t="s">
        <v>635</v>
      </c>
      <c r="E311" s="2" t="s">
        <v>28</v>
      </c>
      <c r="F311" s="2" t="s">
        <v>29</v>
      </c>
      <c r="G311" s="2" t="s">
        <v>30</v>
      </c>
      <c r="H311" s="2" t="s">
        <v>218</v>
      </c>
      <c r="I311" s="2" t="s">
        <v>219</v>
      </c>
      <c r="J311" s="2" t="s">
        <v>220</v>
      </c>
      <c r="K311" s="2" t="s">
        <v>267</v>
      </c>
      <c r="L311" s="3"/>
      <c r="M311" s="3">
        <v>39629</v>
      </c>
      <c r="N311" s="3">
        <v>39629</v>
      </c>
      <c r="O311" s="3">
        <v>39629</v>
      </c>
      <c r="P311" s="2" t="s">
        <v>44</v>
      </c>
      <c r="Q311" s="2" t="s">
        <v>45</v>
      </c>
      <c r="R311" s="2" t="s">
        <v>37</v>
      </c>
      <c r="S311" s="2" t="s">
        <v>46</v>
      </c>
      <c r="T311" s="2" t="s">
        <v>47</v>
      </c>
      <c r="U311" s="2">
        <v>60</v>
      </c>
      <c r="V311" s="2">
        <v>112191</v>
      </c>
      <c r="W311" s="2">
        <v>1060204.95</v>
      </c>
      <c r="X311" s="2">
        <v>9.4499999999999993</v>
      </c>
      <c r="Y311" s="2">
        <v>0.16</v>
      </c>
      <c r="Z311" s="2">
        <v>10453</v>
      </c>
      <c r="AA311" s="2">
        <v>8831.92</v>
      </c>
      <c r="AB311">
        <v>1</v>
      </c>
      <c r="AC311">
        <v>2008</v>
      </c>
      <c r="AE311" s="2">
        <v>17950.560000000001</v>
      </c>
    </row>
    <row r="312" spans="2:31" ht="14.5">
      <c r="B312" s="2">
        <v>12498</v>
      </c>
      <c r="C312" s="2" t="s">
        <v>636</v>
      </c>
      <c r="D312" s="2" t="s">
        <v>637</v>
      </c>
      <c r="E312" s="2" t="s">
        <v>60</v>
      </c>
      <c r="F312" s="2" t="s">
        <v>29</v>
      </c>
      <c r="G312" s="2" t="s">
        <v>50</v>
      </c>
      <c r="H312" s="2" t="s">
        <v>218</v>
      </c>
      <c r="I312" s="2" t="s">
        <v>219</v>
      </c>
      <c r="J312" s="2" t="s">
        <v>220</v>
      </c>
      <c r="K312" s="2" t="s">
        <v>34</v>
      </c>
      <c r="L312" s="3"/>
      <c r="M312" s="3">
        <v>39559</v>
      </c>
      <c r="N312" s="3">
        <v>39559</v>
      </c>
      <c r="O312" s="3">
        <v>39559</v>
      </c>
      <c r="P312" s="2" t="s">
        <v>229</v>
      </c>
      <c r="Q312" s="2" t="s">
        <v>62</v>
      </c>
      <c r="R312" s="2" t="s">
        <v>37</v>
      </c>
      <c r="S312" s="2" t="s">
        <v>230</v>
      </c>
      <c r="T312" s="2" t="s">
        <v>87</v>
      </c>
      <c r="U312" s="2">
        <v>200</v>
      </c>
      <c r="V312" s="2">
        <v>3000</v>
      </c>
      <c r="W312" s="2">
        <v>4200</v>
      </c>
      <c r="X312" s="2">
        <v>1.4</v>
      </c>
      <c r="Y312" s="2">
        <v>0.01</v>
      </c>
      <c r="Z312" s="2">
        <v>342</v>
      </c>
      <c r="AA312" s="2">
        <v>1850.7</v>
      </c>
      <c r="AB312">
        <v>1</v>
      </c>
      <c r="AC312">
        <v>2008</v>
      </c>
      <c r="AE312" s="2">
        <v>30</v>
      </c>
    </row>
    <row r="313" spans="2:31" ht="14.5">
      <c r="B313" s="2">
        <v>12502</v>
      </c>
      <c r="C313" s="2" t="s">
        <v>585</v>
      </c>
      <c r="D313" s="2" t="s">
        <v>586</v>
      </c>
      <c r="E313" s="2" t="s">
        <v>28</v>
      </c>
      <c r="F313" s="2" t="s">
        <v>29</v>
      </c>
      <c r="G313" s="2" t="s">
        <v>30</v>
      </c>
      <c r="H313" s="2" t="s">
        <v>218</v>
      </c>
      <c r="I313" s="2" t="s">
        <v>219</v>
      </c>
      <c r="J313" s="2" t="s">
        <v>220</v>
      </c>
      <c r="K313" s="2" t="s">
        <v>34</v>
      </c>
      <c r="L313" s="3"/>
      <c r="M313" s="3">
        <v>39535</v>
      </c>
      <c r="N313" s="3">
        <v>39535</v>
      </c>
      <c r="O313" s="3">
        <v>39535</v>
      </c>
      <c r="P313" s="2" t="s">
        <v>44</v>
      </c>
      <c r="Q313" s="2" t="s">
        <v>45</v>
      </c>
      <c r="R313" s="2" t="s">
        <v>37</v>
      </c>
      <c r="S313" s="2" t="s">
        <v>46</v>
      </c>
      <c r="T313" s="2" t="s">
        <v>47</v>
      </c>
      <c r="U313" s="2">
        <v>60</v>
      </c>
      <c r="V313" s="2">
        <v>48610</v>
      </c>
      <c r="W313" s="2">
        <v>461795</v>
      </c>
      <c r="X313" s="2">
        <v>9.5</v>
      </c>
      <c r="Y313" s="2">
        <v>0.16</v>
      </c>
      <c r="AB313">
        <v>1</v>
      </c>
      <c r="AC313">
        <v>2008</v>
      </c>
      <c r="AE313" s="2">
        <v>7777.6</v>
      </c>
    </row>
    <row r="314" spans="2:31" ht="14.5">
      <c r="B314" s="2">
        <v>12504</v>
      </c>
      <c r="C314" s="2" t="s">
        <v>638</v>
      </c>
      <c r="D314" s="2" t="s">
        <v>639</v>
      </c>
      <c r="E314" s="2" t="s">
        <v>28</v>
      </c>
      <c r="F314" s="2" t="s">
        <v>29</v>
      </c>
      <c r="G314" s="2" t="s">
        <v>30</v>
      </c>
      <c r="H314" s="2" t="s">
        <v>218</v>
      </c>
      <c r="I314" s="2" t="s">
        <v>219</v>
      </c>
      <c r="J314" s="2" t="s">
        <v>220</v>
      </c>
      <c r="K314" s="2" t="s">
        <v>34</v>
      </c>
      <c r="L314" s="3"/>
      <c r="M314" s="3">
        <v>39629</v>
      </c>
      <c r="N314" s="3">
        <v>39629</v>
      </c>
      <c r="O314" s="3">
        <v>39629</v>
      </c>
      <c r="P314" s="2" t="s">
        <v>44</v>
      </c>
      <c r="Q314" s="2" t="s">
        <v>45</v>
      </c>
      <c r="R314" s="2" t="s">
        <v>37</v>
      </c>
      <c r="S314" s="2" t="s">
        <v>46</v>
      </c>
      <c r="T314" s="2" t="s">
        <v>47</v>
      </c>
      <c r="U314" s="2">
        <v>60</v>
      </c>
      <c r="V314" s="2">
        <v>6722</v>
      </c>
      <c r="W314" s="2">
        <v>63859</v>
      </c>
      <c r="X314" s="2">
        <v>9.5</v>
      </c>
      <c r="Y314" s="2">
        <v>0.16</v>
      </c>
      <c r="Z314" s="2">
        <v>634</v>
      </c>
      <c r="AA314" s="2">
        <v>1108.08</v>
      </c>
      <c r="AB314">
        <v>1</v>
      </c>
      <c r="AC314">
        <v>2008</v>
      </c>
      <c r="AE314" s="2">
        <v>1075.52</v>
      </c>
    </row>
    <row r="315" spans="2:31" ht="14.5">
      <c r="B315" s="2">
        <v>12516</v>
      </c>
      <c r="C315" s="2" t="s">
        <v>640</v>
      </c>
      <c r="D315" s="2" t="s">
        <v>641</v>
      </c>
      <c r="E315" s="2" t="s">
        <v>28</v>
      </c>
      <c r="F315" s="2" t="s">
        <v>29</v>
      </c>
      <c r="G315" s="2" t="s">
        <v>30</v>
      </c>
      <c r="H315" s="2" t="s">
        <v>218</v>
      </c>
      <c r="I315" s="2" t="s">
        <v>219</v>
      </c>
      <c r="J315" s="2" t="s">
        <v>220</v>
      </c>
      <c r="K315" s="2" t="s">
        <v>34</v>
      </c>
      <c r="L315" s="3"/>
      <c r="M315" s="3">
        <v>39630</v>
      </c>
      <c r="N315" s="3">
        <v>39630</v>
      </c>
      <c r="O315" s="3">
        <v>39630</v>
      </c>
      <c r="P315" s="2" t="s">
        <v>61</v>
      </c>
      <c r="Q315" s="2" t="s">
        <v>62</v>
      </c>
      <c r="R315" s="2" t="s">
        <v>37</v>
      </c>
      <c r="S315" s="2" t="s">
        <v>63</v>
      </c>
      <c r="T315" s="2" t="s">
        <v>64</v>
      </c>
      <c r="U315" s="2">
        <v>60</v>
      </c>
      <c r="V315" s="2">
        <v>75318</v>
      </c>
      <c r="W315" s="2">
        <v>114483.36</v>
      </c>
      <c r="X315" s="2">
        <v>1.52</v>
      </c>
      <c r="Y315" s="2">
        <v>0.03</v>
      </c>
      <c r="Z315" s="2">
        <v>5040</v>
      </c>
      <c r="AA315" s="2">
        <v>22965.4</v>
      </c>
      <c r="AB315">
        <v>1</v>
      </c>
      <c r="AC315">
        <v>2008</v>
      </c>
      <c r="AE315" s="2">
        <v>2259.54</v>
      </c>
    </row>
    <row r="316" spans="2:31" ht="14.5">
      <c r="B316" s="2">
        <v>12517</v>
      </c>
      <c r="C316" s="2" t="s">
        <v>346</v>
      </c>
      <c r="D316" s="2" t="s">
        <v>347</v>
      </c>
      <c r="E316" s="2" t="s">
        <v>28</v>
      </c>
      <c r="F316" s="2" t="s">
        <v>29</v>
      </c>
      <c r="G316" s="2" t="s">
        <v>30</v>
      </c>
      <c r="H316" s="2" t="s">
        <v>218</v>
      </c>
      <c r="I316" s="2" t="s">
        <v>219</v>
      </c>
      <c r="J316" s="2" t="s">
        <v>220</v>
      </c>
      <c r="K316" s="2" t="s">
        <v>34</v>
      </c>
      <c r="L316" s="3"/>
      <c r="M316" s="3">
        <v>39638</v>
      </c>
      <c r="N316" s="3">
        <v>39638</v>
      </c>
      <c r="O316" s="3">
        <v>39638</v>
      </c>
      <c r="P316" s="2" t="s">
        <v>95</v>
      </c>
      <c r="Q316" s="2" t="s">
        <v>96</v>
      </c>
      <c r="R316" s="2" t="s">
        <v>37</v>
      </c>
      <c r="S316" s="2" t="s">
        <v>97</v>
      </c>
      <c r="T316" s="2" t="s">
        <v>39</v>
      </c>
      <c r="U316" s="2">
        <v>30</v>
      </c>
      <c r="V316" s="2">
        <v>101445</v>
      </c>
      <c r="W316" s="2">
        <v>1259946.8999999999</v>
      </c>
      <c r="X316" s="2">
        <v>12.42</v>
      </c>
      <c r="Y316" s="2">
        <v>0.41</v>
      </c>
      <c r="AB316">
        <v>1</v>
      </c>
      <c r="AC316">
        <v>2008</v>
      </c>
      <c r="AE316" s="2">
        <v>41592.449999999997</v>
      </c>
    </row>
    <row r="317" spans="2:31" ht="14.5">
      <c r="B317" s="2">
        <v>12518</v>
      </c>
      <c r="C317" s="2" t="s">
        <v>346</v>
      </c>
      <c r="D317" s="2" t="s">
        <v>347</v>
      </c>
      <c r="E317" s="2" t="s">
        <v>28</v>
      </c>
      <c r="F317" s="2" t="s">
        <v>29</v>
      </c>
      <c r="G317" s="2" t="s">
        <v>30</v>
      </c>
      <c r="H317" s="2" t="s">
        <v>218</v>
      </c>
      <c r="I317" s="2" t="s">
        <v>219</v>
      </c>
      <c r="J317" s="2" t="s">
        <v>220</v>
      </c>
      <c r="K317" s="2" t="s">
        <v>34</v>
      </c>
      <c r="L317" s="3"/>
      <c r="M317" s="3">
        <v>39638</v>
      </c>
      <c r="N317" s="3">
        <v>39638</v>
      </c>
      <c r="O317" s="3">
        <v>39638</v>
      </c>
      <c r="P317" s="2" t="s">
        <v>44</v>
      </c>
      <c r="Q317" s="2" t="s">
        <v>45</v>
      </c>
      <c r="R317" s="2" t="s">
        <v>37</v>
      </c>
      <c r="S317" s="2" t="s">
        <v>46</v>
      </c>
      <c r="T317" s="2" t="s">
        <v>47</v>
      </c>
      <c r="U317" s="2">
        <v>60</v>
      </c>
      <c r="V317" s="2">
        <v>58086</v>
      </c>
      <c r="W317" s="2">
        <v>551817</v>
      </c>
      <c r="X317" s="2">
        <v>9.5</v>
      </c>
      <c r="Y317" s="2">
        <v>0.16</v>
      </c>
      <c r="AB317">
        <v>1</v>
      </c>
      <c r="AC317">
        <v>2008</v>
      </c>
      <c r="AE317" s="2">
        <v>9293.76</v>
      </c>
    </row>
    <row r="318" spans="2:31" ht="14.5">
      <c r="B318" s="2">
        <v>12519</v>
      </c>
      <c r="C318" s="2" t="s">
        <v>642</v>
      </c>
      <c r="D318" s="2" t="s">
        <v>643</v>
      </c>
      <c r="E318" s="2" t="s">
        <v>118</v>
      </c>
      <c r="F318" s="2" t="s">
        <v>29</v>
      </c>
      <c r="G318" s="2" t="s">
        <v>30</v>
      </c>
      <c r="H318" s="2" t="s">
        <v>218</v>
      </c>
      <c r="I318" s="2" t="s">
        <v>219</v>
      </c>
      <c r="J318" s="2" t="s">
        <v>220</v>
      </c>
      <c r="K318" s="2" t="s">
        <v>34</v>
      </c>
      <c r="L318" s="3"/>
      <c r="M318" s="3">
        <v>39639</v>
      </c>
      <c r="N318" s="3">
        <v>39639</v>
      </c>
      <c r="O318" s="3">
        <v>39639</v>
      </c>
      <c r="P318" s="2" t="s">
        <v>61</v>
      </c>
      <c r="Q318" s="2" t="s">
        <v>62</v>
      </c>
      <c r="R318" s="2" t="s">
        <v>37</v>
      </c>
      <c r="S318" s="2" t="s">
        <v>63</v>
      </c>
      <c r="T318" s="2" t="s">
        <v>64</v>
      </c>
      <c r="U318" s="2">
        <v>60</v>
      </c>
      <c r="V318" s="2">
        <v>500</v>
      </c>
      <c r="W318" s="2">
        <v>775</v>
      </c>
      <c r="X318" s="2">
        <v>1.55</v>
      </c>
      <c r="Y318" s="2">
        <v>0.03</v>
      </c>
      <c r="Z318" s="2">
        <v>33</v>
      </c>
      <c r="AA318" s="2">
        <v>578.24</v>
      </c>
      <c r="AB318">
        <v>1</v>
      </c>
      <c r="AC318">
        <v>2008</v>
      </c>
      <c r="AE318" s="2">
        <v>15</v>
      </c>
    </row>
    <row r="319" spans="2:31" ht="14.5">
      <c r="B319" s="2">
        <v>12536</v>
      </c>
      <c r="C319" s="2" t="s">
        <v>644</v>
      </c>
      <c r="D319" s="2" t="s">
        <v>645</v>
      </c>
      <c r="E319" s="2" t="s">
        <v>118</v>
      </c>
      <c r="F319" s="2" t="s">
        <v>29</v>
      </c>
      <c r="G319" s="2" t="s">
        <v>30</v>
      </c>
      <c r="H319" s="2" t="s">
        <v>218</v>
      </c>
      <c r="I319" s="2" t="s">
        <v>219</v>
      </c>
      <c r="J319" s="2" t="s">
        <v>220</v>
      </c>
      <c r="K319" s="2" t="s">
        <v>646</v>
      </c>
      <c r="L319" s="3"/>
      <c r="M319" s="3">
        <v>39846</v>
      </c>
      <c r="N319" s="3">
        <v>39846</v>
      </c>
      <c r="O319" s="3">
        <v>39846</v>
      </c>
      <c r="P319" s="2" t="s">
        <v>453</v>
      </c>
      <c r="Q319" s="2" t="s">
        <v>408</v>
      </c>
      <c r="R319" s="2" t="s">
        <v>37</v>
      </c>
      <c r="S319" s="2" t="s">
        <v>409</v>
      </c>
      <c r="T319" s="2" t="s">
        <v>47</v>
      </c>
      <c r="U319" s="2">
        <v>30</v>
      </c>
      <c r="V319" s="2">
        <v>1166</v>
      </c>
      <c r="W319" s="2">
        <v>2332</v>
      </c>
      <c r="X319" s="2">
        <v>2</v>
      </c>
      <c r="Y319" s="2">
        <v>7.0000000000000007E-2</v>
      </c>
      <c r="Z319" s="2">
        <v>71</v>
      </c>
      <c r="AA319" s="2">
        <v>1240</v>
      </c>
      <c r="AB319">
        <v>1</v>
      </c>
      <c r="AC319">
        <v>2009</v>
      </c>
      <c r="AE319" s="2">
        <v>81.62</v>
      </c>
    </row>
    <row r="320" spans="2:31" ht="14.5">
      <c r="B320" s="2">
        <v>12542</v>
      </c>
      <c r="C320" s="2" t="s">
        <v>647</v>
      </c>
      <c r="D320" s="2" t="s">
        <v>648</v>
      </c>
      <c r="E320" s="2" t="s">
        <v>118</v>
      </c>
      <c r="F320" s="2" t="s">
        <v>29</v>
      </c>
      <c r="G320" s="2" t="s">
        <v>30</v>
      </c>
      <c r="H320" s="2" t="s">
        <v>218</v>
      </c>
      <c r="I320" s="2" t="s">
        <v>219</v>
      </c>
      <c r="J320" s="2" t="s">
        <v>220</v>
      </c>
      <c r="K320" s="2" t="s">
        <v>34</v>
      </c>
      <c r="L320" s="3"/>
      <c r="M320" s="3">
        <v>39875</v>
      </c>
      <c r="N320" s="3">
        <v>39875</v>
      </c>
      <c r="O320" s="3">
        <v>39875</v>
      </c>
      <c r="P320" s="2" t="s">
        <v>112</v>
      </c>
      <c r="Q320" s="2" t="s">
        <v>113</v>
      </c>
      <c r="R320" s="2" t="s">
        <v>37</v>
      </c>
      <c r="S320" s="2" t="s">
        <v>114</v>
      </c>
      <c r="T320" s="2" t="s">
        <v>47</v>
      </c>
      <c r="U320" s="2">
        <v>60</v>
      </c>
      <c r="V320" s="2">
        <v>88</v>
      </c>
      <c r="W320" s="2">
        <v>1038.4000000000001</v>
      </c>
      <c r="X320" s="2">
        <v>11.8</v>
      </c>
      <c r="Y320" s="2">
        <v>0.2</v>
      </c>
      <c r="Z320" s="2">
        <v>10</v>
      </c>
      <c r="AA320" s="2">
        <v>1002.2</v>
      </c>
      <c r="AB320">
        <v>1</v>
      </c>
      <c r="AC320">
        <v>2009</v>
      </c>
      <c r="AE320" s="2">
        <v>17.600000000000001</v>
      </c>
    </row>
    <row r="321" spans="2:31" ht="14.5">
      <c r="B321" s="2">
        <v>12543</v>
      </c>
      <c r="C321" s="2" t="s">
        <v>649</v>
      </c>
      <c r="D321" s="2" t="s">
        <v>650</v>
      </c>
      <c r="E321" s="2" t="s">
        <v>118</v>
      </c>
      <c r="F321" s="2" t="s">
        <v>29</v>
      </c>
      <c r="G321" s="2" t="s">
        <v>30</v>
      </c>
      <c r="H321" s="2" t="s">
        <v>218</v>
      </c>
      <c r="I321" s="2" t="s">
        <v>219</v>
      </c>
      <c r="J321" s="2" t="s">
        <v>220</v>
      </c>
      <c r="K321" s="2" t="s">
        <v>34</v>
      </c>
      <c r="L321" s="3"/>
      <c r="M321" s="3">
        <v>39891</v>
      </c>
      <c r="N321" s="3">
        <v>39891</v>
      </c>
      <c r="O321" s="3">
        <v>39891</v>
      </c>
      <c r="P321" s="2" t="s">
        <v>95</v>
      </c>
      <c r="Q321" s="2" t="s">
        <v>96</v>
      </c>
      <c r="R321" s="2" t="s">
        <v>37</v>
      </c>
      <c r="S321" s="2" t="s">
        <v>97</v>
      </c>
      <c r="T321" s="2" t="s">
        <v>39</v>
      </c>
      <c r="U321" s="2">
        <v>30</v>
      </c>
      <c r="V321" s="2">
        <v>9</v>
      </c>
      <c r="W321" s="2">
        <v>99</v>
      </c>
      <c r="X321" s="2">
        <v>11</v>
      </c>
      <c r="Y321" s="2">
        <v>0.37</v>
      </c>
      <c r="Z321" s="2">
        <v>1</v>
      </c>
      <c r="AA321" s="2">
        <v>966.37</v>
      </c>
      <c r="AB321">
        <v>1</v>
      </c>
      <c r="AC321">
        <v>2009</v>
      </c>
      <c r="AE321" s="2">
        <v>3.33</v>
      </c>
    </row>
    <row r="322" spans="2:31" ht="14.5">
      <c r="B322" s="2">
        <v>12544</v>
      </c>
      <c r="C322" s="2" t="s">
        <v>478</v>
      </c>
      <c r="D322" s="2" t="s">
        <v>479</v>
      </c>
      <c r="E322" s="2" t="s">
        <v>118</v>
      </c>
      <c r="F322" s="2" t="s">
        <v>29</v>
      </c>
      <c r="G322" s="2" t="s">
        <v>30</v>
      </c>
      <c r="H322" s="2" t="s">
        <v>218</v>
      </c>
      <c r="I322" s="2" t="s">
        <v>219</v>
      </c>
      <c r="J322" s="2" t="s">
        <v>220</v>
      </c>
      <c r="K322" s="2" t="s">
        <v>34</v>
      </c>
      <c r="L322" s="3"/>
      <c r="M322" s="3">
        <v>39822</v>
      </c>
      <c r="N322" s="3">
        <v>39822</v>
      </c>
      <c r="O322" s="3">
        <v>39822</v>
      </c>
      <c r="P322" s="2" t="s">
        <v>139</v>
      </c>
      <c r="Q322" s="2" t="s">
        <v>140</v>
      </c>
      <c r="R322" s="2" t="s">
        <v>37</v>
      </c>
      <c r="S322" s="2" t="s">
        <v>141</v>
      </c>
      <c r="T322" s="2" t="s">
        <v>47</v>
      </c>
      <c r="U322" s="2">
        <v>60</v>
      </c>
      <c r="V322" s="2">
        <v>965</v>
      </c>
      <c r="W322" s="2">
        <v>6948</v>
      </c>
      <c r="X322" s="2">
        <v>7.2</v>
      </c>
      <c r="Y322" s="2">
        <v>0.12</v>
      </c>
      <c r="AB322">
        <v>1</v>
      </c>
      <c r="AC322">
        <v>2009</v>
      </c>
      <c r="AE322" s="2">
        <v>115.8</v>
      </c>
    </row>
    <row r="323" spans="2:31" ht="14.5">
      <c r="B323" s="2">
        <v>12547</v>
      </c>
      <c r="C323" s="2" t="s">
        <v>414</v>
      </c>
      <c r="D323" s="2" t="s">
        <v>415</v>
      </c>
      <c r="E323" s="2" t="s">
        <v>118</v>
      </c>
      <c r="F323" s="2" t="s">
        <v>29</v>
      </c>
      <c r="G323" s="2" t="s">
        <v>30</v>
      </c>
      <c r="H323" s="2" t="s">
        <v>218</v>
      </c>
      <c r="I323" s="2" t="s">
        <v>219</v>
      </c>
      <c r="J323" s="2" t="s">
        <v>220</v>
      </c>
      <c r="K323" s="2" t="s">
        <v>34</v>
      </c>
      <c r="L323" s="3"/>
      <c r="M323" s="3">
        <v>39911</v>
      </c>
      <c r="N323" s="3">
        <v>39911</v>
      </c>
      <c r="O323" s="3">
        <v>39911</v>
      </c>
      <c r="P323" s="2" t="s">
        <v>235</v>
      </c>
      <c r="Q323" s="2" t="s">
        <v>236</v>
      </c>
      <c r="R323" s="2" t="s">
        <v>237</v>
      </c>
      <c r="S323" s="2" t="s">
        <v>238</v>
      </c>
      <c r="T323" s="2" t="s">
        <v>47</v>
      </c>
      <c r="U323" s="2">
        <v>30</v>
      </c>
      <c r="V323" s="2">
        <v>328</v>
      </c>
      <c r="W323" s="2">
        <v>8610</v>
      </c>
      <c r="X323" s="2">
        <v>26.25</v>
      </c>
      <c r="Y323" s="2">
        <v>0.88</v>
      </c>
      <c r="AB323">
        <v>1</v>
      </c>
      <c r="AC323">
        <v>2009</v>
      </c>
      <c r="AE323" s="2">
        <v>288.64</v>
      </c>
    </row>
    <row r="324" spans="2:31" ht="14.5">
      <c r="B324" s="2">
        <v>12552</v>
      </c>
      <c r="C324" s="2" t="s">
        <v>593</v>
      </c>
      <c r="D324" s="2" t="s">
        <v>594</v>
      </c>
      <c r="E324" s="2" t="s">
        <v>118</v>
      </c>
      <c r="F324" s="2" t="s">
        <v>29</v>
      </c>
      <c r="G324" s="2" t="s">
        <v>30</v>
      </c>
      <c r="H324" s="2" t="s">
        <v>218</v>
      </c>
      <c r="I324" s="2" t="s">
        <v>219</v>
      </c>
      <c r="J324" s="2" t="s">
        <v>220</v>
      </c>
      <c r="K324" s="2" t="s">
        <v>34</v>
      </c>
      <c r="L324" s="3"/>
      <c r="M324" s="3">
        <v>39819</v>
      </c>
      <c r="N324" s="3">
        <v>39819</v>
      </c>
      <c r="O324" s="3">
        <v>39819</v>
      </c>
      <c r="P324" s="2" t="s">
        <v>453</v>
      </c>
      <c r="Q324" s="2" t="s">
        <v>408</v>
      </c>
      <c r="R324" s="2" t="s">
        <v>37</v>
      </c>
      <c r="S324" s="2" t="s">
        <v>409</v>
      </c>
      <c r="T324" s="2" t="s">
        <v>47</v>
      </c>
      <c r="U324" s="2">
        <v>30</v>
      </c>
      <c r="V324" s="2">
        <v>938</v>
      </c>
      <c r="W324" s="2">
        <v>1876</v>
      </c>
      <c r="X324" s="2">
        <v>2</v>
      </c>
      <c r="Y324" s="2">
        <v>7.0000000000000007E-2</v>
      </c>
      <c r="AB324">
        <v>1</v>
      </c>
      <c r="AC324">
        <v>2009</v>
      </c>
      <c r="AE324" s="2">
        <v>65.660000000000011</v>
      </c>
    </row>
    <row r="325" spans="2:31" ht="14.5">
      <c r="B325" s="2">
        <v>12553</v>
      </c>
      <c r="C325" s="2" t="s">
        <v>487</v>
      </c>
      <c r="D325" s="2" t="s">
        <v>488</v>
      </c>
      <c r="E325" s="2" t="s">
        <v>60</v>
      </c>
      <c r="F325" s="2" t="s">
        <v>29</v>
      </c>
      <c r="G325" s="2" t="s">
        <v>30</v>
      </c>
      <c r="H325" s="2" t="s">
        <v>218</v>
      </c>
      <c r="I325" s="2" t="s">
        <v>219</v>
      </c>
      <c r="J325" s="2" t="s">
        <v>220</v>
      </c>
      <c r="K325" s="2" t="s">
        <v>34</v>
      </c>
      <c r="L325" s="3"/>
      <c r="M325" s="3">
        <v>39862</v>
      </c>
      <c r="N325" s="3">
        <v>39862</v>
      </c>
      <c r="O325" s="3">
        <v>39862</v>
      </c>
      <c r="P325" s="2" t="s">
        <v>484</v>
      </c>
      <c r="Q325" s="2" t="s">
        <v>105</v>
      </c>
      <c r="R325" s="2" t="s">
        <v>37</v>
      </c>
      <c r="S325" s="2" t="s">
        <v>100</v>
      </c>
      <c r="T325" s="2" t="s">
        <v>39</v>
      </c>
      <c r="U325" s="2">
        <v>30</v>
      </c>
      <c r="V325" s="2">
        <v>3100</v>
      </c>
      <c r="W325" s="2">
        <v>41168</v>
      </c>
      <c r="X325" s="2">
        <v>13.28</v>
      </c>
      <c r="Y325" s="2">
        <v>0.44</v>
      </c>
      <c r="AB325">
        <v>1</v>
      </c>
      <c r="AC325">
        <v>2009</v>
      </c>
      <c r="AE325" s="2">
        <v>1364</v>
      </c>
    </row>
    <row r="326" spans="2:31" ht="14.5">
      <c r="B326" s="2">
        <v>12554</v>
      </c>
      <c r="C326" s="2" t="s">
        <v>360</v>
      </c>
      <c r="D326" s="2" t="s">
        <v>361</v>
      </c>
      <c r="E326" s="2" t="s">
        <v>60</v>
      </c>
      <c r="F326" s="2" t="s">
        <v>29</v>
      </c>
      <c r="G326" s="2" t="s">
        <v>30</v>
      </c>
      <c r="H326" s="2" t="s">
        <v>218</v>
      </c>
      <c r="I326" s="2" t="s">
        <v>219</v>
      </c>
      <c r="J326" s="2" t="s">
        <v>220</v>
      </c>
      <c r="K326" s="2" t="s">
        <v>34</v>
      </c>
      <c r="L326" s="3"/>
      <c r="M326" s="3">
        <v>39842</v>
      </c>
      <c r="N326" s="3">
        <v>39842</v>
      </c>
      <c r="O326" s="3">
        <v>39842</v>
      </c>
      <c r="P326" s="2" t="s">
        <v>139</v>
      </c>
      <c r="Q326" s="2" t="s">
        <v>140</v>
      </c>
      <c r="R326" s="2" t="s">
        <v>37</v>
      </c>
      <c r="S326" s="2" t="s">
        <v>141</v>
      </c>
      <c r="T326" s="2" t="s">
        <v>47</v>
      </c>
      <c r="U326" s="2">
        <v>60</v>
      </c>
      <c r="V326" s="2">
        <v>17103</v>
      </c>
      <c r="W326" s="2">
        <v>121773.36</v>
      </c>
      <c r="X326" s="2">
        <v>7.12</v>
      </c>
      <c r="Y326" s="2">
        <v>0.12</v>
      </c>
      <c r="AB326">
        <v>1</v>
      </c>
      <c r="AC326">
        <v>2009</v>
      </c>
      <c r="AE326" s="2">
        <v>2052.36</v>
      </c>
    </row>
    <row r="327" spans="2:31" ht="14.5">
      <c r="B327" s="2">
        <v>12569</v>
      </c>
      <c r="C327" s="2" t="s">
        <v>651</v>
      </c>
      <c r="D327" s="2" t="s">
        <v>652</v>
      </c>
      <c r="E327" s="2" t="s">
        <v>118</v>
      </c>
      <c r="F327" s="2" t="s">
        <v>29</v>
      </c>
      <c r="G327" s="2" t="s">
        <v>30</v>
      </c>
      <c r="H327" s="2" t="s">
        <v>218</v>
      </c>
      <c r="I327" s="2" t="s">
        <v>219</v>
      </c>
      <c r="J327" s="2" t="s">
        <v>220</v>
      </c>
      <c r="K327" s="2" t="s">
        <v>34</v>
      </c>
      <c r="L327" s="3"/>
      <c r="M327" s="3">
        <v>39927</v>
      </c>
      <c r="N327" s="3">
        <v>39927</v>
      </c>
      <c r="O327" s="3">
        <v>39927</v>
      </c>
      <c r="P327" s="2" t="s">
        <v>150</v>
      </c>
      <c r="Q327" s="2" t="s">
        <v>84</v>
      </c>
      <c r="R327" s="2" t="s">
        <v>151</v>
      </c>
      <c r="S327" s="2" t="s">
        <v>152</v>
      </c>
      <c r="T327" s="2" t="s">
        <v>39</v>
      </c>
      <c r="U327" s="2">
        <v>120</v>
      </c>
      <c r="V327" s="2">
        <v>80</v>
      </c>
      <c r="W327" s="2">
        <v>3288</v>
      </c>
      <c r="X327" s="2">
        <v>41.1</v>
      </c>
      <c r="Y327" s="2">
        <v>0.34</v>
      </c>
      <c r="Z327" s="2">
        <v>19</v>
      </c>
      <c r="AA327" s="2">
        <v>1381.64</v>
      </c>
      <c r="AB327">
        <v>1</v>
      </c>
      <c r="AC327">
        <v>2009</v>
      </c>
      <c r="AE327" s="2">
        <v>27.200000000000003</v>
      </c>
    </row>
    <row r="328" spans="2:31" ht="14.5">
      <c r="B328" s="2">
        <v>12578</v>
      </c>
      <c r="C328" s="2" t="s">
        <v>429</v>
      </c>
      <c r="D328" s="2" t="s">
        <v>430</v>
      </c>
      <c r="E328" s="2" t="s">
        <v>118</v>
      </c>
      <c r="F328" s="2" t="s">
        <v>29</v>
      </c>
      <c r="G328" s="2" t="s">
        <v>30</v>
      </c>
      <c r="H328" s="2" t="s">
        <v>218</v>
      </c>
      <c r="I328" s="2" t="s">
        <v>219</v>
      </c>
      <c r="J328" s="2" t="s">
        <v>220</v>
      </c>
      <c r="K328" s="2" t="s">
        <v>34</v>
      </c>
      <c r="L328" s="3"/>
      <c r="M328" s="3">
        <v>39988</v>
      </c>
      <c r="N328" s="3">
        <v>39988</v>
      </c>
      <c r="O328" s="3">
        <v>39988</v>
      </c>
      <c r="P328" s="2" t="s">
        <v>35</v>
      </c>
      <c r="Q328" s="2" t="s">
        <v>36</v>
      </c>
      <c r="R328" s="2" t="s">
        <v>37</v>
      </c>
      <c r="S328" s="2" t="s">
        <v>38</v>
      </c>
      <c r="T328" s="2" t="s">
        <v>39</v>
      </c>
      <c r="U328" s="2">
        <v>60</v>
      </c>
      <c r="V328" s="2">
        <v>107</v>
      </c>
      <c r="W328" s="2">
        <v>342.4</v>
      </c>
      <c r="X328" s="2">
        <v>3.2</v>
      </c>
      <c r="Y328" s="2">
        <v>0.05</v>
      </c>
      <c r="AB328">
        <v>1</v>
      </c>
      <c r="AC328">
        <v>2009</v>
      </c>
      <c r="AE328" s="2">
        <v>5.3500000000000005</v>
      </c>
    </row>
    <row r="329" spans="2:31" ht="14.5">
      <c r="B329" s="2">
        <v>12587</v>
      </c>
      <c r="C329" s="2" t="s">
        <v>653</v>
      </c>
      <c r="D329" s="2" t="s">
        <v>654</v>
      </c>
      <c r="E329" s="2" t="s">
        <v>118</v>
      </c>
      <c r="F329" s="2" t="s">
        <v>29</v>
      </c>
      <c r="G329" s="2" t="s">
        <v>30</v>
      </c>
      <c r="H329" s="2" t="s">
        <v>218</v>
      </c>
      <c r="I329" s="2" t="s">
        <v>219</v>
      </c>
      <c r="J329" s="2" t="s">
        <v>220</v>
      </c>
      <c r="K329" s="2" t="s">
        <v>34</v>
      </c>
      <c r="L329" s="3"/>
      <c r="M329" s="3">
        <v>39988</v>
      </c>
      <c r="N329" s="3">
        <v>39988</v>
      </c>
      <c r="O329" s="3">
        <v>39988</v>
      </c>
      <c r="P329" s="2" t="s">
        <v>112</v>
      </c>
      <c r="Q329" s="2" t="s">
        <v>113</v>
      </c>
      <c r="R329" s="2" t="s">
        <v>37</v>
      </c>
      <c r="S329" s="2" t="s">
        <v>114</v>
      </c>
      <c r="T329" s="2" t="s">
        <v>47</v>
      </c>
      <c r="U329" s="2">
        <v>60</v>
      </c>
      <c r="V329" s="2">
        <v>1155</v>
      </c>
      <c r="W329" s="2">
        <v>13109.25</v>
      </c>
      <c r="X329" s="2">
        <v>11.35</v>
      </c>
      <c r="Y329" s="2">
        <v>0.19</v>
      </c>
      <c r="Z329" s="2">
        <v>147</v>
      </c>
      <c r="AA329" s="2">
        <v>1848.59</v>
      </c>
      <c r="AB329">
        <v>1</v>
      </c>
      <c r="AC329">
        <v>2009</v>
      </c>
      <c r="AE329" s="2">
        <v>219.45</v>
      </c>
    </row>
    <row r="330" spans="2:31" ht="14.5">
      <c r="B330" s="2">
        <v>12591</v>
      </c>
      <c r="C330" s="2" t="s">
        <v>655</v>
      </c>
      <c r="D330" s="2" t="s">
        <v>656</v>
      </c>
      <c r="E330" s="2" t="s">
        <v>118</v>
      </c>
      <c r="F330" s="2" t="s">
        <v>29</v>
      </c>
      <c r="G330" s="2" t="s">
        <v>30</v>
      </c>
      <c r="H330" s="2" t="s">
        <v>218</v>
      </c>
      <c r="I330" s="2" t="s">
        <v>219</v>
      </c>
      <c r="J330" s="2" t="s">
        <v>220</v>
      </c>
      <c r="K330" s="2" t="s">
        <v>34</v>
      </c>
      <c r="L330" s="3"/>
      <c r="M330" s="3">
        <v>39990</v>
      </c>
      <c r="N330" s="3">
        <v>39990</v>
      </c>
      <c r="O330" s="3">
        <v>39990</v>
      </c>
      <c r="P330" s="2" t="s">
        <v>150</v>
      </c>
      <c r="Q330" s="2" t="s">
        <v>84</v>
      </c>
      <c r="R330" s="2" t="s">
        <v>151</v>
      </c>
      <c r="S330" s="2" t="s">
        <v>152</v>
      </c>
      <c r="T330" s="2" t="s">
        <v>39</v>
      </c>
      <c r="U330" s="2">
        <v>120</v>
      </c>
      <c r="V330" s="2">
        <v>220</v>
      </c>
      <c r="W330" s="2">
        <v>9042</v>
      </c>
      <c r="X330" s="2">
        <v>41.1</v>
      </c>
      <c r="Y330" s="2">
        <v>0.34</v>
      </c>
      <c r="Z330" s="2">
        <v>50</v>
      </c>
      <c r="AA330" s="2">
        <v>1359.4</v>
      </c>
      <c r="AB330">
        <v>1</v>
      </c>
      <c r="AC330">
        <v>2009</v>
      </c>
      <c r="AE330" s="2">
        <v>74.800000000000011</v>
      </c>
    </row>
    <row r="331" spans="2:31" ht="14.5">
      <c r="B331" s="2">
        <v>12602</v>
      </c>
      <c r="C331" s="2" t="s">
        <v>501</v>
      </c>
      <c r="D331" s="2" t="s">
        <v>502</v>
      </c>
      <c r="E331" s="2" t="s">
        <v>118</v>
      </c>
      <c r="F331" s="2" t="s">
        <v>29</v>
      </c>
      <c r="G331" s="2" t="s">
        <v>30</v>
      </c>
      <c r="H331" s="2" t="s">
        <v>218</v>
      </c>
      <c r="I331" s="2" t="s">
        <v>219</v>
      </c>
      <c r="J331" s="2" t="s">
        <v>220</v>
      </c>
      <c r="K331" s="2" t="s">
        <v>34</v>
      </c>
      <c r="L331" s="3"/>
      <c r="M331" s="3">
        <v>40071</v>
      </c>
      <c r="N331" s="3">
        <v>40071</v>
      </c>
      <c r="O331" s="3">
        <v>40071</v>
      </c>
      <c r="P331" s="2" t="s">
        <v>35</v>
      </c>
      <c r="Q331" s="2" t="s">
        <v>36</v>
      </c>
      <c r="R331" s="2" t="s">
        <v>37</v>
      </c>
      <c r="S331" s="2" t="s">
        <v>38</v>
      </c>
      <c r="T331" s="2" t="s">
        <v>39</v>
      </c>
      <c r="U331" s="2">
        <v>60</v>
      </c>
      <c r="V331" s="2">
        <v>2250</v>
      </c>
      <c r="W331" s="2">
        <v>6525</v>
      </c>
      <c r="X331" s="2">
        <v>2.9</v>
      </c>
      <c r="Y331" s="2">
        <v>0.05</v>
      </c>
      <c r="AB331">
        <v>1</v>
      </c>
      <c r="AC331">
        <v>2009</v>
      </c>
      <c r="AE331" s="2">
        <v>112.5</v>
      </c>
    </row>
    <row r="332" spans="2:31" ht="14.5">
      <c r="B332" s="2">
        <v>12603</v>
      </c>
      <c r="C332" s="2" t="s">
        <v>657</v>
      </c>
      <c r="D332" s="2" t="s">
        <v>658</v>
      </c>
      <c r="E332" s="2" t="s">
        <v>118</v>
      </c>
      <c r="F332" s="2" t="s">
        <v>29</v>
      </c>
      <c r="G332" s="2" t="s">
        <v>30</v>
      </c>
      <c r="H332" s="2" t="s">
        <v>218</v>
      </c>
      <c r="I332" s="2" t="s">
        <v>219</v>
      </c>
      <c r="J332" s="2" t="s">
        <v>220</v>
      </c>
      <c r="K332" s="2" t="s">
        <v>34</v>
      </c>
      <c r="L332" s="3"/>
      <c r="M332" s="3">
        <v>40035</v>
      </c>
      <c r="N332" s="3">
        <v>40035</v>
      </c>
      <c r="O332" s="3">
        <v>40035</v>
      </c>
      <c r="P332" s="2" t="s">
        <v>44</v>
      </c>
      <c r="Q332" s="2" t="s">
        <v>45</v>
      </c>
      <c r="R332" s="2" t="s">
        <v>37</v>
      </c>
      <c r="S332" s="2" t="s">
        <v>46</v>
      </c>
      <c r="T332" s="2" t="s">
        <v>47</v>
      </c>
      <c r="U332" s="2">
        <v>60</v>
      </c>
      <c r="V332" s="2">
        <v>2420</v>
      </c>
      <c r="W332" s="2">
        <v>21199.200000000001</v>
      </c>
      <c r="X332" s="2">
        <v>8.76</v>
      </c>
      <c r="Y332" s="2">
        <v>0.15</v>
      </c>
      <c r="Z332" s="2">
        <v>202</v>
      </c>
      <c r="AA332" s="2">
        <v>1534.1</v>
      </c>
      <c r="AB332">
        <v>1</v>
      </c>
      <c r="AC332">
        <v>2009</v>
      </c>
      <c r="AE332" s="2">
        <v>363</v>
      </c>
    </row>
    <row r="333" spans="2:31" ht="14.5">
      <c r="B333" s="2">
        <v>12610</v>
      </c>
      <c r="C333" s="2" t="s">
        <v>659</v>
      </c>
      <c r="D333" s="2" t="s">
        <v>660</v>
      </c>
      <c r="E333" s="2" t="s">
        <v>28</v>
      </c>
      <c r="F333" s="2" t="s">
        <v>29</v>
      </c>
      <c r="G333" s="2" t="s">
        <v>30</v>
      </c>
      <c r="H333" s="2" t="s">
        <v>218</v>
      </c>
      <c r="I333" s="2" t="s">
        <v>219</v>
      </c>
      <c r="J333" s="2" t="s">
        <v>220</v>
      </c>
      <c r="K333" s="2" t="s">
        <v>267</v>
      </c>
      <c r="L333" s="3"/>
      <c r="M333" s="3">
        <v>40081</v>
      </c>
      <c r="N333" s="3">
        <v>40081</v>
      </c>
      <c r="O333" s="3">
        <v>40081</v>
      </c>
      <c r="P333" s="2" t="s">
        <v>104</v>
      </c>
      <c r="Q333" s="2" t="s">
        <v>105</v>
      </c>
      <c r="R333" s="2" t="s">
        <v>106</v>
      </c>
      <c r="S333" s="2" t="s">
        <v>100</v>
      </c>
      <c r="T333" s="2" t="s">
        <v>39</v>
      </c>
      <c r="U333" s="2">
        <v>30</v>
      </c>
      <c r="V333" s="2">
        <v>536</v>
      </c>
      <c r="W333" s="2">
        <v>9112</v>
      </c>
      <c r="X333" s="2">
        <v>17</v>
      </c>
      <c r="Y333" s="2">
        <v>0.56999999999999995</v>
      </c>
      <c r="Z333" s="2">
        <v>41</v>
      </c>
      <c r="AA333" s="2">
        <v>2233.61</v>
      </c>
      <c r="AB333">
        <v>1</v>
      </c>
      <c r="AC333">
        <v>2009</v>
      </c>
      <c r="AE333" s="2">
        <v>305.52</v>
      </c>
    </row>
    <row r="334" spans="2:31" ht="14.5">
      <c r="B334" s="2">
        <v>12614</v>
      </c>
      <c r="C334" s="2" t="s">
        <v>661</v>
      </c>
      <c r="D334" s="2" t="s">
        <v>662</v>
      </c>
      <c r="E334" s="2" t="s">
        <v>28</v>
      </c>
      <c r="F334" s="2" t="s">
        <v>29</v>
      </c>
      <c r="G334" s="2" t="s">
        <v>30</v>
      </c>
      <c r="H334" s="2" t="s">
        <v>218</v>
      </c>
      <c r="I334" s="2" t="s">
        <v>219</v>
      </c>
      <c r="J334" s="2" t="s">
        <v>220</v>
      </c>
      <c r="K334" s="2" t="s">
        <v>267</v>
      </c>
      <c r="L334" s="3"/>
      <c r="M334" s="3">
        <v>40112</v>
      </c>
      <c r="N334" s="3">
        <v>40112</v>
      </c>
      <c r="O334" s="3">
        <v>40112</v>
      </c>
      <c r="P334" s="2" t="s">
        <v>98</v>
      </c>
      <c r="Q334" s="2" t="s">
        <v>99</v>
      </c>
      <c r="R334" s="2" t="s">
        <v>37</v>
      </c>
      <c r="S334" s="2" t="s">
        <v>100</v>
      </c>
      <c r="T334" s="2" t="s">
        <v>39</v>
      </c>
      <c r="U334" s="2">
        <v>60</v>
      </c>
      <c r="V334" s="2">
        <v>15900</v>
      </c>
      <c r="W334" s="2">
        <v>404655</v>
      </c>
      <c r="X334" s="2">
        <v>25.45</v>
      </c>
      <c r="Y334" s="2">
        <v>0.42</v>
      </c>
      <c r="Z334" s="2">
        <v>1630</v>
      </c>
      <c r="AA334" s="2">
        <v>2217.5</v>
      </c>
      <c r="AB334">
        <v>1</v>
      </c>
      <c r="AC334">
        <v>2009</v>
      </c>
      <c r="AE334" s="2">
        <v>6678</v>
      </c>
    </row>
    <row r="335" spans="2:31" ht="14.5">
      <c r="B335" s="2">
        <v>12616</v>
      </c>
      <c r="C335" s="2" t="s">
        <v>556</v>
      </c>
      <c r="D335" s="2" t="s">
        <v>557</v>
      </c>
      <c r="E335" s="2" t="s">
        <v>60</v>
      </c>
      <c r="F335" s="2" t="s">
        <v>29</v>
      </c>
      <c r="G335" s="2" t="s">
        <v>30</v>
      </c>
      <c r="H335" s="2" t="s">
        <v>218</v>
      </c>
      <c r="I335" s="2" t="s">
        <v>219</v>
      </c>
      <c r="J335" s="2" t="s">
        <v>220</v>
      </c>
      <c r="K335" s="2" t="s">
        <v>34</v>
      </c>
      <c r="L335" s="3"/>
      <c r="M335" s="3">
        <v>40092</v>
      </c>
      <c r="N335" s="3">
        <v>40092</v>
      </c>
      <c r="O335" s="3">
        <v>40092</v>
      </c>
      <c r="P335" s="2" t="s">
        <v>164</v>
      </c>
      <c r="Q335" s="2" t="s">
        <v>165</v>
      </c>
      <c r="R335" s="2" t="s">
        <v>37</v>
      </c>
      <c r="S335" s="2" t="s">
        <v>166</v>
      </c>
      <c r="T335" s="2" t="s">
        <v>39</v>
      </c>
      <c r="U335" s="2">
        <v>60</v>
      </c>
      <c r="V335" s="2">
        <v>4275</v>
      </c>
      <c r="W335" s="2">
        <v>10431</v>
      </c>
      <c r="X335" s="2">
        <v>2.44</v>
      </c>
      <c r="Y335" s="2">
        <v>0.04</v>
      </c>
      <c r="AB335">
        <v>1</v>
      </c>
      <c r="AC335">
        <v>2009</v>
      </c>
      <c r="AE335" s="2">
        <v>171</v>
      </c>
    </row>
    <row r="336" spans="2:31" ht="14.5">
      <c r="B336" s="2">
        <v>12637</v>
      </c>
      <c r="C336" s="2" t="s">
        <v>663</v>
      </c>
      <c r="D336" s="2" t="s">
        <v>664</v>
      </c>
      <c r="E336" s="2" t="s">
        <v>42</v>
      </c>
      <c r="F336" s="2" t="s">
        <v>29</v>
      </c>
      <c r="G336" s="2" t="s">
        <v>30</v>
      </c>
      <c r="H336" s="2" t="s">
        <v>218</v>
      </c>
      <c r="I336" s="2" t="s">
        <v>219</v>
      </c>
      <c r="J336" s="2" t="s">
        <v>220</v>
      </c>
      <c r="K336" s="2" t="s">
        <v>34</v>
      </c>
      <c r="L336" s="3"/>
      <c r="M336" s="3">
        <v>39191</v>
      </c>
      <c r="N336" s="3">
        <v>39191</v>
      </c>
      <c r="O336" s="3">
        <v>39191</v>
      </c>
      <c r="P336" s="2" t="s">
        <v>44</v>
      </c>
      <c r="Q336" s="2" t="s">
        <v>45</v>
      </c>
      <c r="R336" s="2" t="s">
        <v>37</v>
      </c>
      <c r="S336" s="2" t="s">
        <v>46</v>
      </c>
      <c r="T336" s="2" t="s">
        <v>47</v>
      </c>
      <c r="U336" s="2">
        <v>60</v>
      </c>
      <c r="V336" s="2">
        <v>38463</v>
      </c>
      <c r="W336" s="2">
        <v>383860.74</v>
      </c>
      <c r="X336" s="2">
        <v>9.98</v>
      </c>
      <c r="Y336" s="2">
        <v>0.17</v>
      </c>
      <c r="Z336" s="2">
        <v>3450</v>
      </c>
      <c r="AA336" s="2">
        <v>20896.5</v>
      </c>
      <c r="AB336">
        <v>1</v>
      </c>
      <c r="AC336">
        <v>2007</v>
      </c>
      <c r="AE336" s="2">
        <v>6538.71</v>
      </c>
    </row>
    <row r="337" spans="2:31" ht="14.5">
      <c r="B337" s="2">
        <v>12664</v>
      </c>
      <c r="C337" s="2" t="s">
        <v>380</v>
      </c>
      <c r="D337" s="2" t="s">
        <v>381</v>
      </c>
      <c r="E337" s="2" t="s">
        <v>28</v>
      </c>
      <c r="F337" s="2" t="s">
        <v>29</v>
      </c>
      <c r="G337" s="2" t="s">
        <v>30</v>
      </c>
      <c r="H337" s="2" t="s">
        <v>218</v>
      </c>
      <c r="I337" s="2" t="s">
        <v>219</v>
      </c>
      <c r="J337" s="2" t="s">
        <v>220</v>
      </c>
      <c r="K337" s="2" t="s">
        <v>34</v>
      </c>
      <c r="L337" s="3"/>
      <c r="M337" s="3">
        <v>39307</v>
      </c>
      <c r="N337" s="3">
        <v>39307</v>
      </c>
      <c r="O337" s="3">
        <v>39307</v>
      </c>
      <c r="P337" s="2" t="s">
        <v>95</v>
      </c>
      <c r="Q337" s="2" t="s">
        <v>96</v>
      </c>
      <c r="R337" s="2" t="s">
        <v>37</v>
      </c>
      <c r="S337" s="2" t="s">
        <v>97</v>
      </c>
      <c r="T337" s="2" t="s">
        <v>39</v>
      </c>
      <c r="U337" s="2">
        <v>30</v>
      </c>
      <c r="V337" s="2">
        <v>3149</v>
      </c>
      <c r="W337" s="2">
        <v>51202.74</v>
      </c>
      <c r="X337" s="2">
        <v>16.260000000000002</v>
      </c>
      <c r="Y337" s="2">
        <v>0.54</v>
      </c>
      <c r="AB337">
        <v>1</v>
      </c>
      <c r="AC337">
        <v>2007</v>
      </c>
      <c r="AE337" s="2">
        <v>1700.46</v>
      </c>
    </row>
    <row r="338" spans="2:31" ht="14.5">
      <c r="B338" s="2">
        <v>12665</v>
      </c>
      <c r="C338" s="2" t="s">
        <v>665</v>
      </c>
      <c r="D338" s="2" t="s">
        <v>666</v>
      </c>
      <c r="E338" s="2" t="s">
        <v>42</v>
      </c>
      <c r="F338" s="2" t="s">
        <v>29</v>
      </c>
      <c r="G338" s="2" t="s">
        <v>50</v>
      </c>
      <c r="H338" s="2" t="s">
        <v>218</v>
      </c>
      <c r="I338" s="2" t="s">
        <v>219</v>
      </c>
      <c r="J338" s="2" t="s">
        <v>220</v>
      </c>
      <c r="K338" s="2" t="s">
        <v>34</v>
      </c>
      <c r="L338" s="3"/>
      <c r="M338" s="3">
        <v>39289</v>
      </c>
      <c r="N338" s="3">
        <v>39289</v>
      </c>
      <c r="O338" s="3">
        <v>39289</v>
      </c>
      <c r="P338" s="2" t="s">
        <v>83</v>
      </c>
      <c r="Q338" s="2" t="s">
        <v>84</v>
      </c>
      <c r="R338" s="2" t="s">
        <v>85</v>
      </c>
      <c r="S338" s="2" t="s">
        <v>86</v>
      </c>
      <c r="T338" s="2" t="s">
        <v>87</v>
      </c>
      <c r="U338" s="2">
        <v>300</v>
      </c>
      <c r="V338" s="2">
        <v>50</v>
      </c>
      <c r="W338" s="2">
        <v>2055</v>
      </c>
      <c r="X338" s="2">
        <v>41.1</v>
      </c>
      <c r="Y338" s="2">
        <v>0.14000000000000001</v>
      </c>
      <c r="Z338" s="2">
        <v>50</v>
      </c>
      <c r="AA338" s="2">
        <v>661.06</v>
      </c>
      <c r="AB338">
        <v>1</v>
      </c>
      <c r="AC338">
        <v>2007</v>
      </c>
      <c r="AE338" s="2">
        <v>7.0000000000000009</v>
      </c>
    </row>
    <row r="339" spans="2:31" ht="14.5">
      <c r="B339" s="2">
        <v>12682</v>
      </c>
      <c r="C339" s="2" t="s">
        <v>298</v>
      </c>
      <c r="D339" s="2" t="s">
        <v>299</v>
      </c>
      <c r="E339" s="2" t="s">
        <v>28</v>
      </c>
      <c r="F339" s="2" t="s">
        <v>29</v>
      </c>
      <c r="G339" s="2" t="s">
        <v>30</v>
      </c>
      <c r="H339" s="2" t="s">
        <v>218</v>
      </c>
      <c r="I339" s="2" t="s">
        <v>219</v>
      </c>
      <c r="J339" s="2" t="s">
        <v>220</v>
      </c>
      <c r="K339" s="2" t="s">
        <v>223</v>
      </c>
      <c r="L339" s="3"/>
      <c r="M339" s="3">
        <v>39335</v>
      </c>
      <c r="N339" s="3">
        <v>39335</v>
      </c>
      <c r="O339" s="3">
        <v>39335</v>
      </c>
      <c r="P339" s="2" t="s">
        <v>95</v>
      </c>
      <c r="Q339" s="2" t="s">
        <v>96</v>
      </c>
      <c r="R339" s="2" t="s">
        <v>37</v>
      </c>
      <c r="S339" s="2" t="s">
        <v>97</v>
      </c>
      <c r="T339" s="2" t="s">
        <v>39</v>
      </c>
      <c r="U339" s="2">
        <v>30</v>
      </c>
      <c r="V339" s="2">
        <v>8000</v>
      </c>
      <c r="W339" s="2">
        <v>130080</v>
      </c>
      <c r="X339" s="2">
        <v>16.260000000000002</v>
      </c>
      <c r="Y339" s="2">
        <v>0.54</v>
      </c>
      <c r="AB339">
        <v>1</v>
      </c>
      <c r="AC339">
        <v>2007</v>
      </c>
      <c r="AE339" s="2">
        <v>4320</v>
      </c>
    </row>
    <row r="340" spans="2:31" ht="14.5">
      <c r="B340" s="2">
        <v>12683</v>
      </c>
      <c r="C340" s="2" t="s">
        <v>298</v>
      </c>
      <c r="D340" s="2" t="s">
        <v>299</v>
      </c>
      <c r="E340" s="2" t="s">
        <v>28</v>
      </c>
      <c r="F340" s="2" t="s">
        <v>29</v>
      </c>
      <c r="G340" s="2" t="s">
        <v>30</v>
      </c>
      <c r="H340" s="2" t="s">
        <v>218</v>
      </c>
      <c r="I340" s="2" t="s">
        <v>219</v>
      </c>
      <c r="J340" s="2" t="s">
        <v>220</v>
      </c>
      <c r="K340" s="2" t="s">
        <v>223</v>
      </c>
      <c r="L340" s="3"/>
      <c r="M340" s="3">
        <v>39335</v>
      </c>
      <c r="N340" s="3">
        <v>39335</v>
      </c>
      <c r="O340" s="3">
        <v>39335</v>
      </c>
      <c r="P340" s="2" t="s">
        <v>150</v>
      </c>
      <c r="Q340" s="2" t="s">
        <v>84</v>
      </c>
      <c r="R340" s="2" t="s">
        <v>151</v>
      </c>
      <c r="S340" s="2" t="s">
        <v>152</v>
      </c>
      <c r="T340" s="2" t="s">
        <v>39</v>
      </c>
      <c r="U340" s="2">
        <v>120</v>
      </c>
      <c r="V340" s="2">
        <v>4155</v>
      </c>
      <c r="W340" s="2">
        <v>170770.5</v>
      </c>
      <c r="X340" s="2">
        <v>41.1</v>
      </c>
      <c r="Y340" s="2">
        <v>0.34</v>
      </c>
      <c r="AB340">
        <v>1</v>
      </c>
      <c r="AC340">
        <v>2007</v>
      </c>
      <c r="AE340" s="2">
        <v>1412.7</v>
      </c>
    </row>
    <row r="341" spans="2:31" ht="14.5">
      <c r="B341" s="2">
        <v>12684</v>
      </c>
      <c r="C341" s="2" t="s">
        <v>298</v>
      </c>
      <c r="D341" s="2" t="s">
        <v>299</v>
      </c>
      <c r="E341" s="2" t="s">
        <v>28</v>
      </c>
      <c r="F341" s="2" t="s">
        <v>29</v>
      </c>
      <c r="G341" s="2" t="s">
        <v>50</v>
      </c>
      <c r="H341" s="2" t="s">
        <v>218</v>
      </c>
      <c r="I341" s="2" t="s">
        <v>219</v>
      </c>
      <c r="J341" s="2" t="s">
        <v>220</v>
      </c>
      <c r="K341" s="2" t="s">
        <v>223</v>
      </c>
      <c r="L341" s="3"/>
      <c r="M341" s="3">
        <v>39335</v>
      </c>
      <c r="N341" s="3">
        <v>39335</v>
      </c>
      <c r="O341" s="3">
        <v>39335</v>
      </c>
      <c r="P341" s="2" t="s">
        <v>83</v>
      </c>
      <c r="Q341" s="2" t="s">
        <v>84</v>
      </c>
      <c r="R341" s="2" t="s">
        <v>85</v>
      </c>
      <c r="S341" s="2" t="s">
        <v>86</v>
      </c>
      <c r="T341" s="2" t="s">
        <v>87</v>
      </c>
      <c r="U341" s="2">
        <v>300</v>
      </c>
      <c r="V341" s="2">
        <v>147</v>
      </c>
      <c r="W341" s="2">
        <v>6041.7</v>
      </c>
      <c r="X341" s="2">
        <v>41.1</v>
      </c>
      <c r="Y341" s="2">
        <v>0.14000000000000001</v>
      </c>
      <c r="AB341">
        <v>1</v>
      </c>
      <c r="AC341">
        <v>2007</v>
      </c>
      <c r="AE341" s="2">
        <v>20.580000000000002</v>
      </c>
    </row>
    <row r="342" spans="2:31" ht="14.5">
      <c r="B342" s="2">
        <v>12694</v>
      </c>
      <c r="C342" s="2" t="s">
        <v>667</v>
      </c>
      <c r="D342" s="2" t="s">
        <v>668</v>
      </c>
      <c r="E342" s="2" t="s">
        <v>118</v>
      </c>
      <c r="F342" s="2" t="s">
        <v>29</v>
      </c>
      <c r="G342" s="2" t="s">
        <v>30</v>
      </c>
      <c r="H342" s="2" t="s">
        <v>218</v>
      </c>
      <c r="I342" s="2" t="s">
        <v>219</v>
      </c>
      <c r="J342" s="2" t="s">
        <v>220</v>
      </c>
      <c r="K342" s="2" t="s">
        <v>223</v>
      </c>
      <c r="L342" s="3"/>
      <c r="M342" s="3">
        <v>39371</v>
      </c>
      <c r="N342" s="3">
        <v>39371</v>
      </c>
      <c r="O342" s="3">
        <v>39371</v>
      </c>
      <c r="P342" s="2" t="s">
        <v>44</v>
      </c>
      <c r="Q342" s="2" t="s">
        <v>45</v>
      </c>
      <c r="R342" s="2" t="s">
        <v>37</v>
      </c>
      <c r="S342" s="2" t="s">
        <v>46</v>
      </c>
      <c r="T342" s="2" t="s">
        <v>47</v>
      </c>
      <c r="U342" s="2">
        <v>60</v>
      </c>
      <c r="V342" s="2">
        <v>1350</v>
      </c>
      <c r="W342" s="2">
        <v>12825</v>
      </c>
      <c r="X342" s="2">
        <v>9.5</v>
      </c>
      <c r="Y342" s="2">
        <v>0.16</v>
      </c>
      <c r="Z342" s="2">
        <v>80</v>
      </c>
      <c r="AA342" s="2">
        <v>739</v>
      </c>
      <c r="AB342">
        <v>1</v>
      </c>
      <c r="AC342">
        <v>2007</v>
      </c>
      <c r="AE342" s="2">
        <v>216</v>
      </c>
    </row>
    <row r="343" spans="2:31" ht="14.5">
      <c r="B343" s="2">
        <v>12711</v>
      </c>
      <c r="C343" s="2" t="s">
        <v>221</v>
      </c>
      <c r="D343" s="2" t="s">
        <v>222</v>
      </c>
      <c r="E343" s="2" t="s">
        <v>60</v>
      </c>
      <c r="F343" s="2" t="s">
        <v>29</v>
      </c>
      <c r="G343" s="2" t="s">
        <v>50</v>
      </c>
      <c r="H343" s="2" t="s">
        <v>218</v>
      </c>
      <c r="I343" s="2" t="s">
        <v>219</v>
      </c>
      <c r="J343" s="2" t="s">
        <v>220</v>
      </c>
      <c r="K343" s="2" t="s">
        <v>223</v>
      </c>
      <c r="L343" s="3"/>
      <c r="M343" s="3">
        <v>39329</v>
      </c>
      <c r="N343" s="3">
        <v>39329</v>
      </c>
      <c r="O343" s="3">
        <v>39329</v>
      </c>
      <c r="P343" s="2" t="s">
        <v>525</v>
      </c>
      <c r="Q343" s="2" t="s">
        <v>36</v>
      </c>
      <c r="R343" s="2" t="s">
        <v>37</v>
      </c>
      <c r="S343" s="2" t="s">
        <v>226</v>
      </c>
      <c r="T343" s="2" t="s">
        <v>526</v>
      </c>
      <c r="U343" s="2">
        <v>240</v>
      </c>
      <c r="V343" s="2">
        <v>10336</v>
      </c>
      <c r="W343" s="2">
        <v>64083.199999999997</v>
      </c>
      <c r="X343" s="2">
        <v>6.2</v>
      </c>
      <c r="Y343" s="2">
        <v>0.03</v>
      </c>
      <c r="AB343">
        <v>1</v>
      </c>
      <c r="AC343">
        <v>2007</v>
      </c>
      <c r="AE343" s="2">
        <v>310.08</v>
      </c>
    </row>
    <row r="344" spans="2:31" ht="14.5">
      <c r="B344" s="2">
        <v>12712</v>
      </c>
      <c r="C344" s="2" t="s">
        <v>221</v>
      </c>
      <c r="D344" s="2" t="s">
        <v>222</v>
      </c>
      <c r="E344" s="2" t="s">
        <v>60</v>
      </c>
      <c r="F344" s="2" t="s">
        <v>29</v>
      </c>
      <c r="G344" s="2" t="s">
        <v>50</v>
      </c>
      <c r="H344" s="2" t="s">
        <v>218</v>
      </c>
      <c r="I344" s="2" t="s">
        <v>219</v>
      </c>
      <c r="J344" s="2" t="s">
        <v>220</v>
      </c>
      <c r="K344" s="2" t="s">
        <v>223</v>
      </c>
      <c r="L344" s="3"/>
      <c r="M344" s="3">
        <v>39329</v>
      </c>
      <c r="N344" s="3">
        <v>39329</v>
      </c>
      <c r="O344" s="3">
        <v>39329</v>
      </c>
      <c r="P344" s="2" t="s">
        <v>525</v>
      </c>
      <c r="Q344" s="2" t="s">
        <v>36</v>
      </c>
      <c r="R344" s="2" t="s">
        <v>37</v>
      </c>
      <c r="S344" s="2" t="s">
        <v>226</v>
      </c>
      <c r="T344" s="2" t="s">
        <v>526</v>
      </c>
      <c r="U344" s="2">
        <v>240</v>
      </c>
      <c r="V344" s="2">
        <v>12512</v>
      </c>
      <c r="W344" s="2">
        <v>77574.399999999994</v>
      </c>
      <c r="X344" s="2">
        <v>6.2</v>
      </c>
      <c r="Y344" s="2">
        <v>0.03</v>
      </c>
      <c r="AB344">
        <v>1</v>
      </c>
      <c r="AC344">
        <v>2007</v>
      </c>
      <c r="AE344" s="2">
        <v>375.36</v>
      </c>
    </row>
    <row r="345" spans="2:31" ht="14.5">
      <c r="B345" s="2">
        <v>12759</v>
      </c>
      <c r="C345" s="2" t="s">
        <v>449</v>
      </c>
      <c r="D345" s="2" t="s">
        <v>669</v>
      </c>
      <c r="E345" s="2" t="s">
        <v>60</v>
      </c>
      <c r="F345" s="2" t="s">
        <v>29</v>
      </c>
      <c r="G345" s="2" t="s">
        <v>30</v>
      </c>
      <c r="H345" s="2" t="s">
        <v>218</v>
      </c>
      <c r="I345" s="2" t="s">
        <v>219</v>
      </c>
      <c r="J345" s="2" t="s">
        <v>220</v>
      </c>
      <c r="K345" s="2" t="s">
        <v>34</v>
      </c>
      <c r="L345" s="3"/>
      <c r="M345" s="3">
        <v>39436</v>
      </c>
      <c r="N345" s="3">
        <v>39436</v>
      </c>
      <c r="O345" s="3">
        <v>39436</v>
      </c>
      <c r="P345" s="2" t="s">
        <v>44</v>
      </c>
      <c r="Q345" s="2" t="s">
        <v>45</v>
      </c>
      <c r="R345" s="2" t="s">
        <v>37</v>
      </c>
      <c r="S345" s="2" t="s">
        <v>46</v>
      </c>
      <c r="T345" s="2" t="s">
        <v>47</v>
      </c>
      <c r="U345" s="2">
        <v>60</v>
      </c>
      <c r="V345" s="2">
        <v>9691</v>
      </c>
      <c r="W345" s="2">
        <v>92064.5</v>
      </c>
      <c r="X345" s="2">
        <v>9.5</v>
      </c>
      <c r="Y345" s="2">
        <v>0.16</v>
      </c>
      <c r="Z345" s="2">
        <v>899</v>
      </c>
      <c r="AA345" s="2">
        <v>6483</v>
      </c>
      <c r="AB345">
        <v>1</v>
      </c>
      <c r="AC345">
        <v>2007</v>
      </c>
      <c r="AE345" s="2">
        <v>1550.56</v>
      </c>
    </row>
    <row r="346" spans="2:31" ht="14.5">
      <c r="B346" s="2">
        <v>12761</v>
      </c>
      <c r="C346" s="2" t="s">
        <v>670</v>
      </c>
      <c r="D346" s="2" t="s">
        <v>671</v>
      </c>
      <c r="E346" s="2" t="s">
        <v>118</v>
      </c>
      <c r="F346" s="2" t="s">
        <v>29</v>
      </c>
      <c r="G346" s="2" t="s">
        <v>30</v>
      </c>
      <c r="H346" s="2" t="s">
        <v>218</v>
      </c>
      <c r="I346" s="2" t="s">
        <v>219</v>
      </c>
      <c r="J346" s="2" t="s">
        <v>220</v>
      </c>
      <c r="K346" s="2" t="s">
        <v>223</v>
      </c>
      <c r="L346" s="3"/>
      <c r="M346" s="3">
        <v>39518</v>
      </c>
      <c r="N346" s="3">
        <v>39518</v>
      </c>
      <c r="O346" s="3">
        <v>39518</v>
      </c>
      <c r="P346" s="2" t="s">
        <v>139</v>
      </c>
      <c r="Q346" s="2" t="s">
        <v>140</v>
      </c>
      <c r="R346" s="2" t="s">
        <v>37</v>
      </c>
      <c r="S346" s="2" t="s">
        <v>141</v>
      </c>
      <c r="T346" s="2" t="s">
        <v>47</v>
      </c>
      <c r="U346" s="2">
        <v>60</v>
      </c>
      <c r="V346" s="2">
        <v>1860</v>
      </c>
      <c r="W346" s="2">
        <v>13764</v>
      </c>
      <c r="X346" s="2">
        <v>7.4</v>
      </c>
      <c r="Y346" s="2">
        <v>0.12</v>
      </c>
      <c r="Z346" s="2">
        <v>192</v>
      </c>
      <c r="AA346" s="2">
        <v>1617.52</v>
      </c>
      <c r="AB346">
        <v>1</v>
      </c>
      <c r="AC346">
        <v>2008</v>
      </c>
      <c r="AE346" s="2">
        <v>223.2</v>
      </c>
    </row>
    <row r="347" spans="2:31" ht="14.5">
      <c r="B347" s="2">
        <v>12770</v>
      </c>
      <c r="C347" s="2" t="s">
        <v>391</v>
      </c>
      <c r="D347" s="2" t="s">
        <v>672</v>
      </c>
      <c r="E347" s="2" t="s">
        <v>60</v>
      </c>
      <c r="F347" s="2" t="s">
        <v>29</v>
      </c>
      <c r="G347" s="2" t="s">
        <v>30</v>
      </c>
      <c r="H347" s="2" t="s">
        <v>218</v>
      </c>
      <c r="I347" s="2" t="s">
        <v>219</v>
      </c>
      <c r="J347" s="2" t="s">
        <v>220</v>
      </c>
      <c r="K347" s="2" t="s">
        <v>34</v>
      </c>
      <c r="L347" s="3"/>
      <c r="M347" s="3">
        <v>39436</v>
      </c>
      <c r="N347" s="3">
        <v>39456</v>
      </c>
      <c r="O347" s="3">
        <v>39456</v>
      </c>
      <c r="P347" s="2" t="s">
        <v>164</v>
      </c>
      <c r="Q347" s="2" t="s">
        <v>165</v>
      </c>
      <c r="R347" s="2" t="s">
        <v>37</v>
      </c>
      <c r="S347" s="2" t="s">
        <v>166</v>
      </c>
      <c r="T347" s="2" t="s">
        <v>39</v>
      </c>
      <c r="U347" s="2">
        <v>60</v>
      </c>
      <c r="V347" s="2">
        <v>29500</v>
      </c>
      <c r="W347" s="2">
        <v>89680</v>
      </c>
      <c r="X347" s="2">
        <v>3.04</v>
      </c>
      <c r="Y347" s="2">
        <v>0.05</v>
      </c>
      <c r="Z347" s="2">
        <v>1640</v>
      </c>
      <c r="AA347" s="2">
        <v>11273</v>
      </c>
      <c r="AB347">
        <v>0</v>
      </c>
      <c r="AC347">
        <v>2008</v>
      </c>
      <c r="AE347" s="2">
        <v>1475</v>
      </c>
    </row>
    <row r="348" spans="2:31" ht="14.5">
      <c r="B348" s="2">
        <v>12771</v>
      </c>
      <c r="C348" s="2" t="s">
        <v>673</v>
      </c>
      <c r="D348" s="2" t="s">
        <v>674</v>
      </c>
      <c r="E348" s="2" t="s">
        <v>118</v>
      </c>
      <c r="F348" s="2" t="s">
        <v>29</v>
      </c>
      <c r="G348" s="2" t="s">
        <v>30</v>
      </c>
      <c r="H348" s="2" t="s">
        <v>218</v>
      </c>
      <c r="I348" s="2" t="s">
        <v>219</v>
      </c>
      <c r="J348" s="2" t="s">
        <v>220</v>
      </c>
      <c r="K348" s="2" t="s">
        <v>34</v>
      </c>
      <c r="L348" s="3"/>
      <c r="M348" s="3">
        <v>39493</v>
      </c>
      <c r="N348" s="3">
        <v>39493</v>
      </c>
      <c r="O348" s="3">
        <v>39493</v>
      </c>
      <c r="P348" s="2" t="s">
        <v>139</v>
      </c>
      <c r="Q348" s="2" t="s">
        <v>140</v>
      </c>
      <c r="R348" s="2" t="s">
        <v>37</v>
      </c>
      <c r="S348" s="2" t="s">
        <v>141</v>
      </c>
      <c r="T348" s="2" t="s">
        <v>47</v>
      </c>
      <c r="U348" s="2">
        <v>60</v>
      </c>
      <c r="V348" s="2">
        <v>6500</v>
      </c>
      <c r="W348" s="2">
        <v>48100</v>
      </c>
      <c r="X348" s="2">
        <v>7.4</v>
      </c>
      <c r="Y348" s="2">
        <v>0.12</v>
      </c>
      <c r="Z348" s="2">
        <v>667</v>
      </c>
      <c r="AA348" s="2">
        <v>3609.2</v>
      </c>
      <c r="AB348">
        <v>1</v>
      </c>
      <c r="AC348">
        <v>2008</v>
      </c>
      <c r="AE348" s="2">
        <v>780</v>
      </c>
    </row>
    <row r="349" spans="2:31" ht="14.5">
      <c r="B349" s="2">
        <v>12774</v>
      </c>
      <c r="C349" s="2" t="s">
        <v>239</v>
      </c>
      <c r="D349" s="2" t="s">
        <v>240</v>
      </c>
      <c r="E349" s="2" t="s">
        <v>118</v>
      </c>
      <c r="F349" s="2" t="s">
        <v>29</v>
      </c>
      <c r="G349" s="2" t="s">
        <v>30</v>
      </c>
      <c r="H349" s="2" t="s">
        <v>218</v>
      </c>
      <c r="I349" s="2" t="s">
        <v>219</v>
      </c>
      <c r="J349" s="2" t="s">
        <v>220</v>
      </c>
      <c r="K349" s="2" t="s">
        <v>223</v>
      </c>
      <c r="L349" s="3"/>
      <c r="M349" s="3">
        <v>39506</v>
      </c>
      <c r="N349" s="3">
        <v>39506</v>
      </c>
      <c r="O349" s="3">
        <v>39506</v>
      </c>
      <c r="P349" s="2" t="s">
        <v>35</v>
      </c>
      <c r="Q349" s="2" t="s">
        <v>36</v>
      </c>
      <c r="R349" s="2" t="s">
        <v>37</v>
      </c>
      <c r="S349" s="2" t="s">
        <v>38</v>
      </c>
      <c r="T349" s="2" t="s">
        <v>39</v>
      </c>
      <c r="U349" s="2">
        <v>60</v>
      </c>
      <c r="V349" s="2">
        <v>328</v>
      </c>
      <c r="W349" s="2">
        <v>1115.2</v>
      </c>
      <c r="X349" s="2">
        <v>3.4</v>
      </c>
      <c r="Y349" s="2">
        <v>0.06</v>
      </c>
      <c r="AB349">
        <v>1</v>
      </c>
      <c r="AC349">
        <v>2008</v>
      </c>
      <c r="AE349" s="2">
        <v>19.68</v>
      </c>
    </row>
    <row r="350" spans="2:31" ht="14.5">
      <c r="B350" s="2">
        <v>12781</v>
      </c>
      <c r="C350" s="2" t="s">
        <v>628</v>
      </c>
      <c r="D350" s="2" t="s">
        <v>629</v>
      </c>
      <c r="E350" s="2" t="s">
        <v>28</v>
      </c>
      <c r="F350" s="2" t="s">
        <v>29</v>
      </c>
      <c r="G350" s="2" t="s">
        <v>30</v>
      </c>
      <c r="H350" s="2" t="s">
        <v>218</v>
      </c>
      <c r="I350" s="2" t="s">
        <v>219</v>
      </c>
      <c r="J350" s="2" t="s">
        <v>220</v>
      </c>
      <c r="K350" s="2" t="s">
        <v>267</v>
      </c>
      <c r="L350" s="3"/>
      <c r="M350" s="3">
        <v>39629</v>
      </c>
      <c r="N350" s="3">
        <v>39629</v>
      </c>
      <c r="O350" s="3">
        <v>39629</v>
      </c>
      <c r="P350" s="2" t="s">
        <v>164</v>
      </c>
      <c r="Q350" s="2" t="s">
        <v>165</v>
      </c>
      <c r="R350" s="2" t="s">
        <v>37</v>
      </c>
      <c r="S350" s="2" t="s">
        <v>166</v>
      </c>
      <c r="T350" s="2" t="s">
        <v>39</v>
      </c>
      <c r="U350" s="2">
        <v>60</v>
      </c>
      <c r="V350" s="2">
        <v>8805</v>
      </c>
      <c r="W350" s="2">
        <v>25622.55</v>
      </c>
      <c r="X350" s="2">
        <v>2.91</v>
      </c>
      <c r="Y350" s="2">
        <v>0.05</v>
      </c>
      <c r="AB350">
        <v>1</v>
      </c>
      <c r="AC350">
        <v>2008</v>
      </c>
      <c r="AE350" s="2">
        <v>440.25</v>
      </c>
    </row>
    <row r="351" spans="2:31" ht="14.5">
      <c r="B351" s="2">
        <v>12782</v>
      </c>
      <c r="C351" s="2" t="s">
        <v>628</v>
      </c>
      <c r="D351" s="2" t="s">
        <v>629</v>
      </c>
      <c r="E351" s="2" t="s">
        <v>28</v>
      </c>
      <c r="F351" s="2" t="s">
        <v>29</v>
      </c>
      <c r="G351" s="2" t="s">
        <v>30</v>
      </c>
      <c r="H351" s="2" t="s">
        <v>218</v>
      </c>
      <c r="I351" s="2" t="s">
        <v>219</v>
      </c>
      <c r="J351" s="2" t="s">
        <v>220</v>
      </c>
      <c r="K351" s="2" t="s">
        <v>267</v>
      </c>
      <c r="L351" s="3"/>
      <c r="M351" s="3">
        <v>39629</v>
      </c>
      <c r="N351" s="3">
        <v>39629</v>
      </c>
      <c r="O351" s="3">
        <v>39629</v>
      </c>
      <c r="P351" s="2" t="s">
        <v>35</v>
      </c>
      <c r="Q351" s="2" t="s">
        <v>36</v>
      </c>
      <c r="R351" s="2" t="s">
        <v>37</v>
      </c>
      <c r="S351" s="2" t="s">
        <v>38</v>
      </c>
      <c r="T351" s="2" t="s">
        <v>39</v>
      </c>
      <c r="U351" s="2">
        <v>60</v>
      </c>
      <c r="V351" s="2">
        <v>87768</v>
      </c>
      <c r="W351" s="2">
        <v>298411.2</v>
      </c>
      <c r="X351" s="2">
        <v>3.4</v>
      </c>
      <c r="Y351" s="2">
        <v>0.06</v>
      </c>
      <c r="AB351">
        <v>1</v>
      </c>
      <c r="AC351">
        <v>2008</v>
      </c>
      <c r="AE351" s="2">
        <v>5266.08</v>
      </c>
    </row>
    <row r="352" spans="2:31" ht="14.5">
      <c r="B352" s="2">
        <v>12786</v>
      </c>
      <c r="C352" s="2" t="s">
        <v>675</v>
      </c>
      <c r="D352" s="2" t="s">
        <v>676</v>
      </c>
      <c r="E352" s="2" t="s">
        <v>28</v>
      </c>
      <c r="F352" s="2" t="s">
        <v>29</v>
      </c>
      <c r="G352" s="2" t="s">
        <v>30</v>
      </c>
      <c r="H352" s="2" t="s">
        <v>218</v>
      </c>
      <c r="I352" s="2" t="s">
        <v>219</v>
      </c>
      <c r="J352" s="2" t="s">
        <v>220</v>
      </c>
      <c r="K352" s="2" t="s">
        <v>34</v>
      </c>
      <c r="L352" s="3"/>
      <c r="M352" s="3">
        <v>39681</v>
      </c>
      <c r="N352" s="3">
        <v>39681</v>
      </c>
      <c r="O352" s="3">
        <v>39681</v>
      </c>
      <c r="P352" s="2" t="s">
        <v>139</v>
      </c>
      <c r="Q352" s="2" t="s">
        <v>140</v>
      </c>
      <c r="R352" s="2" t="s">
        <v>37</v>
      </c>
      <c r="S352" s="2" t="s">
        <v>141</v>
      </c>
      <c r="T352" s="2" t="s">
        <v>47</v>
      </c>
      <c r="U352" s="2">
        <v>60</v>
      </c>
      <c r="V352" s="2">
        <v>40000</v>
      </c>
      <c r="W352" s="2">
        <v>296000</v>
      </c>
      <c r="X352" s="2">
        <v>7.4</v>
      </c>
      <c r="Y352" s="2">
        <v>0.12</v>
      </c>
      <c r="Z352" s="2">
        <v>4289</v>
      </c>
      <c r="AA352" s="2">
        <v>24594.29</v>
      </c>
      <c r="AB352">
        <v>1</v>
      </c>
      <c r="AC352">
        <v>2008</v>
      </c>
      <c r="AE352" s="2">
        <v>4800</v>
      </c>
    </row>
    <row r="353" spans="2:31" ht="14.5">
      <c r="B353" s="2">
        <v>12789</v>
      </c>
      <c r="C353" s="2" t="s">
        <v>677</v>
      </c>
      <c r="D353" s="2" t="s">
        <v>678</v>
      </c>
      <c r="E353" s="2" t="s">
        <v>60</v>
      </c>
      <c r="F353" s="2" t="s">
        <v>29</v>
      </c>
      <c r="G353" s="2" t="s">
        <v>30</v>
      </c>
      <c r="H353" s="2" t="s">
        <v>218</v>
      </c>
      <c r="I353" s="2" t="s">
        <v>219</v>
      </c>
      <c r="J353" s="2" t="s">
        <v>220</v>
      </c>
      <c r="K353" s="2" t="s">
        <v>223</v>
      </c>
      <c r="L353" s="3"/>
      <c r="M353" s="3">
        <v>39534</v>
      </c>
      <c r="N353" s="3">
        <v>39534</v>
      </c>
      <c r="O353" s="3">
        <v>39534</v>
      </c>
      <c r="P353" s="2" t="s">
        <v>61</v>
      </c>
      <c r="Q353" s="2" t="s">
        <v>62</v>
      </c>
      <c r="R353" s="2" t="s">
        <v>37</v>
      </c>
      <c r="S353" s="2" t="s">
        <v>63</v>
      </c>
      <c r="T353" s="2" t="s">
        <v>64</v>
      </c>
      <c r="U353" s="2">
        <v>60</v>
      </c>
      <c r="V353" s="2">
        <v>78460</v>
      </c>
      <c r="W353" s="2">
        <v>119259.2</v>
      </c>
      <c r="X353" s="2">
        <v>1.52</v>
      </c>
      <c r="Y353" s="2">
        <v>0.03</v>
      </c>
      <c r="Z353" s="2">
        <v>5184</v>
      </c>
      <c r="AA353" s="2">
        <v>17910</v>
      </c>
      <c r="AB353">
        <v>1</v>
      </c>
      <c r="AC353">
        <v>2008</v>
      </c>
      <c r="AE353" s="2">
        <v>2353.7999999999997</v>
      </c>
    </row>
    <row r="354" spans="2:31" ht="14.5">
      <c r="B354" s="2">
        <v>12808</v>
      </c>
      <c r="C354" s="2" t="s">
        <v>679</v>
      </c>
      <c r="D354" s="2" t="s">
        <v>680</v>
      </c>
      <c r="E354" s="2" t="s">
        <v>118</v>
      </c>
      <c r="F354" s="2" t="s">
        <v>29</v>
      </c>
      <c r="G354" s="2" t="s">
        <v>50</v>
      </c>
      <c r="H354" s="2" t="s">
        <v>218</v>
      </c>
      <c r="I354" s="2" t="s">
        <v>219</v>
      </c>
      <c r="J354" s="2" t="s">
        <v>220</v>
      </c>
      <c r="K354" s="2" t="s">
        <v>34</v>
      </c>
      <c r="L354" s="3"/>
      <c r="M354" s="3">
        <v>39555</v>
      </c>
      <c r="N354" s="3">
        <v>39555</v>
      </c>
      <c r="O354" s="3">
        <v>39555</v>
      </c>
      <c r="P354" s="2" t="s">
        <v>525</v>
      </c>
      <c r="Q354" s="2" t="s">
        <v>36</v>
      </c>
      <c r="R354" s="2" t="s">
        <v>37</v>
      </c>
      <c r="S354" s="2" t="s">
        <v>226</v>
      </c>
      <c r="T354" s="2" t="s">
        <v>526</v>
      </c>
      <c r="U354" s="2">
        <v>240</v>
      </c>
      <c r="V354" s="2">
        <v>127</v>
      </c>
      <c r="W354" s="2">
        <v>243.84</v>
      </c>
      <c r="X354" s="2">
        <v>1.92</v>
      </c>
      <c r="Y354" s="2">
        <v>0.01</v>
      </c>
      <c r="Z354" s="2">
        <v>46</v>
      </c>
      <c r="AA354" s="2">
        <v>740.34</v>
      </c>
      <c r="AB354">
        <v>1</v>
      </c>
      <c r="AC354">
        <v>2008</v>
      </c>
      <c r="AE354" s="2">
        <v>1.27</v>
      </c>
    </row>
    <row r="355" spans="2:31" ht="14.5">
      <c r="B355" s="2">
        <v>12809</v>
      </c>
      <c r="C355" s="2" t="s">
        <v>531</v>
      </c>
      <c r="D355" s="2" t="s">
        <v>681</v>
      </c>
      <c r="E355" s="2" t="s">
        <v>60</v>
      </c>
      <c r="F355" s="2" t="s">
        <v>29</v>
      </c>
      <c r="G355" s="2" t="s">
        <v>30</v>
      </c>
      <c r="H355" s="2" t="s">
        <v>218</v>
      </c>
      <c r="I355" s="2" t="s">
        <v>219</v>
      </c>
      <c r="J355" s="2" t="s">
        <v>220</v>
      </c>
      <c r="K355" s="2" t="s">
        <v>34</v>
      </c>
      <c r="L355" s="3"/>
      <c r="M355" s="3">
        <v>39479</v>
      </c>
      <c r="N355" s="3">
        <v>39513</v>
      </c>
      <c r="O355" s="3">
        <v>39513</v>
      </c>
      <c r="P355" s="2" t="s">
        <v>164</v>
      </c>
      <c r="Q355" s="2" t="s">
        <v>165</v>
      </c>
      <c r="R355" s="2" t="s">
        <v>37</v>
      </c>
      <c r="S355" s="2" t="s">
        <v>166</v>
      </c>
      <c r="T355" s="2" t="s">
        <v>39</v>
      </c>
      <c r="U355" s="2">
        <v>60</v>
      </c>
      <c r="V355" s="2">
        <v>30874</v>
      </c>
      <c r="W355" s="2">
        <v>93856.960000000006</v>
      </c>
      <c r="X355" s="2">
        <v>3.04</v>
      </c>
      <c r="Y355" s="2">
        <v>0.05</v>
      </c>
      <c r="Z355" s="2">
        <v>1822</v>
      </c>
      <c r="AA355" s="2">
        <v>9742</v>
      </c>
      <c r="AB355">
        <v>0</v>
      </c>
      <c r="AC355">
        <v>2008</v>
      </c>
      <c r="AE355" s="2">
        <v>1543.7</v>
      </c>
    </row>
    <row r="356" spans="2:31" ht="14.5">
      <c r="B356" s="2">
        <v>12812</v>
      </c>
      <c r="C356" s="2" t="s">
        <v>682</v>
      </c>
      <c r="D356" s="2" t="s">
        <v>683</v>
      </c>
      <c r="E356" s="2" t="s">
        <v>118</v>
      </c>
      <c r="F356" s="2" t="s">
        <v>29</v>
      </c>
      <c r="G356" s="2" t="s">
        <v>30</v>
      </c>
      <c r="H356" s="2" t="s">
        <v>218</v>
      </c>
      <c r="I356" s="2" t="s">
        <v>219</v>
      </c>
      <c r="J356" s="2" t="s">
        <v>220</v>
      </c>
      <c r="K356" s="2" t="s">
        <v>34</v>
      </c>
      <c r="L356" s="3"/>
      <c r="M356" s="3">
        <v>39681</v>
      </c>
      <c r="N356" s="3">
        <v>39681</v>
      </c>
      <c r="O356" s="3">
        <v>39681</v>
      </c>
      <c r="P356" s="2" t="s">
        <v>112</v>
      </c>
      <c r="Q356" s="2" t="s">
        <v>113</v>
      </c>
      <c r="R356" s="2" t="s">
        <v>37</v>
      </c>
      <c r="S356" s="2" t="s">
        <v>114</v>
      </c>
      <c r="T356" s="2" t="s">
        <v>47</v>
      </c>
      <c r="U356" s="2">
        <v>60</v>
      </c>
      <c r="V356" s="2">
        <v>1400</v>
      </c>
      <c r="W356" s="2">
        <v>18900</v>
      </c>
      <c r="X356" s="2">
        <v>13.5</v>
      </c>
      <c r="Y356" s="2">
        <v>0.22</v>
      </c>
      <c r="Z356" s="2">
        <v>156</v>
      </c>
      <c r="AA356" s="2">
        <v>1282.5999999999999</v>
      </c>
      <c r="AB356">
        <v>1</v>
      </c>
      <c r="AC356">
        <v>2008</v>
      </c>
      <c r="AE356" s="2">
        <v>308</v>
      </c>
    </row>
    <row r="357" spans="2:31" ht="14.5">
      <c r="B357" s="2">
        <v>12819</v>
      </c>
      <c r="C357" s="2" t="s">
        <v>684</v>
      </c>
      <c r="D357" s="2" t="s">
        <v>685</v>
      </c>
      <c r="E357" s="2" t="s">
        <v>28</v>
      </c>
      <c r="F357" s="2" t="s">
        <v>29</v>
      </c>
      <c r="G357" s="2" t="s">
        <v>30</v>
      </c>
      <c r="H357" s="2" t="s">
        <v>218</v>
      </c>
      <c r="I357" s="2" t="s">
        <v>219</v>
      </c>
      <c r="J357" s="2" t="s">
        <v>220</v>
      </c>
      <c r="K357" s="2" t="s">
        <v>267</v>
      </c>
      <c r="L357" s="3"/>
      <c r="M357" s="3">
        <v>39682</v>
      </c>
      <c r="N357" s="3">
        <v>39682</v>
      </c>
      <c r="O357" s="3">
        <v>39682</v>
      </c>
      <c r="P357" s="2" t="s">
        <v>164</v>
      </c>
      <c r="Q357" s="2" t="s">
        <v>165</v>
      </c>
      <c r="R357" s="2" t="s">
        <v>37</v>
      </c>
      <c r="S357" s="2" t="s">
        <v>166</v>
      </c>
      <c r="T357" s="2" t="s">
        <v>39</v>
      </c>
      <c r="U357" s="2">
        <v>60</v>
      </c>
      <c r="V357" s="2">
        <v>32544</v>
      </c>
      <c r="W357" s="2">
        <v>94703.039999999994</v>
      </c>
      <c r="X357" s="2">
        <v>2.91</v>
      </c>
      <c r="Y357" s="2">
        <v>0.05</v>
      </c>
      <c r="Z357" s="2">
        <v>1608</v>
      </c>
      <c r="AA357" s="2">
        <v>1700.32</v>
      </c>
      <c r="AB357">
        <v>1</v>
      </c>
      <c r="AC357">
        <v>2008</v>
      </c>
      <c r="AE357" s="2">
        <v>1627.2</v>
      </c>
    </row>
    <row r="358" spans="2:31" ht="14.5">
      <c r="B358" s="2">
        <v>12830</v>
      </c>
      <c r="C358" s="2" t="s">
        <v>686</v>
      </c>
      <c r="D358" s="2" t="s">
        <v>687</v>
      </c>
      <c r="E358" s="2" t="s">
        <v>426</v>
      </c>
      <c r="F358" s="2" t="s">
        <v>29</v>
      </c>
      <c r="G358" s="2" t="s">
        <v>30</v>
      </c>
      <c r="H358" s="2" t="s">
        <v>218</v>
      </c>
      <c r="I358" s="2" t="s">
        <v>219</v>
      </c>
      <c r="J358" s="2" t="s">
        <v>220</v>
      </c>
      <c r="K358" s="2" t="s">
        <v>34</v>
      </c>
      <c r="L358" s="3"/>
      <c r="M358" s="3">
        <v>39828</v>
      </c>
      <c r="N358" s="3">
        <v>39828</v>
      </c>
      <c r="O358" s="3">
        <v>39828</v>
      </c>
      <c r="P358" s="2" t="s">
        <v>95</v>
      </c>
      <c r="Q358" s="2" t="s">
        <v>96</v>
      </c>
      <c r="R358" s="2" t="s">
        <v>37</v>
      </c>
      <c r="S358" s="2" t="s">
        <v>97</v>
      </c>
      <c r="T358" s="2" t="s">
        <v>39</v>
      </c>
      <c r="U358" s="2">
        <v>30</v>
      </c>
      <c r="V358" s="2">
        <v>3770</v>
      </c>
      <c r="W358" s="2">
        <v>37.700000000000003</v>
      </c>
      <c r="X358" s="2">
        <v>0.01</v>
      </c>
      <c r="Y358" s="2">
        <v>0</v>
      </c>
      <c r="AB358">
        <v>1</v>
      </c>
      <c r="AC358">
        <v>2009</v>
      </c>
      <c r="AE358" s="2">
        <v>0</v>
      </c>
    </row>
    <row r="359" spans="2:31" ht="14.5">
      <c r="B359" s="2">
        <v>12835</v>
      </c>
      <c r="C359" s="2" t="s">
        <v>476</v>
      </c>
      <c r="D359" s="2" t="s">
        <v>477</v>
      </c>
      <c r="E359" s="2" t="s">
        <v>28</v>
      </c>
      <c r="F359" s="2" t="s">
        <v>29</v>
      </c>
      <c r="G359" s="2" t="s">
        <v>30</v>
      </c>
      <c r="H359" s="2" t="s">
        <v>218</v>
      </c>
      <c r="I359" s="2" t="s">
        <v>219</v>
      </c>
      <c r="J359" s="2" t="s">
        <v>220</v>
      </c>
      <c r="K359" s="2" t="s">
        <v>223</v>
      </c>
      <c r="L359" s="3"/>
      <c r="M359" s="3">
        <v>39706</v>
      </c>
      <c r="N359" s="3">
        <v>39706</v>
      </c>
      <c r="O359" s="3">
        <v>39706</v>
      </c>
      <c r="P359" s="2" t="s">
        <v>98</v>
      </c>
      <c r="Q359" s="2" t="s">
        <v>99</v>
      </c>
      <c r="R359" s="2" t="s">
        <v>37</v>
      </c>
      <c r="S359" s="2" t="s">
        <v>100</v>
      </c>
      <c r="T359" s="2" t="s">
        <v>39</v>
      </c>
      <c r="U359" s="2">
        <v>60</v>
      </c>
      <c r="V359" s="2">
        <v>5730</v>
      </c>
      <c r="W359" s="2">
        <v>157746.9</v>
      </c>
      <c r="X359" s="2">
        <v>27.53</v>
      </c>
      <c r="Y359" s="2">
        <v>0.46</v>
      </c>
      <c r="AB359">
        <v>1</v>
      </c>
      <c r="AC359">
        <v>2008</v>
      </c>
      <c r="AE359" s="2">
        <v>2635.8</v>
      </c>
    </row>
    <row r="360" spans="2:31" ht="14.5">
      <c r="B360" s="2">
        <v>12839</v>
      </c>
      <c r="C360" s="2" t="s">
        <v>688</v>
      </c>
      <c r="D360" s="2" t="s">
        <v>689</v>
      </c>
      <c r="E360" s="2" t="s">
        <v>60</v>
      </c>
      <c r="F360" s="2" t="s">
        <v>29</v>
      </c>
      <c r="G360" s="2" t="s">
        <v>30</v>
      </c>
      <c r="H360" s="2" t="s">
        <v>218</v>
      </c>
      <c r="I360" s="2" t="s">
        <v>219</v>
      </c>
      <c r="J360" s="2" t="s">
        <v>220</v>
      </c>
      <c r="K360" s="2" t="s">
        <v>267</v>
      </c>
      <c r="L360" s="3"/>
      <c r="M360" s="3">
        <v>39707</v>
      </c>
      <c r="N360" s="3">
        <v>39707</v>
      </c>
      <c r="O360" s="3">
        <v>39707</v>
      </c>
      <c r="P360" s="2" t="s">
        <v>384</v>
      </c>
      <c r="Q360" s="2" t="s">
        <v>385</v>
      </c>
      <c r="R360" s="2" t="s">
        <v>386</v>
      </c>
      <c r="S360" s="2" t="s">
        <v>330</v>
      </c>
      <c r="T360" s="2" t="s">
        <v>64</v>
      </c>
      <c r="U360" s="2">
        <v>336</v>
      </c>
      <c r="V360" s="2">
        <v>14</v>
      </c>
      <c r="W360" s="2">
        <v>537.04</v>
      </c>
      <c r="X360" s="2">
        <v>38.36</v>
      </c>
      <c r="Y360" s="2">
        <v>0.11</v>
      </c>
      <c r="Z360" s="2">
        <v>25</v>
      </c>
      <c r="AA360" s="2">
        <v>505</v>
      </c>
      <c r="AB360">
        <v>1</v>
      </c>
      <c r="AC360">
        <v>2008</v>
      </c>
      <c r="AE360" s="2">
        <v>1.54</v>
      </c>
    </row>
    <row r="361" spans="2:31" ht="14.5">
      <c r="B361" s="2">
        <v>12840</v>
      </c>
      <c r="C361" s="2" t="s">
        <v>688</v>
      </c>
      <c r="D361" s="2" t="s">
        <v>689</v>
      </c>
      <c r="E361" s="2" t="s">
        <v>60</v>
      </c>
      <c r="F361" s="2" t="s">
        <v>29</v>
      </c>
      <c r="G361" s="2" t="s">
        <v>30</v>
      </c>
      <c r="H361" s="2" t="s">
        <v>218</v>
      </c>
      <c r="I361" s="2" t="s">
        <v>219</v>
      </c>
      <c r="J361" s="2" t="s">
        <v>220</v>
      </c>
      <c r="K361" s="2" t="s">
        <v>267</v>
      </c>
      <c r="L361" s="3"/>
      <c r="M361" s="3">
        <v>39707</v>
      </c>
      <c r="N361" s="3">
        <v>39707</v>
      </c>
      <c r="O361" s="3">
        <v>39707</v>
      </c>
      <c r="P361" s="2" t="s">
        <v>568</v>
      </c>
      <c r="Q361" s="2" t="s">
        <v>569</v>
      </c>
      <c r="R361" s="2" t="s">
        <v>570</v>
      </c>
      <c r="S361" s="2" t="s">
        <v>70</v>
      </c>
      <c r="T361" s="2" t="s">
        <v>64</v>
      </c>
      <c r="U361" s="2">
        <v>180</v>
      </c>
      <c r="V361" s="2">
        <v>50</v>
      </c>
      <c r="W361" s="2">
        <v>2500</v>
      </c>
      <c r="X361" s="2">
        <v>50</v>
      </c>
      <c r="Y361" s="2">
        <v>0.28000000000000003</v>
      </c>
      <c r="AB361">
        <v>1</v>
      </c>
      <c r="AC361">
        <v>2008</v>
      </c>
      <c r="AE361" s="2">
        <v>14.000000000000002</v>
      </c>
    </row>
    <row r="362" spans="2:31" ht="14.5">
      <c r="B362" s="2">
        <v>12841</v>
      </c>
      <c r="C362" s="2" t="s">
        <v>690</v>
      </c>
      <c r="D362" s="2" t="s">
        <v>691</v>
      </c>
      <c r="E362" s="2" t="s">
        <v>60</v>
      </c>
      <c r="F362" s="2" t="s">
        <v>29</v>
      </c>
      <c r="G362" s="2" t="s">
        <v>50</v>
      </c>
      <c r="H362" s="2" t="s">
        <v>218</v>
      </c>
      <c r="I362" s="2" t="s">
        <v>219</v>
      </c>
      <c r="J362" s="2" t="s">
        <v>220</v>
      </c>
      <c r="K362" s="2" t="s">
        <v>34</v>
      </c>
      <c r="L362" s="3"/>
      <c r="M362" s="3">
        <v>39801</v>
      </c>
      <c r="N362" s="3">
        <v>39801</v>
      </c>
      <c r="O362" s="3">
        <v>39801</v>
      </c>
      <c r="P362" s="2" t="s">
        <v>302</v>
      </c>
      <c r="Q362" s="2" t="s">
        <v>165</v>
      </c>
      <c r="R362" s="2" t="s">
        <v>37</v>
      </c>
      <c r="S362" s="2" t="s">
        <v>226</v>
      </c>
      <c r="T362" s="2" t="s">
        <v>87</v>
      </c>
      <c r="U362" s="2">
        <v>240</v>
      </c>
      <c r="V362" s="2">
        <v>2005</v>
      </c>
      <c r="W362" s="2">
        <v>3809.5</v>
      </c>
      <c r="X362" s="2">
        <v>1.9</v>
      </c>
      <c r="Y362" s="2">
        <v>0.01</v>
      </c>
      <c r="Z362" s="2">
        <v>692</v>
      </c>
      <c r="AA362" s="2">
        <v>4983.22</v>
      </c>
      <c r="AB362">
        <v>1</v>
      </c>
      <c r="AC362">
        <v>2008</v>
      </c>
      <c r="AE362" s="2">
        <v>20.05</v>
      </c>
    </row>
    <row r="363" spans="2:31" ht="14.5">
      <c r="B363" s="2">
        <v>12842</v>
      </c>
      <c r="C363" s="2" t="s">
        <v>692</v>
      </c>
      <c r="D363" s="2" t="s">
        <v>693</v>
      </c>
      <c r="E363" s="2" t="s">
        <v>118</v>
      </c>
      <c r="F363" s="2" t="s">
        <v>29</v>
      </c>
      <c r="G363" s="2" t="s">
        <v>30</v>
      </c>
      <c r="H363" s="2" t="s">
        <v>218</v>
      </c>
      <c r="I363" s="2" t="s">
        <v>219</v>
      </c>
      <c r="J363" s="2" t="s">
        <v>220</v>
      </c>
      <c r="K363" s="2" t="s">
        <v>34</v>
      </c>
      <c r="L363" s="3"/>
      <c r="M363" s="3">
        <v>39863</v>
      </c>
      <c r="N363" s="3">
        <v>39863</v>
      </c>
      <c r="O363" s="3">
        <v>39863</v>
      </c>
      <c r="P363" s="2" t="s">
        <v>112</v>
      </c>
      <c r="Q363" s="2" t="s">
        <v>113</v>
      </c>
      <c r="R363" s="2" t="s">
        <v>37</v>
      </c>
      <c r="S363" s="2" t="s">
        <v>114</v>
      </c>
      <c r="T363" s="2" t="s">
        <v>47</v>
      </c>
      <c r="U363" s="2">
        <v>60</v>
      </c>
      <c r="V363" s="2">
        <v>14600</v>
      </c>
      <c r="W363" s="2">
        <v>172280</v>
      </c>
      <c r="X363" s="2">
        <v>11.8</v>
      </c>
      <c r="Y363" s="2">
        <v>0.2</v>
      </c>
      <c r="Z363" s="2">
        <v>1657</v>
      </c>
      <c r="AA363" s="2">
        <v>9995.5499999999993</v>
      </c>
      <c r="AB363">
        <v>1</v>
      </c>
      <c r="AC363">
        <v>2009</v>
      </c>
      <c r="AE363" s="2">
        <v>2920</v>
      </c>
    </row>
    <row r="364" spans="2:31" ht="14.5">
      <c r="B364" s="2">
        <v>12857</v>
      </c>
      <c r="C364" s="2" t="s">
        <v>694</v>
      </c>
      <c r="D364" s="2" t="s">
        <v>695</v>
      </c>
      <c r="E364" s="2" t="s">
        <v>28</v>
      </c>
      <c r="F364" s="2" t="s">
        <v>29</v>
      </c>
      <c r="G364" s="2" t="s">
        <v>30</v>
      </c>
      <c r="H364" s="2" t="s">
        <v>218</v>
      </c>
      <c r="I364" s="2" t="s">
        <v>219</v>
      </c>
      <c r="J364" s="2" t="s">
        <v>220</v>
      </c>
      <c r="K364" s="2" t="s">
        <v>34</v>
      </c>
      <c r="L364" s="3"/>
      <c r="M364" s="3">
        <v>39682</v>
      </c>
      <c r="N364" s="3">
        <v>39682</v>
      </c>
      <c r="O364" s="3">
        <v>39682</v>
      </c>
      <c r="P364" s="2" t="s">
        <v>44</v>
      </c>
      <c r="Q364" s="2" t="s">
        <v>45</v>
      </c>
      <c r="R364" s="2" t="s">
        <v>37</v>
      </c>
      <c r="S364" s="2" t="s">
        <v>46</v>
      </c>
      <c r="T364" s="2" t="s">
        <v>47</v>
      </c>
      <c r="U364" s="2">
        <v>60</v>
      </c>
      <c r="V364" s="2">
        <v>76427</v>
      </c>
      <c r="W364" s="2">
        <v>722235.15</v>
      </c>
      <c r="X364" s="2">
        <v>9.4499999999999993</v>
      </c>
      <c r="Y364" s="2">
        <v>0.16</v>
      </c>
      <c r="Z364" s="2">
        <v>7017</v>
      </c>
      <c r="AA364" s="2">
        <v>5367.09</v>
      </c>
      <c r="AB364">
        <v>1</v>
      </c>
      <c r="AC364">
        <v>2008</v>
      </c>
      <c r="AE364" s="2">
        <v>12228.32</v>
      </c>
    </row>
    <row r="365" spans="2:31" ht="14.5">
      <c r="B365" s="2">
        <v>12858</v>
      </c>
      <c r="C365" s="2" t="s">
        <v>487</v>
      </c>
      <c r="D365" s="2" t="s">
        <v>488</v>
      </c>
      <c r="E365" s="2" t="s">
        <v>60</v>
      </c>
      <c r="F365" s="2" t="s">
        <v>29</v>
      </c>
      <c r="G365" s="2" t="s">
        <v>30</v>
      </c>
      <c r="H365" s="2" t="s">
        <v>218</v>
      </c>
      <c r="I365" s="2" t="s">
        <v>219</v>
      </c>
      <c r="J365" s="2" t="s">
        <v>220</v>
      </c>
      <c r="K365" s="2" t="s">
        <v>34</v>
      </c>
      <c r="L365" s="3"/>
      <c r="M365" s="3">
        <v>39862</v>
      </c>
      <c r="N365" s="3">
        <v>39862</v>
      </c>
      <c r="O365" s="3">
        <v>39862</v>
      </c>
      <c r="P365" s="2" t="s">
        <v>95</v>
      </c>
      <c r="Q365" s="2" t="s">
        <v>96</v>
      </c>
      <c r="R365" s="2" t="s">
        <v>37</v>
      </c>
      <c r="S365" s="2" t="s">
        <v>97</v>
      </c>
      <c r="T365" s="2" t="s">
        <v>39</v>
      </c>
      <c r="U365" s="2">
        <v>30</v>
      </c>
      <c r="V365" s="2">
        <v>27590</v>
      </c>
      <c r="W365" s="2">
        <v>293005.8</v>
      </c>
      <c r="X365" s="2">
        <v>10.62</v>
      </c>
      <c r="Y365" s="2">
        <v>0.35</v>
      </c>
      <c r="AB365">
        <v>1</v>
      </c>
      <c r="AC365">
        <v>2009</v>
      </c>
      <c r="AE365" s="2">
        <v>9656.5</v>
      </c>
    </row>
    <row r="366" spans="2:31" ht="14.5">
      <c r="B366" s="2">
        <v>12859</v>
      </c>
      <c r="C366" s="2" t="s">
        <v>360</v>
      </c>
      <c r="D366" s="2" t="s">
        <v>361</v>
      </c>
      <c r="E366" s="2" t="s">
        <v>60</v>
      </c>
      <c r="F366" s="2" t="s">
        <v>29</v>
      </c>
      <c r="G366" s="2" t="s">
        <v>30</v>
      </c>
      <c r="H366" s="2" t="s">
        <v>218</v>
      </c>
      <c r="I366" s="2" t="s">
        <v>219</v>
      </c>
      <c r="J366" s="2" t="s">
        <v>220</v>
      </c>
      <c r="K366" s="2" t="s">
        <v>34</v>
      </c>
      <c r="L366" s="3"/>
      <c r="M366" s="3">
        <v>39842</v>
      </c>
      <c r="N366" s="3">
        <v>39842</v>
      </c>
      <c r="O366" s="3">
        <v>39842</v>
      </c>
      <c r="P366" s="2" t="s">
        <v>95</v>
      </c>
      <c r="Q366" s="2" t="s">
        <v>96</v>
      </c>
      <c r="R366" s="2" t="s">
        <v>37</v>
      </c>
      <c r="S366" s="2" t="s">
        <v>97</v>
      </c>
      <c r="T366" s="2" t="s">
        <v>39</v>
      </c>
      <c r="U366" s="2">
        <v>30</v>
      </c>
      <c r="V366" s="2">
        <v>11549</v>
      </c>
      <c r="W366" s="2">
        <v>122650.38</v>
      </c>
      <c r="X366" s="2">
        <v>10.62</v>
      </c>
      <c r="Y366" s="2">
        <v>0.35</v>
      </c>
      <c r="AB366">
        <v>1</v>
      </c>
      <c r="AC366">
        <v>2009</v>
      </c>
      <c r="AE366" s="2">
        <v>4042.1499999999996</v>
      </c>
    </row>
    <row r="367" spans="2:31" ht="14.5">
      <c r="B367" s="2">
        <v>12860</v>
      </c>
      <c r="C367" s="2" t="s">
        <v>595</v>
      </c>
      <c r="D367" s="2" t="s">
        <v>596</v>
      </c>
      <c r="E367" s="2" t="s">
        <v>60</v>
      </c>
      <c r="F367" s="2" t="s">
        <v>29</v>
      </c>
      <c r="G367" s="2" t="s">
        <v>30</v>
      </c>
      <c r="H367" s="2" t="s">
        <v>218</v>
      </c>
      <c r="I367" s="2" t="s">
        <v>219</v>
      </c>
      <c r="J367" s="2" t="s">
        <v>220</v>
      </c>
      <c r="K367" s="2" t="s">
        <v>34</v>
      </c>
      <c r="L367" s="3"/>
      <c r="M367" s="3">
        <v>39876</v>
      </c>
      <c r="N367" s="3">
        <v>39876</v>
      </c>
      <c r="O367" s="3">
        <v>39876</v>
      </c>
      <c r="P367" s="2" t="s">
        <v>95</v>
      </c>
      <c r="Q367" s="2" t="s">
        <v>96</v>
      </c>
      <c r="R367" s="2" t="s">
        <v>37</v>
      </c>
      <c r="S367" s="2" t="s">
        <v>97</v>
      </c>
      <c r="T367" s="2" t="s">
        <v>39</v>
      </c>
      <c r="U367" s="2">
        <v>30</v>
      </c>
      <c r="V367" s="2">
        <v>35299</v>
      </c>
      <c r="W367" s="2">
        <v>374875.38</v>
      </c>
      <c r="X367" s="2">
        <v>10.62</v>
      </c>
      <c r="Y367" s="2">
        <v>0.35</v>
      </c>
      <c r="AB367">
        <v>1</v>
      </c>
      <c r="AC367">
        <v>2009</v>
      </c>
      <c r="AE367" s="2">
        <v>12354.65</v>
      </c>
    </row>
    <row r="368" spans="2:31" ht="14.5">
      <c r="B368" s="2">
        <v>12876</v>
      </c>
      <c r="C368" s="2" t="s">
        <v>364</v>
      </c>
      <c r="D368" s="2" t="s">
        <v>365</v>
      </c>
      <c r="E368" s="2" t="s">
        <v>28</v>
      </c>
      <c r="F368" s="2" t="s">
        <v>29</v>
      </c>
      <c r="G368" s="2" t="s">
        <v>50</v>
      </c>
      <c r="H368" s="2" t="s">
        <v>218</v>
      </c>
      <c r="I368" s="2" t="s">
        <v>219</v>
      </c>
      <c r="J368" s="2" t="s">
        <v>220</v>
      </c>
      <c r="K368" s="2" t="s">
        <v>267</v>
      </c>
      <c r="L368" s="3"/>
      <c r="M368" s="3">
        <v>39944</v>
      </c>
      <c r="N368" s="3">
        <v>39944</v>
      </c>
      <c r="O368" s="3">
        <v>39944</v>
      </c>
      <c r="P368" s="2" t="s">
        <v>291</v>
      </c>
      <c r="Q368" s="2" t="s">
        <v>99</v>
      </c>
      <c r="R368" s="2" t="s">
        <v>37</v>
      </c>
      <c r="S368" s="2" t="s">
        <v>172</v>
      </c>
      <c r="T368" s="2" t="s">
        <v>87</v>
      </c>
      <c r="U368" s="2">
        <v>240</v>
      </c>
      <c r="V368" s="2">
        <v>1977</v>
      </c>
      <c r="W368" s="2">
        <v>31928.55</v>
      </c>
      <c r="X368" s="2">
        <v>16.149999999999999</v>
      </c>
      <c r="Y368" s="2">
        <v>7.0000000000000007E-2</v>
      </c>
      <c r="AB368">
        <v>1</v>
      </c>
      <c r="AC368">
        <v>2009</v>
      </c>
      <c r="AE368" s="2">
        <v>138.39000000000001</v>
      </c>
    </row>
    <row r="369" spans="2:31" ht="14.5">
      <c r="B369" s="2">
        <v>12887</v>
      </c>
      <c r="C369" s="2" t="s">
        <v>696</v>
      </c>
      <c r="D369" s="2" t="s">
        <v>697</v>
      </c>
      <c r="E369" s="2" t="s">
        <v>118</v>
      </c>
      <c r="F369" s="2" t="s">
        <v>29</v>
      </c>
      <c r="G369" s="2" t="s">
        <v>30</v>
      </c>
      <c r="H369" s="2" t="s">
        <v>218</v>
      </c>
      <c r="I369" s="2" t="s">
        <v>219</v>
      </c>
      <c r="J369" s="2" t="s">
        <v>220</v>
      </c>
      <c r="K369" s="2" t="s">
        <v>34</v>
      </c>
      <c r="L369" s="3"/>
      <c r="M369" s="3">
        <v>39965</v>
      </c>
      <c r="N369" s="3">
        <v>39965</v>
      </c>
      <c r="O369" s="3">
        <v>39965</v>
      </c>
      <c r="P369" s="2" t="s">
        <v>139</v>
      </c>
      <c r="Q369" s="2" t="s">
        <v>140</v>
      </c>
      <c r="R369" s="2" t="s">
        <v>37</v>
      </c>
      <c r="S369" s="2" t="s">
        <v>141</v>
      </c>
      <c r="T369" s="2" t="s">
        <v>47</v>
      </c>
      <c r="U369" s="2">
        <v>60</v>
      </c>
      <c r="V369" s="2">
        <v>3895</v>
      </c>
      <c r="W369" s="2">
        <v>27732.400000000001</v>
      </c>
      <c r="X369" s="2">
        <v>7.12</v>
      </c>
      <c r="Y369" s="2">
        <v>0.12</v>
      </c>
      <c r="Z369" s="2">
        <v>289</v>
      </c>
      <c r="AA369" s="2">
        <v>2798.7</v>
      </c>
      <c r="AB369">
        <v>1</v>
      </c>
      <c r="AC369">
        <v>2009</v>
      </c>
      <c r="AE369" s="2">
        <v>467.4</v>
      </c>
    </row>
    <row r="370" spans="2:31" ht="14.5">
      <c r="B370" s="2">
        <v>12908</v>
      </c>
      <c r="C370" s="2" t="s">
        <v>503</v>
      </c>
      <c r="D370" s="2" t="s">
        <v>504</v>
      </c>
      <c r="E370" s="2" t="s">
        <v>118</v>
      </c>
      <c r="F370" s="2" t="s">
        <v>29</v>
      </c>
      <c r="G370" s="2" t="s">
        <v>30</v>
      </c>
      <c r="H370" s="2" t="s">
        <v>218</v>
      </c>
      <c r="I370" s="2" t="s">
        <v>219</v>
      </c>
      <c r="J370" s="2" t="s">
        <v>220</v>
      </c>
      <c r="K370" s="2" t="s">
        <v>34</v>
      </c>
      <c r="L370" s="3"/>
      <c r="M370" s="3">
        <v>40049</v>
      </c>
      <c r="N370" s="3">
        <v>40049</v>
      </c>
      <c r="O370" s="3">
        <v>40049</v>
      </c>
      <c r="P370" s="2" t="s">
        <v>164</v>
      </c>
      <c r="Q370" s="2" t="s">
        <v>165</v>
      </c>
      <c r="R370" s="2" t="s">
        <v>37</v>
      </c>
      <c r="S370" s="2" t="s">
        <v>166</v>
      </c>
      <c r="T370" s="2" t="s">
        <v>39</v>
      </c>
      <c r="U370" s="2">
        <v>60</v>
      </c>
      <c r="V370" s="2">
        <v>2237</v>
      </c>
      <c r="W370" s="2">
        <v>5458.28</v>
      </c>
      <c r="X370" s="2">
        <v>2.44</v>
      </c>
      <c r="Y370" s="2">
        <v>0.04</v>
      </c>
      <c r="AB370">
        <v>1</v>
      </c>
      <c r="AC370">
        <v>2009</v>
      </c>
      <c r="AE370" s="2">
        <v>89.48</v>
      </c>
    </row>
    <row r="371" spans="2:31" ht="14.5">
      <c r="B371" s="2">
        <v>12909</v>
      </c>
      <c r="C371" s="2" t="s">
        <v>698</v>
      </c>
      <c r="D371" s="2" t="s">
        <v>699</v>
      </c>
      <c r="E371" s="2" t="s">
        <v>118</v>
      </c>
      <c r="F371" s="2" t="s">
        <v>29</v>
      </c>
      <c r="G371" s="2" t="s">
        <v>30</v>
      </c>
      <c r="H371" s="2" t="s">
        <v>218</v>
      </c>
      <c r="I371" s="2" t="s">
        <v>219</v>
      </c>
      <c r="J371" s="2" t="s">
        <v>220</v>
      </c>
      <c r="K371" s="2" t="s">
        <v>646</v>
      </c>
      <c r="L371" s="3"/>
      <c r="M371" s="3">
        <v>40071</v>
      </c>
      <c r="N371" s="3">
        <v>40071</v>
      </c>
      <c r="O371" s="3">
        <v>40071</v>
      </c>
      <c r="P371" s="2" t="s">
        <v>112</v>
      </c>
      <c r="Q371" s="2" t="s">
        <v>113</v>
      </c>
      <c r="R371" s="2" t="s">
        <v>37</v>
      </c>
      <c r="S371" s="2" t="s">
        <v>114</v>
      </c>
      <c r="T371" s="2" t="s">
        <v>47</v>
      </c>
      <c r="U371" s="2">
        <v>60</v>
      </c>
      <c r="V371" s="2">
        <v>8784</v>
      </c>
      <c r="W371" s="2">
        <v>99698.4</v>
      </c>
      <c r="X371" s="2">
        <v>11.35</v>
      </c>
      <c r="Y371" s="2">
        <v>0.19</v>
      </c>
      <c r="Z371" s="2">
        <v>1118</v>
      </c>
      <c r="AA371" s="2">
        <v>7338.54</v>
      </c>
      <c r="AB371">
        <v>1</v>
      </c>
      <c r="AC371">
        <v>2009</v>
      </c>
      <c r="AE371" s="2">
        <v>1668.96</v>
      </c>
    </row>
    <row r="372" spans="2:31" ht="14.5">
      <c r="B372" s="2">
        <v>12912</v>
      </c>
      <c r="C372" s="2" t="s">
        <v>700</v>
      </c>
      <c r="D372" s="2" t="s">
        <v>701</v>
      </c>
      <c r="E372" s="2" t="s">
        <v>118</v>
      </c>
      <c r="F372" s="2" t="s">
        <v>29</v>
      </c>
      <c r="G372" s="2" t="s">
        <v>30</v>
      </c>
      <c r="H372" s="2" t="s">
        <v>218</v>
      </c>
      <c r="I372" s="2" t="s">
        <v>219</v>
      </c>
      <c r="J372" s="2" t="s">
        <v>220</v>
      </c>
      <c r="K372" s="2" t="s">
        <v>34</v>
      </c>
      <c r="L372" s="3"/>
      <c r="M372" s="3">
        <v>40093</v>
      </c>
      <c r="N372" s="3">
        <v>40093</v>
      </c>
      <c r="O372" s="3">
        <v>40093</v>
      </c>
      <c r="P372" s="2" t="s">
        <v>95</v>
      </c>
      <c r="Q372" s="2" t="s">
        <v>96</v>
      </c>
      <c r="R372" s="2" t="s">
        <v>37</v>
      </c>
      <c r="S372" s="2" t="s">
        <v>97</v>
      </c>
      <c r="T372" s="2" t="s">
        <v>39</v>
      </c>
      <c r="U372" s="2">
        <v>30</v>
      </c>
      <c r="V372" s="2">
        <v>29426</v>
      </c>
      <c r="W372" s="2">
        <v>201568.1</v>
      </c>
      <c r="X372" s="2">
        <v>6.85</v>
      </c>
      <c r="Y372" s="2">
        <v>0.23</v>
      </c>
      <c r="Z372" s="2">
        <v>2529</v>
      </c>
      <c r="AA372" s="2">
        <v>4031.3</v>
      </c>
      <c r="AB372">
        <v>1</v>
      </c>
      <c r="AC372">
        <v>2009</v>
      </c>
      <c r="AE372" s="2">
        <v>6767.9800000000005</v>
      </c>
    </row>
    <row r="373" spans="2:31" ht="14.5">
      <c r="B373" s="2">
        <v>12926</v>
      </c>
      <c r="C373" s="2" t="s">
        <v>702</v>
      </c>
      <c r="D373" s="2" t="s">
        <v>703</v>
      </c>
      <c r="E373" s="2" t="s">
        <v>60</v>
      </c>
      <c r="F373" s="2" t="s">
        <v>29</v>
      </c>
      <c r="G373" s="2" t="s">
        <v>30</v>
      </c>
      <c r="H373" s="2" t="s">
        <v>218</v>
      </c>
      <c r="I373" s="2" t="s">
        <v>219</v>
      </c>
      <c r="J373" s="2" t="s">
        <v>220</v>
      </c>
      <c r="K373" s="2" t="s">
        <v>34</v>
      </c>
      <c r="L373" s="3"/>
      <c r="M373" s="3">
        <v>40113</v>
      </c>
      <c r="N373" s="3">
        <v>40113</v>
      </c>
      <c r="O373" s="3">
        <v>40113</v>
      </c>
      <c r="P373" s="2" t="s">
        <v>35</v>
      </c>
      <c r="Q373" s="2" t="s">
        <v>36</v>
      </c>
      <c r="R373" s="2" t="s">
        <v>37</v>
      </c>
      <c r="S373" s="2" t="s">
        <v>38</v>
      </c>
      <c r="T373" s="2" t="s">
        <v>39</v>
      </c>
      <c r="U373" s="2">
        <v>60</v>
      </c>
      <c r="V373" s="2">
        <v>12873</v>
      </c>
      <c r="W373" s="2">
        <v>37331.699999999997</v>
      </c>
      <c r="X373" s="2">
        <v>2.9</v>
      </c>
      <c r="Y373" s="2">
        <v>0.05</v>
      </c>
      <c r="Z373" s="2">
        <v>1258</v>
      </c>
      <c r="AA373" s="2">
        <v>6027.68</v>
      </c>
      <c r="AB373">
        <v>1</v>
      </c>
      <c r="AC373">
        <v>2009</v>
      </c>
      <c r="AE373" s="2">
        <v>643.65000000000009</v>
      </c>
    </row>
    <row r="374" spans="2:31" ht="14.5">
      <c r="B374" s="2">
        <v>13302</v>
      </c>
      <c r="C374" s="2" t="s">
        <v>704</v>
      </c>
      <c r="D374" s="2" t="s">
        <v>705</v>
      </c>
      <c r="E374" s="2" t="s">
        <v>42</v>
      </c>
      <c r="F374" s="2" t="s">
        <v>29</v>
      </c>
      <c r="G374" s="2" t="s">
        <v>30</v>
      </c>
      <c r="H374" s="2" t="s">
        <v>109</v>
      </c>
      <c r="I374" s="2" t="s">
        <v>32</v>
      </c>
      <c r="J374" s="2" t="s">
        <v>52</v>
      </c>
      <c r="K374" s="2" t="s">
        <v>34</v>
      </c>
      <c r="L374" s="3">
        <v>40450</v>
      </c>
      <c r="M374" s="3">
        <v>40484</v>
      </c>
      <c r="N374" s="3">
        <v>40484</v>
      </c>
      <c r="O374" s="3">
        <v>40484</v>
      </c>
      <c r="P374" s="2" t="s">
        <v>706</v>
      </c>
      <c r="Q374" s="2" t="s">
        <v>707</v>
      </c>
      <c r="R374" s="2" t="s">
        <v>37</v>
      </c>
      <c r="S374" s="2" t="s">
        <v>708</v>
      </c>
      <c r="T374" s="2" t="s">
        <v>47</v>
      </c>
      <c r="U374" s="2">
        <v>30</v>
      </c>
      <c r="V374" s="2">
        <v>138422</v>
      </c>
      <c r="W374" s="2">
        <v>1211192.5</v>
      </c>
      <c r="X374" s="2">
        <v>8.75</v>
      </c>
      <c r="Y374" s="2">
        <v>0.28999999999999998</v>
      </c>
      <c r="Z374" s="2">
        <v>13147</v>
      </c>
      <c r="AA374" s="2">
        <v>4781.8</v>
      </c>
      <c r="AB374">
        <v>1</v>
      </c>
      <c r="AC374">
        <v>2010</v>
      </c>
      <c r="AE374" s="2">
        <v>40142.379999999997</v>
      </c>
    </row>
    <row r="375" spans="2:31" ht="14.5">
      <c r="B375" s="2">
        <v>13608</v>
      </c>
      <c r="C375" s="2" t="s">
        <v>709</v>
      </c>
      <c r="D375" s="2" t="s">
        <v>710</v>
      </c>
      <c r="E375" s="2" t="s">
        <v>118</v>
      </c>
      <c r="F375" s="2" t="s">
        <v>29</v>
      </c>
      <c r="G375" s="2" t="s">
        <v>30</v>
      </c>
      <c r="H375" s="2" t="s">
        <v>103</v>
      </c>
      <c r="I375" s="2" t="s">
        <v>32</v>
      </c>
      <c r="J375" s="2" t="s">
        <v>711</v>
      </c>
      <c r="K375" s="2" t="s">
        <v>34</v>
      </c>
      <c r="L375" s="3">
        <v>41016</v>
      </c>
      <c r="M375" s="3">
        <v>41050</v>
      </c>
      <c r="N375" s="3">
        <v>41050</v>
      </c>
      <c r="O375" s="3">
        <v>41050</v>
      </c>
      <c r="P375" s="2" t="s">
        <v>712</v>
      </c>
      <c r="Q375" s="2" t="s">
        <v>713</v>
      </c>
      <c r="R375" s="2" t="s">
        <v>714</v>
      </c>
      <c r="S375" s="2" t="s">
        <v>330</v>
      </c>
      <c r="T375" s="2" t="s">
        <v>39</v>
      </c>
      <c r="U375" s="2">
        <v>120</v>
      </c>
      <c r="V375" s="2">
        <v>121</v>
      </c>
      <c r="W375" s="2">
        <v>9075</v>
      </c>
      <c r="X375" s="2">
        <v>75</v>
      </c>
      <c r="Y375" s="2">
        <v>0.62</v>
      </c>
      <c r="Z375" s="2">
        <v>43</v>
      </c>
      <c r="AA375" s="2">
        <v>199</v>
      </c>
      <c r="AB375">
        <v>1</v>
      </c>
      <c r="AC375">
        <v>2012</v>
      </c>
      <c r="AE375" s="2">
        <v>75.02</v>
      </c>
    </row>
    <row r="376" spans="2:31" ht="14.5">
      <c r="B376" s="2">
        <v>13841</v>
      </c>
      <c r="C376" s="2" t="s">
        <v>715</v>
      </c>
      <c r="D376" s="2" t="s">
        <v>716</v>
      </c>
      <c r="E376" s="2" t="s">
        <v>42</v>
      </c>
      <c r="F376" s="2" t="s">
        <v>29</v>
      </c>
      <c r="G376" s="2" t="s">
        <v>30</v>
      </c>
      <c r="H376" s="2" t="s">
        <v>109</v>
      </c>
      <c r="I376" s="2" t="s">
        <v>32</v>
      </c>
      <c r="J376" s="2" t="s">
        <v>52</v>
      </c>
      <c r="K376" s="2" t="s">
        <v>34</v>
      </c>
      <c r="L376" s="3">
        <v>40056</v>
      </c>
      <c r="M376" s="3">
        <v>40284</v>
      </c>
      <c r="N376" s="3">
        <v>40284</v>
      </c>
      <c r="O376" s="3">
        <v>40284</v>
      </c>
      <c r="P376" s="2" t="s">
        <v>706</v>
      </c>
      <c r="Q376" s="2" t="s">
        <v>707</v>
      </c>
      <c r="R376" s="2" t="s">
        <v>37</v>
      </c>
      <c r="S376" s="2" t="s">
        <v>708</v>
      </c>
      <c r="T376" s="2" t="s">
        <v>47</v>
      </c>
      <c r="U376" s="2">
        <v>30</v>
      </c>
      <c r="V376" s="2">
        <v>62209</v>
      </c>
      <c r="W376" s="2">
        <v>681188.55</v>
      </c>
      <c r="X376" s="2">
        <v>10.95</v>
      </c>
      <c r="Y376" s="2">
        <v>0.36</v>
      </c>
      <c r="Z376" s="2">
        <v>5795</v>
      </c>
      <c r="AA376" s="2">
        <v>63600.4</v>
      </c>
      <c r="AB376">
        <v>1</v>
      </c>
      <c r="AC376">
        <v>2010</v>
      </c>
      <c r="AE376" s="2">
        <v>22395.239999999998</v>
      </c>
    </row>
    <row r="377" spans="2:31" ht="14.5">
      <c r="B377" s="2">
        <v>13886</v>
      </c>
      <c r="C377" s="2" t="s">
        <v>718</v>
      </c>
      <c r="D377" s="2" t="s">
        <v>719</v>
      </c>
      <c r="E377" s="2" t="s">
        <v>118</v>
      </c>
      <c r="F377" s="2" t="s">
        <v>29</v>
      </c>
      <c r="G377" s="2" t="s">
        <v>30</v>
      </c>
      <c r="H377" s="2" t="s">
        <v>103</v>
      </c>
      <c r="I377" s="2" t="s">
        <v>32</v>
      </c>
      <c r="J377" s="2" t="s">
        <v>52</v>
      </c>
      <c r="K377" s="2" t="s">
        <v>34</v>
      </c>
      <c r="L377" s="3">
        <v>41458</v>
      </c>
      <c r="M377" s="3">
        <v>41598</v>
      </c>
      <c r="N377" s="3">
        <v>41598</v>
      </c>
      <c r="O377" s="3">
        <v>41599</v>
      </c>
      <c r="P377" s="2" t="s">
        <v>712</v>
      </c>
      <c r="Q377" s="2" t="s">
        <v>713</v>
      </c>
      <c r="R377" s="2" t="s">
        <v>714</v>
      </c>
      <c r="S377" s="2" t="s">
        <v>330</v>
      </c>
      <c r="T377" s="2" t="s">
        <v>39</v>
      </c>
      <c r="U377" s="2">
        <v>120</v>
      </c>
      <c r="V377" s="2">
        <v>108</v>
      </c>
      <c r="W377" s="2">
        <v>3888</v>
      </c>
      <c r="X377" s="2">
        <v>36</v>
      </c>
      <c r="Y377" s="2">
        <v>0.3</v>
      </c>
      <c r="Z377" s="2">
        <v>22</v>
      </c>
      <c r="AA377" s="2">
        <v>265</v>
      </c>
      <c r="AB377">
        <v>1</v>
      </c>
      <c r="AC377">
        <v>2013</v>
      </c>
      <c r="AE377" s="2">
        <v>32.4</v>
      </c>
    </row>
    <row r="378" spans="2:31" ht="14.5">
      <c r="B378" s="2">
        <v>13903</v>
      </c>
      <c r="C378" s="2" t="s">
        <v>720</v>
      </c>
      <c r="D378" s="2" t="s">
        <v>721</v>
      </c>
      <c r="E378" s="2" t="s">
        <v>28</v>
      </c>
      <c r="F378" s="2" t="s">
        <v>29</v>
      </c>
      <c r="G378" s="2" t="s">
        <v>50</v>
      </c>
      <c r="H378" s="2" t="s">
        <v>31</v>
      </c>
      <c r="I378" s="2" t="s">
        <v>32</v>
      </c>
      <c r="J378" s="2" t="s">
        <v>33</v>
      </c>
      <c r="K378" s="2" t="s">
        <v>34</v>
      </c>
      <c r="L378" s="3">
        <v>41555</v>
      </c>
      <c r="M378" s="3">
        <v>41720</v>
      </c>
      <c r="N378" s="3">
        <v>41720</v>
      </c>
      <c r="O378" s="3">
        <v>41720</v>
      </c>
      <c r="P378" s="2" t="s">
        <v>722</v>
      </c>
      <c r="Q378" s="2" t="s">
        <v>96</v>
      </c>
      <c r="R378" s="2" t="s">
        <v>37</v>
      </c>
      <c r="S378" s="2" t="s">
        <v>179</v>
      </c>
      <c r="T378" s="2" t="s">
        <v>64</v>
      </c>
      <c r="U378" s="2">
        <v>30</v>
      </c>
      <c r="V378" s="2">
        <v>5925</v>
      </c>
      <c r="W378" s="2">
        <v>9243</v>
      </c>
      <c r="X378" s="2">
        <v>1.56</v>
      </c>
      <c r="Y378" s="2">
        <v>0.05</v>
      </c>
      <c r="Z378" s="2">
        <v>394</v>
      </c>
      <c r="AA378" s="2">
        <v>3245.39</v>
      </c>
      <c r="AB378">
        <v>1</v>
      </c>
      <c r="AC378">
        <v>2014</v>
      </c>
      <c r="AE378" s="2">
        <v>296.25</v>
      </c>
    </row>
    <row r="379" spans="2:31" ht="14.5">
      <c r="B379" s="2">
        <v>14230</v>
      </c>
      <c r="C379" s="2" t="s">
        <v>723</v>
      </c>
      <c r="D379" s="2" t="s">
        <v>724</v>
      </c>
      <c r="E379" s="2" t="s">
        <v>42</v>
      </c>
      <c r="F379" s="2" t="s">
        <v>29</v>
      </c>
      <c r="G379" s="2" t="s">
        <v>50</v>
      </c>
      <c r="H379" s="2" t="s">
        <v>81</v>
      </c>
      <c r="I379" s="2" t="s">
        <v>32</v>
      </c>
      <c r="J379" s="2" t="s">
        <v>82</v>
      </c>
      <c r="K379" s="2" t="s">
        <v>34</v>
      </c>
      <c r="L379" s="3">
        <v>41311</v>
      </c>
      <c r="M379" s="3">
        <v>41411</v>
      </c>
      <c r="N379" s="3">
        <v>41411</v>
      </c>
      <c r="O379" s="3">
        <v>41411</v>
      </c>
      <c r="P379" s="2" t="s">
        <v>83</v>
      </c>
      <c r="Q379" s="2" t="s">
        <v>84</v>
      </c>
      <c r="R379" s="2" t="s">
        <v>85</v>
      </c>
      <c r="S379" s="2" t="s">
        <v>86</v>
      </c>
      <c r="T379" s="2" t="s">
        <v>87</v>
      </c>
      <c r="U379" s="2">
        <v>300</v>
      </c>
      <c r="V379" s="2">
        <v>400</v>
      </c>
      <c r="W379" s="2">
        <v>12328</v>
      </c>
      <c r="X379" s="2">
        <v>30.82</v>
      </c>
      <c r="Y379" s="2">
        <v>0.1</v>
      </c>
      <c r="Z379" s="2">
        <v>454</v>
      </c>
      <c r="AA379" s="2">
        <v>7152.99</v>
      </c>
      <c r="AB379">
        <v>1</v>
      </c>
      <c r="AC379">
        <v>2013</v>
      </c>
      <c r="AE379" s="2">
        <v>40</v>
      </c>
    </row>
    <row r="380" spans="2:31" ht="14.5">
      <c r="B380" s="2">
        <v>14252</v>
      </c>
      <c r="C380" s="2" t="s">
        <v>725</v>
      </c>
      <c r="D380" s="2" t="s">
        <v>726</v>
      </c>
      <c r="E380" s="2" t="s">
        <v>118</v>
      </c>
      <c r="F380" s="2" t="s">
        <v>29</v>
      </c>
      <c r="G380" s="2" t="s">
        <v>50</v>
      </c>
      <c r="H380" s="2" t="s">
        <v>43</v>
      </c>
      <c r="I380" s="2" t="s">
        <v>32</v>
      </c>
      <c r="J380" s="2" t="s">
        <v>33</v>
      </c>
      <c r="K380" s="2" t="s">
        <v>34</v>
      </c>
      <c r="L380" s="3">
        <v>41577</v>
      </c>
      <c r="M380" s="3">
        <v>41719</v>
      </c>
      <c r="N380" s="3">
        <v>41719</v>
      </c>
      <c r="O380" s="3">
        <v>41719</v>
      </c>
      <c r="P380" s="2" t="s">
        <v>727</v>
      </c>
      <c r="Q380" s="2" t="s">
        <v>45</v>
      </c>
      <c r="R380" s="2" t="s">
        <v>37</v>
      </c>
      <c r="S380" s="2" t="s">
        <v>728</v>
      </c>
      <c r="T380" s="2" t="s">
        <v>729</v>
      </c>
      <c r="U380" s="2">
        <v>60</v>
      </c>
      <c r="V380" s="2">
        <v>7445</v>
      </c>
      <c r="W380" s="2">
        <v>16676.8</v>
      </c>
      <c r="X380" s="2">
        <v>2.2400000000000002</v>
      </c>
      <c r="Y380" s="2">
        <v>0.04</v>
      </c>
      <c r="Z380" s="2">
        <v>574</v>
      </c>
      <c r="AA380" s="2">
        <v>3868.24</v>
      </c>
      <c r="AB380">
        <v>1</v>
      </c>
      <c r="AC380">
        <v>2014</v>
      </c>
      <c r="AE380" s="2">
        <v>297.8</v>
      </c>
    </row>
    <row r="381" spans="2:31" ht="14.5">
      <c r="B381" s="2">
        <v>14278</v>
      </c>
      <c r="C381" s="2" t="s">
        <v>730</v>
      </c>
      <c r="D381" s="2" t="s">
        <v>731</v>
      </c>
      <c r="E381" s="2" t="s">
        <v>60</v>
      </c>
      <c r="F381" s="2" t="s">
        <v>29</v>
      </c>
      <c r="G381" s="2" t="s">
        <v>30</v>
      </c>
      <c r="H381" s="2" t="s">
        <v>31</v>
      </c>
      <c r="I381" s="2" t="s">
        <v>32</v>
      </c>
      <c r="J381" s="2" t="s">
        <v>33</v>
      </c>
      <c r="K381" s="2" t="s">
        <v>34</v>
      </c>
      <c r="L381" s="3">
        <v>40191</v>
      </c>
      <c r="M381" s="3">
        <v>40241</v>
      </c>
      <c r="N381" s="3">
        <v>40241</v>
      </c>
      <c r="O381" s="3">
        <v>40241</v>
      </c>
      <c r="P381" s="2" t="s">
        <v>164</v>
      </c>
      <c r="Q381" s="2" t="s">
        <v>165</v>
      </c>
      <c r="R381" s="2" t="s">
        <v>37</v>
      </c>
      <c r="S381" s="2" t="s">
        <v>166</v>
      </c>
      <c r="T381" s="2" t="s">
        <v>39</v>
      </c>
      <c r="U381" s="2">
        <v>60</v>
      </c>
      <c r="V381" s="2">
        <v>56000</v>
      </c>
      <c r="W381" s="2">
        <v>133280</v>
      </c>
      <c r="X381" s="2">
        <v>2.38</v>
      </c>
      <c r="Y381" s="2">
        <v>0.04</v>
      </c>
      <c r="Z381" s="2">
        <v>2996</v>
      </c>
      <c r="AA381" s="2">
        <v>10612.93</v>
      </c>
      <c r="AB381">
        <v>1</v>
      </c>
      <c r="AC381">
        <v>2010</v>
      </c>
      <c r="AE381" s="2">
        <v>2240</v>
      </c>
    </row>
    <row r="382" spans="2:31" ht="14.5">
      <c r="B382" s="2">
        <v>14279</v>
      </c>
      <c r="C382" s="2" t="s">
        <v>732</v>
      </c>
      <c r="D382" s="2" t="s">
        <v>733</v>
      </c>
      <c r="E382" s="2" t="s">
        <v>28</v>
      </c>
      <c r="F382" s="2" t="s">
        <v>29</v>
      </c>
      <c r="G382" s="2" t="s">
        <v>30</v>
      </c>
      <c r="H382" s="2" t="s">
        <v>94</v>
      </c>
      <c r="I382" s="2" t="s">
        <v>32</v>
      </c>
      <c r="J382" s="2" t="s">
        <v>33</v>
      </c>
      <c r="K382" s="2" t="s">
        <v>34</v>
      </c>
      <c r="L382" s="3">
        <v>41130</v>
      </c>
      <c r="M382" s="3">
        <v>41214</v>
      </c>
      <c r="N382" s="3">
        <v>41214</v>
      </c>
      <c r="O382" s="3">
        <v>41214</v>
      </c>
      <c r="P382" s="2" t="s">
        <v>95</v>
      </c>
      <c r="Q382" s="2" t="s">
        <v>96</v>
      </c>
      <c r="R382" s="2" t="s">
        <v>37</v>
      </c>
      <c r="S382" s="2" t="s">
        <v>97</v>
      </c>
      <c r="T382" s="2" t="s">
        <v>39</v>
      </c>
      <c r="U382" s="2">
        <v>30</v>
      </c>
      <c r="V382" s="2">
        <v>100986</v>
      </c>
      <c r="W382" s="2">
        <v>343352.4</v>
      </c>
      <c r="X382" s="2">
        <v>3.4</v>
      </c>
      <c r="Y382" s="2">
        <v>0.11</v>
      </c>
      <c r="Z382" s="2">
        <v>10579</v>
      </c>
      <c r="AA382" s="2">
        <v>41585.93</v>
      </c>
      <c r="AB382">
        <v>1</v>
      </c>
      <c r="AC382">
        <v>2012</v>
      </c>
      <c r="AE382" s="2">
        <v>11108.460000000001</v>
      </c>
    </row>
    <row r="383" spans="2:31" ht="14.5">
      <c r="B383" s="2">
        <v>14384</v>
      </c>
      <c r="C383" s="2" t="s">
        <v>734</v>
      </c>
      <c r="D383" s="2" t="s">
        <v>735</v>
      </c>
      <c r="E383" s="2" t="s">
        <v>28</v>
      </c>
      <c r="F383" s="2" t="s">
        <v>29</v>
      </c>
      <c r="G383" s="2" t="s">
        <v>50</v>
      </c>
      <c r="H383" s="2" t="s">
        <v>31</v>
      </c>
      <c r="I383" s="2" t="s">
        <v>32</v>
      </c>
      <c r="J383" s="2" t="s">
        <v>33</v>
      </c>
      <c r="K383" s="2" t="s">
        <v>34</v>
      </c>
      <c r="L383" s="3">
        <v>41575</v>
      </c>
      <c r="M383" s="3">
        <v>41720</v>
      </c>
      <c r="N383" s="3">
        <v>41720</v>
      </c>
      <c r="O383" s="3">
        <v>41720</v>
      </c>
      <c r="P383" s="2" t="s">
        <v>722</v>
      </c>
      <c r="Q383" s="2" t="s">
        <v>96</v>
      </c>
      <c r="R383" s="2" t="s">
        <v>37</v>
      </c>
      <c r="S383" s="2" t="s">
        <v>179</v>
      </c>
      <c r="T383" s="2" t="s">
        <v>64</v>
      </c>
      <c r="U383" s="2">
        <v>30</v>
      </c>
      <c r="V383" s="2">
        <v>20867</v>
      </c>
      <c r="W383" s="2">
        <v>32552.52</v>
      </c>
      <c r="X383" s="2">
        <v>1.56</v>
      </c>
      <c r="Y383" s="2">
        <v>0.05</v>
      </c>
      <c r="Z383" s="2">
        <v>1337</v>
      </c>
      <c r="AA383" s="2">
        <v>8403.67</v>
      </c>
      <c r="AB383">
        <v>1</v>
      </c>
      <c r="AC383">
        <v>2014</v>
      </c>
      <c r="AE383" s="2">
        <v>1043.3500000000001</v>
      </c>
    </row>
    <row r="384" spans="2:31" ht="14.5">
      <c r="B384" s="2">
        <v>14431</v>
      </c>
      <c r="C384" s="2" t="s">
        <v>736</v>
      </c>
      <c r="D384" s="2" t="s">
        <v>737</v>
      </c>
      <c r="E384" s="2" t="s">
        <v>42</v>
      </c>
      <c r="F384" s="2" t="s">
        <v>29</v>
      </c>
      <c r="G384" s="2" t="s">
        <v>30</v>
      </c>
      <c r="H384" s="2" t="s">
        <v>157</v>
      </c>
      <c r="I384" s="2" t="s">
        <v>32</v>
      </c>
      <c r="J384" s="2" t="s">
        <v>82</v>
      </c>
      <c r="K384" s="2" t="s">
        <v>34</v>
      </c>
      <c r="L384" s="3">
        <v>40849</v>
      </c>
      <c r="M384" s="3">
        <v>41095</v>
      </c>
      <c r="N384" s="3">
        <v>41095</v>
      </c>
      <c r="O384" s="3">
        <v>41095</v>
      </c>
      <c r="P384" s="2" t="s">
        <v>286</v>
      </c>
      <c r="Q384" s="2" t="s">
        <v>287</v>
      </c>
      <c r="R384" s="2" t="s">
        <v>288</v>
      </c>
      <c r="S384" s="2" t="s">
        <v>120</v>
      </c>
      <c r="T384" s="2" t="s">
        <v>39</v>
      </c>
      <c r="U384" s="2">
        <v>270</v>
      </c>
      <c r="V384" s="2">
        <v>109</v>
      </c>
      <c r="W384" s="2">
        <v>17410.04</v>
      </c>
      <c r="X384" s="2">
        <v>159.72999999999999</v>
      </c>
      <c r="Y384" s="2">
        <v>0.59</v>
      </c>
      <c r="Z384" s="2">
        <v>27</v>
      </c>
      <c r="AA384" s="2">
        <v>2205.25</v>
      </c>
      <c r="AB384">
        <v>1</v>
      </c>
      <c r="AC384">
        <v>2012</v>
      </c>
      <c r="AE384" s="2">
        <v>64.31</v>
      </c>
    </row>
    <row r="385" spans="2:31" ht="14.5">
      <c r="B385" s="2">
        <v>14803</v>
      </c>
      <c r="C385" s="2" t="s">
        <v>738</v>
      </c>
      <c r="D385" s="2" t="s">
        <v>739</v>
      </c>
      <c r="E385" s="2" t="s">
        <v>42</v>
      </c>
      <c r="F385" s="2" t="s">
        <v>29</v>
      </c>
      <c r="G385" s="2" t="s">
        <v>50</v>
      </c>
      <c r="H385" s="2" t="s">
        <v>31</v>
      </c>
      <c r="I385" s="2" t="s">
        <v>32</v>
      </c>
      <c r="J385" s="2" t="s">
        <v>33</v>
      </c>
      <c r="K385" s="2" t="s">
        <v>34</v>
      </c>
      <c r="L385" s="3">
        <v>41698</v>
      </c>
      <c r="M385" s="3">
        <v>41765</v>
      </c>
      <c r="N385" s="3">
        <v>41765</v>
      </c>
      <c r="O385" s="3">
        <v>41774</v>
      </c>
      <c r="P385" s="2" t="s">
        <v>740</v>
      </c>
      <c r="Q385" s="2" t="s">
        <v>36</v>
      </c>
      <c r="R385" s="2" t="s">
        <v>37</v>
      </c>
      <c r="S385" s="2" t="s">
        <v>226</v>
      </c>
      <c r="T385" s="2" t="s">
        <v>526</v>
      </c>
      <c r="U385" s="2">
        <v>240</v>
      </c>
      <c r="V385" s="2">
        <v>9720</v>
      </c>
      <c r="W385" s="2">
        <v>14677.2</v>
      </c>
      <c r="X385" s="2">
        <v>1.51</v>
      </c>
      <c r="Y385" s="2">
        <v>0.01</v>
      </c>
      <c r="Z385" s="2">
        <v>4365</v>
      </c>
      <c r="AB385">
        <v>1</v>
      </c>
      <c r="AC385">
        <v>2014</v>
      </c>
      <c r="AE385" s="2">
        <v>97.2</v>
      </c>
    </row>
    <row r="386" spans="2:31" ht="14.5">
      <c r="B386" s="2">
        <v>14931</v>
      </c>
      <c r="C386" s="2" t="s">
        <v>741</v>
      </c>
      <c r="D386" s="2" t="s">
        <v>742</v>
      </c>
      <c r="E386" s="2" t="s">
        <v>42</v>
      </c>
      <c r="F386" s="2" t="s">
        <v>29</v>
      </c>
      <c r="G386" s="2" t="s">
        <v>50</v>
      </c>
      <c r="H386" s="2" t="s">
        <v>743</v>
      </c>
      <c r="I386" s="2" t="s">
        <v>32</v>
      </c>
      <c r="J386" s="2" t="s">
        <v>82</v>
      </c>
      <c r="K386" s="2" t="s">
        <v>34</v>
      </c>
      <c r="L386" s="3">
        <v>41985</v>
      </c>
      <c r="M386" s="3">
        <v>42136</v>
      </c>
      <c r="N386" s="3">
        <v>42136</v>
      </c>
      <c r="O386" s="3">
        <v>42136</v>
      </c>
      <c r="P386" s="2" t="s">
        <v>744</v>
      </c>
      <c r="Q386" s="2" t="s">
        <v>745</v>
      </c>
      <c r="R386" s="2" t="s">
        <v>746</v>
      </c>
      <c r="S386" s="2" t="s">
        <v>38</v>
      </c>
      <c r="T386" s="2" t="s">
        <v>64</v>
      </c>
      <c r="U386" s="2">
        <v>60</v>
      </c>
      <c r="V386" s="2">
        <v>1080</v>
      </c>
      <c r="W386" s="2">
        <v>43869.599999999999</v>
      </c>
      <c r="X386" s="2">
        <v>40.619999999999997</v>
      </c>
      <c r="Y386" s="2">
        <v>0.68</v>
      </c>
      <c r="Z386" s="2">
        <v>282</v>
      </c>
      <c r="AA386" s="2">
        <v>1028.0999999999999</v>
      </c>
      <c r="AB386">
        <v>1</v>
      </c>
      <c r="AC386">
        <v>2015</v>
      </c>
      <c r="AE386" s="2">
        <v>734.40000000000009</v>
      </c>
    </row>
    <row r="387" spans="2:31" ht="14.5">
      <c r="B387" s="2">
        <v>14941</v>
      </c>
      <c r="C387" s="2" t="s">
        <v>747</v>
      </c>
      <c r="D387" s="2" t="s">
        <v>748</v>
      </c>
      <c r="E387" s="2" t="s">
        <v>28</v>
      </c>
      <c r="F387" s="2" t="s">
        <v>29</v>
      </c>
      <c r="G387" s="2" t="s">
        <v>30</v>
      </c>
      <c r="H387" s="2" t="s">
        <v>109</v>
      </c>
      <c r="I387" s="2" t="s">
        <v>32</v>
      </c>
      <c r="J387" s="2" t="s">
        <v>33</v>
      </c>
      <c r="K387" s="2" t="s">
        <v>34</v>
      </c>
      <c r="L387" s="3">
        <v>40415</v>
      </c>
      <c r="M387" s="3">
        <v>40473</v>
      </c>
      <c r="N387" s="3">
        <v>40473</v>
      </c>
      <c r="O387" s="3">
        <v>40473</v>
      </c>
      <c r="P387" s="2" t="s">
        <v>749</v>
      </c>
      <c r="Q387" s="2" t="s">
        <v>76</v>
      </c>
      <c r="R387" s="2" t="s">
        <v>37</v>
      </c>
      <c r="S387" s="2" t="s">
        <v>78</v>
      </c>
      <c r="T387" s="2" t="s">
        <v>47</v>
      </c>
      <c r="U387" s="2">
        <v>30</v>
      </c>
      <c r="V387" s="2">
        <v>9000</v>
      </c>
      <c r="W387" s="2">
        <v>179100</v>
      </c>
      <c r="X387" s="2">
        <v>19.899999999999999</v>
      </c>
      <c r="Y387" s="2">
        <v>0.66</v>
      </c>
      <c r="Z387" s="2">
        <v>1081</v>
      </c>
      <c r="AA387" s="2">
        <v>5834.1</v>
      </c>
      <c r="AB387">
        <v>1</v>
      </c>
      <c r="AC387">
        <v>2010</v>
      </c>
      <c r="AE387" s="2">
        <v>5940</v>
      </c>
    </row>
    <row r="388" spans="2:31" ht="14.5">
      <c r="B388" s="2">
        <v>14943</v>
      </c>
      <c r="C388" s="2" t="s">
        <v>750</v>
      </c>
      <c r="D388" s="2" t="s">
        <v>751</v>
      </c>
      <c r="E388" s="2" t="s">
        <v>118</v>
      </c>
      <c r="F388" s="2" t="s">
        <v>29</v>
      </c>
      <c r="G388" s="2" t="s">
        <v>30</v>
      </c>
      <c r="H388" s="2" t="s">
        <v>74</v>
      </c>
      <c r="I388" s="2" t="s">
        <v>32</v>
      </c>
      <c r="J388" s="2" t="s">
        <v>52</v>
      </c>
      <c r="K388" s="2" t="s">
        <v>34</v>
      </c>
      <c r="L388" s="3">
        <v>40149</v>
      </c>
      <c r="M388" s="3">
        <v>40241</v>
      </c>
      <c r="N388" s="3">
        <v>40241</v>
      </c>
      <c r="O388" s="3">
        <v>40241</v>
      </c>
      <c r="P388" s="2" t="s">
        <v>568</v>
      </c>
      <c r="Q388" s="2" t="s">
        <v>569</v>
      </c>
      <c r="R388" s="2" t="s">
        <v>570</v>
      </c>
      <c r="S388" s="2" t="s">
        <v>70</v>
      </c>
      <c r="T388" s="2" t="s">
        <v>64</v>
      </c>
      <c r="U388" s="2">
        <v>180</v>
      </c>
      <c r="V388" s="2">
        <v>75</v>
      </c>
      <c r="W388" s="2">
        <v>3750</v>
      </c>
      <c r="X388" s="2">
        <v>50</v>
      </c>
      <c r="Y388" s="2">
        <v>0.28000000000000003</v>
      </c>
      <c r="Z388" s="2">
        <v>19</v>
      </c>
      <c r="AA388" s="2">
        <v>435</v>
      </c>
      <c r="AB388">
        <v>1</v>
      </c>
      <c r="AC388">
        <v>2010</v>
      </c>
      <c r="AE388" s="2">
        <v>21.000000000000004</v>
      </c>
    </row>
    <row r="389" spans="2:31" ht="14.5">
      <c r="B389" s="2">
        <v>15011</v>
      </c>
      <c r="C389" s="2" t="s">
        <v>752</v>
      </c>
      <c r="D389" s="2" t="s">
        <v>753</v>
      </c>
      <c r="E389" s="2" t="s">
        <v>42</v>
      </c>
      <c r="F389" s="2" t="s">
        <v>29</v>
      </c>
      <c r="G389" s="2" t="s">
        <v>30</v>
      </c>
      <c r="H389" s="2" t="s">
        <v>109</v>
      </c>
      <c r="I389" s="2" t="s">
        <v>32</v>
      </c>
      <c r="J389" s="2" t="s">
        <v>52</v>
      </c>
      <c r="K389" s="2" t="s">
        <v>34</v>
      </c>
      <c r="L389" s="3">
        <v>40449</v>
      </c>
      <c r="M389" s="3">
        <v>40524</v>
      </c>
      <c r="N389" s="3">
        <v>40524</v>
      </c>
      <c r="O389" s="3">
        <v>40524</v>
      </c>
      <c r="P389" s="2" t="s">
        <v>754</v>
      </c>
      <c r="Q389" s="2" t="s">
        <v>755</v>
      </c>
      <c r="R389" s="2" t="s">
        <v>37</v>
      </c>
      <c r="S389" s="2" t="s">
        <v>756</v>
      </c>
      <c r="T389" s="2" t="s">
        <v>47</v>
      </c>
      <c r="U389" s="2">
        <v>30</v>
      </c>
      <c r="V389" s="2">
        <v>9653</v>
      </c>
      <c r="W389" s="2">
        <v>168734.44</v>
      </c>
      <c r="X389" s="2">
        <v>17.48</v>
      </c>
      <c r="Y389" s="2">
        <v>0.57999999999999996</v>
      </c>
      <c r="AB389">
        <v>1</v>
      </c>
      <c r="AC389">
        <v>2010</v>
      </c>
      <c r="AE389" s="2">
        <v>5598.74</v>
      </c>
    </row>
    <row r="390" spans="2:31" ht="14.5">
      <c r="B390" s="2">
        <v>15405</v>
      </c>
      <c r="C390" s="2" t="s">
        <v>757</v>
      </c>
      <c r="D390" s="2" t="s">
        <v>758</v>
      </c>
      <c r="E390" s="2" t="s">
        <v>42</v>
      </c>
      <c r="F390" s="2" t="s">
        <v>29</v>
      </c>
      <c r="G390" s="2" t="s">
        <v>30</v>
      </c>
      <c r="H390" s="2" t="s">
        <v>43</v>
      </c>
      <c r="I390" s="2" t="s">
        <v>32</v>
      </c>
      <c r="J390" s="2" t="s">
        <v>52</v>
      </c>
      <c r="K390" s="2" t="s">
        <v>34</v>
      </c>
      <c r="L390" s="3">
        <v>40448</v>
      </c>
      <c r="M390" s="3">
        <v>40550</v>
      </c>
      <c r="N390" s="3">
        <v>40550</v>
      </c>
      <c r="O390" s="3">
        <v>40550</v>
      </c>
      <c r="P390" s="2" t="s">
        <v>759</v>
      </c>
      <c r="Q390" s="2" t="s">
        <v>84</v>
      </c>
      <c r="R390" s="2" t="s">
        <v>37</v>
      </c>
      <c r="S390" s="2" t="s">
        <v>152</v>
      </c>
      <c r="T390" s="2" t="s">
        <v>39</v>
      </c>
      <c r="U390" s="2">
        <v>120</v>
      </c>
      <c r="V390" s="2">
        <v>1202</v>
      </c>
      <c r="W390" s="2">
        <v>41228.6</v>
      </c>
      <c r="X390" s="2">
        <v>34.299999999999997</v>
      </c>
      <c r="Y390" s="2">
        <v>0.28999999999999998</v>
      </c>
      <c r="AB390">
        <v>1</v>
      </c>
      <c r="AC390">
        <v>2011</v>
      </c>
      <c r="AE390" s="2">
        <v>348.58</v>
      </c>
    </row>
    <row r="391" spans="2:31" ht="14.5">
      <c r="B391" s="2">
        <v>15642</v>
      </c>
      <c r="C391" s="2" t="s">
        <v>760</v>
      </c>
      <c r="D391" s="2" t="s">
        <v>761</v>
      </c>
      <c r="E391" s="2" t="s">
        <v>42</v>
      </c>
      <c r="F391" s="2" t="s">
        <v>29</v>
      </c>
      <c r="G391" s="2" t="s">
        <v>30</v>
      </c>
      <c r="H391" s="2" t="s">
        <v>43</v>
      </c>
      <c r="I391" s="2" t="s">
        <v>32</v>
      </c>
      <c r="J391" s="2" t="s">
        <v>52</v>
      </c>
      <c r="K391" s="2" t="s">
        <v>34</v>
      </c>
      <c r="L391" s="3">
        <v>40448</v>
      </c>
      <c r="M391" s="3">
        <v>40583</v>
      </c>
      <c r="N391" s="3">
        <v>40583</v>
      </c>
      <c r="O391" s="3">
        <v>40583</v>
      </c>
      <c r="P391" s="2" t="s">
        <v>759</v>
      </c>
      <c r="Q391" s="2" t="s">
        <v>84</v>
      </c>
      <c r="R391" s="2" t="s">
        <v>37</v>
      </c>
      <c r="S391" s="2" t="s">
        <v>152</v>
      </c>
      <c r="T391" s="2" t="s">
        <v>39</v>
      </c>
      <c r="U391" s="2">
        <v>120</v>
      </c>
      <c r="V391" s="2">
        <v>2486</v>
      </c>
      <c r="W391" s="2">
        <v>85269.8</v>
      </c>
      <c r="X391" s="2">
        <v>34.299999999999997</v>
      </c>
      <c r="Y391" s="2">
        <v>0.28999999999999998</v>
      </c>
      <c r="Z391" s="2">
        <v>4354</v>
      </c>
      <c r="AB391">
        <v>1</v>
      </c>
      <c r="AC391">
        <v>2011</v>
      </c>
      <c r="AE391" s="2">
        <v>720.93999999999994</v>
      </c>
    </row>
    <row r="392" spans="2:31" ht="14.5">
      <c r="B392" s="2">
        <v>15695</v>
      </c>
      <c r="C392" s="2" t="s">
        <v>762</v>
      </c>
      <c r="D392" s="2" t="s">
        <v>763</v>
      </c>
      <c r="E392" s="2" t="s">
        <v>60</v>
      </c>
      <c r="F392" s="2" t="s">
        <v>29</v>
      </c>
      <c r="G392" s="2" t="s">
        <v>30</v>
      </c>
      <c r="H392" s="2" t="s">
        <v>175</v>
      </c>
      <c r="I392" s="2" t="s">
        <v>32</v>
      </c>
      <c r="J392" s="2" t="s">
        <v>33</v>
      </c>
      <c r="K392" s="2" t="s">
        <v>34</v>
      </c>
      <c r="L392" s="3">
        <v>40176</v>
      </c>
      <c r="M392" s="3">
        <v>40218</v>
      </c>
      <c r="N392" s="3">
        <v>40218</v>
      </c>
      <c r="O392" s="3">
        <v>40218</v>
      </c>
      <c r="P392" s="2" t="s">
        <v>407</v>
      </c>
      <c r="Q392" s="2" t="s">
        <v>408</v>
      </c>
      <c r="R392" s="2" t="s">
        <v>37</v>
      </c>
      <c r="S392" s="2" t="s">
        <v>409</v>
      </c>
      <c r="T392" s="2" t="s">
        <v>47</v>
      </c>
      <c r="U392" s="2">
        <v>60</v>
      </c>
      <c r="V392" s="2">
        <v>71596</v>
      </c>
      <c r="W392" s="2">
        <v>241278.52</v>
      </c>
      <c r="X392" s="2">
        <v>3.37</v>
      </c>
      <c r="Y392" s="2">
        <v>0.06</v>
      </c>
      <c r="Z392" s="2">
        <v>3652</v>
      </c>
      <c r="AA392" s="2">
        <v>15236.52</v>
      </c>
      <c r="AB392">
        <v>1</v>
      </c>
      <c r="AC392">
        <v>2010</v>
      </c>
      <c r="AE392" s="2">
        <v>4295.76</v>
      </c>
    </row>
    <row r="393" spans="2:31" ht="14.5">
      <c r="B393" s="2">
        <v>15726</v>
      </c>
      <c r="C393" s="2" t="s">
        <v>764</v>
      </c>
      <c r="D393" s="2" t="s">
        <v>765</v>
      </c>
      <c r="E393" s="2" t="s">
        <v>42</v>
      </c>
      <c r="F393" s="2" t="s">
        <v>29</v>
      </c>
      <c r="G393" s="2" t="s">
        <v>30</v>
      </c>
      <c r="H393" s="2" t="s">
        <v>109</v>
      </c>
      <c r="I393" s="2" t="s">
        <v>32</v>
      </c>
      <c r="J393" s="2" t="s">
        <v>33</v>
      </c>
      <c r="K393" s="2" t="s">
        <v>34</v>
      </c>
      <c r="L393" s="3">
        <v>41060</v>
      </c>
      <c r="M393" s="3">
        <v>41128</v>
      </c>
      <c r="N393" s="3">
        <v>41128</v>
      </c>
      <c r="O393" s="3">
        <v>41128</v>
      </c>
      <c r="P393" s="2" t="s">
        <v>98</v>
      </c>
      <c r="Q393" s="2" t="s">
        <v>99</v>
      </c>
      <c r="R393" s="2" t="s">
        <v>37</v>
      </c>
      <c r="S393" s="2" t="s">
        <v>100</v>
      </c>
      <c r="T393" s="2" t="s">
        <v>39</v>
      </c>
      <c r="U393" s="2">
        <v>60</v>
      </c>
      <c r="V393" s="2">
        <v>46530</v>
      </c>
      <c r="W393" s="2">
        <v>581159.69999999995</v>
      </c>
      <c r="X393" s="2">
        <v>12.49</v>
      </c>
      <c r="Y393" s="2">
        <v>0.21</v>
      </c>
      <c r="Z393" s="2">
        <v>4810</v>
      </c>
      <c r="AA393" s="2">
        <v>27894.81</v>
      </c>
      <c r="AB393">
        <v>1</v>
      </c>
      <c r="AC393">
        <v>2012</v>
      </c>
      <c r="AE393" s="2">
        <v>9771.2999999999993</v>
      </c>
    </row>
    <row r="394" spans="2:31" ht="14.5">
      <c r="B394" s="2">
        <v>15867</v>
      </c>
      <c r="C394" s="2" t="s">
        <v>766</v>
      </c>
      <c r="D394" s="2" t="s">
        <v>767</v>
      </c>
      <c r="E394" s="2" t="s">
        <v>42</v>
      </c>
      <c r="F394" s="2" t="s">
        <v>29</v>
      </c>
      <c r="G394" s="2" t="s">
        <v>30</v>
      </c>
      <c r="H394" s="2" t="s">
        <v>31</v>
      </c>
      <c r="I394" s="2" t="s">
        <v>32</v>
      </c>
      <c r="J394" s="2" t="s">
        <v>33</v>
      </c>
      <c r="K394" s="2" t="s">
        <v>34</v>
      </c>
      <c r="L394" s="3">
        <v>40890</v>
      </c>
      <c r="M394" s="3">
        <v>40932</v>
      </c>
      <c r="N394" s="3">
        <v>40934</v>
      </c>
      <c r="O394" s="3">
        <v>40934</v>
      </c>
      <c r="P394" s="2" t="s">
        <v>706</v>
      </c>
      <c r="Q394" s="2" t="s">
        <v>707</v>
      </c>
      <c r="R394" s="2" t="s">
        <v>37</v>
      </c>
      <c r="S394" s="2" t="s">
        <v>708</v>
      </c>
      <c r="T394" s="2" t="s">
        <v>47</v>
      </c>
      <c r="U394" s="2">
        <v>30</v>
      </c>
      <c r="V394" s="2">
        <v>41286</v>
      </c>
      <c r="W394" s="2">
        <v>220880.1</v>
      </c>
      <c r="X394" s="2">
        <v>5.35</v>
      </c>
      <c r="Y394" s="2">
        <v>0.18</v>
      </c>
      <c r="Z394" s="2">
        <v>4027</v>
      </c>
      <c r="AA394" s="2">
        <v>28833.91</v>
      </c>
      <c r="AB394">
        <v>0</v>
      </c>
      <c r="AC394">
        <v>2012</v>
      </c>
      <c r="AE394" s="2">
        <v>7431.48</v>
      </c>
    </row>
    <row r="395" spans="2:31" ht="14.5">
      <c r="B395" s="2">
        <v>15879</v>
      </c>
      <c r="C395" s="2" t="s">
        <v>768</v>
      </c>
      <c r="D395" s="2" t="s">
        <v>769</v>
      </c>
      <c r="E395" s="2" t="s">
        <v>42</v>
      </c>
      <c r="F395" s="2" t="s">
        <v>29</v>
      </c>
      <c r="G395" s="2" t="s">
        <v>30</v>
      </c>
      <c r="H395" s="2" t="s">
        <v>109</v>
      </c>
      <c r="I395" s="2" t="s">
        <v>32</v>
      </c>
      <c r="J395" s="2" t="s">
        <v>33</v>
      </c>
      <c r="K395" s="2" t="s">
        <v>646</v>
      </c>
      <c r="L395" s="3">
        <v>40450</v>
      </c>
      <c r="M395" s="3">
        <v>40660</v>
      </c>
      <c r="N395" s="3">
        <v>40660</v>
      </c>
      <c r="O395" s="3">
        <v>40660</v>
      </c>
      <c r="P395" s="2" t="s">
        <v>706</v>
      </c>
      <c r="Q395" s="2" t="s">
        <v>707</v>
      </c>
      <c r="R395" s="2" t="s">
        <v>37</v>
      </c>
      <c r="S395" s="2" t="s">
        <v>708</v>
      </c>
      <c r="T395" s="2" t="s">
        <v>47</v>
      </c>
      <c r="U395" s="2">
        <v>30</v>
      </c>
      <c r="V395" s="2">
        <v>117359</v>
      </c>
      <c r="W395" s="2">
        <v>997551.5</v>
      </c>
      <c r="X395" s="2">
        <v>8.5</v>
      </c>
      <c r="Y395" s="2">
        <v>0.28000000000000003</v>
      </c>
      <c r="Z395" s="2">
        <v>10329</v>
      </c>
      <c r="AA395" s="2">
        <v>32530.22</v>
      </c>
      <c r="AB395">
        <v>1</v>
      </c>
      <c r="AC395">
        <v>2011</v>
      </c>
      <c r="AE395" s="2">
        <v>32860.520000000004</v>
      </c>
    </row>
    <row r="396" spans="2:31" ht="14.5">
      <c r="B396" s="2">
        <v>15946</v>
      </c>
      <c r="C396" s="2" t="s">
        <v>770</v>
      </c>
      <c r="D396" s="2" t="s">
        <v>771</v>
      </c>
      <c r="E396" s="2" t="s">
        <v>60</v>
      </c>
      <c r="F396" s="2" t="s">
        <v>29</v>
      </c>
      <c r="G396" s="2" t="s">
        <v>30</v>
      </c>
      <c r="H396" s="2" t="s">
        <v>31</v>
      </c>
      <c r="I396" s="2" t="s">
        <v>32</v>
      </c>
      <c r="J396" s="2" t="s">
        <v>33</v>
      </c>
      <c r="K396" s="2" t="s">
        <v>34</v>
      </c>
      <c r="L396" s="3">
        <v>40297</v>
      </c>
      <c r="M396" s="3">
        <v>40588</v>
      </c>
      <c r="N396" s="3">
        <v>40588</v>
      </c>
      <c r="O396" s="3">
        <v>40588</v>
      </c>
      <c r="P396" s="2" t="s">
        <v>772</v>
      </c>
      <c r="Q396" s="2" t="s">
        <v>54</v>
      </c>
      <c r="R396" s="2" t="s">
        <v>37</v>
      </c>
      <c r="S396" s="2" t="s">
        <v>120</v>
      </c>
      <c r="T396" s="2" t="s">
        <v>773</v>
      </c>
      <c r="U396" s="2">
        <v>30</v>
      </c>
      <c r="V396" s="2">
        <v>2600</v>
      </c>
      <c r="W396" s="2">
        <v>33800</v>
      </c>
      <c r="X396" s="2">
        <v>13</v>
      </c>
      <c r="Y396" s="2">
        <v>0.43</v>
      </c>
      <c r="Z396" s="2">
        <v>236</v>
      </c>
      <c r="AA396" s="2">
        <v>1131.48</v>
      </c>
      <c r="AB396">
        <v>1</v>
      </c>
      <c r="AC396">
        <v>2011</v>
      </c>
      <c r="AE396" s="2">
        <v>1118</v>
      </c>
    </row>
    <row r="397" spans="2:31" ht="14.5">
      <c r="B397" s="2">
        <v>15999</v>
      </c>
      <c r="C397" s="2" t="s">
        <v>774</v>
      </c>
      <c r="D397" s="2" t="s">
        <v>775</v>
      </c>
      <c r="E397" s="2" t="s">
        <v>28</v>
      </c>
      <c r="F397" s="2" t="s">
        <v>29</v>
      </c>
      <c r="G397" s="2" t="s">
        <v>30</v>
      </c>
      <c r="H397" s="2" t="s">
        <v>31</v>
      </c>
      <c r="I397" s="2" t="s">
        <v>32</v>
      </c>
      <c r="J397" s="2" t="s">
        <v>33</v>
      </c>
      <c r="K397" s="2" t="s">
        <v>34</v>
      </c>
      <c r="L397" s="3">
        <v>41471</v>
      </c>
      <c r="M397" s="3">
        <v>41541</v>
      </c>
      <c r="N397" s="3">
        <v>41541</v>
      </c>
      <c r="O397" s="3">
        <v>41541</v>
      </c>
      <c r="P397" s="2" t="s">
        <v>112</v>
      </c>
      <c r="Q397" s="2" t="s">
        <v>113</v>
      </c>
      <c r="R397" s="2" t="s">
        <v>37</v>
      </c>
      <c r="S397" s="2" t="s">
        <v>114</v>
      </c>
      <c r="T397" s="2" t="s">
        <v>47</v>
      </c>
      <c r="U397" s="2">
        <v>60</v>
      </c>
      <c r="V397" s="2">
        <v>36426</v>
      </c>
      <c r="W397" s="2">
        <v>296143.38</v>
      </c>
      <c r="X397" s="2">
        <v>8.1300000000000008</v>
      </c>
      <c r="Y397" s="2">
        <v>0.14000000000000001</v>
      </c>
      <c r="Z397" s="2">
        <v>4609</v>
      </c>
      <c r="AA397" s="2">
        <v>17581.919999999998</v>
      </c>
      <c r="AB397">
        <v>1</v>
      </c>
      <c r="AC397">
        <v>2013</v>
      </c>
      <c r="AE397" s="2">
        <v>5099.6400000000003</v>
      </c>
    </row>
    <row r="398" spans="2:31" ht="14.5">
      <c r="B398" s="2">
        <v>16097</v>
      </c>
      <c r="C398" s="2" t="s">
        <v>776</v>
      </c>
      <c r="D398" s="2" t="s">
        <v>777</v>
      </c>
      <c r="E398" s="2" t="s">
        <v>28</v>
      </c>
      <c r="F398" s="2" t="s">
        <v>29</v>
      </c>
      <c r="G398" s="2" t="s">
        <v>30</v>
      </c>
      <c r="H398" s="2" t="s">
        <v>51</v>
      </c>
      <c r="I398" s="2" t="s">
        <v>32</v>
      </c>
      <c r="J398" s="2" t="s">
        <v>52</v>
      </c>
      <c r="K398" s="2" t="s">
        <v>34</v>
      </c>
      <c r="L398" s="3">
        <v>39993</v>
      </c>
      <c r="M398" s="3">
        <v>40144</v>
      </c>
      <c r="N398" s="3">
        <v>40144</v>
      </c>
      <c r="O398" s="3">
        <v>40144</v>
      </c>
      <c r="P398" s="2" t="s">
        <v>119</v>
      </c>
      <c r="Q398" s="2" t="s">
        <v>68</v>
      </c>
      <c r="R398" s="2" t="s">
        <v>69</v>
      </c>
      <c r="S398" s="2" t="s">
        <v>120</v>
      </c>
      <c r="T398" s="2" t="s">
        <v>71</v>
      </c>
      <c r="U398" s="2">
        <v>30</v>
      </c>
      <c r="V398" s="2">
        <v>18544</v>
      </c>
      <c r="W398" s="2">
        <v>340096.96</v>
      </c>
      <c r="X398" s="2">
        <v>18.34</v>
      </c>
      <c r="Y398" s="2">
        <v>0.61</v>
      </c>
      <c r="Z398" s="2">
        <v>1478</v>
      </c>
      <c r="AA398" s="2">
        <v>1312.2</v>
      </c>
      <c r="AB398">
        <v>1</v>
      </c>
      <c r="AC398">
        <v>2009</v>
      </c>
      <c r="AE398" s="2">
        <v>11311.84</v>
      </c>
    </row>
    <row r="399" spans="2:31" ht="14.5">
      <c r="B399" s="2">
        <v>16104</v>
      </c>
      <c r="C399" s="2" t="s">
        <v>778</v>
      </c>
      <c r="D399" s="2" t="s">
        <v>779</v>
      </c>
      <c r="E399" s="2" t="s">
        <v>60</v>
      </c>
      <c r="F399" s="2" t="s">
        <v>29</v>
      </c>
      <c r="G399" s="2" t="s">
        <v>30</v>
      </c>
      <c r="H399" s="2" t="s">
        <v>31</v>
      </c>
      <c r="I399" s="2" t="s">
        <v>32</v>
      </c>
      <c r="J399" s="2" t="s">
        <v>33</v>
      </c>
      <c r="K399" s="2" t="s">
        <v>34</v>
      </c>
      <c r="L399" s="3">
        <v>40575</v>
      </c>
      <c r="M399" s="3">
        <v>40847</v>
      </c>
      <c r="N399" s="3">
        <v>40847</v>
      </c>
      <c r="O399" s="3">
        <v>40847</v>
      </c>
      <c r="P399" s="2" t="s">
        <v>780</v>
      </c>
      <c r="Q399" s="2" t="s">
        <v>54</v>
      </c>
      <c r="R399" s="2" t="s">
        <v>37</v>
      </c>
      <c r="S399" s="2" t="s">
        <v>70</v>
      </c>
      <c r="T399" s="2" t="s">
        <v>773</v>
      </c>
      <c r="U399" s="2">
        <v>30</v>
      </c>
      <c r="V399" s="2">
        <v>2225</v>
      </c>
      <c r="W399" s="2">
        <v>44500</v>
      </c>
      <c r="X399" s="2">
        <v>20</v>
      </c>
      <c r="Y399" s="2">
        <v>0.67</v>
      </c>
      <c r="Z399" s="2">
        <v>174</v>
      </c>
      <c r="AA399" s="2">
        <v>2052.9699999999998</v>
      </c>
      <c r="AB399">
        <v>1</v>
      </c>
      <c r="AC399">
        <v>2011</v>
      </c>
      <c r="AE399" s="2">
        <v>1490.75</v>
      </c>
    </row>
    <row r="400" spans="2:31" ht="14.5">
      <c r="B400" s="2">
        <v>16173</v>
      </c>
      <c r="C400" s="2" t="s">
        <v>781</v>
      </c>
      <c r="D400" s="2" t="s">
        <v>782</v>
      </c>
      <c r="E400" s="2" t="s">
        <v>28</v>
      </c>
      <c r="F400" s="2" t="s">
        <v>29</v>
      </c>
      <c r="G400" s="2" t="s">
        <v>50</v>
      </c>
      <c r="H400" s="2" t="s">
        <v>783</v>
      </c>
      <c r="I400" s="2" t="s">
        <v>32</v>
      </c>
      <c r="J400" s="2" t="s">
        <v>82</v>
      </c>
      <c r="K400" s="2" t="s">
        <v>34</v>
      </c>
      <c r="L400" s="3">
        <v>40759</v>
      </c>
      <c r="M400" s="3">
        <v>40997</v>
      </c>
      <c r="N400" s="3">
        <v>40997</v>
      </c>
      <c r="O400" s="3">
        <v>40997</v>
      </c>
      <c r="P400" s="2" t="s">
        <v>784</v>
      </c>
      <c r="Q400" s="2" t="s">
        <v>54</v>
      </c>
      <c r="R400" s="2" t="s">
        <v>55</v>
      </c>
      <c r="S400" s="2" t="s">
        <v>330</v>
      </c>
      <c r="T400" s="2" t="s">
        <v>180</v>
      </c>
      <c r="U400" s="2">
        <v>60</v>
      </c>
      <c r="V400" s="2">
        <v>4132</v>
      </c>
      <c r="W400" s="2">
        <v>52683</v>
      </c>
      <c r="X400" s="2">
        <v>12.75</v>
      </c>
      <c r="Y400" s="2">
        <v>0.21</v>
      </c>
      <c r="Z400" s="2">
        <v>1598</v>
      </c>
      <c r="AA400" s="2">
        <v>12689.71</v>
      </c>
      <c r="AB400">
        <v>1</v>
      </c>
      <c r="AC400">
        <v>2012</v>
      </c>
      <c r="AE400" s="2">
        <v>867.71999999999991</v>
      </c>
    </row>
    <row r="401" spans="2:31" ht="14.5">
      <c r="B401" s="2">
        <v>16398</v>
      </c>
      <c r="C401" s="2" t="s">
        <v>785</v>
      </c>
      <c r="D401" s="2" t="s">
        <v>786</v>
      </c>
      <c r="E401" s="2" t="s">
        <v>42</v>
      </c>
      <c r="F401" s="2" t="s">
        <v>29</v>
      </c>
      <c r="G401" s="2" t="s">
        <v>30</v>
      </c>
      <c r="H401" s="2" t="s">
        <v>43</v>
      </c>
      <c r="I401" s="2" t="s">
        <v>32</v>
      </c>
      <c r="J401" s="2" t="s">
        <v>33</v>
      </c>
      <c r="K401" s="2" t="s">
        <v>646</v>
      </c>
      <c r="L401" s="3">
        <v>40448</v>
      </c>
      <c r="M401" s="3">
        <v>40890</v>
      </c>
      <c r="N401" s="3">
        <v>40890</v>
      </c>
      <c r="O401" s="3">
        <v>40890</v>
      </c>
      <c r="P401" s="2" t="s">
        <v>759</v>
      </c>
      <c r="Q401" s="2" t="s">
        <v>84</v>
      </c>
      <c r="R401" s="2" t="s">
        <v>37</v>
      </c>
      <c r="S401" s="2" t="s">
        <v>152</v>
      </c>
      <c r="T401" s="2" t="s">
        <v>39</v>
      </c>
      <c r="U401" s="2">
        <v>120</v>
      </c>
      <c r="V401" s="2">
        <v>23240</v>
      </c>
      <c r="W401" s="2">
        <v>776216</v>
      </c>
      <c r="X401" s="2">
        <v>33.4</v>
      </c>
      <c r="Y401" s="2">
        <v>0.28000000000000003</v>
      </c>
      <c r="Z401" s="2">
        <v>6853</v>
      </c>
      <c r="AA401" s="2">
        <v>81246.12</v>
      </c>
      <c r="AB401">
        <v>1</v>
      </c>
      <c r="AC401">
        <v>2011</v>
      </c>
      <c r="AE401" s="2">
        <v>6507.2000000000007</v>
      </c>
    </row>
    <row r="402" spans="2:31" ht="14.5">
      <c r="B402" s="2">
        <v>16496</v>
      </c>
      <c r="C402" s="2" t="s">
        <v>787</v>
      </c>
      <c r="D402" s="2" t="s">
        <v>788</v>
      </c>
      <c r="E402" s="2" t="s">
        <v>28</v>
      </c>
      <c r="F402" s="2" t="s">
        <v>29</v>
      </c>
      <c r="G402" s="2" t="s">
        <v>30</v>
      </c>
      <c r="H402" s="2" t="s">
        <v>94</v>
      </c>
      <c r="I402" s="2" t="s">
        <v>32</v>
      </c>
      <c r="J402" s="2" t="s">
        <v>33</v>
      </c>
      <c r="K402" s="2" t="s">
        <v>34</v>
      </c>
      <c r="L402" s="3">
        <v>41635</v>
      </c>
      <c r="M402" s="3">
        <v>41754</v>
      </c>
      <c r="N402" s="3">
        <v>41754</v>
      </c>
      <c r="O402" s="3">
        <v>41754</v>
      </c>
      <c r="P402" s="2" t="s">
        <v>333</v>
      </c>
      <c r="Q402" s="2" t="s">
        <v>225</v>
      </c>
      <c r="R402" s="2" t="s">
        <v>37</v>
      </c>
      <c r="S402" s="2" t="s">
        <v>100</v>
      </c>
      <c r="T402" s="2" t="s">
        <v>39</v>
      </c>
      <c r="U402" s="2">
        <v>60</v>
      </c>
      <c r="V402" s="2">
        <v>63200</v>
      </c>
      <c r="W402" s="2">
        <v>347600</v>
      </c>
      <c r="X402" s="2">
        <v>5.5</v>
      </c>
      <c r="Y402" s="2">
        <v>0.09</v>
      </c>
      <c r="Z402" s="2">
        <v>4007</v>
      </c>
      <c r="AA402" s="2">
        <v>23397.41</v>
      </c>
      <c r="AB402">
        <v>1</v>
      </c>
      <c r="AC402">
        <v>2014</v>
      </c>
      <c r="AE402" s="2">
        <v>5688</v>
      </c>
    </row>
    <row r="403" spans="2:31" ht="14.5">
      <c r="B403" s="2">
        <v>16556</v>
      </c>
      <c r="C403" s="2" t="s">
        <v>789</v>
      </c>
      <c r="D403" s="2" t="s">
        <v>790</v>
      </c>
      <c r="E403" s="2" t="s">
        <v>42</v>
      </c>
      <c r="F403" s="2" t="s">
        <v>29</v>
      </c>
      <c r="G403" s="2" t="s">
        <v>30</v>
      </c>
      <c r="H403" s="2" t="s">
        <v>43</v>
      </c>
      <c r="I403" s="2" t="s">
        <v>32</v>
      </c>
      <c r="J403" s="2" t="s">
        <v>33</v>
      </c>
      <c r="K403" s="2" t="s">
        <v>34</v>
      </c>
      <c r="L403" s="3">
        <v>40982</v>
      </c>
      <c r="M403" s="3">
        <v>41089</v>
      </c>
      <c r="N403" s="3">
        <v>41089</v>
      </c>
      <c r="O403" s="3">
        <v>41089</v>
      </c>
      <c r="P403" s="2" t="s">
        <v>759</v>
      </c>
      <c r="Q403" s="2" t="s">
        <v>84</v>
      </c>
      <c r="R403" s="2" t="s">
        <v>37</v>
      </c>
      <c r="S403" s="2" t="s">
        <v>152</v>
      </c>
      <c r="T403" s="2" t="s">
        <v>39</v>
      </c>
      <c r="U403" s="2">
        <v>120</v>
      </c>
      <c r="V403" s="2">
        <v>2074</v>
      </c>
      <c r="W403" s="2">
        <v>74746.960000000006</v>
      </c>
      <c r="X403" s="2">
        <v>36.04</v>
      </c>
      <c r="Y403" s="2">
        <v>0.3</v>
      </c>
      <c r="Z403" s="2">
        <v>627</v>
      </c>
      <c r="AA403" s="2">
        <v>6072.8</v>
      </c>
      <c r="AB403">
        <v>1</v>
      </c>
      <c r="AC403">
        <v>2012</v>
      </c>
      <c r="AE403" s="2">
        <v>622.19999999999993</v>
      </c>
    </row>
    <row r="404" spans="2:31" ht="14.5">
      <c r="B404" s="2">
        <v>16766</v>
      </c>
      <c r="C404" s="2" t="s">
        <v>791</v>
      </c>
      <c r="D404" s="2" t="s">
        <v>792</v>
      </c>
      <c r="E404" s="2" t="s">
        <v>42</v>
      </c>
      <c r="F404" s="2" t="s">
        <v>29</v>
      </c>
      <c r="G404" s="2" t="s">
        <v>30</v>
      </c>
      <c r="H404" s="2" t="s">
        <v>94</v>
      </c>
      <c r="I404" s="2" t="s">
        <v>32</v>
      </c>
      <c r="J404" s="2" t="s">
        <v>52</v>
      </c>
      <c r="K404" s="2" t="s">
        <v>34</v>
      </c>
      <c r="L404" s="3">
        <v>40010</v>
      </c>
      <c r="M404" s="3">
        <v>40140</v>
      </c>
      <c r="N404" s="3">
        <v>40140</v>
      </c>
      <c r="O404" s="3">
        <v>40140</v>
      </c>
      <c r="P404" s="2" t="s">
        <v>35</v>
      </c>
      <c r="Q404" s="2" t="s">
        <v>36</v>
      </c>
      <c r="R404" s="2" t="s">
        <v>37</v>
      </c>
      <c r="S404" s="2" t="s">
        <v>38</v>
      </c>
      <c r="T404" s="2" t="s">
        <v>39</v>
      </c>
      <c r="U404" s="2">
        <v>60</v>
      </c>
      <c r="V404" s="2">
        <v>29925</v>
      </c>
      <c r="W404" s="2">
        <v>92468.25</v>
      </c>
      <c r="X404" s="2">
        <v>3.09</v>
      </c>
      <c r="Y404" s="2">
        <v>0.05</v>
      </c>
      <c r="Z404" s="2">
        <v>1041</v>
      </c>
      <c r="AA404" s="2">
        <v>730.82</v>
      </c>
      <c r="AB404">
        <v>1</v>
      </c>
      <c r="AC404">
        <v>2009</v>
      </c>
      <c r="AE404" s="2">
        <v>1496.25</v>
      </c>
    </row>
    <row r="405" spans="2:31" ht="14.5">
      <c r="B405" s="2">
        <v>16794</v>
      </c>
      <c r="C405" s="2" t="s">
        <v>738</v>
      </c>
      <c r="D405" s="2" t="s">
        <v>793</v>
      </c>
      <c r="E405" s="2" t="s">
        <v>42</v>
      </c>
      <c r="F405" s="2" t="s">
        <v>29</v>
      </c>
      <c r="G405" s="2" t="s">
        <v>50</v>
      </c>
      <c r="H405" s="2" t="s">
        <v>31</v>
      </c>
      <c r="I405" s="2" t="s">
        <v>32</v>
      </c>
      <c r="J405" s="2" t="s">
        <v>33</v>
      </c>
      <c r="K405" s="2" t="s">
        <v>34</v>
      </c>
      <c r="L405" s="3">
        <v>41698</v>
      </c>
      <c r="M405" s="3">
        <v>41765</v>
      </c>
      <c r="N405" s="3">
        <v>41765</v>
      </c>
      <c r="O405" s="3">
        <v>41774</v>
      </c>
      <c r="P405" s="2" t="s">
        <v>740</v>
      </c>
      <c r="Q405" s="2" t="s">
        <v>36</v>
      </c>
      <c r="R405" s="2" t="s">
        <v>37</v>
      </c>
      <c r="S405" s="2" t="s">
        <v>226</v>
      </c>
      <c r="T405" s="2" t="s">
        <v>526</v>
      </c>
      <c r="U405" s="2">
        <v>240</v>
      </c>
      <c r="V405" s="2">
        <v>9690</v>
      </c>
      <c r="W405" s="2">
        <v>14631.9</v>
      </c>
      <c r="X405" s="2">
        <v>1.51</v>
      </c>
      <c r="Y405" s="2">
        <v>0.01</v>
      </c>
      <c r="Z405" s="2">
        <v>3790</v>
      </c>
      <c r="AA405" s="2">
        <v>66260.33</v>
      </c>
      <c r="AB405">
        <v>1</v>
      </c>
      <c r="AC405">
        <v>2014</v>
      </c>
      <c r="AE405" s="2">
        <v>96.9</v>
      </c>
    </row>
    <row r="406" spans="2:31" ht="14.5">
      <c r="B406" s="2">
        <v>16998</v>
      </c>
      <c r="C406" s="2" t="s">
        <v>794</v>
      </c>
      <c r="D406" s="2" t="s">
        <v>795</v>
      </c>
      <c r="E406" s="2" t="s">
        <v>28</v>
      </c>
      <c r="F406" s="2" t="s">
        <v>29</v>
      </c>
      <c r="G406" s="2" t="s">
        <v>30</v>
      </c>
      <c r="H406" s="2" t="s">
        <v>31</v>
      </c>
      <c r="I406" s="2" t="s">
        <v>32</v>
      </c>
      <c r="J406" s="2" t="s">
        <v>33</v>
      </c>
      <c r="K406" s="2" t="s">
        <v>34</v>
      </c>
      <c r="L406" s="3">
        <v>40353</v>
      </c>
      <c r="M406" s="3">
        <v>40397</v>
      </c>
      <c r="N406" s="3">
        <v>40399</v>
      </c>
      <c r="O406" s="3">
        <v>40399</v>
      </c>
      <c r="P406" s="2" t="s">
        <v>35</v>
      </c>
      <c r="Q406" s="2" t="s">
        <v>36</v>
      </c>
      <c r="R406" s="2" t="s">
        <v>37</v>
      </c>
      <c r="S406" s="2" t="s">
        <v>38</v>
      </c>
      <c r="T406" s="2" t="s">
        <v>39</v>
      </c>
      <c r="U406" s="2">
        <v>60</v>
      </c>
      <c r="V406" s="2">
        <v>28663</v>
      </c>
      <c r="W406" s="2">
        <v>74523.8</v>
      </c>
      <c r="X406" s="2">
        <v>2.6</v>
      </c>
      <c r="Y406" s="2">
        <v>0.04</v>
      </c>
      <c r="Z406" s="2">
        <v>3380</v>
      </c>
      <c r="AA406" s="2">
        <v>17603.580000000002</v>
      </c>
      <c r="AB406">
        <v>0</v>
      </c>
      <c r="AC406">
        <v>2010</v>
      </c>
      <c r="AE406" s="2">
        <v>1146.52</v>
      </c>
    </row>
    <row r="407" spans="2:31" ht="14.5">
      <c r="B407" s="2">
        <v>17207</v>
      </c>
      <c r="C407" s="2" t="s">
        <v>796</v>
      </c>
      <c r="D407" s="2" t="s">
        <v>797</v>
      </c>
      <c r="E407" s="2" t="s">
        <v>42</v>
      </c>
      <c r="F407" s="2" t="s">
        <v>29</v>
      </c>
      <c r="G407" s="2" t="s">
        <v>30</v>
      </c>
      <c r="H407" s="2" t="s">
        <v>94</v>
      </c>
      <c r="I407" s="2" t="s">
        <v>32</v>
      </c>
      <c r="J407" s="2" t="s">
        <v>52</v>
      </c>
      <c r="K407" s="2" t="s">
        <v>34</v>
      </c>
      <c r="L407" s="3">
        <v>40010</v>
      </c>
      <c r="M407" s="3">
        <v>40360</v>
      </c>
      <c r="N407" s="3">
        <v>40360</v>
      </c>
      <c r="O407" s="3">
        <v>40360</v>
      </c>
      <c r="P407" s="2" t="s">
        <v>35</v>
      </c>
      <c r="Q407" s="2" t="s">
        <v>36</v>
      </c>
      <c r="R407" s="2" t="s">
        <v>37</v>
      </c>
      <c r="S407" s="2" t="s">
        <v>38</v>
      </c>
      <c r="T407" s="2" t="s">
        <v>39</v>
      </c>
      <c r="U407" s="2">
        <v>60</v>
      </c>
      <c r="V407" s="2">
        <v>66825</v>
      </c>
      <c r="W407" s="2">
        <v>206489.25</v>
      </c>
      <c r="X407" s="2">
        <v>3.09</v>
      </c>
      <c r="Y407" s="2">
        <v>0.05</v>
      </c>
      <c r="Z407" s="2">
        <v>3845</v>
      </c>
      <c r="AA407" s="2">
        <v>20194.78</v>
      </c>
      <c r="AB407">
        <v>1</v>
      </c>
      <c r="AC407">
        <v>2010</v>
      </c>
      <c r="AE407" s="2">
        <v>3341.25</v>
      </c>
    </row>
    <row r="408" spans="2:31" ht="14.5">
      <c r="B408" s="2">
        <v>17259</v>
      </c>
      <c r="C408" s="2" t="s">
        <v>798</v>
      </c>
      <c r="D408" s="2" t="s">
        <v>799</v>
      </c>
      <c r="E408" s="2" t="s">
        <v>28</v>
      </c>
      <c r="F408" s="2" t="s">
        <v>29</v>
      </c>
      <c r="G408" s="2" t="s">
        <v>30</v>
      </c>
      <c r="H408" s="2" t="s">
        <v>783</v>
      </c>
      <c r="I408" s="2" t="s">
        <v>32</v>
      </c>
      <c r="J408" s="2" t="s">
        <v>82</v>
      </c>
      <c r="K408" s="2" t="s">
        <v>34</v>
      </c>
      <c r="L408" s="3">
        <v>40647</v>
      </c>
      <c r="M408" s="3">
        <v>40721</v>
      </c>
      <c r="N408" s="3">
        <v>40721</v>
      </c>
      <c r="O408" s="3">
        <v>40721</v>
      </c>
      <c r="P408" s="2" t="s">
        <v>119</v>
      </c>
      <c r="Q408" s="2" t="s">
        <v>68</v>
      </c>
      <c r="R408" s="2" t="s">
        <v>69</v>
      </c>
      <c r="S408" s="2" t="s">
        <v>120</v>
      </c>
      <c r="T408" s="2" t="s">
        <v>71</v>
      </c>
      <c r="U408" s="2">
        <v>30</v>
      </c>
      <c r="V408" s="2">
        <v>2098</v>
      </c>
      <c r="W408" s="2">
        <v>38477.32</v>
      </c>
      <c r="X408" s="2">
        <v>18.34</v>
      </c>
      <c r="Y408" s="2">
        <v>0.61</v>
      </c>
      <c r="Z408" s="2">
        <v>140</v>
      </c>
      <c r="AA408" s="2">
        <v>1870.73</v>
      </c>
      <c r="AB408">
        <v>1</v>
      </c>
      <c r="AC408">
        <v>2011</v>
      </c>
      <c r="AE408" s="2">
        <v>1279.78</v>
      </c>
    </row>
    <row r="409" spans="2:31" ht="14.5">
      <c r="B409" s="2">
        <v>18580</v>
      </c>
      <c r="C409" s="2" t="s">
        <v>800</v>
      </c>
      <c r="D409" s="2" t="s">
        <v>801</v>
      </c>
      <c r="E409" s="2" t="s">
        <v>28</v>
      </c>
      <c r="F409" s="2" t="s">
        <v>29</v>
      </c>
      <c r="G409" s="2" t="s">
        <v>50</v>
      </c>
      <c r="H409" s="2" t="s">
        <v>175</v>
      </c>
      <c r="I409" s="2" t="s">
        <v>32</v>
      </c>
      <c r="J409" s="2" t="s">
        <v>33</v>
      </c>
      <c r="K409" s="2" t="s">
        <v>34</v>
      </c>
      <c r="L409" s="3">
        <v>41747</v>
      </c>
      <c r="M409" s="3">
        <v>41814</v>
      </c>
      <c r="N409" s="3">
        <v>41814</v>
      </c>
      <c r="O409" s="3">
        <v>41814</v>
      </c>
      <c r="P409" s="2" t="s">
        <v>802</v>
      </c>
      <c r="Q409" s="2" t="s">
        <v>96</v>
      </c>
      <c r="R409" s="2" t="s">
        <v>37</v>
      </c>
      <c r="S409" s="2" t="s">
        <v>38</v>
      </c>
      <c r="T409" s="2" t="s">
        <v>39</v>
      </c>
      <c r="U409" s="2">
        <v>90</v>
      </c>
      <c r="V409" s="2">
        <v>15041</v>
      </c>
      <c r="W409" s="2">
        <v>139881.29999999999</v>
      </c>
      <c r="X409" s="2">
        <v>9.3000000000000007</v>
      </c>
      <c r="Y409" s="2">
        <v>0.1</v>
      </c>
      <c r="Z409" s="2">
        <v>949</v>
      </c>
      <c r="AA409" s="2">
        <v>4673.7700000000004</v>
      </c>
      <c r="AB409">
        <v>1</v>
      </c>
      <c r="AC409">
        <v>2014</v>
      </c>
      <c r="AE409" s="2">
        <v>1504.1000000000001</v>
      </c>
    </row>
    <row r="410" spans="2:31" ht="14.5">
      <c r="B410" s="2">
        <v>18694</v>
      </c>
      <c r="C410" s="2" t="s">
        <v>803</v>
      </c>
      <c r="D410" s="2" t="s">
        <v>804</v>
      </c>
      <c r="E410" s="2" t="s">
        <v>28</v>
      </c>
      <c r="F410" s="2" t="s">
        <v>29</v>
      </c>
      <c r="G410" s="2" t="s">
        <v>30</v>
      </c>
      <c r="H410" s="2" t="s">
        <v>51</v>
      </c>
      <c r="I410" s="2" t="s">
        <v>32</v>
      </c>
      <c r="J410" s="2" t="s">
        <v>52</v>
      </c>
      <c r="K410" s="2" t="s">
        <v>34</v>
      </c>
      <c r="L410" s="3">
        <v>39993</v>
      </c>
      <c r="M410" s="3">
        <v>40107</v>
      </c>
      <c r="N410" s="3">
        <v>40107</v>
      </c>
      <c r="O410" s="3">
        <v>40107</v>
      </c>
      <c r="P410" s="2" t="s">
        <v>67</v>
      </c>
      <c r="Q410" s="2" t="s">
        <v>68</v>
      </c>
      <c r="R410" s="2" t="s">
        <v>69</v>
      </c>
      <c r="S410" s="2" t="s">
        <v>70</v>
      </c>
      <c r="T410" s="2" t="s">
        <v>71</v>
      </c>
      <c r="U410" s="2">
        <v>30</v>
      </c>
      <c r="V410" s="2">
        <v>1000</v>
      </c>
      <c r="W410" s="2">
        <v>23670</v>
      </c>
      <c r="X410" s="2">
        <v>23.67</v>
      </c>
      <c r="Y410" s="2">
        <v>0.79</v>
      </c>
      <c r="Z410" s="2">
        <v>335</v>
      </c>
      <c r="AA410" s="2">
        <v>888</v>
      </c>
      <c r="AB410">
        <v>1</v>
      </c>
      <c r="AC410">
        <v>2009</v>
      </c>
      <c r="AE410" s="2">
        <v>790</v>
      </c>
    </row>
    <row r="411" spans="2:31" ht="14.5">
      <c r="B411" s="2">
        <v>18923</v>
      </c>
      <c r="C411" s="2" t="s">
        <v>805</v>
      </c>
      <c r="D411" s="2" t="s">
        <v>806</v>
      </c>
      <c r="E411" s="2" t="s">
        <v>28</v>
      </c>
      <c r="F411" s="2" t="s">
        <v>29</v>
      </c>
      <c r="G411" s="2" t="s">
        <v>50</v>
      </c>
      <c r="H411" s="2" t="s">
        <v>807</v>
      </c>
      <c r="I411" s="2" t="s">
        <v>32</v>
      </c>
      <c r="J411" s="2" t="s">
        <v>33</v>
      </c>
      <c r="K411" s="2" t="s">
        <v>34</v>
      </c>
      <c r="L411" s="3">
        <v>40291</v>
      </c>
      <c r="M411" s="3">
        <v>40513</v>
      </c>
      <c r="N411" s="3">
        <v>40513</v>
      </c>
      <c r="O411" s="3">
        <v>40513</v>
      </c>
      <c r="P411" s="2" t="s">
        <v>808</v>
      </c>
      <c r="Q411" s="2" t="s">
        <v>745</v>
      </c>
      <c r="R411" s="2" t="s">
        <v>37</v>
      </c>
      <c r="S411" s="2" t="s">
        <v>166</v>
      </c>
      <c r="T411" s="2" t="s">
        <v>64</v>
      </c>
      <c r="U411" s="2">
        <v>60</v>
      </c>
      <c r="V411" s="2">
        <v>426</v>
      </c>
      <c r="W411" s="2">
        <v>11114.34</v>
      </c>
      <c r="X411" s="2">
        <v>26.09</v>
      </c>
      <c r="Y411" s="2">
        <v>0.43</v>
      </c>
      <c r="Z411" s="2">
        <v>45</v>
      </c>
      <c r="AA411" s="2">
        <v>1013.19</v>
      </c>
      <c r="AB411">
        <v>1</v>
      </c>
      <c r="AC411">
        <v>2010</v>
      </c>
      <c r="AE411" s="2">
        <v>183.18</v>
      </c>
    </row>
    <row r="412" spans="2:31" ht="14.5">
      <c r="B412" s="2">
        <v>19105</v>
      </c>
      <c r="C412" s="2" t="s">
        <v>809</v>
      </c>
      <c r="D412" s="2" t="s">
        <v>810</v>
      </c>
      <c r="E412" s="2" t="s">
        <v>42</v>
      </c>
      <c r="F412" s="2" t="s">
        <v>29</v>
      </c>
      <c r="G412" s="2" t="s">
        <v>50</v>
      </c>
      <c r="H412" s="2" t="s">
        <v>43</v>
      </c>
      <c r="I412" s="2" t="s">
        <v>32</v>
      </c>
      <c r="J412" s="2" t="s">
        <v>33</v>
      </c>
      <c r="K412" s="2" t="s">
        <v>34</v>
      </c>
      <c r="L412" s="3">
        <v>40977</v>
      </c>
      <c r="M412" s="3">
        <v>41082</v>
      </c>
      <c r="N412" s="3">
        <v>41082</v>
      </c>
      <c r="O412" s="3">
        <v>41082</v>
      </c>
      <c r="P412" s="2" t="s">
        <v>291</v>
      </c>
      <c r="Q412" s="2" t="s">
        <v>99</v>
      </c>
      <c r="R412" s="2" t="s">
        <v>37</v>
      </c>
      <c r="S412" s="2" t="s">
        <v>172</v>
      </c>
      <c r="T412" s="2" t="s">
        <v>87</v>
      </c>
      <c r="U412" s="2">
        <v>240</v>
      </c>
      <c r="V412" s="2">
        <v>4534</v>
      </c>
      <c r="W412" s="2">
        <v>38539</v>
      </c>
      <c r="X412" s="2">
        <v>8.5</v>
      </c>
      <c r="Y412" s="2">
        <v>0.04</v>
      </c>
      <c r="Z412" s="2">
        <v>1631</v>
      </c>
      <c r="AA412" s="2">
        <v>13116.57</v>
      </c>
      <c r="AB412">
        <v>1</v>
      </c>
      <c r="AC412">
        <v>2012</v>
      </c>
      <c r="AE412" s="2">
        <v>181.36</v>
      </c>
    </row>
    <row r="413" spans="2:31" ht="14.5">
      <c r="B413" s="2">
        <v>19246</v>
      </c>
      <c r="C413" s="2" t="s">
        <v>811</v>
      </c>
      <c r="D413" s="2" t="s">
        <v>812</v>
      </c>
      <c r="E413" s="2" t="s">
        <v>28</v>
      </c>
      <c r="F413" s="2" t="s">
        <v>29</v>
      </c>
      <c r="G413" s="2" t="s">
        <v>30</v>
      </c>
      <c r="H413" s="2" t="s">
        <v>109</v>
      </c>
      <c r="I413" s="2" t="s">
        <v>32</v>
      </c>
      <c r="J413" s="2" t="s">
        <v>33</v>
      </c>
      <c r="K413" s="2" t="s">
        <v>34</v>
      </c>
      <c r="L413" s="3">
        <v>41408</v>
      </c>
      <c r="M413" s="3">
        <v>41522</v>
      </c>
      <c r="N413" s="3">
        <v>41522</v>
      </c>
      <c r="O413" s="3">
        <v>41522</v>
      </c>
      <c r="P413" s="2" t="s">
        <v>813</v>
      </c>
      <c r="Q413" s="2" t="s">
        <v>814</v>
      </c>
      <c r="R413" s="2" t="s">
        <v>37</v>
      </c>
      <c r="S413" s="2" t="s">
        <v>815</v>
      </c>
      <c r="T413" s="2" t="s">
        <v>39</v>
      </c>
      <c r="U413" s="2">
        <v>30</v>
      </c>
      <c r="V413" s="2">
        <v>5175</v>
      </c>
      <c r="W413" s="2">
        <v>116437.5</v>
      </c>
      <c r="X413" s="2">
        <v>22.5</v>
      </c>
      <c r="Y413" s="2">
        <v>0.75</v>
      </c>
      <c r="Z413" s="2">
        <v>775</v>
      </c>
      <c r="AA413" s="2">
        <v>4136.58</v>
      </c>
      <c r="AB413">
        <v>1</v>
      </c>
      <c r="AC413">
        <v>2013</v>
      </c>
      <c r="AE413" s="2">
        <v>3881.25</v>
      </c>
    </row>
    <row r="414" spans="2:31" ht="14.5">
      <c r="B414" s="2">
        <v>19851</v>
      </c>
      <c r="C414" s="2" t="s">
        <v>816</v>
      </c>
      <c r="D414" s="2" t="s">
        <v>817</v>
      </c>
      <c r="E414" s="2" t="s">
        <v>118</v>
      </c>
      <c r="F414" s="2" t="s">
        <v>29</v>
      </c>
      <c r="G414" s="2" t="s">
        <v>50</v>
      </c>
      <c r="H414" s="2" t="s">
        <v>31</v>
      </c>
      <c r="I414" s="2" t="s">
        <v>32</v>
      </c>
      <c r="J414" s="2" t="s">
        <v>33</v>
      </c>
      <c r="K414" s="2" t="s">
        <v>34</v>
      </c>
      <c r="L414" s="3">
        <v>41495</v>
      </c>
      <c r="M414" s="3">
        <v>41618</v>
      </c>
      <c r="N414" s="3">
        <v>41620</v>
      </c>
      <c r="O414" s="3">
        <v>41621</v>
      </c>
      <c r="P414" s="2" t="s">
        <v>818</v>
      </c>
      <c r="Q414" s="2" t="s">
        <v>36</v>
      </c>
      <c r="R414" s="2" t="s">
        <v>37</v>
      </c>
      <c r="S414" s="2" t="s">
        <v>226</v>
      </c>
      <c r="T414" s="2" t="s">
        <v>526</v>
      </c>
      <c r="U414" s="2">
        <v>100</v>
      </c>
      <c r="V414" s="2">
        <v>11310</v>
      </c>
      <c r="W414" s="2">
        <v>14703</v>
      </c>
      <c r="X414" s="2">
        <v>1.3</v>
      </c>
      <c r="Y414" s="2">
        <v>0.01</v>
      </c>
      <c r="Z414" s="2">
        <v>2454</v>
      </c>
      <c r="AA414" s="2">
        <v>10898.12</v>
      </c>
      <c r="AB414">
        <v>0</v>
      </c>
      <c r="AC414">
        <v>2013</v>
      </c>
      <c r="AE414" s="2">
        <v>113.10000000000001</v>
      </c>
    </row>
    <row r="415" spans="2:31" ht="14.5">
      <c r="B415" s="2">
        <v>20133</v>
      </c>
      <c r="C415" s="2" t="s">
        <v>819</v>
      </c>
      <c r="D415" s="2" t="s">
        <v>820</v>
      </c>
      <c r="E415" s="2" t="s">
        <v>118</v>
      </c>
      <c r="F415" s="2" t="s">
        <v>29</v>
      </c>
      <c r="G415" s="2" t="s">
        <v>30</v>
      </c>
      <c r="H415" s="2" t="s">
        <v>81</v>
      </c>
      <c r="I415" s="2" t="s">
        <v>32</v>
      </c>
      <c r="J415" s="2" t="s">
        <v>82</v>
      </c>
      <c r="K415" s="2" t="s">
        <v>34</v>
      </c>
      <c r="L415" s="3">
        <v>40086</v>
      </c>
      <c r="M415" s="3">
        <v>40121</v>
      </c>
      <c r="N415" s="3">
        <v>40121</v>
      </c>
      <c r="O415" s="3">
        <v>40121</v>
      </c>
      <c r="P415" s="2" t="s">
        <v>150</v>
      </c>
      <c r="Q415" s="2" t="s">
        <v>84</v>
      </c>
      <c r="R415" s="2" t="s">
        <v>151</v>
      </c>
      <c r="S415" s="2" t="s">
        <v>152</v>
      </c>
      <c r="T415" s="2" t="s">
        <v>39</v>
      </c>
      <c r="U415" s="2">
        <v>120</v>
      </c>
      <c r="V415" s="2">
        <v>60</v>
      </c>
      <c r="W415" s="2">
        <v>2169.6</v>
      </c>
      <c r="X415" s="2">
        <v>36.159999999999997</v>
      </c>
      <c r="Y415" s="2">
        <v>0.3</v>
      </c>
      <c r="Z415" s="2">
        <v>36</v>
      </c>
      <c r="AA415" s="2">
        <v>814.04</v>
      </c>
      <c r="AB415">
        <v>1</v>
      </c>
      <c r="AC415">
        <v>2009</v>
      </c>
      <c r="AE415" s="2">
        <v>18</v>
      </c>
    </row>
    <row r="416" spans="2:31" ht="14.5">
      <c r="B416" s="2">
        <v>20239</v>
      </c>
      <c r="C416" s="2" t="s">
        <v>821</v>
      </c>
      <c r="D416" s="2" t="s">
        <v>822</v>
      </c>
      <c r="E416" s="2" t="s">
        <v>42</v>
      </c>
      <c r="F416" s="2" t="s">
        <v>29</v>
      </c>
      <c r="G416" s="2" t="s">
        <v>30</v>
      </c>
      <c r="H416" s="2" t="s">
        <v>94</v>
      </c>
      <c r="I416" s="2" t="s">
        <v>32</v>
      </c>
      <c r="J416" s="2" t="s">
        <v>33</v>
      </c>
      <c r="K416" s="2" t="s">
        <v>34</v>
      </c>
      <c r="L416" s="3">
        <v>41074</v>
      </c>
      <c r="M416" s="3">
        <v>41110</v>
      </c>
      <c r="N416" s="3">
        <v>41110</v>
      </c>
      <c r="O416" s="3">
        <v>41110</v>
      </c>
      <c r="P416" s="2" t="s">
        <v>95</v>
      </c>
      <c r="Q416" s="2" t="s">
        <v>96</v>
      </c>
      <c r="R416" s="2" t="s">
        <v>37</v>
      </c>
      <c r="S416" s="2" t="s">
        <v>97</v>
      </c>
      <c r="T416" s="2" t="s">
        <v>39</v>
      </c>
      <c r="U416" s="2">
        <v>30</v>
      </c>
      <c r="V416" s="2">
        <v>20370</v>
      </c>
      <c r="W416" s="2">
        <v>72720.899999999994</v>
      </c>
      <c r="X416" s="2">
        <v>3.57</v>
      </c>
      <c r="Y416" s="2">
        <v>0.12</v>
      </c>
      <c r="Z416" s="2">
        <v>1751</v>
      </c>
      <c r="AA416" s="2">
        <v>13244.8</v>
      </c>
      <c r="AB416">
        <v>1</v>
      </c>
      <c r="AC416">
        <v>2012</v>
      </c>
      <c r="AE416" s="2">
        <v>2444.4</v>
      </c>
    </row>
    <row r="417" spans="2:31" ht="14.5">
      <c r="B417" s="2">
        <v>20266</v>
      </c>
      <c r="C417" s="2" t="s">
        <v>823</v>
      </c>
      <c r="D417" s="2" t="s">
        <v>824</v>
      </c>
      <c r="E417" s="2" t="s">
        <v>118</v>
      </c>
      <c r="F417" s="2" t="s">
        <v>29</v>
      </c>
      <c r="G417" s="2" t="s">
        <v>30</v>
      </c>
      <c r="H417" s="2" t="s">
        <v>103</v>
      </c>
      <c r="I417" s="2" t="s">
        <v>32</v>
      </c>
      <c r="J417" s="2" t="s">
        <v>711</v>
      </c>
      <c r="K417" s="2" t="s">
        <v>34</v>
      </c>
      <c r="L417" s="3">
        <v>41016</v>
      </c>
      <c r="M417" s="3">
        <v>41095</v>
      </c>
      <c r="N417" s="3">
        <v>41095</v>
      </c>
      <c r="O417" s="3">
        <v>41095</v>
      </c>
      <c r="P417" s="2" t="s">
        <v>712</v>
      </c>
      <c r="Q417" s="2" t="s">
        <v>713</v>
      </c>
      <c r="R417" s="2" t="s">
        <v>714</v>
      </c>
      <c r="S417" s="2" t="s">
        <v>330</v>
      </c>
      <c r="T417" s="2" t="s">
        <v>39</v>
      </c>
      <c r="U417" s="2">
        <v>120</v>
      </c>
      <c r="V417" s="2">
        <v>150</v>
      </c>
      <c r="W417" s="2">
        <v>11250</v>
      </c>
      <c r="X417" s="2">
        <v>75</v>
      </c>
      <c r="Y417" s="2">
        <v>0.62</v>
      </c>
      <c r="Z417" s="2">
        <v>49</v>
      </c>
      <c r="AA417" s="2">
        <v>475</v>
      </c>
      <c r="AB417">
        <v>1</v>
      </c>
      <c r="AC417">
        <v>2012</v>
      </c>
      <c r="AE417" s="2">
        <v>93</v>
      </c>
    </row>
    <row r="418" spans="2:31" ht="14.5">
      <c r="B418" s="2">
        <v>20512</v>
      </c>
      <c r="C418" s="2" t="s">
        <v>825</v>
      </c>
      <c r="D418" s="2" t="s">
        <v>826</v>
      </c>
      <c r="E418" s="2" t="s">
        <v>42</v>
      </c>
      <c r="F418" s="2" t="s">
        <v>29</v>
      </c>
      <c r="G418" s="2" t="s">
        <v>50</v>
      </c>
      <c r="H418" s="2" t="s">
        <v>807</v>
      </c>
      <c r="I418" s="2" t="s">
        <v>32</v>
      </c>
      <c r="J418" s="2" t="s">
        <v>33</v>
      </c>
      <c r="K418" s="2" t="s">
        <v>34</v>
      </c>
      <c r="L418" s="3">
        <v>41758</v>
      </c>
      <c r="M418" s="3">
        <v>41873</v>
      </c>
      <c r="N418" s="3">
        <v>41873</v>
      </c>
      <c r="O418" s="3">
        <v>41877</v>
      </c>
      <c r="P418" s="2" t="s">
        <v>827</v>
      </c>
      <c r="Q418" s="2" t="s">
        <v>745</v>
      </c>
      <c r="R418" s="2" t="s">
        <v>37</v>
      </c>
      <c r="S418" s="2" t="s">
        <v>38</v>
      </c>
      <c r="T418" s="2" t="s">
        <v>64</v>
      </c>
      <c r="U418" s="2">
        <v>60</v>
      </c>
      <c r="V418" s="2">
        <v>1411</v>
      </c>
      <c r="W418" s="2">
        <v>46563</v>
      </c>
      <c r="X418" s="2">
        <v>33</v>
      </c>
      <c r="Y418" s="2">
        <v>0.55000000000000004</v>
      </c>
      <c r="Z418" s="2">
        <v>145</v>
      </c>
      <c r="AA418" s="2">
        <v>1950.74</v>
      </c>
      <c r="AB418">
        <v>1</v>
      </c>
      <c r="AC418">
        <v>2014</v>
      </c>
      <c r="AE418" s="2">
        <v>776.05000000000007</v>
      </c>
    </row>
    <row r="419" spans="2:31" ht="14.5">
      <c r="B419" s="2">
        <v>20667</v>
      </c>
      <c r="C419" s="2" t="s">
        <v>816</v>
      </c>
      <c r="D419" s="2" t="s">
        <v>828</v>
      </c>
      <c r="E419" s="2" t="s">
        <v>118</v>
      </c>
      <c r="F419" s="2" t="s">
        <v>29</v>
      </c>
      <c r="G419" s="2" t="s">
        <v>50</v>
      </c>
      <c r="H419" s="2" t="s">
        <v>31</v>
      </c>
      <c r="I419" s="2" t="s">
        <v>32</v>
      </c>
      <c r="J419" s="2" t="s">
        <v>33</v>
      </c>
      <c r="K419" s="2" t="s">
        <v>34</v>
      </c>
      <c r="L419" s="3">
        <v>41495</v>
      </c>
      <c r="M419" s="3">
        <v>41618</v>
      </c>
      <c r="N419" s="3">
        <v>41620</v>
      </c>
      <c r="O419" s="3">
        <v>41621</v>
      </c>
      <c r="P419" s="2" t="s">
        <v>818</v>
      </c>
      <c r="Q419" s="2" t="s">
        <v>36</v>
      </c>
      <c r="R419" s="2" t="s">
        <v>37</v>
      </c>
      <c r="S419" s="2" t="s">
        <v>226</v>
      </c>
      <c r="T419" s="2" t="s">
        <v>526</v>
      </c>
      <c r="U419" s="2">
        <v>100</v>
      </c>
      <c r="V419" s="2">
        <v>1503</v>
      </c>
      <c r="W419" s="2">
        <v>1953.9</v>
      </c>
      <c r="X419" s="2">
        <v>1.3</v>
      </c>
      <c r="Y419" s="2">
        <v>0.01</v>
      </c>
      <c r="AB419">
        <v>0</v>
      </c>
      <c r="AC419">
        <v>2013</v>
      </c>
      <c r="AE419" s="2">
        <v>15.030000000000001</v>
      </c>
    </row>
    <row r="420" spans="2:31" ht="14.5">
      <c r="B420" s="2">
        <v>20735</v>
      </c>
      <c r="C420" s="2" t="s">
        <v>829</v>
      </c>
      <c r="D420" s="2" t="s">
        <v>830</v>
      </c>
      <c r="E420" s="2" t="s">
        <v>42</v>
      </c>
      <c r="F420" s="2" t="s">
        <v>29</v>
      </c>
      <c r="G420" s="2" t="s">
        <v>30</v>
      </c>
      <c r="H420" s="2" t="s">
        <v>31</v>
      </c>
      <c r="I420" s="2" t="s">
        <v>32</v>
      </c>
      <c r="J420" s="2" t="s">
        <v>33</v>
      </c>
      <c r="K420" s="2" t="s">
        <v>646</v>
      </c>
      <c r="L420" s="3">
        <v>40890</v>
      </c>
      <c r="M420" s="3">
        <v>41012</v>
      </c>
      <c r="N420" s="3">
        <v>41012</v>
      </c>
      <c r="O420" s="3">
        <v>41012</v>
      </c>
      <c r="P420" s="2" t="s">
        <v>706</v>
      </c>
      <c r="Q420" s="2" t="s">
        <v>707</v>
      </c>
      <c r="R420" s="2" t="s">
        <v>37</v>
      </c>
      <c r="S420" s="2" t="s">
        <v>708</v>
      </c>
      <c r="T420" s="2" t="s">
        <v>47</v>
      </c>
      <c r="U420" s="2">
        <v>30</v>
      </c>
      <c r="V420" s="2">
        <v>132000</v>
      </c>
      <c r="W420" s="2">
        <v>706200</v>
      </c>
      <c r="X420" s="2">
        <v>5.35</v>
      </c>
      <c r="Y420" s="2">
        <v>0.18</v>
      </c>
      <c r="Z420" s="2">
        <v>12886</v>
      </c>
      <c r="AA420" s="2">
        <v>102761.99</v>
      </c>
      <c r="AB420">
        <v>1</v>
      </c>
      <c r="AC420">
        <v>2012</v>
      </c>
      <c r="AE420" s="2">
        <v>23760</v>
      </c>
    </row>
    <row r="421" spans="2:31" ht="14.5">
      <c r="B421" s="2">
        <v>20761</v>
      </c>
      <c r="C421" s="2" t="s">
        <v>831</v>
      </c>
      <c r="D421" s="2" t="s">
        <v>832</v>
      </c>
      <c r="E421" s="2" t="s">
        <v>118</v>
      </c>
      <c r="F421" s="2" t="s">
        <v>29</v>
      </c>
      <c r="G421" s="2" t="s">
        <v>30</v>
      </c>
      <c r="H421" s="2" t="s">
        <v>74</v>
      </c>
      <c r="I421" s="2" t="s">
        <v>32</v>
      </c>
      <c r="J421" s="2" t="s">
        <v>52</v>
      </c>
      <c r="K421" s="2" t="s">
        <v>34</v>
      </c>
      <c r="L421" s="3">
        <v>41813</v>
      </c>
      <c r="M421" s="3">
        <v>41940</v>
      </c>
      <c r="N421" s="3">
        <v>41940</v>
      </c>
      <c r="O421" s="3">
        <v>41940</v>
      </c>
      <c r="P421" s="2" t="s">
        <v>833</v>
      </c>
      <c r="Q421" s="2" t="s">
        <v>834</v>
      </c>
      <c r="R421" s="2" t="s">
        <v>835</v>
      </c>
      <c r="S421" s="2" t="s">
        <v>70</v>
      </c>
      <c r="T421" s="2" t="s">
        <v>39</v>
      </c>
      <c r="U421" s="2">
        <v>60</v>
      </c>
      <c r="V421" s="2">
        <v>1299</v>
      </c>
      <c r="W421" s="2">
        <v>72094.5</v>
      </c>
      <c r="X421" s="2">
        <v>55.5</v>
      </c>
      <c r="Y421" s="2">
        <v>0.92</v>
      </c>
      <c r="Z421" s="2">
        <v>137</v>
      </c>
      <c r="AA421" s="2">
        <v>309.95</v>
      </c>
      <c r="AB421">
        <v>1</v>
      </c>
      <c r="AC421">
        <v>2014</v>
      </c>
      <c r="AE421" s="2">
        <v>1195.0800000000002</v>
      </c>
    </row>
    <row r="422" spans="2:31" ht="14.5">
      <c r="B422" s="2">
        <v>21037</v>
      </c>
      <c r="C422" s="2" t="s">
        <v>836</v>
      </c>
      <c r="D422" s="2" t="s">
        <v>837</v>
      </c>
      <c r="E422" s="2" t="s">
        <v>118</v>
      </c>
      <c r="F422" s="2" t="s">
        <v>29</v>
      </c>
      <c r="G422" s="2" t="s">
        <v>30</v>
      </c>
      <c r="H422" s="2" t="s">
        <v>74</v>
      </c>
      <c r="I422" s="2" t="s">
        <v>32</v>
      </c>
      <c r="J422" s="2" t="s">
        <v>52</v>
      </c>
      <c r="K422" s="2" t="s">
        <v>34</v>
      </c>
      <c r="L422" s="3">
        <v>40564</v>
      </c>
      <c r="M422" s="3">
        <v>40652</v>
      </c>
      <c r="N422" s="3">
        <v>40652</v>
      </c>
      <c r="O422" s="3">
        <v>40652</v>
      </c>
      <c r="P422" s="2" t="s">
        <v>833</v>
      </c>
      <c r="Q422" s="2" t="s">
        <v>834</v>
      </c>
      <c r="R422" s="2" t="s">
        <v>835</v>
      </c>
      <c r="S422" s="2" t="s">
        <v>70</v>
      </c>
      <c r="T422" s="2" t="s">
        <v>39</v>
      </c>
      <c r="U422" s="2">
        <v>60</v>
      </c>
      <c r="V422" s="2">
        <v>55</v>
      </c>
      <c r="W422" s="2">
        <v>5032.5</v>
      </c>
      <c r="X422" s="2">
        <v>91.5</v>
      </c>
      <c r="Y422" s="2">
        <v>1.52</v>
      </c>
      <c r="Z422" s="2">
        <v>6</v>
      </c>
      <c r="AA422" s="2">
        <v>99</v>
      </c>
      <c r="AB422">
        <v>1</v>
      </c>
      <c r="AC422">
        <v>2011</v>
      </c>
      <c r="AE422" s="2">
        <v>83.6</v>
      </c>
    </row>
    <row r="423" spans="2:31" ht="14.5">
      <c r="B423" s="2">
        <v>21125</v>
      </c>
      <c r="C423" s="2" t="s">
        <v>838</v>
      </c>
      <c r="D423" s="2" t="s">
        <v>839</v>
      </c>
      <c r="E423" s="2" t="s">
        <v>28</v>
      </c>
      <c r="F423" s="2" t="s">
        <v>29</v>
      </c>
      <c r="G423" s="2" t="s">
        <v>50</v>
      </c>
      <c r="H423" s="2" t="s">
        <v>807</v>
      </c>
      <c r="I423" s="2" t="s">
        <v>32</v>
      </c>
      <c r="J423" s="2" t="s">
        <v>33</v>
      </c>
      <c r="K423" s="2" t="s">
        <v>34</v>
      </c>
      <c r="L423" s="3">
        <v>40521</v>
      </c>
      <c r="M423" s="3">
        <v>40612</v>
      </c>
      <c r="N423" s="3">
        <v>40612</v>
      </c>
      <c r="O423" s="3">
        <v>40612</v>
      </c>
      <c r="P423" s="2" t="s">
        <v>808</v>
      </c>
      <c r="Q423" s="2" t="s">
        <v>745</v>
      </c>
      <c r="R423" s="2" t="s">
        <v>37</v>
      </c>
      <c r="S423" s="2" t="s">
        <v>166</v>
      </c>
      <c r="T423" s="2" t="s">
        <v>64</v>
      </c>
      <c r="U423" s="2">
        <v>60</v>
      </c>
      <c r="V423" s="2">
        <v>1135</v>
      </c>
      <c r="W423" s="2">
        <v>29612.15</v>
      </c>
      <c r="X423" s="2">
        <v>26.09</v>
      </c>
      <c r="Y423" s="2">
        <v>0.43</v>
      </c>
      <c r="Z423" s="2">
        <v>103</v>
      </c>
      <c r="AA423" s="2">
        <v>1308.4000000000001</v>
      </c>
      <c r="AB423">
        <v>1</v>
      </c>
      <c r="AC423">
        <v>2011</v>
      </c>
      <c r="AE423" s="2">
        <v>488.05</v>
      </c>
    </row>
    <row r="424" spans="2:31" ht="14.5">
      <c r="B424" s="2">
        <v>21217</v>
      </c>
      <c r="C424" s="2" t="s">
        <v>840</v>
      </c>
      <c r="D424" s="2" t="s">
        <v>841</v>
      </c>
      <c r="E424" s="2" t="s">
        <v>28</v>
      </c>
      <c r="F424" s="2" t="s">
        <v>29</v>
      </c>
      <c r="G424" s="2" t="s">
        <v>50</v>
      </c>
      <c r="H424" s="2" t="s">
        <v>109</v>
      </c>
      <c r="I424" s="2" t="s">
        <v>32</v>
      </c>
      <c r="J424" s="2" t="s">
        <v>33</v>
      </c>
      <c r="K424" s="2" t="s">
        <v>34</v>
      </c>
      <c r="L424" s="3">
        <v>41725</v>
      </c>
      <c r="M424" s="3">
        <v>41814</v>
      </c>
      <c r="N424" s="3">
        <v>41814</v>
      </c>
      <c r="O424" s="3">
        <v>41814</v>
      </c>
      <c r="P424" s="2" t="s">
        <v>842</v>
      </c>
      <c r="Q424" s="2" t="s">
        <v>113</v>
      </c>
      <c r="R424" s="2" t="s">
        <v>37</v>
      </c>
      <c r="S424" s="2" t="s">
        <v>843</v>
      </c>
      <c r="T424" s="2" t="s">
        <v>729</v>
      </c>
      <c r="U424" s="2">
        <v>60</v>
      </c>
      <c r="V424" s="2">
        <v>36000</v>
      </c>
      <c r="W424" s="2">
        <v>129600</v>
      </c>
      <c r="X424" s="2">
        <v>3.6</v>
      </c>
      <c r="Y424" s="2">
        <v>0.06</v>
      </c>
      <c r="Z424" s="2">
        <v>2205</v>
      </c>
      <c r="AA424" s="2">
        <v>9815.52</v>
      </c>
      <c r="AB424">
        <v>1</v>
      </c>
      <c r="AC424">
        <v>2014</v>
      </c>
      <c r="AE424" s="2">
        <v>2160</v>
      </c>
    </row>
    <row r="425" spans="2:31" ht="14.5">
      <c r="B425" s="2">
        <v>21230</v>
      </c>
      <c r="C425" s="2" t="s">
        <v>844</v>
      </c>
      <c r="D425" s="2" t="s">
        <v>845</v>
      </c>
      <c r="E425" s="2" t="s">
        <v>28</v>
      </c>
      <c r="F425" s="2" t="s">
        <v>29</v>
      </c>
      <c r="G425" s="2" t="s">
        <v>30</v>
      </c>
      <c r="H425" s="2" t="s">
        <v>94</v>
      </c>
      <c r="I425" s="2" t="s">
        <v>32</v>
      </c>
      <c r="J425" s="2" t="s">
        <v>33</v>
      </c>
      <c r="K425" s="2" t="s">
        <v>34</v>
      </c>
      <c r="L425" s="3">
        <v>41436</v>
      </c>
      <c r="M425" s="3">
        <v>41599</v>
      </c>
      <c r="N425" s="3">
        <v>41599</v>
      </c>
      <c r="O425" s="3">
        <v>41599</v>
      </c>
      <c r="P425" s="2" t="s">
        <v>754</v>
      </c>
      <c r="Q425" s="2" t="s">
        <v>755</v>
      </c>
      <c r="R425" s="2" t="s">
        <v>37</v>
      </c>
      <c r="S425" s="2" t="s">
        <v>756</v>
      </c>
      <c r="T425" s="2" t="s">
        <v>47</v>
      </c>
      <c r="U425" s="2">
        <v>30</v>
      </c>
      <c r="V425" s="2">
        <v>200000</v>
      </c>
      <c r="W425" s="2">
        <v>2100000</v>
      </c>
      <c r="X425" s="2">
        <v>10.5</v>
      </c>
      <c r="Y425" s="2">
        <v>0.35</v>
      </c>
      <c r="Z425" s="2">
        <v>28168</v>
      </c>
      <c r="AA425" s="2">
        <v>127285.48</v>
      </c>
      <c r="AB425">
        <v>1</v>
      </c>
      <c r="AC425">
        <v>2013</v>
      </c>
      <c r="AE425" s="2">
        <v>70000</v>
      </c>
    </row>
    <row r="426" spans="2:31" ht="14.5">
      <c r="B426" s="2">
        <v>21301</v>
      </c>
      <c r="C426" s="2" t="s">
        <v>846</v>
      </c>
      <c r="D426" s="2" t="s">
        <v>847</v>
      </c>
      <c r="E426" s="2" t="s">
        <v>28</v>
      </c>
      <c r="F426" s="2" t="s">
        <v>29</v>
      </c>
      <c r="G426" s="2" t="s">
        <v>50</v>
      </c>
      <c r="H426" s="2" t="s">
        <v>807</v>
      </c>
      <c r="I426" s="2" t="s">
        <v>32</v>
      </c>
      <c r="J426" s="2" t="s">
        <v>33</v>
      </c>
      <c r="K426" s="2" t="s">
        <v>34</v>
      </c>
      <c r="L426" s="3">
        <v>40291</v>
      </c>
      <c r="M426" s="3">
        <v>40392</v>
      </c>
      <c r="N426" s="3">
        <v>40392</v>
      </c>
      <c r="O426" s="3">
        <v>40392</v>
      </c>
      <c r="P426" s="2" t="s">
        <v>808</v>
      </c>
      <c r="Q426" s="2" t="s">
        <v>745</v>
      </c>
      <c r="R426" s="2" t="s">
        <v>37</v>
      </c>
      <c r="S426" s="2" t="s">
        <v>166</v>
      </c>
      <c r="T426" s="2" t="s">
        <v>64</v>
      </c>
      <c r="U426" s="2">
        <v>60</v>
      </c>
      <c r="V426" s="2">
        <v>1065</v>
      </c>
      <c r="W426" s="2">
        <v>27785.85</v>
      </c>
      <c r="X426" s="2">
        <v>26.09</v>
      </c>
      <c r="Y426" s="2">
        <v>0.43</v>
      </c>
      <c r="Z426" s="2">
        <v>112</v>
      </c>
      <c r="AA426" s="2">
        <v>1122.07</v>
      </c>
      <c r="AB426">
        <v>1</v>
      </c>
      <c r="AC426">
        <v>2010</v>
      </c>
      <c r="AE426" s="2">
        <v>457.95</v>
      </c>
    </row>
    <row r="427" spans="2:31" ht="14.5">
      <c r="B427" s="2">
        <v>21378</v>
      </c>
      <c r="C427" s="2" t="s">
        <v>816</v>
      </c>
      <c r="D427" s="2" t="s">
        <v>848</v>
      </c>
      <c r="E427" s="2" t="s">
        <v>118</v>
      </c>
      <c r="F427" s="2" t="s">
        <v>29</v>
      </c>
      <c r="G427" s="2" t="s">
        <v>50</v>
      </c>
      <c r="H427" s="2" t="s">
        <v>31</v>
      </c>
      <c r="I427" s="2" t="s">
        <v>32</v>
      </c>
      <c r="J427" s="2" t="s">
        <v>33</v>
      </c>
      <c r="K427" s="2" t="s">
        <v>34</v>
      </c>
      <c r="L427" s="3">
        <v>41495</v>
      </c>
      <c r="M427" s="3">
        <v>41618</v>
      </c>
      <c r="N427" s="3">
        <v>41620</v>
      </c>
      <c r="O427" s="3">
        <v>41621</v>
      </c>
      <c r="P427" s="2" t="s">
        <v>818</v>
      </c>
      <c r="Q427" s="2" t="s">
        <v>36</v>
      </c>
      <c r="R427" s="2" t="s">
        <v>37</v>
      </c>
      <c r="S427" s="2" t="s">
        <v>226</v>
      </c>
      <c r="T427" s="2" t="s">
        <v>526</v>
      </c>
      <c r="U427" s="2">
        <v>100</v>
      </c>
      <c r="V427" s="2">
        <v>10368</v>
      </c>
      <c r="W427" s="2">
        <v>13478.4</v>
      </c>
      <c r="X427" s="2">
        <v>1.3</v>
      </c>
      <c r="Y427" s="2">
        <v>0.01</v>
      </c>
      <c r="AB427">
        <v>0</v>
      </c>
      <c r="AC427">
        <v>2013</v>
      </c>
      <c r="AE427" s="2">
        <v>103.68</v>
      </c>
    </row>
    <row r="428" spans="2:31" ht="14.5">
      <c r="B428" s="2">
        <v>21414</v>
      </c>
      <c r="C428" s="2" t="s">
        <v>849</v>
      </c>
      <c r="D428" s="2" t="s">
        <v>850</v>
      </c>
      <c r="E428" s="2" t="s">
        <v>118</v>
      </c>
      <c r="F428" s="2" t="s">
        <v>29</v>
      </c>
      <c r="G428" s="2" t="s">
        <v>30</v>
      </c>
      <c r="H428" s="2" t="s">
        <v>43</v>
      </c>
      <c r="I428" s="2" t="s">
        <v>32</v>
      </c>
      <c r="J428" s="2" t="s">
        <v>33</v>
      </c>
      <c r="K428" s="2" t="s">
        <v>34</v>
      </c>
      <c r="L428" s="3">
        <v>41527</v>
      </c>
      <c r="M428" s="3">
        <v>41594</v>
      </c>
      <c r="N428" s="3">
        <v>41594</v>
      </c>
      <c r="O428" s="3">
        <v>41599</v>
      </c>
      <c r="P428" s="2" t="s">
        <v>112</v>
      </c>
      <c r="Q428" s="2" t="s">
        <v>113</v>
      </c>
      <c r="R428" s="2" t="s">
        <v>37</v>
      </c>
      <c r="S428" s="2" t="s">
        <v>114</v>
      </c>
      <c r="T428" s="2" t="s">
        <v>47</v>
      </c>
      <c r="U428" s="2">
        <v>60</v>
      </c>
      <c r="V428" s="2">
        <v>60929</v>
      </c>
      <c r="W428" s="2">
        <v>493524.9</v>
      </c>
      <c r="X428" s="2">
        <v>8.1</v>
      </c>
      <c r="Y428" s="2">
        <v>0.13</v>
      </c>
      <c r="Z428" s="2">
        <v>8638</v>
      </c>
      <c r="AA428" s="2">
        <v>30764.18</v>
      </c>
      <c r="AB428">
        <v>1</v>
      </c>
      <c r="AC428">
        <v>2013</v>
      </c>
      <c r="AE428" s="2">
        <v>7920.77</v>
      </c>
    </row>
    <row r="429" spans="2:31" ht="14.5">
      <c r="B429" s="2">
        <v>21563</v>
      </c>
      <c r="C429" s="2" t="s">
        <v>851</v>
      </c>
      <c r="D429" s="2" t="s">
        <v>852</v>
      </c>
      <c r="E429" s="2" t="s">
        <v>28</v>
      </c>
      <c r="F429" s="2" t="s">
        <v>29</v>
      </c>
      <c r="G429" s="2" t="s">
        <v>50</v>
      </c>
      <c r="H429" s="2" t="s">
        <v>109</v>
      </c>
      <c r="I429" s="2" t="s">
        <v>32</v>
      </c>
      <c r="J429" s="2" t="s">
        <v>33</v>
      </c>
      <c r="K429" s="2" t="s">
        <v>646</v>
      </c>
      <c r="L429" s="3">
        <v>41729</v>
      </c>
      <c r="M429" s="3">
        <v>41786</v>
      </c>
      <c r="N429" s="3">
        <v>41786</v>
      </c>
      <c r="O429" s="3">
        <v>41802</v>
      </c>
      <c r="P429" s="2" t="s">
        <v>842</v>
      </c>
      <c r="Q429" s="2" t="s">
        <v>113</v>
      </c>
      <c r="R429" s="2" t="s">
        <v>37</v>
      </c>
      <c r="S429" s="2" t="s">
        <v>843</v>
      </c>
      <c r="T429" s="2" t="s">
        <v>729</v>
      </c>
      <c r="U429" s="2">
        <v>60</v>
      </c>
      <c r="V429" s="2">
        <v>115000</v>
      </c>
      <c r="W429" s="2">
        <v>414000</v>
      </c>
      <c r="X429" s="2">
        <v>3.6</v>
      </c>
      <c r="Y429" s="2">
        <v>0.06</v>
      </c>
      <c r="Z429" s="2">
        <v>10504</v>
      </c>
      <c r="AA429" s="2">
        <v>28270.78</v>
      </c>
      <c r="AB429">
        <v>1</v>
      </c>
      <c r="AC429">
        <v>2014</v>
      </c>
      <c r="AE429" s="2">
        <v>6900</v>
      </c>
    </row>
    <row r="430" spans="2:31" ht="14.5">
      <c r="B430" s="2">
        <v>21825</v>
      </c>
      <c r="C430" s="2" t="s">
        <v>853</v>
      </c>
      <c r="D430" s="2" t="s">
        <v>854</v>
      </c>
      <c r="E430" s="2" t="s">
        <v>118</v>
      </c>
      <c r="F430" s="2" t="s">
        <v>29</v>
      </c>
      <c r="G430" s="2" t="s">
        <v>30</v>
      </c>
      <c r="H430" s="2" t="s">
        <v>81</v>
      </c>
      <c r="I430" s="2" t="s">
        <v>32</v>
      </c>
      <c r="J430" s="2" t="s">
        <v>82</v>
      </c>
      <c r="K430" s="2" t="s">
        <v>34</v>
      </c>
      <c r="L430" s="3">
        <v>41438</v>
      </c>
      <c r="M430" s="3">
        <v>41593</v>
      </c>
      <c r="N430" s="3">
        <v>41593</v>
      </c>
      <c r="O430" s="3">
        <v>41593</v>
      </c>
      <c r="P430" s="2" t="s">
        <v>855</v>
      </c>
      <c r="Q430" s="2" t="s">
        <v>385</v>
      </c>
      <c r="R430" s="2" t="s">
        <v>386</v>
      </c>
      <c r="S430" s="2" t="s">
        <v>330</v>
      </c>
      <c r="T430" s="2" t="s">
        <v>39</v>
      </c>
      <c r="U430" s="2">
        <v>60</v>
      </c>
      <c r="V430" s="2">
        <v>417</v>
      </c>
      <c r="W430" s="2">
        <v>2856.45</v>
      </c>
      <c r="X430" s="2">
        <v>6.85</v>
      </c>
      <c r="Y430" s="2">
        <v>0.11</v>
      </c>
      <c r="Z430" s="2">
        <v>65</v>
      </c>
      <c r="AA430" s="2">
        <v>887.67</v>
      </c>
      <c r="AB430">
        <v>1</v>
      </c>
      <c r="AC430">
        <v>2013</v>
      </c>
      <c r="AE430" s="2">
        <v>45.87</v>
      </c>
    </row>
    <row r="431" spans="2:31" ht="14.5">
      <c r="B431" s="2">
        <v>21844</v>
      </c>
      <c r="C431" s="2" t="s">
        <v>856</v>
      </c>
      <c r="D431" s="2" t="s">
        <v>857</v>
      </c>
      <c r="E431" s="2" t="s">
        <v>28</v>
      </c>
      <c r="F431" s="2" t="s">
        <v>29</v>
      </c>
      <c r="G431" s="2" t="s">
        <v>50</v>
      </c>
      <c r="H431" s="2" t="s">
        <v>175</v>
      </c>
      <c r="I431" s="2" t="s">
        <v>32</v>
      </c>
      <c r="J431" s="2" t="s">
        <v>33</v>
      </c>
      <c r="K431" s="2" t="s">
        <v>34</v>
      </c>
      <c r="L431" s="3">
        <v>41747</v>
      </c>
      <c r="M431" s="3">
        <v>41814</v>
      </c>
      <c r="N431" s="3">
        <v>41814</v>
      </c>
      <c r="O431" s="3">
        <v>41814</v>
      </c>
      <c r="P431" s="2" t="s">
        <v>802</v>
      </c>
      <c r="Q431" s="2" t="s">
        <v>96</v>
      </c>
      <c r="R431" s="2" t="s">
        <v>37</v>
      </c>
      <c r="S431" s="2" t="s">
        <v>38</v>
      </c>
      <c r="T431" s="2" t="s">
        <v>39</v>
      </c>
      <c r="U431" s="2">
        <v>90</v>
      </c>
      <c r="V431" s="2">
        <v>9959</v>
      </c>
      <c r="W431" s="2">
        <v>92618.7</v>
      </c>
      <c r="X431" s="2">
        <v>9.3000000000000007</v>
      </c>
      <c r="Y431" s="2">
        <v>0.1</v>
      </c>
      <c r="Z431" s="2">
        <v>630</v>
      </c>
      <c r="AA431" s="2">
        <v>3416.2</v>
      </c>
      <c r="AB431">
        <v>1</v>
      </c>
      <c r="AC431">
        <v>2014</v>
      </c>
      <c r="AE431" s="2">
        <v>995.90000000000009</v>
      </c>
    </row>
    <row r="432" spans="2:31" ht="14.5">
      <c r="B432" s="2">
        <v>22069</v>
      </c>
      <c r="C432" s="2" t="s">
        <v>849</v>
      </c>
      <c r="D432" s="2" t="s">
        <v>858</v>
      </c>
      <c r="E432" s="2" t="s">
        <v>118</v>
      </c>
      <c r="F432" s="2" t="s">
        <v>29</v>
      </c>
      <c r="G432" s="2" t="s">
        <v>30</v>
      </c>
      <c r="H432" s="2" t="s">
        <v>43</v>
      </c>
      <c r="I432" s="2" t="s">
        <v>32</v>
      </c>
      <c r="J432" s="2" t="s">
        <v>33</v>
      </c>
      <c r="K432" s="2" t="s">
        <v>34</v>
      </c>
      <c r="L432" s="3">
        <v>41527</v>
      </c>
      <c r="M432" s="3">
        <v>41594</v>
      </c>
      <c r="N432" s="3">
        <v>41594</v>
      </c>
      <c r="O432" s="3">
        <v>41599</v>
      </c>
      <c r="P432" s="2" t="s">
        <v>95</v>
      </c>
      <c r="Q432" s="2" t="s">
        <v>96</v>
      </c>
      <c r="R432" s="2" t="s">
        <v>37</v>
      </c>
      <c r="S432" s="2" t="s">
        <v>97</v>
      </c>
      <c r="T432" s="2" t="s">
        <v>39</v>
      </c>
      <c r="U432" s="2">
        <v>30</v>
      </c>
      <c r="V432" s="2">
        <v>50000</v>
      </c>
      <c r="W432" s="2">
        <v>162000</v>
      </c>
      <c r="X432" s="2">
        <v>3.24</v>
      </c>
      <c r="Y432" s="2">
        <v>0.11</v>
      </c>
      <c r="Z432" s="2">
        <v>5593</v>
      </c>
      <c r="AA432" s="2">
        <v>19759.68</v>
      </c>
      <c r="AB432">
        <v>1</v>
      </c>
      <c r="AC432">
        <v>2013</v>
      </c>
      <c r="AE432" s="2">
        <v>5500</v>
      </c>
    </row>
    <row r="433" spans="2:31" ht="14.5">
      <c r="B433" s="2">
        <v>22658</v>
      </c>
      <c r="C433" s="2" t="s">
        <v>860</v>
      </c>
      <c r="D433" s="2" t="s">
        <v>861</v>
      </c>
      <c r="E433" s="2" t="s">
        <v>42</v>
      </c>
      <c r="F433" s="2" t="s">
        <v>29</v>
      </c>
      <c r="G433" s="2" t="s">
        <v>30</v>
      </c>
      <c r="H433" s="2" t="s">
        <v>31</v>
      </c>
      <c r="I433" s="2" t="s">
        <v>32</v>
      </c>
      <c r="J433" s="2" t="s">
        <v>33</v>
      </c>
      <c r="K433" s="2" t="s">
        <v>34</v>
      </c>
      <c r="L433" s="3">
        <v>40856</v>
      </c>
      <c r="M433" s="3">
        <v>40998</v>
      </c>
      <c r="N433" s="3">
        <v>40998</v>
      </c>
      <c r="O433" s="3">
        <v>40998</v>
      </c>
      <c r="P433" s="2" t="s">
        <v>780</v>
      </c>
      <c r="Q433" s="2" t="s">
        <v>54</v>
      </c>
      <c r="R433" s="2" t="s">
        <v>37</v>
      </c>
      <c r="S433" s="2" t="s">
        <v>70</v>
      </c>
      <c r="T433" s="2" t="s">
        <v>773</v>
      </c>
      <c r="U433" s="2">
        <v>30</v>
      </c>
      <c r="V433" s="2">
        <v>150</v>
      </c>
      <c r="W433" s="2">
        <v>3000</v>
      </c>
      <c r="X433" s="2">
        <v>20</v>
      </c>
      <c r="Y433" s="2">
        <v>0.67</v>
      </c>
      <c r="Z433" s="2">
        <v>197</v>
      </c>
      <c r="AA433" s="2">
        <v>5906.43</v>
      </c>
      <c r="AB433">
        <v>1</v>
      </c>
      <c r="AC433">
        <v>2012</v>
      </c>
      <c r="AE433" s="2">
        <v>100.5</v>
      </c>
    </row>
    <row r="434" spans="2:31" ht="14.5">
      <c r="B434" s="2">
        <v>22684</v>
      </c>
      <c r="C434" s="2" t="s">
        <v>862</v>
      </c>
      <c r="D434" s="2" t="s">
        <v>863</v>
      </c>
      <c r="E434" s="2" t="s">
        <v>118</v>
      </c>
      <c r="F434" s="2" t="s">
        <v>29</v>
      </c>
      <c r="G434" s="2" t="s">
        <v>30</v>
      </c>
      <c r="H434" s="2" t="s">
        <v>103</v>
      </c>
      <c r="I434" s="2" t="s">
        <v>32</v>
      </c>
      <c r="J434" s="2" t="s">
        <v>711</v>
      </c>
      <c r="K434" s="2" t="s">
        <v>34</v>
      </c>
      <c r="L434" s="3">
        <v>40627</v>
      </c>
      <c r="M434" s="3">
        <v>40694</v>
      </c>
      <c r="N434" s="3">
        <v>40694</v>
      </c>
      <c r="O434" s="3">
        <v>40694</v>
      </c>
      <c r="P434" s="2" t="s">
        <v>864</v>
      </c>
      <c r="Q434" s="2" t="s">
        <v>865</v>
      </c>
      <c r="R434" s="2" t="s">
        <v>866</v>
      </c>
      <c r="S434" s="2" t="s">
        <v>100</v>
      </c>
      <c r="T434" s="2" t="s">
        <v>39</v>
      </c>
      <c r="U434" s="2">
        <v>120</v>
      </c>
      <c r="V434" s="2">
        <v>259</v>
      </c>
      <c r="W434" s="2">
        <v>24123.26</v>
      </c>
      <c r="X434" s="2">
        <v>93.14</v>
      </c>
      <c r="Y434" s="2">
        <v>0.78</v>
      </c>
      <c r="Z434" s="2">
        <v>43</v>
      </c>
      <c r="AA434" s="2">
        <v>466</v>
      </c>
      <c r="AB434">
        <v>1</v>
      </c>
      <c r="AC434">
        <v>2011</v>
      </c>
      <c r="AE434" s="2">
        <v>202.02</v>
      </c>
    </row>
    <row r="435" spans="2:31" ht="14.5">
      <c r="B435" s="2">
        <v>22817</v>
      </c>
      <c r="C435" s="2" t="s">
        <v>867</v>
      </c>
      <c r="D435" s="2" t="s">
        <v>868</v>
      </c>
      <c r="E435" s="2" t="s">
        <v>42</v>
      </c>
      <c r="F435" s="2" t="s">
        <v>29</v>
      </c>
      <c r="G435" s="2" t="s">
        <v>30</v>
      </c>
      <c r="H435" s="2" t="s">
        <v>157</v>
      </c>
      <c r="I435" s="2" t="s">
        <v>32</v>
      </c>
      <c r="J435" s="2" t="s">
        <v>82</v>
      </c>
      <c r="K435" s="2" t="s">
        <v>34</v>
      </c>
      <c r="L435" s="3">
        <v>40198</v>
      </c>
      <c r="M435" s="3">
        <v>40240</v>
      </c>
      <c r="N435" s="3">
        <v>40240</v>
      </c>
      <c r="O435" s="3">
        <v>40240</v>
      </c>
      <c r="P435" s="2" t="s">
        <v>286</v>
      </c>
      <c r="Q435" s="2" t="s">
        <v>287</v>
      </c>
      <c r="R435" s="2" t="s">
        <v>288</v>
      </c>
      <c r="S435" s="2" t="s">
        <v>120</v>
      </c>
      <c r="T435" s="2" t="s">
        <v>39</v>
      </c>
      <c r="U435" s="2">
        <v>270</v>
      </c>
      <c r="V435" s="2">
        <v>40</v>
      </c>
      <c r="W435" s="2">
        <v>5037.72</v>
      </c>
      <c r="X435" s="2">
        <v>125.94</v>
      </c>
      <c r="Y435" s="2">
        <v>0.47</v>
      </c>
      <c r="Z435" s="2">
        <v>11</v>
      </c>
      <c r="AA435" s="2">
        <v>1049.3</v>
      </c>
      <c r="AB435">
        <v>1</v>
      </c>
      <c r="AC435">
        <v>2010</v>
      </c>
      <c r="AE435" s="2">
        <v>18.799999999999997</v>
      </c>
    </row>
    <row r="436" spans="2:31" ht="14.5">
      <c r="B436" s="2">
        <v>22855</v>
      </c>
      <c r="C436" s="2" t="s">
        <v>869</v>
      </c>
      <c r="D436" s="2" t="s">
        <v>870</v>
      </c>
      <c r="E436" s="2" t="s">
        <v>42</v>
      </c>
      <c r="F436" s="2" t="s">
        <v>29</v>
      </c>
      <c r="G436" s="2" t="s">
        <v>30</v>
      </c>
      <c r="H436" s="2" t="s">
        <v>109</v>
      </c>
      <c r="I436" s="2" t="s">
        <v>32</v>
      </c>
      <c r="J436" s="2" t="s">
        <v>33</v>
      </c>
      <c r="K436" s="2" t="s">
        <v>646</v>
      </c>
      <c r="L436" s="3">
        <v>41222</v>
      </c>
      <c r="M436" s="3">
        <v>41386</v>
      </c>
      <c r="N436" s="3">
        <v>41386</v>
      </c>
      <c r="O436" s="3">
        <v>41386</v>
      </c>
      <c r="P436" s="2" t="s">
        <v>98</v>
      </c>
      <c r="Q436" s="2" t="s">
        <v>99</v>
      </c>
      <c r="R436" s="2" t="s">
        <v>37</v>
      </c>
      <c r="S436" s="2" t="s">
        <v>100</v>
      </c>
      <c r="T436" s="2" t="s">
        <v>39</v>
      </c>
      <c r="U436" s="2">
        <v>60</v>
      </c>
      <c r="V436" s="2">
        <v>37350</v>
      </c>
      <c r="W436" s="2">
        <v>438862.5</v>
      </c>
      <c r="X436" s="2">
        <v>11.75</v>
      </c>
      <c r="Y436" s="2">
        <v>0.2</v>
      </c>
      <c r="Z436" s="2">
        <v>3860</v>
      </c>
      <c r="AA436" s="2">
        <v>59186.46</v>
      </c>
      <c r="AB436">
        <v>1</v>
      </c>
      <c r="AC436">
        <v>2013</v>
      </c>
      <c r="AE436" s="2">
        <v>7470</v>
      </c>
    </row>
    <row r="437" spans="2:31" ht="14.5">
      <c r="B437" s="2">
        <v>23051</v>
      </c>
      <c r="C437" s="2" t="s">
        <v>871</v>
      </c>
      <c r="D437" s="2" t="s">
        <v>872</v>
      </c>
      <c r="E437" s="2" t="s">
        <v>28</v>
      </c>
      <c r="F437" s="2" t="s">
        <v>29</v>
      </c>
      <c r="G437" s="2" t="s">
        <v>30</v>
      </c>
      <c r="H437" s="2" t="s">
        <v>43</v>
      </c>
      <c r="I437" s="2" t="s">
        <v>32</v>
      </c>
      <c r="J437" s="2" t="s">
        <v>33</v>
      </c>
      <c r="K437" s="2" t="s">
        <v>34</v>
      </c>
      <c r="L437" s="3">
        <v>41513</v>
      </c>
      <c r="M437" s="3">
        <v>41635</v>
      </c>
      <c r="N437" s="3">
        <v>41635</v>
      </c>
      <c r="O437" s="3">
        <v>41635</v>
      </c>
      <c r="P437" s="2" t="s">
        <v>112</v>
      </c>
      <c r="Q437" s="2" t="s">
        <v>113</v>
      </c>
      <c r="R437" s="2" t="s">
        <v>37</v>
      </c>
      <c r="S437" s="2" t="s">
        <v>114</v>
      </c>
      <c r="T437" s="2" t="s">
        <v>47</v>
      </c>
      <c r="U437" s="2">
        <v>60</v>
      </c>
      <c r="V437" s="2">
        <v>16245</v>
      </c>
      <c r="W437" s="2">
        <v>131584.5</v>
      </c>
      <c r="X437" s="2">
        <v>8.1</v>
      </c>
      <c r="Y437" s="2">
        <v>0.13</v>
      </c>
      <c r="Z437" s="2">
        <v>2368</v>
      </c>
      <c r="AA437" s="2">
        <v>11363.07</v>
      </c>
      <c r="AB437">
        <v>1</v>
      </c>
      <c r="AC437">
        <v>2013</v>
      </c>
      <c r="AE437" s="2">
        <v>2111.85</v>
      </c>
    </row>
    <row r="438" spans="2:31" ht="14.5">
      <c r="B438" s="2">
        <v>23211</v>
      </c>
      <c r="C438" s="2" t="s">
        <v>851</v>
      </c>
      <c r="D438" s="2" t="s">
        <v>852</v>
      </c>
      <c r="E438" s="2" t="s">
        <v>28</v>
      </c>
      <c r="F438" s="2" t="s">
        <v>29</v>
      </c>
      <c r="G438" s="2" t="s">
        <v>30</v>
      </c>
      <c r="H438" s="2" t="s">
        <v>109</v>
      </c>
      <c r="I438" s="2" t="s">
        <v>32</v>
      </c>
      <c r="J438" s="2" t="s">
        <v>33</v>
      </c>
      <c r="K438" s="2" t="s">
        <v>646</v>
      </c>
      <c r="L438" s="3">
        <v>41729</v>
      </c>
      <c r="M438" s="3">
        <v>41786</v>
      </c>
      <c r="N438" s="3">
        <v>41786</v>
      </c>
      <c r="O438" s="3">
        <v>41802</v>
      </c>
      <c r="P438" s="2" t="s">
        <v>749</v>
      </c>
      <c r="Q438" s="2" t="s">
        <v>76</v>
      </c>
      <c r="R438" s="2" t="s">
        <v>37</v>
      </c>
      <c r="S438" s="2" t="s">
        <v>78</v>
      </c>
      <c r="T438" s="2" t="s">
        <v>47</v>
      </c>
      <c r="U438" s="2">
        <v>30</v>
      </c>
      <c r="V438" s="2">
        <v>35000</v>
      </c>
      <c r="W438" s="2">
        <v>410900</v>
      </c>
      <c r="X438" s="2">
        <v>11.74</v>
      </c>
      <c r="Y438" s="2">
        <v>0.39</v>
      </c>
      <c r="AB438">
        <v>1</v>
      </c>
      <c r="AC438">
        <v>2014</v>
      </c>
      <c r="AE438" s="2">
        <v>13650</v>
      </c>
    </row>
    <row r="439" spans="2:31" ht="14.5">
      <c r="B439" s="2">
        <v>23315</v>
      </c>
      <c r="C439" s="2" t="s">
        <v>873</v>
      </c>
      <c r="D439" s="2" t="s">
        <v>874</v>
      </c>
      <c r="E439" s="2" t="s">
        <v>42</v>
      </c>
      <c r="F439" s="2" t="s">
        <v>29</v>
      </c>
      <c r="G439" s="2" t="s">
        <v>50</v>
      </c>
      <c r="H439" s="2" t="s">
        <v>807</v>
      </c>
      <c r="I439" s="2" t="s">
        <v>32</v>
      </c>
      <c r="J439" s="2" t="s">
        <v>33</v>
      </c>
      <c r="K439" s="2" t="s">
        <v>34</v>
      </c>
      <c r="L439" s="3">
        <v>42023</v>
      </c>
      <c r="M439" s="3">
        <v>42052</v>
      </c>
      <c r="N439" s="3">
        <v>42052</v>
      </c>
      <c r="O439" s="3">
        <v>42052</v>
      </c>
      <c r="P439" s="2" t="s">
        <v>808</v>
      </c>
      <c r="Q439" s="2" t="s">
        <v>745</v>
      </c>
      <c r="R439" s="2" t="s">
        <v>37</v>
      </c>
      <c r="S439" s="2" t="s">
        <v>166</v>
      </c>
      <c r="T439" s="2" t="s">
        <v>64</v>
      </c>
      <c r="U439" s="2">
        <v>60</v>
      </c>
      <c r="V439" s="2">
        <v>912</v>
      </c>
      <c r="W439" s="2">
        <v>18240</v>
      </c>
      <c r="X439" s="2">
        <v>20</v>
      </c>
      <c r="Y439" s="2">
        <v>0.33</v>
      </c>
      <c r="Z439" s="2">
        <v>102</v>
      </c>
      <c r="AA439" s="2">
        <v>1600.98</v>
      </c>
      <c r="AB439">
        <v>1</v>
      </c>
      <c r="AC439">
        <v>2015</v>
      </c>
      <c r="AE439" s="2">
        <v>300.96000000000004</v>
      </c>
    </row>
    <row r="440" spans="2:31" ht="14.5">
      <c r="B440" s="2">
        <v>23365</v>
      </c>
      <c r="C440" s="2" t="s">
        <v>875</v>
      </c>
      <c r="D440" s="2" t="s">
        <v>876</v>
      </c>
      <c r="E440" s="2" t="s">
        <v>42</v>
      </c>
      <c r="F440" s="2" t="s">
        <v>29</v>
      </c>
      <c r="G440" s="2" t="s">
        <v>30</v>
      </c>
      <c r="H440" s="2" t="s">
        <v>31</v>
      </c>
      <c r="I440" s="2" t="s">
        <v>32</v>
      </c>
      <c r="J440" s="2" t="s">
        <v>52</v>
      </c>
      <c r="K440" s="2" t="s">
        <v>34</v>
      </c>
      <c r="L440" s="3">
        <v>40001</v>
      </c>
      <c r="M440" s="3">
        <v>40283</v>
      </c>
      <c r="N440" s="3">
        <v>40283</v>
      </c>
      <c r="O440" s="3">
        <v>40283</v>
      </c>
      <c r="P440" s="2" t="s">
        <v>772</v>
      </c>
      <c r="Q440" s="2" t="s">
        <v>54</v>
      </c>
      <c r="R440" s="2" t="s">
        <v>37</v>
      </c>
      <c r="S440" s="2" t="s">
        <v>120</v>
      </c>
      <c r="T440" s="2" t="s">
        <v>773</v>
      </c>
      <c r="U440" s="2">
        <v>30</v>
      </c>
      <c r="V440" s="2">
        <v>558</v>
      </c>
      <c r="W440" s="2">
        <v>8174.7</v>
      </c>
      <c r="X440" s="2">
        <v>14.65</v>
      </c>
      <c r="Y440" s="2">
        <v>0.49</v>
      </c>
      <c r="Z440" s="2">
        <v>1297</v>
      </c>
      <c r="AA440" s="2">
        <v>23760.45</v>
      </c>
      <c r="AB440">
        <v>1</v>
      </c>
      <c r="AC440">
        <v>2010</v>
      </c>
      <c r="AE440" s="2">
        <v>273.42</v>
      </c>
    </row>
    <row r="441" spans="2:31" ht="14.5">
      <c r="B441" s="2">
        <v>23466</v>
      </c>
      <c r="C441" s="2" t="s">
        <v>877</v>
      </c>
      <c r="D441" s="2" t="s">
        <v>878</v>
      </c>
      <c r="E441" s="2" t="s">
        <v>42</v>
      </c>
      <c r="F441" s="2" t="s">
        <v>29</v>
      </c>
      <c r="G441" s="2" t="s">
        <v>30</v>
      </c>
      <c r="H441" s="2" t="s">
        <v>31</v>
      </c>
      <c r="I441" s="2" t="s">
        <v>32</v>
      </c>
      <c r="J441" s="2" t="s">
        <v>52</v>
      </c>
      <c r="K441" s="2" t="s">
        <v>34</v>
      </c>
      <c r="L441" s="3">
        <v>40010</v>
      </c>
      <c r="M441" s="3">
        <v>40294</v>
      </c>
      <c r="N441" s="3">
        <v>40294</v>
      </c>
      <c r="O441" s="3">
        <v>40294</v>
      </c>
      <c r="P441" s="2" t="s">
        <v>759</v>
      </c>
      <c r="Q441" s="2" t="s">
        <v>84</v>
      </c>
      <c r="R441" s="2" t="s">
        <v>37</v>
      </c>
      <c r="S441" s="2" t="s">
        <v>152</v>
      </c>
      <c r="T441" s="2" t="s">
        <v>39</v>
      </c>
      <c r="U441" s="2">
        <v>120</v>
      </c>
      <c r="V441" s="2">
        <v>2240</v>
      </c>
      <c r="W441" s="2">
        <v>83686.399999999994</v>
      </c>
      <c r="X441" s="2">
        <v>37.36</v>
      </c>
      <c r="Y441" s="2">
        <v>0.31</v>
      </c>
      <c r="Z441" s="2">
        <v>554</v>
      </c>
      <c r="AA441" s="2">
        <v>7531.78</v>
      </c>
      <c r="AB441">
        <v>1</v>
      </c>
      <c r="AC441">
        <v>2010</v>
      </c>
      <c r="AE441" s="2">
        <v>694.4</v>
      </c>
    </row>
    <row r="442" spans="2:31" ht="14.5">
      <c r="B442" s="2">
        <v>23584</v>
      </c>
      <c r="C442" s="2" t="s">
        <v>879</v>
      </c>
      <c r="D442" s="2" t="s">
        <v>880</v>
      </c>
      <c r="E442" s="2" t="s">
        <v>118</v>
      </c>
      <c r="F442" s="2" t="s">
        <v>29</v>
      </c>
      <c r="G442" s="2" t="s">
        <v>30</v>
      </c>
      <c r="H442" s="2" t="s">
        <v>74</v>
      </c>
      <c r="I442" s="2" t="s">
        <v>32</v>
      </c>
      <c r="J442" s="2" t="s">
        <v>52</v>
      </c>
      <c r="K442" s="2" t="s">
        <v>34</v>
      </c>
      <c r="L442" s="3">
        <v>40070</v>
      </c>
      <c r="M442" s="3">
        <v>40134</v>
      </c>
      <c r="N442" s="3">
        <v>40134</v>
      </c>
      <c r="O442" s="3">
        <v>40134</v>
      </c>
      <c r="P442" s="2" t="s">
        <v>568</v>
      </c>
      <c r="Q442" s="2" t="s">
        <v>569</v>
      </c>
      <c r="R442" s="2" t="s">
        <v>570</v>
      </c>
      <c r="S442" s="2" t="s">
        <v>70</v>
      </c>
      <c r="T442" s="2" t="s">
        <v>64</v>
      </c>
      <c r="U442" s="2">
        <v>180</v>
      </c>
      <c r="V442" s="2">
        <v>48</v>
      </c>
      <c r="W442" s="2">
        <v>2400</v>
      </c>
      <c r="X442" s="2">
        <v>50</v>
      </c>
      <c r="Y442" s="2">
        <v>0.28000000000000003</v>
      </c>
      <c r="Z442" s="2">
        <v>11</v>
      </c>
      <c r="AA442" s="2">
        <v>48</v>
      </c>
      <c r="AB442">
        <v>1</v>
      </c>
      <c r="AC442">
        <v>2009</v>
      </c>
      <c r="AE442" s="2">
        <v>13.440000000000001</v>
      </c>
    </row>
    <row r="443" spans="2:31" ht="14.5">
      <c r="B443" s="2">
        <v>24060</v>
      </c>
      <c r="C443" s="2" t="s">
        <v>881</v>
      </c>
      <c r="D443" s="2" t="s">
        <v>882</v>
      </c>
      <c r="E443" s="2" t="s">
        <v>42</v>
      </c>
      <c r="F443" s="2" t="s">
        <v>29</v>
      </c>
      <c r="G443" s="2" t="s">
        <v>30</v>
      </c>
      <c r="H443" s="2" t="s">
        <v>94</v>
      </c>
      <c r="I443" s="2" t="s">
        <v>32</v>
      </c>
      <c r="J443" s="2" t="s">
        <v>52</v>
      </c>
      <c r="K443" s="2" t="s">
        <v>34</v>
      </c>
      <c r="L443" s="3">
        <v>40043</v>
      </c>
      <c r="M443" s="3">
        <v>40140</v>
      </c>
      <c r="N443" s="3">
        <v>40140</v>
      </c>
      <c r="O443" s="3">
        <v>40140</v>
      </c>
      <c r="P443" s="2" t="s">
        <v>164</v>
      </c>
      <c r="Q443" s="2" t="s">
        <v>165</v>
      </c>
      <c r="R443" s="2" t="s">
        <v>37</v>
      </c>
      <c r="S443" s="2" t="s">
        <v>166</v>
      </c>
      <c r="T443" s="2" t="s">
        <v>39</v>
      </c>
      <c r="U443" s="2">
        <v>60</v>
      </c>
      <c r="V443" s="2">
        <v>10620</v>
      </c>
      <c r="W443" s="2">
        <v>27505.8</v>
      </c>
      <c r="X443" s="2">
        <v>2.59</v>
      </c>
      <c r="Y443" s="2">
        <v>0.04</v>
      </c>
      <c r="Z443" s="2">
        <v>593</v>
      </c>
      <c r="AA443" s="2">
        <v>730.81</v>
      </c>
      <c r="AB443">
        <v>1</v>
      </c>
      <c r="AC443">
        <v>2009</v>
      </c>
      <c r="AE443" s="2">
        <v>424.8</v>
      </c>
    </row>
    <row r="444" spans="2:31" ht="14.5">
      <c r="B444" s="2">
        <v>24246</v>
      </c>
      <c r="C444" s="2" t="s">
        <v>883</v>
      </c>
      <c r="D444" s="2" t="s">
        <v>884</v>
      </c>
      <c r="E444" s="2" t="s">
        <v>60</v>
      </c>
      <c r="F444" s="2" t="s">
        <v>29</v>
      </c>
      <c r="G444" s="2" t="s">
        <v>50</v>
      </c>
      <c r="H444" s="2" t="s">
        <v>81</v>
      </c>
      <c r="I444" s="2" t="s">
        <v>32</v>
      </c>
      <c r="J444" s="2" t="s">
        <v>82</v>
      </c>
      <c r="K444" s="2" t="s">
        <v>34</v>
      </c>
      <c r="L444" s="3">
        <v>41061</v>
      </c>
      <c r="M444" s="3">
        <v>41087</v>
      </c>
      <c r="N444" s="3">
        <v>41087</v>
      </c>
      <c r="O444" s="3">
        <v>41087</v>
      </c>
      <c r="P444" s="2" t="s">
        <v>83</v>
      </c>
      <c r="Q444" s="2" t="s">
        <v>84</v>
      </c>
      <c r="R444" s="2" t="s">
        <v>85</v>
      </c>
      <c r="S444" s="2" t="s">
        <v>86</v>
      </c>
      <c r="T444" s="2" t="s">
        <v>87</v>
      </c>
      <c r="U444" s="2">
        <v>300</v>
      </c>
      <c r="V444" s="2">
        <v>700</v>
      </c>
      <c r="W444" s="2">
        <v>21574</v>
      </c>
      <c r="X444" s="2">
        <v>30.82</v>
      </c>
      <c r="Y444" s="2">
        <v>0.1</v>
      </c>
      <c r="Z444" s="2">
        <v>1050</v>
      </c>
      <c r="AA444" s="2">
        <v>4672.7700000000004</v>
      </c>
      <c r="AB444">
        <v>1</v>
      </c>
      <c r="AC444">
        <v>2012</v>
      </c>
      <c r="AE444" s="2">
        <v>70</v>
      </c>
    </row>
    <row r="445" spans="2:31" ht="14.5">
      <c r="B445" s="2">
        <v>24358</v>
      </c>
      <c r="C445" s="2" t="s">
        <v>885</v>
      </c>
      <c r="D445" s="2" t="s">
        <v>886</v>
      </c>
      <c r="E445" s="2" t="s">
        <v>28</v>
      </c>
      <c r="F445" s="2" t="s">
        <v>29</v>
      </c>
      <c r="G445" s="2" t="s">
        <v>50</v>
      </c>
      <c r="H445" s="2" t="s">
        <v>81</v>
      </c>
      <c r="I445" s="2" t="s">
        <v>32</v>
      </c>
      <c r="J445" s="2" t="s">
        <v>82</v>
      </c>
      <c r="K445" s="2" t="s">
        <v>34</v>
      </c>
      <c r="L445" s="3">
        <v>41775</v>
      </c>
      <c r="M445" s="3">
        <v>41914</v>
      </c>
      <c r="N445" s="3">
        <v>41914</v>
      </c>
      <c r="O445" s="3">
        <v>41915</v>
      </c>
      <c r="P445" s="2" t="s">
        <v>90</v>
      </c>
      <c r="Q445" s="2" t="s">
        <v>84</v>
      </c>
      <c r="R445" s="2" t="s">
        <v>37</v>
      </c>
      <c r="S445" s="2" t="s">
        <v>91</v>
      </c>
      <c r="T445" s="2" t="s">
        <v>39</v>
      </c>
      <c r="U445" s="2">
        <v>60</v>
      </c>
      <c r="V445" s="2">
        <v>5273</v>
      </c>
      <c r="W445" s="2">
        <v>31321.62</v>
      </c>
      <c r="X445" s="2">
        <v>5.94</v>
      </c>
      <c r="Y445" s="2">
        <v>0.1</v>
      </c>
      <c r="Z445" s="2">
        <v>668</v>
      </c>
      <c r="AA445" s="2">
        <v>4835.3900000000003</v>
      </c>
      <c r="AB445">
        <v>1</v>
      </c>
      <c r="AC445">
        <v>2014</v>
      </c>
      <c r="AE445" s="2">
        <v>527.30000000000007</v>
      </c>
    </row>
    <row r="446" spans="2:31" ht="14.5">
      <c r="B446" s="2">
        <v>24374</v>
      </c>
      <c r="C446" s="2" t="s">
        <v>887</v>
      </c>
      <c r="D446" s="2" t="s">
        <v>888</v>
      </c>
      <c r="E446" s="2" t="s">
        <v>42</v>
      </c>
      <c r="F446" s="2" t="s">
        <v>29</v>
      </c>
      <c r="G446" s="2" t="s">
        <v>30</v>
      </c>
      <c r="H446" s="2" t="s">
        <v>31</v>
      </c>
      <c r="I446" s="2" t="s">
        <v>32</v>
      </c>
      <c r="J446" s="2" t="s">
        <v>52</v>
      </c>
      <c r="K446" s="2" t="s">
        <v>34</v>
      </c>
      <c r="L446" s="3">
        <v>40011</v>
      </c>
      <c r="M446" s="3">
        <v>40205</v>
      </c>
      <c r="N446" s="3">
        <v>40205</v>
      </c>
      <c r="O446" s="3">
        <v>40205</v>
      </c>
      <c r="P446" s="2" t="s">
        <v>484</v>
      </c>
      <c r="Q446" s="2" t="s">
        <v>105</v>
      </c>
      <c r="R446" s="2" t="s">
        <v>37</v>
      </c>
      <c r="S446" s="2" t="s">
        <v>100</v>
      </c>
      <c r="T446" s="2" t="s">
        <v>39</v>
      </c>
      <c r="U446" s="2">
        <v>30</v>
      </c>
      <c r="V446" s="2">
        <v>5520</v>
      </c>
      <c r="W446" s="2">
        <v>47251.199999999997</v>
      </c>
      <c r="X446" s="2">
        <v>8.56</v>
      </c>
      <c r="Y446" s="2">
        <v>0.28999999999999998</v>
      </c>
      <c r="Z446" s="2">
        <v>516</v>
      </c>
      <c r="AA446" s="2">
        <v>2355.52</v>
      </c>
      <c r="AB446">
        <v>1</v>
      </c>
      <c r="AC446">
        <v>2010</v>
      </c>
      <c r="AE446" s="2">
        <v>1600.8</v>
      </c>
    </row>
    <row r="447" spans="2:31" ht="14.5">
      <c r="B447" s="2">
        <v>24384</v>
      </c>
      <c r="C447" s="2" t="s">
        <v>889</v>
      </c>
      <c r="D447" s="2" t="s">
        <v>890</v>
      </c>
      <c r="E447" s="2" t="s">
        <v>118</v>
      </c>
      <c r="F447" s="2" t="s">
        <v>29</v>
      </c>
      <c r="G447" s="2" t="s">
        <v>30</v>
      </c>
      <c r="H447" s="2" t="s">
        <v>103</v>
      </c>
      <c r="I447" s="2" t="s">
        <v>32</v>
      </c>
      <c r="J447" s="2" t="s">
        <v>891</v>
      </c>
      <c r="K447" s="2" t="s">
        <v>34</v>
      </c>
      <c r="L447" s="3">
        <v>41207</v>
      </c>
      <c r="M447" s="3">
        <v>41257</v>
      </c>
      <c r="N447" s="3">
        <v>41257</v>
      </c>
      <c r="O447" s="3">
        <v>41257</v>
      </c>
      <c r="P447" s="2" t="s">
        <v>864</v>
      </c>
      <c r="Q447" s="2" t="s">
        <v>865</v>
      </c>
      <c r="R447" s="2" t="s">
        <v>866</v>
      </c>
      <c r="S447" s="2" t="s">
        <v>100</v>
      </c>
      <c r="T447" s="2" t="s">
        <v>39</v>
      </c>
      <c r="U447" s="2">
        <v>120</v>
      </c>
      <c r="V447" s="2">
        <v>288</v>
      </c>
      <c r="W447" s="2">
        <v>19180.8</v>
      </c>
      <c r="X447" s="2">
        <v>66.599999999999994</v>
      </c>
      <c r="Y447" s="2">
        <v>0.55000000000000004</v>
      </c>
      <c r="Z447" s="2">
        <v>94</v>
      </c>
      <c r="AA447" s="2">
        <v>1061</v>
      </c>
      <c r="AB447">
        <v>1</v>
      </c>
      <c r="AC447">
        <v>2012</v>
      </c>
      <c r="AE447" s="2">
        <v>158.4</v>
      </c>
    </row>
    <row r="448" spans="2:31" ht="14.5">
      <c r="B448" s="2">
        <v>24473</v>
      </c>
      <c r="C448" s="2" t="s">
        <v>892</v>
      </c>
      <c r="D448" s="2" t="s">
        <v>893</v>
      </c>
      <c r="E448" s="2" t="s">
        <v>118</v>
      </c>
      <c r="F448" s="2" t="s">
        <v>29</v>
      </c>
      <c r="G448" s="2" t="s">
        <v>30</v>
      </c>
      <c r="H448" s="2" t="s">
        <v>103</v>
      </c>
      <c r="I448" s="2" t="s">
        <v>32</v>
      </c>
      <c r="J448" s="2" t="s">
        <v>711</v>
      </c>
      <c r="K448" s="2" t="s">
        <v>34</v>
      </c>
      <c r="L448" s="3">
        <v>41016</v>
      </c>
      <c r="M448" s="3">
        <v>41095</v>
      </c>
      <c r="N448" s="3">
        <v>41095</v>
      </c>
      <c r="O448" s="3">
        <v>41095</v>
      </c>
      <c r="P448" s="2" t="s">
        <v>712</v>
      </c>
      <c r="Q448" s="2" t="s">
        <v>713</v>
      </c>
      <c r="R448" s="2" t="s">
        <v>714</v>
      </c>
      <c r="S448" s="2" t="s">
        <v>330</v>
      </c>
      <c r="T448" s="2" t="s">
        <v>39</v>
      </c>
      <c r="U448" s="2">
        <v>120</v>
      </c>
      <c r="V448" s="2">
        <v>144</v>
      </c>
      <c r="W448" s="2">
        <v>10800</v>
      </c>
      <c r="X448" s="2">
        <v>75</v>
      </c>
      <c r="Y448" s="2">
        <v>0.62</v>
      </c>
      <c r="Z448" s="2">
        <v>47</v>
      </c>
      <c r="AA448" s="2">
        <v>449</v>
      </c>
      <c r="AB448">
        <v>1</v>
      </c>
      <c r="AC448">
        <v>2012</v>
      </c>
      <c r="AE448" s="2">
        <v>89.28</v>
      </c>
    </row>
    <row r="449" spans="2:31" ht="14.5">
      <c r="B449" s="2">
        <v>24905</v>
      </c>
      <c r="C449" s="2" t="s">
        <v>816</v>
      </c>
      <c r="D449" s="2" t="s">
        <v>894</v>
      </c>
      <c r="E449" s="2" t="s">
        <v>118</v>
      </c>
      <c r="F449" s="2" t="s">
        <v>29</v>
      </c>
      <c r="G449" s="2" t="s">
        <v>50</v>
      </c>
      <c r="H449" s="2" t="s">
        <v>31</v>
      </c>
      <c r="I449" s="2" t="s">
        <v>32</v>
      </c>
      <c r="J449" s="2" t="s">
        <v>33</v>
      </c>
      <c r="K449" s="2" t="s">
        <v>34</v>
      </c>
      <c r="L449" s="3">
        <v>41495</v>
      </c>
      <c r="M449" s="3">
        <v>41618</v>
      </c>
      <c r="N449" s="3">
        <v>41618</v>
      </c>
      <c r="O449" s="3">
        <v>41618</v>
      </c>
      <c r="P449" s="2" t="s">
        <v>818</v>
      </c>
      <c r="Q449" s="2" t="s">
        <v>36</v>
      </c>
      <c r="R449" s="2" t="s">
        <v>37</v>
      </c>
      <c r="S449" s="2" t="s">
        <v>226</v>
      </c>
      <c r="T449" s="2" t="s">
        <v>526</v>
      </c>
      <c r="U449" s="2">
        <v>100</v>
      </c>
      <c r="V449" s="2">
        <v>10368</v>
      </c>
      <c r="W449" s="2">
        <v>13478.4</v>
      </c>
      <c r="X449" s="2">
        <v>1.3</v>
      </c>
      <c r="Y449" s="2">
        <v>0.01</v>
      </c>
      <c r="Z449" s="2">
        <v>2127</v>
      </c>
      <c r="AA449" s="2">
        <v>10898.13</v>
      </c>
      <c r="AB449">
        <v>1</v>
      </c>
      <c r="AC449">
        <v>2013</v>
      </c>
      <c r="AE449" s="2">
        <v>103.68</v>
      </c>
    </row>
    <row r="450" spans="2:31" ht="14.5">
      <c r="B450" s="2">
        <v>24974</v>
      </c>
      <c r="C450" s="2" t="s">
        <v>895</v>
      </c>
      <c r="D450" s="2" t="s">
        <v>896</v>
      </c>
      <c r="E450" s="2" t="s">
        <v>42</v>
      </c>
      <c r="F450" s="2" t="s">
        <v>29</v>
      </c>
      <c r="G450" s="2" t="s">
        <v>30</v>
      </c>
      <c r="H450" s="2" t="s">
        <v>43</v>
      </c>
      <c r="I450" s="2" t="s">
        <v>32</v>
      </c>
      <c r="J450" s="2" t="s">
        <v>33</v>
      </c>
      <c r="K450" s="2" t="s">
        <v>646</v>
      </c>
      <c r="L450" s="3">
        <v>40448</v>
      </c>
      <c r="M450" s="3">
        <v>40633</v>
      </c>
      <c r="N450" s="3">
        <v>40633</v>
      </c>
      <c r="O450" s="3">
        <v>40633</v>
      </c>
      <c r="P450" s="2" t="s">
        <v>759</v>
      </c>
      <c r="Q450" s="2" t="s">
        <v>84</v>
      </c>
      <c r="R450" s="2" t="s">
        <v>37</v>
      </c>
      <c r="S450" s="2" t="s">
        <v>152</v>
      </c>
      <c r="T450" s="2" t="s">
        <v>39</v>
      </c>
      <c r="U450" s="2">
        <v>120</v>
      </c>
      <c r="V450" s="2">
        <v>17587</v>
      </c>
      <c r="W450" s="2">
        <v>587405.80000000005</v>
      </c>
      <c r="X450" s="2">
        <v>33.4</v>
      </c>
      <c r="Y450" s="2">
        <v>0.28000000000000003</v>
      </c>
      <c r="Z450" s="2">
        <v>5480</v>
      </c>
      <c r="AA450" s="2">
        <v>19123.349999999999</v>
      </c>
      <c r="AB450">
        <v>1</v>
      </c>
      <c r="AC450">
        <v>2011</v>
      </c>
      <c r="AE450" s="2">
        <v>4924.3600000000006</v>
      </c>
    </row>
    <row r="451" spans="2:31" ht="14.5">
      <c r="B451" s="2">
        <v>24999</v>
      </c>
      <c r="C451" s="2" t="s">
        <v>897</v>
      </c>
      <c r="D451" s="2" t="s">
        <v>898</v>
      </c>
      <c r="E451" s="2" t="s">
        <v>42</v>
      </c>
      <c r="F451" s="2" t="s">
        <v>29</v>
      </c>
      <c r="G451" s="2" t="s">
        <v>30</v>
      </c>
      <c r="H451" s="2" t="s">
        <v>31</v>
      </c>
      <c r="I451" s="2" t="s">
        <v>32</v>
      </c>
      <c r="J451" s="2" t="s">
        <v>52</v>
      </c>
      <c r="K451" s="2" t="s">
        <v>34</v>
      </c>
      <c r="L451" s="3">
        <v>40155</v>
      </c>
      <c r="M451" s="3">
        <v>40205</v>
      </c>
      <c r="N451" s="3">
        <v>40205</v>
      </c>
      <c r="O451" s="3">
        <v>40205</v>
      </c>
      <c r="P451" s="2" t="s">
        <v>484</v>
      </c>
      <c r="Q451" s="2" t="s">
        <v>105</v>
      </c>
      <c r="R451" s="2" t="s">
        <v>37</v>
      </c>
      <c r="S451" s="2" t="s">
        <v>100</v>
      </c>
      <c r="T451" s="2" t="s">
        <v>39</v>
      </c>
      <c r="U451" s="2">
        <v>30</v>
      </c>
      <c r="V451" s="2">
        <v>1630</v>
      </c>
      <c r="W451" s="2">
        <v>13952.8</v>
      </c>
      <c r="X451" s="2">
        <v>8.56</v>
      </c>
      <c r="Y451" s="2">
        <v>0.28999999999999998</v>
      </c>
      <c r="Z451" s="2">
        <v>153</v>
      </c>
      <c r="AA451" s="2">
        <v>2483.4899999999998</v>
      </c>
      <c r="AB451">
        <v>1</v>
      </c>
      <c r="AC451">
        <v>2010</v>
      </c>
      <c r="AE451" s="2">
        <v>472.7</v>
      </c>
    </row>
    <row r="452" spans="2:31" ht="14.5">
      <c r="B452" s="2">
        <v>25293</v>
      </c>
      <c r="C452" s="2" t="s">
        <v>899</v>
      </c>
      <c r="D452" s="2" t="s">
        <v>900</v>
      </c>
      <c r="E452" s="2" t="s">
        <v>42</v>
      </c>
      <c r="F452" s="2" t="s">
        <v>29</v>
      </c>
      <c r="G452" s="2" t="s">
        <v>30</v>
      </c>
      <c r="H452" s="2" t="s">
        <v>109</v>
      </c>
      <c r="I452" s="2" t="s">
        <v>32</v>
      </c>
      <c r="J452" s="2" t="s">
        <v>52</v>
      </c>
      <c r="K452" s="2" t="s">
        <v>34</v>
      </c>
      <c r="L452" s="3">
        <v>39918</v>
      </c>
      <c r="M452" s="3">
        <v>40212</v>
      </c>
      <c r="N452" s="3">
        <v>40212</v>
      </c>
      <c r="O452" s="3">
        <v>40212</v>
      </c>
      <c r="P452" s="2" t="s">
        <v>44</v>
      </c>
      <c r="Q452" s="2" t="s">
        <v>45</v>
      </c>
      <c r="R452" s="2" t="s">
        <v>37</v>
      </c>
      <c r="S452" s="2" t="s">
        <v>46</v>
      </c>
      <c r="T452" s="2" t="s">
        <v>47</v>
      </c>
      <c r="U452" s="2">
        <v>60</v>
      </c>
      <c r="V452" s="2">
        <v>34464</v>
      </c>
      <c r="W452" s="2">
        <v>310176</v>
      </c>
      <c r="X452" s="2">
        <v>9</v>
      </c>
      <c r="Y452" s="2">
        <v>0.15</v>
      </c>
      <c r="Z452" s="2">
        <v>2768</v>
      </c>
      <c r="AA452" s="2">
        <v>29603.24</v>
      </c>
      <c r="AB452">
        <v>1</v>
      </c>
      <c r="AC452">
        <v>2010</v>
      </c>
      <c r="AE452" s="2">
        <v>5169.5999999999995</v>
      </c>
    </row>
    <row r="453" spans="2:31" ht="14.5">
      <c r="B453" s="2">
        <v>25423</v>
      </c>
      <c r="C453" s="2" t="s">
        <v>901</v>
      </c>
      <c r="D453" s="2" t="s">
        <v>902</v>
      </c>
      <c r="E453" s="2" t="s">
        <v>118</v>
      </c>
      <c r="F453" s="2" t="s">
        <v>29</v>
      </c>
      <c r="G453" s="2" t="s">
        <v>30</v>
      </c>
      <c r="H453" s="2" t="s">
        <v>103</v>
      </c>
      <c r="I453" s="2" t="s">
        <v>32</v>
      </c>
      <c r="J453" s="2" t="s">
        <v>711</v>
      </c>
      <c r="K453" s="2" t="s">
        <v>34</v>
      </c>
      <c r="L453" s="3">
        <v>41016</v>
      </c>
      <c r="M453" s="3">
        <v>41047</v>
      </c>
      <c r="N453" s="3">
        <v>41047</v>
      </c>
      <c r="O453" s="3">
        <v>41047</v>
      </c>
      <c r="P453" s="2" t="s">
        <v>864</v>
      </c>
      <c r="Q453" s="2" t="s">
        <v>865</v>
      </c>
      <c r="R453" s="2" t="s">
        <v>866</v>
      </c>
      <c r="S453" s="2" t="s">
        <v>100</v>
      </c>
      <c r="T453" s="2" t="s">
        <v>39</v>
      </c>
      <c r="U453" s="2">
        <v>120</v>
      </c>
      <c r="V453" s="2">
        <v>63</v>
      </c>
      <c r="W453" s="2">
        <v>4195.8</v>
      </c>
      <c r="X453" s="2">
        <v>66.599999999999994</v>
      </c>
      <c r="Y453" s="2">
        <v>0.55000000000000004</v>
      </c>
      <c r="Z453" s="2">
        <v>57</v>
      </c>
      <c r="AA453" s="2">
        <v>548.20000000000005</v>
      </c>
      <c r="AB453">
        <v>1</v>
      </c>
      <c r="AC453">
        <v>2012</v>
      </c>
      <c r="AE453" s="2">
        <v>34.650000000000006</v>
      </c>
    </row>
    <row r="454" spans="2:31" ht="14.5">
      <c r="B454" s="2">
        <v>25477</v>
      </c>
      <c r="C454" s="2" t="s">
        <v>903</v>
      </c>
      <c r="D454" s="2" t="s">
        <v>904</v>
      </c>
      <c r="E454" s="2" t="s">
        <v>118</v>
      </c>
      <c r="F454" s="2" t="s">
        <v>29</v>
      </c>
      <c r="G454" s="2" t="s">
        <v>30</v>
      </c>
      <c r="H454" s="2" t="s">
        <v>74</v>
      </c>
      <c r="I454" s="2" t="s">
        <v>32</v>
      </c>
      <c r="J454" s="2" t="s">
        <v>52</v>
      </c>
      <c r="K454" s="2" t="s">
        <v>34</v>
      </c>
      <c r="L454" s="3">
        <v>40627</v>
      </c>
      <c r="M454" s="3">
        <v>40835</v>
      </c>
      <c r="N454" s="3">
        <v>40835</v>
      </c>
      <c r="O454" s="3">
        <v>40835</v>
      </c>
      <c r="P454" s="2" t="s">
        <v>833</v>
      </c>
      <c r="Q454" s="2" t="s">
        <v>834</v>
      </c>
      <c r="R454" s="2" t="s">
        <v>835</v>
      </c>
      <c r="S454" s="2" t="s">
        <v>70</v>
      </c>
      <c r="T454" s="2" t="s">
        <v>39</v>
      </c>
      <c r="U454" s="2">
        <v>60</v>
      </c>
      <c r="V454" s="2">
        <v>274</v>
      </c>
      <c r="W454" s="2">
        <v>25071</v>
      </c>
      <c r="X454" s="2">
        <v>91.5</v>
      </c>
      <c r="Y454" s="2">
        <v>1.52</v>
      </c>
      <c r="Z454" s="2">
        <v>28</v>
      </c>
      <c r="AA454" s="2">
        <v>501</v>
      </c>
      <c r="AB454">
        <v>1</v>
      </c>
      <c r="AC454">
        <v>2011</v>
      </c>
      <c r="AE454" s="2">
        <v>416.48</v>
      </c>
    </row>
    <row r="455" spans="2:31" ht="14.5">
      <c r="B455" s="2">
        <v>25587</v>
      </c>
      <c r="C455" s="2" t="s">
        <v>725</v>
      </c>
      <c r="D455" s="2" t="s">
        <v>905</v>
      </c>
      <c r="E455" s="2" t="s">
        <v>118</v>
      </c>
      <c r="F455" s="2" t="s">
        <v>29</v>
      </c>
      <c r="G455" s="2" t="s">
        <v>50</v>
      </c>
      <c r="H455" s="2" t="s">
        <v>43</v>
      </c>
      <c r="I455" s="2" t="s">
        <v>32</v>
      </c>
      <c r="J455" s="2" t="s">
        <v>33</v>
      </c>
      <c r="K455" s="2" t="s">
        <v>34</v>
      </c>
      <c r="L455" s="3">
        <v>41577</v>
      </c>
      <c r="M455" s="3">
        <v>41719</v>
      </c>
      <c r="N455" s="3">
        <v>41719</v>
      </c>
      <c r="O455" s="3">
        <v>41719</v>
      </c>
      <c r="P455" s="2" t="s">
        <v>842</v>
      </c>
      <c r="Q455" s="2" t="s">
        <v>113</v>
      </c>
      <c r="R455" s="2" t="s">
        <v>37</v>
      </c>
      <c r="S455" s="2" t="s">
        <v>843</v>
      </c>
      <c r="T455" s="2" t="s">
        <v>729</v>
      </c>
      <c r="U455" s="2">
        <v>60</v>
      </c>
      <c r="V455" s="2">
        <v>15021</v>
      </c>
      <c r="W455" s="2">
        <v>60084</v>
      </c>
      <c r="X455" s="2">
        <v>4</v>
      </c>
      <c r="Y455" s="2">
        <v>7.0000000000000007E-2</v>
      </c>
      <c r="Z455" s="2">
        <v>1411</v>
      </c>
      <c r="AA455" s="2">
        <v>13983.98</v>
      </c>
      <c r="AB455">
        <v>1</v>
      </c>
      <c r="AC455">
        <v>2014</v>
      </c>
      <c r="AE455" s="2">
        <v>1051.47</v>
      </c>
    </row>
    <row r="456" spans="2:31" ht="14.5">
      <c r="B456" s="2">
        <v>25726</v>
      </c>
      <c r="C456" s="2" t="s">
        <v>906</v>
      </c>
      <c r="D456" s="2" t="s">
        <v>907</v>
      </c>
      <c r="E456" s="2" t="s">
        <v>42</v>
      </c>
      <c r="F456" s="2" t="s">
        <v>29</v>
      </c>
      <c r="G456" s="2" t="s">
        <v>30</v>
      </c>
      <c r="H456" s="2" t="s">
        <v>109</v>
      </c>
      <c r="I456" s="2" t="s">
        <v>32</v>
      </c>
      <c r="J456" s="2" t="s">
        <v>52</v>
      </c>
      <c r="K456" s="2" t="s">
        <v>34</v>
      </c>
      <c r="L456" s="3">
        <v>40218</v>
      </c>
      <c r="M456" s="3">
        <v>40359</v>
      </c>
      <c r="N456" s="3">
        <v>40359</v>
      </c>
      <c r="O456" s="3">
        <v>40359</v>
      </c>
      <c r="P456" s="2" t="s">
        <v>98</v>
      </c>
      <c r="Q456" s="2" t="s">
        <v>99</v>
      </c>
      <c r="R456" s="2" t="s">
        <v>37</v>
      </c>
      <c r="S456" s="2" t="s">
        <v>100</v>
      </c>
      <c r="T456" s="2" t="s">
        <v>39</v>
      </c>
      <c r="U456" s="2">
        <v>60</v>
      </c>
      <c r="V456" s="2">
        <v>26100</v>
      </c>
      <c r="W456" s="2">
        <v>424125</v>
      </c>
      <c r="X456" s="2">
        <v>16.25</v>
      </c>
      <c r="Y456" s="2">
        <v>0.27</v>
      </c>
      <c r="Z456" s="2">
        <v>2586</v>
      </c>
      <c r="AA456" s="2">
        <v>1170.2</v>
      </c>
      <c r="AB456">
        <v>1</v>
      </c>
      <c r="AC456">
        <v>2010</v>
      </c>
      <c r="AE456" s="2">
        <v>7047.0000000000009</v>
      </c>
    </row>
    <row r="457" spans="2:31" ht="14.5">
      <c r="B457" s="2">
        <v>26019</v>
      </c>
      <c r="C457" s="2" t="s">
        <v>908</v>
      </c>
      <c r="D457" s="2" t="s">
        <v>909</v>
      </c>
      <c r="E457" s="2" t="s">
        <v>42</v>
      </c>
      <c r="F457" s="2" t="s">
        <v>29</v>
      </c>
      <c r="G457" s="2" t="s">
        <v>50</v>
      </c>
      <c r="H457" s="2" t="s">
        <v>81</v>
      </c>
      <c r="I457" s="2" t="s">
        <v>32</v>
      </c>
      <c r="J457" s="2" t="s">
        <v>82</v>
      </c>
      <c r="K457" s="2" t="s">
        <v>34</v>
      </c>
      <c r="L457" s="3">
        <v>41061</v>
      </c>
      <c r="M457" s="3">
        <v>41089</v>
      </c>
      <c r="N457" s="3">
        <v>41089</v>
      </c>
      <c r="O457" s="3">
        <v>41089</v>
      </c>
      <c r="P457" s="2" t="s">
        <v>83</v>
      </c>
      <c r="Q457" s="2" t="s">
        <v>84</v>
      </c>
      <c r="R457" s="2" t="s">
        <v>85</v>
      </c>
      <c r="S457" s="2" t="s">
        <v>86</v>
      </c>
      <c r="T457" s="2" t="s">
        <v>87</v>
      </c>
      <c r="U457" s="2">
        <v>300</v>
      </c>
      <c r="V457" s="2">
        <v>255</v>
      </c>
      <c r="W457" s="2">
        <v>7859.1</v>
      </c>
      <c r="X457" s="2">
        <v>30.82</v>
      </c>
      <c r="Y457" s="2">
        <v>0.1</v>
      </c>
      <c r="Z457" s="2">
        <v>253</v>
      </c>
      <c r="AA457" s="2">
        <v>2455.6999999999998</v>
      </c>
      <c r="AB457">
        <v>1</v>
      </c>
      <c r="AC457">
        <v>2012</v>
      </c>
      <c r="AE457" s="2">
        <v>25.5</v>
      </c>
    </row>
    <row r="458" spans="2:31" ht="14.5">
      <c r="B458" s="2">
        <v>26082</v>
      </c>
      <c r="C458" s="2" t="s">
        <v>910</v>
      </c>
      <c r="D458" s="2" t="s">
        <v>911</v>
      </c>
      <c r="E458" s="2" t="s">
        <v>42</v>
      </c>
      <c r="F458" s="2" t="s">
        <v>29</v>
      </c>
      <c r="G458" s="2" t="s">
        <v>30</v>
      </c>
      <c r="H458" s="2" t="s">
        <v>94</v>
      </c>
      <c r="I458" s="2" t="s">
        <v>32</v>
      </c>
      <c r="J458" s="2" t="s">
        <v>52</v>
      </c>
      <c r="K458" s="2" t="s">
        <v>34</v>
      </c>
      <c r="L458" s="3">
        <v>40438</v>
      </c>
      <c r="M458" s="3">
        <v>40521</v>
      </c>
      <c r="N458" s="3">
        <v>40521</v>
      </c>
      <c r="O458" s="3">
        <v>40521</v>
      </c>
      <c r="P458" s="2" t="s">
        <v>35</v>
      </c>
      <c r="Q458" s="2" t="s">
        <v>36</v>
      </c>
      <c r="R458" s="2" t="s">
        <v>37</v>
      </c>
      <c r="S458" s="2" t="s">
        <v>38</v>
      </c>
      <c r="T458" s="2" t="s">
        <v>39</v>
      </c>
      <c r="U458" s="2">
        <v>60</v>
      </c>
      <c r="V458" s="2">
        <v>62671</v>
      </c>
      <c r="W458" s="2">
        <v>165451.44</v>
      </c>
      <c r="X458" s="2">
        <v>2.64</v>
      </c>
      <c r="Y458" s="2">
        <v>0.04</v>
      </c>
      <c r="Z458" s="2">
        <v>3666</v>
      </c>
      <c r="AA458" s="2">
        <v>14890.63</v>
      </c>
      <c r="AB458">
        <v>1</v>
      </c>
      <c r="AC458">
        <v>2010</v>
      </c>
      <c r="AE458" s="2">
        <v>2506.84</v>
      </c>
    </row>
    <row r="459" spans="2:31" ht="14.5">
      <c r="B459" s="2">
        <v>26093</v>
      </c>
      <c r="C459" s="2" t="s">
        <v>912</v>
      </c>
      <c r="D459" s="2" t="s">
        <v>913</v>
      </c>
      <c r="E459" s="2" t="s">
        <v>42</v>
      </c>
      <c r="F459" s="2" t="s">
        <v>29</v>
      </c>
      <c r="G459" s="2" t="s">
        <v>30</v>
      </c>
      <c r="H459" s="2" t="s">
        <v>31</v>
      </c>
      <c r="I459" s="2" t="s">
        <v>32</v>
      </c>
      <c r="J459" s="2" t="s">
        <v>33</v>
      </c>
      <c r="K459" s="2" t="s">
        <v>34</v>
      </c>
      <c r="L459" s="3">
        <v>41106</v>
      </c>
      <c r="M459" s="3">
        <v>41161</v>
      </c>
      <c r="N459" s="3">
        <v>41161</v>
      </c>
      <c r="O459" s="3">
        <v>41161</v>
      </c>
      <c r="P459" s="2" t="s">
        <v>35</v>
      </c>
      <c r="Q459" s="2" t="s">
        <v>36</v>
      </c>
      <c r="R459" s="2" t="s">
        <v>37</v>
      </c>
      <c r="S459" s="2" t="s">
        <v>38</v>
      </c>
      <c r="T459" s="2" t="s">
        <v>39</v>
      </c>
      <c r="U459" s="2">
        <v>60</v>
      </c>
      <c r="V459" s="2">
        <v>57364</v>
      </c>
      <c r="W459" s="2">
        <v>129069</v>
      </c>
      <c r="X459" s="2">
        <v>2.25</v>
      </c>
      <c r="Y459" s="2">
        <v>0.04</v>
      </c>
      <c r="Z459" s="2">
        <v>5468</v>
      </c>
      <c r="AA459" s="2">
        <v>48501.5</v>
      </c>
      <c r="AB459">
        <v>1</v>
      </c>
      <c r="AC459">
        <v>2012</v>
      </c>
      <c r="AE459" s="2">
        <v>2294.56</v>
      </c>
    </row>
    <row r="460" spans="2:31" ht="14.5">
      <c r="B460" s="2">
        <v>26171</v>
      </c>
      <c r="C460" s="2" t="s">
        <v>914</v>
      </c>
      <c r="D460" s="2" t="s">
        <v>915</v>
      </c>
      <c r="E460" s="2" t="s">
        <v>42</v>
      </c>
      <c r="F460" s="2" t="s">
        <v>29</v>
      </c>
      <c r="G460" s="2" t="s">
        <v>30</v>
      </c>
      <c r="H460" s="2" t="s">
        <v>31</v>
      </c>
      <c r="I460" s="2" t="s">
        <v>32</v>
      </c>
      <c r="J460" s="2" t="s">
        <v>52</v>
      </c>
      <c r="K460" s="2" t="s">
        <v>34</v>
      </c>
      <c r="L460" s="3">
        <v>40010</v>
      </c>
      <c r="M460" s="3">
        <v>40205</v>
      </c>
      <c r="N460" s="3">
        <v>40205</v>
      </c>
      <c r="O460" s="3">
        <v>40205</v>
      </c>
      <c r="P460" s="2" t="s">
        <v>484</v>
      </c>
      <c r="Q460" s="2" t="s">
        <v>105</v>
      </c>
      <c r="R460" s="2" t="s">
        <v>37</v>
      </c>
      <c r="S460" s="2" t="s">
        <v>100</v>
      </c>
      <c r="T460" s="2" t="s">
        <v>39</v>
      </c>
      <c r="U460" s="2">
        <v>30</v>
      </c>
      <c r="V460" s="2">
        <v>276</v>
      </c>
      <c r="W460" s="2">
        <v>2362.56</v>
      </c>
      <c r="X460" s="2">
        <v>8.56</v>
      </c>
      <c r="Y460" s="2">
        <v>0.28999999999999998</v>
      </c>
      <c r="Z460" s="2">
        <v>26</v>
      </c>
      <c r="AA460" s="2">
        <v>2187.0100000000002</v>
      </c>
      <c r="AB460">
        <v>1</v>
      </c>
      <c r="AC460">
        <v>2010</v>
      </c>
      <c r="AE460" s="2">
        <v>80.039999999999992</v>
      </c>
    </row>
    <row r="461" spans="2:31" ht="14.5">
      <c r="B461" s="2">
        <v>26617</v>
      </c>
      <c r="C461" s="2" t="s">
        <v>916</v>
      </c>
      <c r="D461" s="2" t="s">
        <v>917</v>
      </c>
      <c r="E461" s="2" t="s">
        <v>118</v>
      </c>
      <c r="F461" s="2" t="s">
        <v>29</v>
      </c>
      <c r="G461" s="2" t="s">
        <v>30</v>
      </c>
      <c r="H461" s="2" t="s">
        <v>74</v>
      </c>
      <c r="I461" s="2" t="s">
        <v>32</v>
      </c>
      <c r="J461" s="2" t="s">
        <v>52</v>
      </c>
      <c r="K461" s="2" t="s">
        <v>34</v>
      </c>
      <c r="L461" s="3">
        <v>41003</v>
      </c>
      <c r="M461" s="3">
        <v>41050</v>
      </c>
      <c r="N461" s="3">
        <v>41050</v>
      </c>
      <c r="O461" s="3">
        <v>41050</v>
      </c>
      <c r="P461" s="2" t="s">
        <v>833</v>
      </c>
      <c r="Q461" s="2" t="s">
        <v>834</v>
      </c>
      <c r="R461" s="2" t="s">
        <v>835</v>
      </c>
      <c r="S461" s="2" t="s">
        <v>70</v>
      </c>
      <c r="T461" s="2" t="s">
        <v>39</v>
      </c>
      <c r="U461" s="2">
        <v>60</v>
      </c>
      <c r="V461" s="2">
        <v>189</v>
      </c>
      <c r="W461" s="2">
        <v>10489.5</v>
      </c>
      <c r="X461" s="2">
        <v>55.5</v>
      </c>
      <c r="Y461" s="2">
        <v>0.92</v>
      </c>
      <c r="Z461" s="2">
        <v>19</v>
      </c>
      <c r="AA461" s="2">
        <v>710</v>
      </c>
      <c r="AB461">
        <v>1</v>
      </c>
      <c r="AC461">
        <v>2012</v>
      </c>
      <c r="AE461" s="2">
        <v>173.88</v>
      </c>
    </row>
    <row r="462" spans="2:31" ht="14.5">
      <c r="B462" s="2">
        <v>26965</v>
      </c>
      <c r="C462" s="2" t="s">
        <v>918</v>
      </c>
      <c r="D462" s="2" t="s">
        <v>919</v>
      </c>
      <c r="E462" s="2" t="s">
        <v>118</v>
      </c>
      <c r="F462" s="2" t="s">
        <v>29</v>
      </c>
      <c r="G462" s="2" t="s">
        <v>30</v>
      </c>
      <c r="H462" s="2" t="s">
        <v>81</v>
      </c>
      <c r="I462" s="2" t="s">
        <v>32</v>
      </c>
      <c r="J462" s="2" t="s">
        <v>82</v>
      </c>
      <c r="K462" s="2" t="s">
        <v>34</v>
      </c>
      <c r="L462" s="3">
        <v>41813</v>
      </c>
      <c r="M462" s="3">
        <v>41951</v>
      </c>
      <c r="N462" s="3">
        <v>41951</v>
      </c>
      <c r="O462" s="3">
        <v>41955</v>
      </c>
      <c r="P462" s="2" t="s">
        <v>855</v>
      </c>
      <c r="Q462" s="2" t="s">
        <v>385</v>
      </c>
      <c r="R462" s="2" t="s">
        <v>386</v>
      </c>
      <c r="S462" s="2" t="s">
        <v>330</v>
      </c>
      <c r="T462" s="2" t="s">
        <v>39</v>
      </c>
      <c r="U462" s="2">
        <v>60</v>
      </c>
      <c r="V462" s="2">
        <v>579</v>
      </c>
      <c r="W462" s="2">
        <v>3966.15</v>
      </c>
      <c r="X462" s="2">
        <v>6.85</v>
      </c>
      <c r="Y462" s="2">
        <v>0.11</v>
      </c>
      <c r="Z462" s="2">
        <v>83</v>
      </c>
      <c r="AA462" s="2">
        <v>800</v>
      </c>
      <c r="AB462">
        <v>1</v>
      </c>
      <c r="AC462">
        <v>2014</v>
      </c>
      <c r="AE462" s="2">
        <v>63.69</v>
      </c>
    </row>
    <row r="463" spans="2:31" ht="14.5">
      <c r="B463" s="2">
        <v>27092</v>
      </c>
      <c r="C463" s="2" t="s">
        <v>920</v>
      </c>
      <c r="D463" s="2" t="s">
        <v>921</v>
      </c>
      <c r="E463" s="2" t="s">
        <v>118</v>
      </c>
      <c r="F463" s="2" t="s">
        <v>29</v>
      </c>
      <c r="G463" s="2" t="s">
        <v>50</v>
      </c>
      <c r="H463" s="2" t="s">
        <v>81</v>
      </c>
      <c r="I463" s="2" t="s">
        <v>32</v>
      </c>
      <c r="J463" s="2" t="s">
        <v>82</v>
      </c>
      <c r="K463" s="2" t="s">
        <v>34</v>
      </c>
      <c r="L463" s="3">
        <v>41309</v>
      </c>
      <c r="M463" s="3">
        <v>41481</v>
      </c>
      <c r="N463" s="3">
        <v>41481</v>
      </c>
      <c r="O463" s="3">
        <v>41481</v>
      </c>
      <c r="P463" s="2" t="s">
        <v>90</v>
      </c>
      <c r="Q463" s="2" t="s">
        <v>84</v>
      </c>
      <c r="R463" s="2" t="s">
        <v>37</v>
      </c>
      <c r="S463" s="2" t="s">
        <v>91</v>
      </c>
      <c r="T463" s="2" t="s">
        <v>39</v>
      </c>
      <c r="U463" s="2">
        <v>60</v>
      </c>
      <c r="V463" s="2">
        <v>2565</v>
      </c>
      <c r="W463" s="2">
        <v>15236.1</v>
      </c>
      <c r="X463" s="2">
        <v>5.94</v>
      </c>
      <c r="Y463" s="2">
        <v>0.1</v>
      </c>
      <c r="Z463" s="2">
        <v>304</v>
      </c>
      <c r="AA463" s="2">
        <v>2808.12</v>
      </c>
      <c r="AB463">
        <v>1</v>
      </c>
      <c r="AC463">
        <v>2013</v>
      </c>
      <c r="AE463" s="2">
        <v>256.5</v>
      </c>
    </row>
    <row r="464" spans="2:31" ht="14.5">
      <c r="B464" s="2">
        <v>27234</v>
      </c>
      <c r="C464" s="2" t="s">
        <v>922</v>
      </c>
      <c r="D464" s="2" t="s">
        <v>923</v>
      </c>
      <c r="E464" s="2" t="s">
        <v>42</v>
      </c>
      <c r="F464" s="2" t="s">
        <v>29</v>
      </c>
      <c r="G464" s="2" t="s">
        <v>50</v>
      </c>
      <c r="H464" s="2" t="s">
        <v>31</v>
      </c>
      <c r="I464" s="2" t="s">
        <v>32</v>
      </c>
      <c r="J464" s="2" t="s">
        <v>33</v>
      </c>
      <c r="K464" s="2" t="s">
        <v>34</v>
      </c>
      <c r="L464" s="3">
        <v>41988</v>
      </c>
      <c r="M464" s="3">
        <v>42019</v>
      </c>
      <c r="N464" s="3">
        <v>42019</v>
      </c>
      <c r="O464" s="3">
        <v>42059</v>
      </c>
      <c r="P464" s="2" t="s">
        <v>924</v>
      </c>
      <c r="Q464" s="2" t="s">
        <v>84</v>
      </c>
      <c r="R464" s="2" t="s">
        <v>37</v>
      </c>
      <c r="S464" s="2" t="s">
        <v>91</v>
      </c>
      <c r="T464" s="2" t="s">
        <v>39</v>
      </c>
      <c r="U464" s="2">
        <v>60</v>
      </c>
      <c r="V464" s="2">
        <v>607</v>
      </c>
      <c r="W464" s="2">
        <v>4880.28</v>
      </c>
      <c r="X464" s="2">
        <v>8.0399999999999991</v>
      </c>
      <c r="Y464" s="2">
        <v>0.13</v>
      </c>
      <c r="Z464" s="2">
        <v>66</v>
      </c>
      <c r="AA464" s="2">
        <v>1026.4000000000001</v>
      </c>
      <c r="AB464">
        <v>1</v>
      </c>
      <c r="AC464">
        <v>2015</v>
      </c>
      <c r="AE464" s="2">
        <v>78.91</v>
      </c>
    </row>
    <row r="465" spans="2:31" ht="14.5">
      <c r="B465" s="2">
        <v>27269</v>
      </c>
      <c r="C465" s="2" t="s">
        <v>925</v>
      </c>
      <c r="D465" s="2" t="s">
        <v>926</v>
      </c>
      <c r="E465" s="2" t="s">
        <v>42</v>
      </c>
      <c r="F465" s="2" t="s">
        <v>29</v>
      </c>
      <c r="G465" s="2" t="s">
        <v>30</v>
      </c>
      <c r="H465" s="2" t="s">
        <v>81</v>
      </c>
      <c r="I465" s="2" t="s">
        <v>32</v>
      </c>
      <c r="J465" s="2" t="s">
        <v>82</v>
      </c>
      <c r="K465" s="2" t="s">
        <v>34</v>
      </c>
      <c r="L465" s="3">
        <v>41857</v>
      </c>
      <c r="M465" s="3">
        <v>41898</v>
      </c>
      <c r="N465" s="3">
        <v>41898</v>
      </c>
      <c r="O465" s="3">
        <v>41907</v>
      </c>
      <c r="P465" s="2" t="s">
        <v>855</v>
      </c>
      <c r="Q465" s="2" t="s">
        <v>385</v>
      </c>
      <c r="R465" s="2" t="s">
        <v>386</v>
      </c>
      <c r="S465" s="2" t="s">
        <v>330</v>
      </c>
      <c r="T465" s="2" t="s">
        <v>39</v>
      </c>
      <c r="U465" s="2">
        <v>60</v>
      </c>
      <c r="V465" s="2">
        <v>1514</v>
      </c>
      <c r="W465" s="2">
        <v>10370.9</v>
      </c>
      <c r="X465" s="2">
        <v>6.85</v>
      </c>
      <c r="Y465" s="2">
        <v>0.11</v>
      </c>
      <c r="Z465" s="2">
        <v>204</v>
      </c>
      <c r="AA465" s="2">
        <v>1949.64</v>
      </c>
      <c r="AB465">
        <v>1</v>
      </c>
      <c r="AC465">
        <v>2014</v>
      </c>
      <c r="AE465" s="2">
        <v>166.54</v>
      </c>
    </row>
    <row r="466" spans="2:31" ht="14.5">
      <c r="B466" s="2">
        <v>27300</v>
      </c>
      <c r="C466" s="2" t="s">
        <v>927</v>
      </c>
      <c r="D466" s="2" t="s">
        <v>928</v>
      </c>
      <c r="E466" s="2" t="s">
        <v>42</v>
      </c>
      <c r="F466" s="2" t="s">
        <v>29</v>
      </c>
      <c r="G466" s="2" t="s">
        <v>30</v>
      </c>
      <c r="H466" s="2" t="s">
        <v>94</v>
      </c>
      <c r="I466" s="2" t="s">
        <v>32</v>
      </c>
      <c r="J466" s="2" t="s">
        <v>33</v>
      </c>
      <c r="K466" s="2" t="s">
        <v>34</v>
      </c>
      <c r="L466" s="3">
        <v>40449</v>
      </c>
      <c r="M466" s="3">
        <v>40711</v>
      </c>
      <c r="N466" s="3">
        <v>40711</v>
      </c>
      <c r="O466" s="3">
        <v>40711</v>
      </c>
      <c r="P466" s="2" t="s">
        <v>95</v>
      </c>
      <c r="Q466" s="2" t="s">
        <v>96</v>
      </c>
      <c r="R466" s="2" t="s">
        <v>37</v>
      </c>
      <c r="S466" s="2" t="s">
        <v>97</v>
      </c>
      <c r="T466" s="2" t="s">
        <v>39</v>
      </c>
      <c r="U466" s="2">
        <v>30</v>
      </c>
      <c r="V466" s="2">
        <v>43657</v>
      </c>
      <c r="W466" s="2">
        <v>180303.41</v>
      </c>
      <c r="X466" s="2">
        <v>4.13</v>
      </c>
      <c r="Y466" s="2">
        <v>0.14000000000000001</v>
      </c>
      <c r="Z466" s="2">
        <v>3720</v>
      </c>
      <c r="AA466" s="2">
        <v>35499.58</v>
      </c>
      <c r="AB466">
        <v>1</v>
      </c>
      <c r="AC466">
        <v>2011</v>
      </c>
      <c r="AE466" s="2">
        <v>6111.9800000000005</v>
      </c>
    </row>
    <row r="467" spans="2:31" ht="14.5">
      <c r="B467" s="2">
        <v>27634</v>
      </c>
      <c r="C467" s="2" t="s">
        <v>929</v>
      </c>
      <c r="D467" s="2" t="s">
        <v>930</v>
      </c>
      <c r="E467" s="2" t="s">
        <v>42</v>
      </c>
      <c r="F467" s="2" t="s">
        <v>29</v>
      </c>
      <c r="G467" s="2" t="s">
        <v>30</v>
      </c>
      <c r="H467" s="2" t="s">
        <v>109</v>
      </c>
      <c r="I467" s="2" t="s">
        <v>32</v>
      </c>
      <c r="J467" s="2" t="s">
        <v>33</v>
      </c>
      <c r="K467" s="2" t="s">
        <v>34</v>
      </c>
      <c r="L467" s="3">
        <v>41775</v>
      </c>
      <c r="M467" s="3">
        <v>41873</v>
      </c>
      <c r="N467" s="3">
        <v>41873</v>
      </c>
      <c r="O467" s="3">
        <v>41877</v>
      </c>
      <c r="P467" s="2" t="s">
        <v>813</v>
      </c>
      <c r="Q467" s="2" t="s">
        <v>814</v>
      </c>
      <c r="R467" s="2" t="s">
        <v>37</v>
      </c>
      <c r="S467" s="2" t="s">
        <v>815</v>
      </c>
      <c r="T467" s="2" t="s">
        <v>39</v>
      </c>
      <c r="U467" s="2">
        <v>30</v>
      </c>
      <c r="V467" s="2">
        <v>3000</v>
      </c>
      <c r="W467" s="2">
        <v>60000</v>
      </c>
      <c r="X467" s="2">
        <v>20</v>
      </c>
      <c r="Y467" s="2">
        <v>0.67</v>
      </c>
      <c r="Z467" s="2">
        <v>405</v>
      </c>
      <c r="AA467" s="2">
        <v>3484.48</v>
      </c>
      <c r="AB467">
        <v>1</v>
      </c>
      <c r="AC467">
        <v>2014</v>
      </c>
      <c r="AE467" s="2">
        <v>2010.0000000000002</v>
      </c>
    </row>
    <row r="468" spans="2:31" ht="14.5">
      <c r="B468" s="2">
        <v>27765</v>
      </c>
      <c r="C468" s="2" t="s">
        <v>931</v>
      </c>
      <c r="D468" s="2" t="s">
        <v>932</v>
      </c>
      <c r="E468" s="2" t="s">
        <v>118</v>
      </c>
      <c r="F468" s="2" t="s">
        <v>29</v>
      </c>
      <c r="G468" s="2" t="s">
        <v>30</v>
      </c>
      <c r="H468" s="2" t="s">
        <v>175</v>
      </c>
      <c r="I468" s="2" t="s">
        <v>32</v>
      </c>
      <c r="J468" s="2" t="s">
        <v>33</v>
      </c>
      <c r="K468" s="2" t="s">
        <v>34</v>
      </c>
      <c r="L468" s="3">
        <v>41809</v>
      </c>
      <c r="M468" s="3">
        <v>41852</v>
      </c>
      <c r="N468" s="3">
        <v>41852</v>
      </c>
      <c r="O468" s="3">
        <v>41855</v>
      </c>
      <c r="P468" s="2" t="s">
        <v>95</v>
      </c>
      <c r="Q468" s="2" t="s">
        <v>96</v>
      </c>
      <c r="R468" s="2" t="s">
        <v>37</v>
      </c>
      <c r="S468" s="2" t="s">
        <v>97</v>
      </c>
      <c r="T468" s="2" t="s">
        <v>39</v>
      </c>
      <c r="U468" s="2">
        <v>30</v>
      </c>
      <c r="V468" s="2">
        <v>61150</v>
      </c>
      <c r="W468" s="2">
        <v>195068.5</v>
      </c>
      <c r="X468" s="2">
        <v>3.19</v>
      </c>
      <c r="Y468" s="2">
        <v>0.11</v>
      </c>
      <c r="Z468" s="2">
        <v>3858</v>
      </c>
      <c r="AA468" s="2">
        <v>20553.849999999999</v>
      </c>
      <c r="AB468">
        <v>1</v>
      </c>
      <c r="AC468">
        <v>2014</v>
      </c>
      <c r="AE468" s="2">
        <v>6726.5</v>
      </c>
    </row>
    <row r="469" spans="2:31" ht="14.5">
      <c r="B469" s="2">
        <v>27798</v>
      </c>
      <c r="C469" s="2" t="s">
        <v>933</v>
      </c>
      <c r="D469" s="2" t="s">
        <v>934</v>
      </c>
      <c r="E469" s="2" t="s">
        <v>60</v>
      </c>
      <c r="F469" s="2" t="s">
        <v>29</v>
      </c>
      <c r="G469" s="2" t="s">
        <v>30</v>
      </c>
      <c r="H469" s="2" t="s">
        <v>109</v>
      </c>
      <c r="I469" s="2" t="s">
        <v>32</v>
      </c>
      <c r="J469" s="2" t="s">
        <v>33</v>
      </c>
      <c r="K469" s="2" t="s">
        <v>34</v>
      </c>
      <c r="L469" s="3">
        <v>40165</v>
      </c>
      <c r="M469" s="3">
        <v>40224</v>
      </c>
      <c r="N469" s="3">
        <v>40224</v>
      </c>
      <c r="O469" s="3">
        <v>40224</v>
      </c>
      <c r="P469" s="2" t="s">
        <v>95</v>
      </c>
      <c r="Q469" s="2" t="s">
        <v>96</v>
      </c>
      <c r="R469" s="2" t="s">
        <v>37</v>
      </c>
      <c r="S469" s="2" t="s">
        <v>97</v>
      </c>
      <c r="T469" s="2" t="s">
        <v>39</v>
      </c>
      <c r="U469" s="2">
        <v>30</v>
      </c>
      <c r="V469" s="2">
        <v>7197</v>
      </c>
      <c r="W469" s="2">
        <v>32314.53</v>
      </c>
      <c r="X469" s="2">
        <v>4.49</v>
      </c>
      <c r="Y469" s="2">
        <v>0.15</v>
      </c>
      <c r="Z469" s="2">
        <v>530</v>
      </c>
      <c r="AA469" s="2">
        <v>1860.69</v>
      </c>
      <c r="AB469">
        <v>1</v>
      </c>
      <c r="AC469">
        <v>2010</v>
      </c>
      <c r="AE469" s="2">
        <v>1079.55</v>
      </c>
    </row>
    <row r="470" spans="2:31" ht="14.5">
      <c r="B470" s="2">
        <v>27820</v>
      </c>
      <c r="C470" s="2" t="s">
        <v>935</v>
      </c>
      <c r="D470" s="2" t="s">
        <v>936</v>
      </c>
      <c r="E470" s="2" t="s">
        <v>118</v>
      </c>
      <c r="F470" s="2" t="s">
        <v>29</v>
      </c>
      <c r="G470" s="2" t="s">
        <v>30</v>
      </c>
      <c r="H470" s="2" t="s">
        <v>103</v>
      </c>
      <c r="I470" s="2" t="s">
        <v>32</v>
      </c>
      <c r="J470" s="2" t="s">
        <v>711</v>
      </c>
      <c r="K470" s="2" t="s">
        <v>34</v>
      </c>
      <c r="L470" s="3">
        <v>40675</v>
      </c>
      <c r="M470" s="3">
        <v>40746</v>
      </c>
      <c r="N470" s="3">
        <v>40746</v>
      </c>
      <c r="O470" s="3">
        <v>40746</v>
      </c>
      <c r="P470" s="2" t="s">
        <v>712</v>
      </c>
      <c r="Q470" s="2" t="s">
        <v>713</v>
      </c>
      <c r="R470" s="2" t="s">
        <v>714</v>
      </c>
      <c r="S470" s="2" t="s">
        <v>330</v>
      </c>
      <c r="T470" s="2" t="s">
        <v>39</v>
      </c>
      <c r="U470" s="2">
        <v>120</v>
      </c>
      <c r="V470" s="2">
        <v>93</v>
      </c>
      <c r="W470" s="2">
        <v>7839.9</v>
      </c>
      <c r="X470" s="2">
        <v>84.3</v>
      </c>
      <c r="Y470" s="2">
        <v>0.7</v>
      </c>
      <c r="Z470" s="2">
        <v>22</v>
      </c>
      <c r="AA470" s="2">
        <v>140</v>
      </c>
      <c r="AB470">
        <v>1</v>
      </c>
      <c r="AC470">
        <v>2011</v>
      </c>
      <c r="AE470" s="2">
        <v>65.099999999999994</v>
      </c>
    </row>
    <row r="471" spans="2:31" ht="14.5">
      <c r="B471" s="2">
        <v>27881</v>
      </c>
      <c r="C471" s="2" t="s">
        <v>937</v>
      </c>
      <c r="D471" s="2" t="s">
        <v>938</v>
      </c>
      <c r="E471" s="2" t="s">
        <v>28</v>
      </c>
      <c r="F471" s="2" t="s">
        <v>29</v>
      </c>
      <c r="G471" s="2" t="s">
        <v>30</v>
      </c>
      <c r="H471" s="2" t="s">
        <v>783</v>
      </c>
      <c r="I471" s="2" t="s">
        <v>32</v>
      </c>
      <c r="J471" s="2" t="s">
        <v>82</v>
      </c>
      <c r="K471" s="2" t="s">
        <v>34</v>
      </c>
      <c r="L471" s="3">
        <v>40647</v>
      </c>
      <c r="M471" s="3">
        <v>40738</v>
      </c>
      <c r="N471" s="3">
        <v>40738</v>
      </c>
      <c r="O471" s="3">
        <v>40738</v>
      </c>
      <c r="P471" s="2" t="s">
        <v>119</v>
      </c>
      <c r="Q471" s="2" t="s">
        <v>68</v>
      </c>
      <c r="R471" s="2" t="s">
        <v>69</v>
      </c>
      <c r="S471" s="2" t="s">
        <v>120</v>
      </c>
      <c r="T471" s="2" t="s">
        <v>71</v>
      </c>
      <c r="U471" s="2">
        <v>30</v>
      </c>
      <c r="V471" s="2">
        <v>6357</v>
      </c>
      <c r="W471" s="2">
        <v>116587.38</v>
      </c>
      <c r="X471" s="2">
        <v>18.34</v>
      </c>
      <c r="Y471" s="2">
        <v>0.61</v>
      </c>
      <c r="Z471" s="2">
        <v>1272</v>
      </c>
      <c r="AA471" s="2">
        <v>10816.49</v>
      </c>
      <c r="AB471">
        <v>1</v>
      </c>
      <c r="AC471">
        <v>2011</v>
      </c>
      <c r="AE471" s="2">
        <v>3877.77</v>
      </c>
    </row>
    <row r="472" spans="2:31" ht="14.5">
      <c r="B472" s="2">
        <v>28192</v>
      </c>
      <c r="C472" s="2" t="s">
        <v>760</v>
      </c>
      <c r="D472" s="2" t="s">
        <v>761</v>
      </c>
      <c r="E472" s="2" t="s">
        <v>42</v>
      </c>
      <c r="F472" s="2" t="s">
        <v>29</v>
      </c>
      <c r="G472" s="2" t="s">
        <v>30</v>
      </c>
      <c r="H472" s="2" t="s">
        <v>43</v>
      </c>
      <c r="I472" s="2" t="s">
        <v>32</v>
      </c>
      <c r="J472" s="2" t="s">
        <v>52</v>
      </c>
      <c r="K472" s="2" t="s">
        <v>34</v>
      </c>
      <c r="L472" s="3">
        <v>40448</v>
      </c>
      <c r="M472" s="3">
        <v>40583</v>
      </c>
      <c r="N472" s="3">
        <v>40583</v>
      </c>
      <c r="O472" s="3">
        <v>40583</v>
      </c>
      <c r="P472" s="2" t="s">
        <v>759</v>
      </c>
      <c r="Q472" s="2" t="s">
        <v>84</v>
      </c>
      <c r="R472" s="2" t="s">
        <v>37</v>
      </c>
      <c r="S472" s="2" t="s">
        <v>152</v>
      </c>
      <c r="T472" s="2" t="s">
        <v>39</v>
      </c>
      <c r="U472" s="2">
        <v>120</v>
      </c>
      <c r="V472" s="2">
        <v>11440</v>
      </c>
      <c r="W472" s="2">
        <v>392392</v>
      </c>
      <c r="X472" s="2">
        <v>34.299999999999997</v>
      </c>
      <c r="Y472" s="2">
        <v>0.28999999999999998</v>
      </c>
      <c r="AB472">
        <v>1</v>
      </c>
      <c r="AC472">
        <v>2011</v>
      </c>
      <c r="AE472" s="2">
        <v>3317.6</v>
      </c>
    </row>
    <row r="473" spans="2:31" ht="14.5">
      <c r="B473" s="2">
        <v>28210</v>
      </c>
      <c r="C473" s="2" t="s">
        <v>939</v>
      </c>
      <c r="D473" s="2" t="s">
        <v>940</v>
      </c>
      <c r="E473" s="2" t="s">
        <v>28</v>
      </c>
      <c r="F473" s="2" t="s">
        <v>29</v>
      </c>
      <c r="G473" s="2" t="s">
        <v>30</v>
      </c>
      <c r="H473" s="2" t="s">
        <v>31</v>
      </c>
      <c r="I473" s="2" t="s">
        <v>32</v>
      </c>
      <c r="J473" s="2" t="s">
        <v>33</v>
      </c>
      <c r="K473" s="2" t="s">
        <v>34</v>
      </c>
      <c r="L473" s="3">
        <v>41130</v>
      </c>
      <c r="M473" s="3">
        <v>41191</v>
      </c>
      <c r="N473" s="3">
        <v>41191</v>
      </c>
      <c r="O473" s="3">
        <v>41191</v>
      </c>
      <c r="P473" s="2" t="s">
        <v>95</v>
      </c>
      <c r="Q473" s="2" t="s">
        <v>96</v>
      </c>
      <c r="R473" s="2" t="s">
        <v>37</v>
      </c>
      <c r="S473" s="2" t="s">
        <v>97</v>
      </c>
      <c r="T473" s="2" t="s">
        <v>39</v>
      </c>
      <c r="U473" s="2">
        <v>30</v>
      </c>
      <c r="V473" s="2">
        <v>64980</v>
      </c>
      <c r="W473" s="2">
        <v>214434</v>
      </c>
      <c r="X473" s="2">
        <v>3.3</v>
      </c>
      <c r="Y473" s="2">
        <v>0.11</v>
      </c>
      <c r="Z473" s="2">
        <v>5578</v>
      </c>
      <c r="AA473" s="2">
        <v>18826.62</v>
      </c>
      <c r="AB473">
        <v>1</v>
      </c>
      <c r="AC473">
        <v>2012</v>
      </c>
      <c r="AE473" s="2">
        <v>7147.8</v>
      </c>
    </row>
    <row r="474" spans="2:31" ht="14.5">
      <c r="B474" s="2">
        <v>28322</v>
      </c>
      <c r="C474" s="2" t="s">
        <v>941</v>
      </c>
      <c r="D474" s="2" t="s">
        <v>942</v>
      </c>
      <c r="E474" s="2" t="s">
        <v>28</v>
      </c>
      <c r="F474" s="2" t="s">
        <v>29</v>
      </c>
      <c r="G474" s="2" t="s">
        <v>30</v>
      </c>
      <c r="H474" s="2" t="s">
        <v>43</v>
      </c>
      <c r="I474" s="2" t="s">
        <v>32</v>
      </c>
      <c r="J474" s="2" t="s">
        <v>33</v>
      </c>
      <c r="K474" s="2" t="s">
        <v>34</v>
      </c>
      <c r="L474" s="3">
        <v>41471</v>
      </c>
      <c r="M474" s="3">
        <v>41551</v>
      </c>
      <c r="N474" s="3">
        <v>41551</v>
      </c>
      <c r="O474" s="3">
        <v>41551</v>
      </c>
      <c r="P474" s="2" t="s">
        <v>112</v>
      </c>
      <c r="Q474" s="2" t="s">
        <v>113</v>
      </c>
      <c r="R474" s="2" t="s">
        <v>37</v>
      </c>
      <c r="S474" s="2" t="s">
        <v>114</v>
      </c>
      <c r="T474" s="2" t="s">
        <v>47</v>
      </c>
      <c r="U474" s="2">
        <v>60</v>
      </c>
      <c r="V474" s="2">
        <v>150000</v>
      </c>
      <c r="W474" s="2">
        <v>1215000</v>
      </c>
      <c r="X474" s="2">
        <v>8.1</v>
      </c>
      <c r="Y474" s="2">
        <v>0.13</v>
      </c>
      <c r="Z474" s="2">
        <v>21674</v>
      </c>
      <c r="AA474" s="2">
        <v>90677.04</v>
      </c>
      <c r="AB474">
        <v>1</v>
      </c>
      <c r="AC474">
        <v>2013</v>
      </c>
      <c r="AE474" s="2">
        <v>19500</v>
      </c>
    </row>
    <row r="475" spans="2:31" ht="14.5">
      <c r="B475" s="2">
        <v>28418</v>
      </c>
      <c r="C475" s="2" t="s">
        <v>939</v>
      </c>
      <c r="D475" s="2" t="s">
        <v>943</v>
      </c>
      <c r="E475" s="2" t="s">
        <v>28</v>
      </c>
      <c r="F475" s="2" t="s">
        <v>29</v>
      </c>
      <c r="G475" s="2" t="s">
        <v>30</v>
      </c>
      <c r="H475" s="2" t="s">
        <v>31</v>
      </c>
      <c r="I475" s="2" t="s">
        <v>32</v>
      </c>
      <c r="J475" s="2" t="s">
        <v>33</v>
      </c>
      <c r="K475" s="2" t="s">
        <v>34</v>
      </c>
      <c r="L475" s="3">
        <v>41130</v>
      </c>
      <c r="M475" s="3">
        <v>41191</v>
      </c>
      <c r="N475" s="3">
        <v>41194</v>
      </c>
      <c r="O475" s="3">
        <v>41194</v>
      </c>
      <c r="P475" s="2" t="s">
        <v>95</v>
      </c>
      <c r="Q475" s="2" t="s">
        <v>96</v>
      </c>
      <c r="R475" s="2" t="s">
        <v>37</v>
      </c>
      <c r="S475" s="2" t="s">
        <v>97</v>
      </c>
      <c r="T475" s="2" t="s">
        <v>39</v>
      </c>
      <c r="U475" s="2">
        <v>30</v>
      </c>
      <c r="V475" s="2">
        <v>25741</v>
      </c>
      <c r="W475" s="2">
        <v>84945.3</v>
      </c>
      <c r="X475" s="2">
        <v>3.3</v>
      </c>
      <c r="Y475" s="2">
        <v>0.11</v>
      </c>
      <c r="Z475" s="2">
        <v>2210</v>
      </c>
      <c r="AA475" s="2">
        <v>9452.02</v>
      </c>
      <c r="AB475">
        <v>0</v>
      </c>
      <c r="AC475">
        <v>2012</v>
      </c>
      <c r="AE475" s="2">
        <v>2831.51</v>
      </c>
    </row>
    <row r="476" spans="2:31" ht="14.5">
      <c r="B476" s="2">
        <v>28577</v>
      </c>
      <c r="C476" s="2" t="s">
        <v>944</v>
      </c>
      <c r="D476" s="2" t="s">
        <v>945</v>
      </c>
      <c r="E476" s="2" t="s">
        <v>28</v>
      </c>
      <c r="F476" s="2" t="s">
        <v>29</v>
      </c>
      <c r="G476" s="2" t="s">
        <v>30</v>
      </c>
      <c r="H476" s="2" t="s">
        <v>109</v>
      </c>
      <c r="I476" s="2" t="s">
        <v>32</v>
      </c>
      <c r="J476" s="2" t="s">
        <v>33</v>
      </c>
      <c r="K476" s="2" t="s">
        <v>34</v>
      </c>
      <c r="L476" s="3">
        <v>40415</v>
      </c>
      <c r="M476" s="3">
        <v>40518</v>
      </c>
      <c r="N476" s="3">
        <v>40518</v>
      </c>
      <c r="O476" s="3">
        <v>40518</v>
      </c>
      <c r="P476" s="2" t="s">
        <v>749</v>
      </c>
      <c r="Q476" s="2" t="s">
        <v>76</v>
      </c>
      <c r="R476" s="2" t="s">
        <v>37</v>
      </c>
      <c r="S476" s="2" t="s">
        <v>78</v>
      </c>
      <c r="T476" s="2" t="s">
        <v>47</v>
      </c>
      <c r="U476" s="2">
        <v>30</v>
      </c>
      <c r="V476" s="2">
        <v>53149</v>
      </c>
      <c r="W476" s="2">
        <v>1057665.1000000001</v>
      </c>
      <c r="X476" s="2">
        <v>19.899999999999999</v>
      </c>
      <c r="Y476" s="2">
        <v>0.66</v>
      </c>
      <c r="Z476" s="2">
        <v>5808</v>
      </c>
      <c r="AA476" s="2">
        <v>28514.49</v>
      </c>
      <c r="AB476">
        <v>1</v>
      </c>
      <c r="AC476">
        <v>2010</v>
      </c>
      <c r="AE476" s="2">
        <v>35078.340000000004</v>
      </c>
    </row>
    <row r="477" spans="2:31" ht="14.5">
      <c r="B477" s="2">
        <v>28802</v>
      </c>
      <c r="C477" s="2" t="s">
        <v>946</v>
      </c>
      <c r="D477" s="2" t="s">
        <v>947</v>
      </c>
      <c r="E477" s="2" t="s">
        <v>60</v>
      </c>
      <c r="F477" s="2" t="s">
        <v>29</v>
      </c>
      <c r="G477" s="2" t="s">
        <v>30</v>
      </c>
      <c r="H477" s="2" t="s">
        <v>31</v>
      </c>
      <c r="I477" s="2" t="s">
        <v>32</v>
      </c>
      <c r="J477" s="2" t="s">
        <v>33</v>
      </c>
      <c r="K477" s="2" t="s">
        <v>34</v>
      </c>
      <c r="L477" s="3">
        <v>40157</v>
      </c>
      <c r="M477" s="3">
        <v>40171</v>
      </c>
      <c r="N477" s="3">
        <v>40171</v>
      </c>
      <c r="O477" s="3">
        <v>40171</v>
      </c>
      <c r="P477" s="2" t="s">
        <v>164</v>
      </c>
      <c r="Q477" s="2" t="s">
        <v>165</v>
      </c>
      <c r="R477" s="2" t="s">
        <v>37</v>
      </c>
      <c r="S477" s="2" t="s">
        <v>166</v>
      </c>
      <c r="T477" s="2" t="s">
        <v>39</v>
      </c>
      <c r="U477" s="2">
        <v>60</v>
      </c>
      <c r="V477" s="2">
        <v>15000</v>
      </c>
      <c r="W477" s="2">
        <v>35700</v>
      </c>
      <c r="X477" s="2">
        <v>2.38</v>
      </c>
      <c r="Y477" s="2">
        <v>0.04</v>
      </c>
      <c r="Z477" s="2">
        <v>780</v>
      </c>
      <c r="AA477" s="2">
        <v>2949.1</v>
      </c>
      <c r="AB477">
        <v>1</v>
      </c>
      <c r="AC477">
        <v>2009</v>
      </c>
      <c r="AE477" s="2">
        <v>600</v>
      </c>
    </row>
    <row r="478" spans="2:31" ht="14.5">
      <c r="B478" s="2">
        <v>28825</v>
      </c>
      <c r="C478" s="2" t="s">
        <v>948</v>
      </c>
      <c r="D478" s="2" t="s">
        <v>949</v>
      </c>
      <c r="E478" s="2" t="s">
        <v>42</v>
      </c>
      <c r="F478" s="2" t="s">
        <v>29</v>
      </c>
      <c r="G478" s="2" t="s">
        <v>30</v>
      </c>
      <c r="H478" s="2" t="s">
        <v>94</v>
      </c>
      <c r="I478" s="2" t="s">
        <v>32</v>
      </c>
      <c r="J478" s="2" t="s">
        <v>52</v>
      </c>
      <c r="K478" s="2" t="s">
        <v>34</v>
      </c>
      <c r="L478" s="3">
        <v>40010</v>
      </c>
      <c r="M478" s="3">
        <v>40064</v>
      </c>
      <c r="N478" s="3">
        <v>40064</v>
      </c>
      <c r="O478" s="3">
        <v>40064</v>
      </c>
      <c r="P478" s="2" t="s">
        <v>35</v>
      </c>
      <c r="Q478" s="2" t="s">
        <v>36</v>
      </c>
      <c r="R478" s="2" t="s">
        <v>37</v>
      </c>
      <c r="S478" s="2" t="s">
        <v>38</v>
      </c>
      <c r="T478" s="2" t="s">
        <v>39</v>
      </c>
      <c r="U478" s="2">
        <v>60</v>
      </c>
      <c r="V478" s="2">
        <v>12000</v>
      </c>
      <c r="W478" s="2">
        <v>37080</v>
      </c>
      <c r="X478" s="2">
        <v>3.09</v>
      </c>
      <c r="Y478" s="2">
        <v>0.05</v>
      </c>
      <c r="Z478" s="2">
        <v>708</v>
      </c>
      <c r="AA478" s="2">
        <v>3891.2</v>
      </c>
      <c r="AB478">
        <v>1</v>
      </c>
      <c r="AC478">
        <v>2009</v>
      </c>
      <c r="AE478" s="2">
        <v>600</v>
      </c>
    </row>
    <row r="479" spans="2:31" ht="14.5">
      <c r="B479" s="2">
        <v>28913</v>
      </c>
      <c r="C479" s="2" t="s">
        <v>950</v>
      </c>
      <c r="D479" s="2" t="s">
        <v>951</v>
      </c>
      <c r="E479" s="2" t="s">
        <v>118</v>
      </c>
      <c r="F479" s="2" t="s">
        <v>29</v>
      </c>
      <c r="G479" s="2" t="s">
        <v>30</v>
      </c>
      <c r="H479" s="2" t="s">
        <v>109</v>
      </c>
      <c r="I479" s="2" t="s">
        <v>32</v>
      </c>
      <c r="J479" s="2" t="s">
        <v>33</v>
      </c>
      <c r="K479" s="2" t="s">
        <v>34</v>
      </c>
      <c r="L479" s="3">
        <v>41577</v>
      </c>
      <c r="M479" s="3">
        <v>41654</v>
      </c>
      <c r="N479" s="3">
        <v>41654</v>
      </c>
      <c r="O479" s="3">
        <v>41654</v>
      </c>
      <c r="P479" s="2" t="s">
        <v>813</v>
      </c>
      <c r="Q479" s="2" t="s">
        <v>814</v>
      </c>
      <c r="R479" s="2" t="s">
        <v>37</v>
      </c>
      <c r="S479" s="2" t="s">
        <v>815</v>
      </c>
      <c r="T479" s="2" t="s">
        <v>39</v>
      </c>
      <c r="U479" s="2">
        <v>30</v>
      </c>
      <c r="V479" s="2">
        <v>6000</v>
      </c>
      <c r="W479" s="2">
        <v>120000</v>
      </c>
      <c r="X479" s="2">
        <v>20</v>
      </c>
      <c r="Y479" s="2">
        <v>0.67</v>
      </c>
      <c r="Z479" s="2">
        <v>811</v>
      </c>
      <c r="AA479" s="2">
        <v>4139.95</v>
      </c>
      <c r="AB479">
        <v>1</v>
      </c>
      <c r="AC479">
        <v>2014</v>
      </c>
      <c r="AE479" s="2">
        <v>4020.0000000000005</v>
      </c>
    </row>
    <row r="480" spans="2:31" ht="14.5">
      <c r="B480" s="2">
        <v>28923</v>
      </c>
      <c r="C480" s="2" t="s">
        <v>952</v>
      </c>
      <c r="D480" s="2" t="s">
        <v>953</v>
      </c>
      <c r="E480" s="2" t="s">
        <v>118</v>
      </c>
      <c r="F480" s="2" t="s">
        <v>29</v>
      </c>
      <c r="G480" s="2" t="s">
        <v>30</v>
      </c>
      <c r="H480" s="2" t="s">
        <v>807</v>
      </c>
      <c r="I480" s="2" t="s">
        <v>32</v>
      </c>
      <c r="J480" s="2" t="s">
        <v>33</v>
      </c>
      <c r="K480" s="2" t="s">
        <v>34</v>
      </c>
      <c r="L480" s="3">
        <v>41309</v>
      </c>
      <c r="M480" s="3">
        <v>41418</v>
      </c>
      <c r="N480" s="3">
        <v>41418</v>
      </c>
      <c r="O480" s="3">
        <v>41418</v>
      </c>
      <c r="P480" s="2" t="s">
        <v>954</v>
      </c>
      <c r="Q480" s="2" t="s">
        <v>745</v>
      </c>
      <c r="R480" s="2" t="s">
        <v>37</v>
      </c>
      <c r="S480" s="2" t="s">
        <v>100</v>
      </c>
      <c r="T480" s="2" t="s">
        <v>64</v>
      </c>
      <c r="U480" s="2">
        <v>30</v>
      </c>
      <c r="V480" s="2">
        <v>132</v>
      </c>
      <c r="W480" s="2">
        <v>2640</v>
      </c>
      <c r="X480" s="2">
        <v>20</v>
      </c>
      <c r="Y480" s="2">
        <v>0.67</v>
      </c>
      <c r="Z480" s="2">
        <v>12</v>
      </c>
      <c r="AA480" s="2">
        <v>1025.3699999999999</v>
      </c>
      <c r="AB480">
        <v>1</v>
      </c>
      <c r="AC480">
        <v>2013</v>
      </c>
      <c r="AE480" s="2">
        <v>88.440000000000012</v>
      </c>
    </row>
    <row r="481" spans="2:31" ht="14.5">
      <c r="B481" s="2">
        <v>28992</v>
      </c>
      <c r="C481" s="2" t="s">
        <v>955</v>
      </c>
      <c r="D481" s="2" t="s">
        <v>956</v>
      </c>
      <c r="E481" s="2" t="s">
        <v>42</v>
      </c>
      <c r="F481" s="2" t="s">
        <v>29</v>
      </c>
      <c r="G481" s="2" t="s">
        <v>30</v>
      </c>
      <c r="H481" s="2" t="s">
        <v>31</v>
      </c>
      <c r="I481" s="2" t="s">
        <v>32</v>
      </c>
      <c r="J481" s="2" t="s">
        <v>33</v>
      </c>
      <c r="K481" s="2" t="s">
        <v>34</v>
      </c>
      <c r="L481" s="3">
        <v>41198</v>
      </c>
      <c r="M481" s="3">
        <v>41242</v>
      </c>
      <c r="N481" s="3">
        <v>41242</v>
      </c>
      <c r="O481" s="3">
        <v>41242</v>
      </c>
      <c r="P481" s="2" t="s">
        <v>780</v>
      </c>
      <c r="Q481" s="2" t="s">
        <v>54</v>
      </c>
      <c r="R481" s="2" t="s">
        <v>37</v>
      </c>
      <c r="S481" s="2" t="s">
        <v>70</v>
      </c>
      <c r="T481" s="2" t="s">
        <v>773</v>
      </c>
      <c r="U481" s="2">
        <v>30</v>
      </c>
      <c r="V481" s="2">
        <v>1680</v>
      </c>
      <c r="W481" s="2">
        <v>33600</v>
      </c>
      <c r="X481" s="2">
        <v>20</v>
      </c>
      <c r="Y481" s="2">
        <v>0.67</v>
      </c>
      <c r="Z481" s="2">
        <v>131</v>
      </c>
      <c r="AA481" s="2">
        <v>2004.44</v>
      </c>
      <c r="AB481">
        <v>1</v>
      </c>
      <c r="AC481">
        <v>2012</v>
      </c>
      <c r="AE481" s="2">
        <v>1125.6000000000001</v>
      </c>
    </row>
    <row r="482" spans="2:31" ht="14.5">
      <c r="B482" s="2">
        <v>29036</v>
      </c>
      <c r="C482" s="2" t="s">
        <v>957</v>
      </c>
      <c r="D482" s="2" t="s">
        <v>958</v>
      </c>
      <c r="E482" s="2" t="s">
        <v>118</v>
      </c>
      <c r="F482" s="2" t="s">
        <v>29</v>
      </c>
      <c r="G482" s="2" t="s">
        <v>30</v>
      </c>
      <c r="H482" s="2" t="s">
        <v>74</v>
      </c>
      <c r="I482" s="2" t="s">
        <v>32</v>
      </c>
      <c r="J482" s="2" t="s">
        <v>52</v>
      </c>
      <c r="K482" s="2" t="s">
        <v>34</v>
      </c>
      <c r="L482" s="3">
        <v>40379</v>
      </c>
      <c r="M482" s="3">
        <v>40428</v>
      </c>
      <c r="N482" s="3">
        <v>40428</v>
      </c>
      <c r="O482" s="3">
        <v>40428</v>
      </c>
      <c r="P482" s="2" t="s">
        <v>833</v>
      </c>
      <c r="Q482" s="2" t="s">
        <v>834</v>
      </c>
      <c r="R482" s="2" t="s">
        <v>835</v>
      </c>
      <c r="S482" s="2" t="s">
        <v>70</v>
      </c>
      <c r="T482" s="2" t="s">
        <v>39</v>
      </c>
      <c r="U482" s="2">
        <v>60</v>
      </c>
      <c r="V482" s="2">
        <v>63</v>
      </c>
      <c r="W482" s="2">
        <v>5764.5</v>
      </c>
      <c r="X482" s="2">
        <v>91.5</v>
      </c>
      <c r="Y482" s="2">
        <v>1.52</v>
      </c>
      <c r="Z482" s="2">
        <v>7</v>
      </c>
      <c r="AA482" s="2">
        <v>360</v>
      </c>
      <c r="AB482">
        <v>1</v>
      </c>
      <c r="AC482">
        <v>2010</v>
      </c>
      <c r="AE482" s="2">
        <v>95.76</v>
      </c>
    </row>
    <row r="483" spans="2:31" ht="14.5">
      <c r="B483" s="2">
        <v>29125</v>
      </c>
      <c r="C483" s="2" t="s">
        <v>959</v>
      </c>
      <c r="D483" s="2" t="s">
        <v>960</v>
      </c>
      <c r="E483" s="2" t="s">
        <v>42</v>
      </c>
      <c r="F483" s="2" t="s">
        <v>29</v>
      </c>
      <c r="G483" s="2" t="s">
        <v>30</v>
      </c>
      <c r="H483" s="2" t="s">
        <v>43</v>
      </c>
      <c r="I483" s="2" t="s">
        <v>32</v>
      </c>
      <c r="J483" s="2" t="s">
        <v>52</v>
      </c>
      <c r="K483" s="2" t="s">
        <v>34</v>
      </c>
      <c r="L483" s="3">
        <v>40448</v>
      </c>
      <c r="M483" s="3">
        <v>40535</v>
      </c>
      <c r="N483" s="3">
        <v>40535</v>
      </c>
      <c r="O483" s="3">
        <v>40535</v>
      </c>
      <c r="P483" s="2" t="s">
        <v>759</v>
      </c>
      <c r="Q483" s="2" t="s">
        <v>84</v>
      </c>
      <c r="R483" s="2" t="s">
        <v>37</v>
      </c>
      <c r="S483" s="2" t="s">
        <v>152</v>
      </c>
      <c r="T483" s="2" t="s">
        <v>39</v>
      </c>
      <c r="U483" s="2">
        <v>120</v>
      </c>
      <c r="V483" s="2">
        <v>7634</v>
      </c>
      <c r="W483" s="2">
        <v>261846.2</v>
      </c>
      <c r="X483" s="2">
        <v>34.299999999999997</v>
      </c>
      <c r="Y483" s="2">
        <v>0.28999999999999998</v>
      </c>
      <c r="Z483" s="2">
        <v>2386</v>
      </c>
      <c r="AA483" s="2">
        <v>1398</v>
      </c>
      <c r="AB483">
        <v>1</v>
      </c>
      <c r="AC483">
        <v>2010</v>
      </c>
      <c r="AE483" s="2">
        <v>2213.8599999999997</v>
      </c>
    </row>
    <row r="484" spans="2:31" ht="14.5">
      <c r="B484" s="2">
        <v>29133</v>
      </c>
      <c r="C484" s="2" t="s">
        <v>961</v>
      </c>
      <c r="D484" s="2" t="s">
        <v>962</v>
      </c>
      <c r="E484" s="2" t="s">
        <v>118</v>
      </c>
      <c r="F484" s="2" t="s">
        <v>29</v>
      </c>
      <c r="G484" s="2" t="s">
        <v>30</v>
      </c>
      <c r="H484" s="2" t="s">
        <v>94</v>
      </c>
      <c r="I484" s="2" t="s">
        <v>32</v>
      </c>
      <c r="J484" s="2" t="s">
        <v>33</v>
      </c>
      <c r="K484" s="2" t="s">
        <v>34</v>
      </c>
      <c r="L484" s="3">
        <v>41479</v>
      </c>
      <c r="M484" s="3">
        <v>41531</v>
      </c>
      <c r="N484" s="3">
        <v>41531</v>
      </c>
      <c r="O484" s="3">
        <v>41531</v>
      </c>
      <c r="P484" s="2" t="s">
        <v>164</v>
      </c>
      <c r="Q484" s="2" t="s">
        <v>165</v>
      </c>
      <c r="R484" s="2" t="s">
        <v>37</v>
      </c>
      <c r="S484" s="2" t="s">
        <v>166</v>
      </c>
      <c r="T484" s="2" t="s">
        <v>39</v>
      </c>
      <c r="U484" s="2">
        <v>60</v>
      </c>
      <c r="V484" s="2">
        <v>45359</v>
      </c>
      <c r="W484" s="2">
        <v>83914.15</v>
      </c>
      <c r="X484" s="2">
        <v>1.85</v>
      </c>
      <c r="Y484" s="2">
        <v>0.03</v>
      </c>
      <c r="Z484" s="2">
        <v>2773</v>
      </c>
      <c r="AA484" s="2">
        <v>8723.4599999999991</v>
      </c>
      <c r="AB484">
        <v>1</v>
      </c>
      <c r="AC484">
        <v>2013</v>
      </c>
      <c r="AE484" s="2">
        <v>1360.77</v>
      </c>
    </row>
    <row r="485" spans="2:31" ht="14.5">
      <c r="B485" s="2">
        <v>29282</v>
      </c>
      <c r="C485" s="2" t="s">
        <v>732</v>
      </c>
      <c r="D485" s="2" t="s">
        <v>733</v>
      </c>
      <c r="E485" s="2" t="s">
        <v>28</v>
      </c>
      <c r="F485" s="2" t="s">
        <v>29</v>
      </c>
      <c r="G485" s="2" t="s">
        <v>30</v>
      </c>
      <c r="H485" s="2" t="s">
        <v>94</v>
      </c>
      <c r="I485" s="2" t="s">
        <v>32</v>
      </c>
      <c r="J485" s="2" t="s">
        <v>33</v>
      </c>
      <c r="K485" s="2" t="s">
        <v>34</v>
      </c>
      <c r="L485" s="3">
        <v>41130</v>
      </c>
      <c r="M485" s="3">
        <v>41214</v>
      </c>
      <c r="N485" s="3">
        <v>41214</v>
      </c>
      <c r="O485" s="3">
        <v>41214</v>
      </c>
      <c r="P485" s="2" t="s">
        <v>44</v>
      </c>
      <c r="Q485" s="2" t="s">
        <v>45</v>
      </c>
      <c r="R485" s="2" t="s">
        <v>37</v>
      </c>
      <c r="S485" s="2" t="s">
        <v>46</v>
      </c>
      <c r="T485" s="2" t="s">
        <v>47</v>
      </c>
      <c r="U485" s="2">
        <v>60</v>
      </c>
      <c r="V485" s="2">
        <v>18456</v>
      </c>
      <c r="W485" s="2">
        <v>130668.48</v>
      </c>
      <c r="X485" s="2">
        <v>7.08</v>
      </c>
      <c r="Y485" s="2">
        <v>0.12</v>
      </c>
      <c r="AB485">
        <v>1</v>
      </c>
      <c r="AC485">
        <v>2012</v>
      </c>
      <c r="AE485" s="2">
        <v>2214.7199999999998</v>
      </c>
    </row>
    <row r="486" spans="2:31" ht="14.5">
      <c r="B486" s="2">
        <v>29596</v>
      </c>
      <c r="C486" s="2" t="s">
        <v>963</v>
      </c>
      <c r="D486" s="2" t="s">
        <v>964</v>
      </c>
      <c r="E486" s="2" t="s">
        <v>42</v>
      </c>
      <c r="F486" s="2" t="s">
        <v>29</v>
      </c>
      <c r="G486" s="2" t="s">
        <v>30</v>
      </c>
      <c r="H486" s="2" t="s">
        <v>965</v>
      </c>
      <c r="I486" s="2" t="s">
        <v>32</v>
      </c>
      <c r="J486" s="2" t="s">
        <v>33</v>
      </c>
      <c r="K486" s="2" t="s">
        <v>646</v>
      </c>
      <c r="L486" s="3">
        <v>41108</v>
      </c>
      <c r="M486" s="3">
        <v>41253</v>
      </c>
      <c r="N486" s="3">
        <v>41253</v>
      </c>
      <c r="O486" s="3">
        <v>41253</v>
      </c>
      <c r="P486" s="2" t="s">
        <v>35</v>
      </c>
      <c r="Q486" s="2" t="s">
        <v>36</v>
      </c>
      <c r="R486" s="2" t="s">
        <v>37</v>
      </c>
      <c r="S486" s="2" t="s">
        <v>38</v>
      </c>
      <c r="T486" s="2" t="s">
        <v>39</v>
      </c>
      <c r="U486" s="2">
        <v>60</v>
      </c>
      <c r="V486" s="2">
        <v>171925</v>
      </c>
      <c r="W486" s="2">
        <v>388550.5</v>
      </c>
      <c r="X486" s="2">
        <v>2.2599999999999998</v>
      </c>
      <c r="Y486" s="2">
        <v>0.04</v>
      </c>
      <c r="Z486" s="2">
        <v>15683</v>
      </c>
      <c r="AA486" s="2">
        <v>36173.15</v>
      </c>
      <c r="AB486">
        <v>1</v>
      </c>
      <c r="AC486">
        <v>2012</v>
      </c>
      <c r="AE486" s="2">
        <v>6877</v>
      </c>
    </row>
    <row r="487" spans="2:31" ht="14.5">
      <c r="B487" s="2">
        <v>30022</v>
      </c>
      <c r="C487" s="2" t="s">
        <v>966</v>
      </c>
      <c r="D487" s="2" t="s">
        <v>967</v>
      </c>
      <c r="E487" s="2" t="s">
        <v>118</v>
      </c>
      <c r="F487" s="2" t="s">
        <v>29</v>
      </c>
      <c r="G487" s="2" t="s">
        <v>30</v>
      </c>
      <c r="H487" s="2" t="s">
        <v>31</v>
      </c>
      <c r="I487" s="2" t="s">
        <v>32</v>
      </c>
      <c r="J487" s="2" t="s">
        <v>33</v>
      </c>
      <c r="K487" s="2" t="s">
        <v>34</v>
      </c>
      <c r="L487" s="3">
        <v>41310</v>
      </c>
      <c r="M487" s="3">
        <v>41361</v>
      </c>
      <c r="N487" s="3">
        <v>41361</v>
      </c>
      <c r="O487" s="3">
        <v>41361</v>
      </c>
      <c r="P487" s="2" t="s">
        <v>772</v>
      </c>
      <c r="Q487" s="2" t="s">
        <v>54</v>
      </c>
      <c r="R487" s="2" t="s">
        <v>37</v>
      </c>
      <c r="S487" s="2" t="s">
        <v>120</v>
      </c>
      <c r="T487" s="2" t="s">
        <v>773</v>
      </c>
      <c r="U487" s="2">
        <v>30</v>
      </c>
      <c r="V487" s="2">
        <v>677</v>
      </c>
      <c r="W487" s="2">
        <v>8801</v>
      </c>
      <c r="X487" s="2">
        <v>13</v>
      </c>
      <c r="Y487" s="2">
        <v>0.43</v>
      </c>
      <c r="Z487" s="2">
        <v>46</v>
      </c>
      <c r="AA487" s="2">
        <v>1458.88</v>
      </c>
      <c r="AB487">
        <v>1</v>
      </c>
      <c r="AC487">
        <v>2013</v>
      </c>
      <c r="AE487" s="2">
        <v>291.11</v>
      </c>
    </row>
    <row r="488" spans="2:31" ht="14.5">
      <c r="B488" s="2">
        <v>30119</v>
      </c>
      <c r="C488" s="2" t="s">
        <v>968</v>
      </c>
      <c r="D488" s="2" t="s">
        <v>969</v>
      </c>
      <c r="E488" s="2" t="s">
        <v>118</v>
      </c>
      <c r="F488" s="2" t="s">
        <v>29</v>
      </c>
      <c r="G488" s="2" t="s">
        <v>30</v>
      </c>
      <c r="H488" s="2" t="s">
        <v>81</v>
      </c>
      <c r="I488" s="2" t="s">
        <v>32</v>
      </c>
      <c r="J488" s="2" t="s">
        <v>82</v>
      </c>
      <c r="K488" s="2" t="s">
        <v>34</v>
      </c>
      <c r="L488" s="3">
        <v>41285</v>
      </c>
      <c r="M488" s="3">
        <v>41345</v>
      </c>
      <c r="N488" s="3">
        <v>41345</v>
      </c>
      <c r="O488" s="3">
        <v>41345</v>
      </c>
      <c r="P488" s="2" t="s">
        <v>855</v>
      </c>
      <c r="Q488" s="2" t="s">
        <v>385</v>
      </c>
      <c r="R488" s="2" t="s">
        <v>386</v>
      </c>
      <c r="S488" s="2" t="s">
        <v>330</v>
      </c>
      <c r="T488" s="2" t="s">
        <v>39</v>
      </c>
      <c r="U488" s="2">
        <v>60</v>
      </c>
      <c r="V488" s="2">
        <v>295</v>
      </c>
      <c r="W488" s="2">
        <v>2020.75</v>
      </c>
      <c r="X488" s="2">
        <v>6.85</v>
      </c>
      <c r="Y488" s="2">
        <v>0.11</v>
      </c>
      <c r="Z488" s="2">
        <v>36</v>
      </c>
      <c r="AA488" s="2">
        <v>876.99</v>
      </c>
      <c r="AB488">
        <v>1</v>
      </c>
      <c r="AC488">
        <v>2013</v>
      </c>
      <c r="AE488" s="2">
        <v>32.450000000000003</v>
      </c>
    </row>
    <row r="489" spans="2:31" ht="14.5">
      <c r="B489" s="2">
        <v>30130</v>
      </c>
      <c r="C489" s="2" t="s">
        <v>885</v>
      </c>
      <c r="D489" s="2" t="s">
        <v>886</v>
      </c>
      <c r="E489" s="2" t="s">
        <v>28</v>
      </c>
      <c r="F489" s="2" t="s">
        <v>29</v>
      </c>
      <c r="G489" s="2" t="s">
        <v>50</v>
      </c>
      <c r="H489" s="2" t="s">
        <v>81</v>
      </c>
      <c r="I489" s="2" t="s">
        <v>32</v>
      </c>
      <c r="J489" s="2" t="s">
        <v>82</v>
      </c>
      <c r="K489" s="2" t="s">
        <v>34</v>
      </c>
      <c r="L489" s="3">
        <v>41775</v>
      </c>
      <c r="M489" s="3">
        <v>41914</v>
      </c>
      <c r="N489" s="3">
        <v>41914</v>
      </c>
      <c r="O489" s="3">
        <v>41915</v>
      </c>
      <c r="P489" s="2" t="s">
        <v>90</v>
      </c>
      <c r="Q489" s="2" t="s">
        <v>84</v>
      </c>
      <c r="R489" s="2" t="s">
        <v>37</v>
      </c>
      <c r="S489" s="2" t="s">
        <v>91</v>
      </c>
      <c r="T489" s="2" t="s">
        <v>39</v>
      </c>
      <c r="U489" s="2">
        <v>60</v>
      </c>
      <c r="V489" s="2">
        <v>546</v>
      </c>
      <c r="W489" s="2">
        <v>3243.24</v>
      </c>
      <c r="X489" s="2">
        <v>5.94</v>
      </c>
      <c r="Y489" s="2">
        <v>0.1</v>
      </c>
      <c r="AB489">
        <v>1</v>
      </c>
      <c r="AC489">
        <v>2014</v>
      </c>
      <c r="AE489" s="2">
        <v>54.6</v>
      </c>
    </row>
    <row r="490" spans="2:31" ht="14.5">
      <c r="B490" s="2">
        <v>30211</v>
      </c>
      <c r="C490" s="2" t="s">
        <v>970</v>
      </c>
      <c r="D490" s="2" t="s">
        <v>971</v>
      </c>
      <c r="E490" s="2" t="s">
        <v>42</v>
      </c>
      <c r="F490" s="2" t="s">
        <v>29</v>
      </c>
      <c r="G490" s="2" t="s">
        <v>30</v>
      </c>
      <c r="H490" s="2" t="s">
        <v>31</v>
      </c>
      <c r="I490" s="2" t="s">
        <v>32</v>
      </c>
      <c r="J490" s="2" t="s">
        <v>33</v>
      </c>
      <c r="K490" s="2" t="s">
        <v>34</v>
      </c>
      <c r="L490" s="3">
        <v>41094</v>
      </c>
      <c r="M490" s="3">
        <v>41143</v>
      </c>
      <c r="N490" s="3">
        <v>41143</v>
      </c>
      <c r="O490" s="3">
        <v>41143</v>
      </c>
      <c r="P490" s="2" t="s">
        <v>780</v>
      </c>
      <c r="Q490" s="2" t="s">
        <v>54</v>
      </c>
      <c r="R490" s="2" t="s">
        <v>37</v>
      </c>
      <c r="S490" s="2" t="s">
        <v>70</v>
      </c>
      <c r="T490" s="2" t="s">
        <v>773</v>
      </c>
      <c r="U490" s="2">
        <v>30</v>
      </c>
      <c r="V490" s="2">
        <v>1008</v>
      </c>
      <c r="W490" s="2">
        <v>20160</v>
      </c>
      <c r="X490" s="2">
        <v>20</v>
      </c>
      <c r="Y490" s="2">
        <v>0.67</v>
      </c>
      <c r="Z490" s="2">
        <v>213</v>
      </c>
      <c r="AA490" s="2">
        <v>3024.36</v>
      </c>
      <c r="AB490">
        <v>1</v>
      </c>
      <c r="AC490">
        <v>2012</v>
      </c>
      <c r="AE490" s="2">
        <v>675.36</v>
      </c>
    </row>
    <row r="491" spans="2:31" ht="14.5">
      <c r="B491" s="2">
        <v>30213</v>
      </c>
      <c r="C491" s="2" t="s">
        <v>972</v>
      </c>
      <c r="D491" s="2" t="s">
        <v>973</v>
      </c>
      <c r="E491" s="2" t="s">
        <v>42</v>
      </c>
      <c r="F491" s="2" t="s">
        <v>29</v>
      </c>
      <c r="G491" s="2" t="s">
        <v>50</v>
      </c>
      <c r="H491" s="2" t="s">
        <v>31</v>
      </c>
      <c r="I491" s="2" t="s">
        <v>32</v>
      </c>
      <c r="J491" s="2" t="s">
        <v>33</v>
      </c>
      <c r="K491" s="2" t="s">
        <v>34</v>
      </c>
      <c r="L491" s="3">
        <v>40448</v>
      </c>
      <c r="M491" s="3">
        <v>40641</v>
      </c>
      <c r="N491" s="3">
        <v>40641</v>
      </c>
      <c r="O491" s="3">
        <v>40641</v>
      </c>
      <c r="P491" s="2" t="s">
        <v>224</v>
      </c>
      <c r="Q491" s="2" t="s">
        <v>225</v>
      </c>
      <c r="R491" s="2" t="s">
        <v>37</v>
      </c>
      <c r="S491" s="2" t="s">
        <v>226</v>
      </c>
      <c r="T491" s="2" t="s">
        <v>87</v>
      </c>
      <c r="U491" s="2">
        <v>240</v>
      </c>
      <c r="V491" s="2">
        <v>1992</v>
      </c>
      <c r="W491" s="2">
        <v>4183.2</v>
      </c>
      <c r="X491" s="2">
        <v>2.1</v>
      </c>
      <c r="Y491" s="2">
        <v>0.01</v>
      </c>
      <c r="Z491" s="2">
        <v>777</v>
      </c>
      <c r="AA491" s="2">
        <v>6400.44</v>
      </c>
      <c r="AB491">
        <v>1</v>
      </c>
      <c r="AC491">
        <v>2011</v>
      </c>
      <c r="AE491" s="2">
        <v>19.920000000000002</v>
      </c>
    </row>
    <row r="492" spans="2:31" ht="14.5">
      <c r="B492" s="2">
        <v>30223</v>
      </c>
      <c r="C492" s="2" t="s">
        <v>912</v>
      </c>
      <c r="D492" s="2" t="s">
        <v>974</v>
      </c>
      <c r="E492" s="2" t="s">
        <v>42</v>
      </c>
      <c r="F492" s="2" t="s">
        <v>29</v>
      </c>
      <c r="G492" s="2" t="s">
        <v>30</v>
      </c>
      <c r="H492" s="2" t="s">
        <v>31</v>
      </c>
      <c r="I492" s="2" t="s">
        <v>32</v>
      </c>
      <c r="J492" s="2" t="s">
        <v>33</v>
      </c>
      <c r="K492" s="2" t="s">
        <v>34</v>
      </c>
      <c r="L492" s="3">
        <v>41106</v>
      </c>
      <c r="M492" s="3">
        <v>41161</v>
      </c>
      <c r="N492" s="3">
        <v>41161</v>
      </c>
      <c r="O492" s="3">
        <v>41161</v>
      </c>
      <c r="P492" s="2" t="s">
        <v>35</v>
      </c>
      <c r="Q492" s="2" t="s">
        <v>36</v>
      </c>
      <c r="R492" s="2" t="s">
        <v>37</v>
      </c>
      <c r="S492" s="2" t="s">
        <v>38</v>
      </c>
      <c r="T492" s="2" t="s">
        <v>39</v>
      </c>
      <c r="U492" s="2">
        <v>60</v>
      </c>
      <c r="V492" s="2">
        <v>26441</v>
      </c>
      <c r="W492" s="2">
        <v>59492.25</v>
      </c>
      <c r="X492" s="2">
        <v>2.25</v>
      </c>
      <c r="Y492" s="2">
        <v>0.04</v>
      </c>
      <c r="Z492" s="2">
        <v>2520</v>
      </c>
      <c r="AA492" s="2">
        <v>25593.87</v>
      </c>
      <c r="AB492">
        <v>1</v>
      </c>
      <c r="AC492">
        <v>2012</v>
      </c>
      <c r="AE492" s="2">
        <v>1057.6400000000001</v>
      </c>
    </row>
    <row r="493" spans="2:31" ht="14.5">
      <c r="B493" s="2">
        <v>30915</v>
      </c>
      <c r="C493" s="2" t="s">
        <v>975</v>
      </c>
      <c r="D493" s="2" t="s">
        <v>976</v>
      </c>
      <c r="E493" s="2" t="s">
        <v>42</v>
      </c>
      <c r="F493" s="2" t="s">
        <v>29</v>
      </c>
      <c r="G493" s="2" t="s">
        <v>30</v>
      </c>
      <c r="H493" s="2" t="s">
        <v>807</v>
      </c>
      <c r="I493" s="2" t="s">
        <v>32</v>
      </c>
      <c r="J493" s="2" t="s">
        <v>33</v>
      </c>
      <c r="K493" s="2" t="s">
        <v>34</v>
      </c>
      <c r="L493" s="3">
        <v>41988</v>
      </c>
      <c r="M493" s="3">
        <v>42244</v>
      </c>
      <c r="N493" s="3">
        <v>42244</v>
      </c>
      <c r="O493" s="3">
        <v>42246</v>
      </c>
      <c r="P493" s="2" t="s">
        <v>813</v>
      </c>
      <c r="Q493" s="2" t="s">
        <v>814</v>
      </c>
      <c r="R493" s="2" t="s">
        <v>37</v>
      </c>
      <c r="S493" s="2" t="s">
        <v>815</v>
      </c>
      <c r="T493" s="2" t="s">
        <v>39</v>
      </c>
      <c r="U493" s="2">
        <v>30</v>
      </c>
      <c r="V493" s="2">
        <v>16585</v>
      </c>
      <c r="W493" s="2">
        <v>298530</v>
      </c>
      <c r="X493" s="2">
        <v>18</v>
      </c>
      <c r="Y493" s="2">
        <v>0.6</v>
      </c>
      <c r="AB493">
        <v>1</v>
      </c>
      <c r="AC493">
        <v>2015</v>
      </c>
      <c r="AE493" s="2">
        <v>9951</v>
      </c>
    </row>
    <row r="494" spans="2:31" ht="14.5">
      <c r="B494" s="2">
        <v>31254</v>
      </c>
      <c r="C494" s="2" t="s">
        <v>977</v>
      </c>
      <c r="D494" s="2" t="s">
        <v>978</v>
      </c>
      <c r="E494" s="2" t="s">
        <v>42</v>
      </c>
      <c r="F494" s="2" t="s">
        <v>29</v>
      </c>
      <c r="G494" s="2" t="s">
        <v>30</v>
      </c>
      <c r="H494" s="2" t="s">
        <v>81</v>
      </c>
      <c r="I494" s="2" t="s">
        <v>32</v>
      </c>
      <c r="J494" s="2" t="s">
        <v>82</v>
      </c>
      <c r="K494" s="2" t="s">
        <v>34</v>
      </c>
      <c r="L494" s="3">
        <v>41753</v>
      </c>
      <c r="M494" s="3">
        <v>41873</v>
      </c>
      <c r="N494" s="3">
        <v>41873</v>
      </c>
      <c r="O494" s="3">
        <v>41877</v>
      </c>
      <c r="P494" s="2" t="s">
        <v>855</v>
      </c>
      <c r="Q494" s="2" t="s">
        <v>385</v>
      </c>
      <c r="R494" s="2" t="s">
        <v>386</v>
      </c>
      <c r="S494" s="2" t="s">
        <v>330</v>
      </c>
      <c r="T494" s="2" t="s">
        <v>39</v>
      </c>
      <c r="U494" s="2">
        <v>60</v>
      </c>
      <c r="V494" s="2">
        <v>3500</v>
      </c>
      <c r="W494" s="2">
        <v>23975</v>
      </c>
      <c r="X494" s="2">
        <v>6.85</v>
      </c>
      <c r="Y494" s="2">
        <v>0.11</v>
      </c>
      <c r="Z494" s="2">
        <v>442</v>
      </c>
      <c r="AA494" s="2">
        <v>6776.8</v>
      </c>
      <c r="AB494">
        <v>1</v>
      </c>
      <c r="AC494">
        <v>2014</v>
      </c>
      <c r="AE494" s="2">
        <v>385</v>
      </c>
    </row>
    <row r="495" spans="2:31" ht="14.5">
      <c r="B495" s="2">
        <v>31462</v>
      </c>
      <c r="C495" s="2" t="s">
        <v>979</v>
      </c>
      <c r="D495" s="2" t="s">
        <v>980</v>
      </c>
      <c r="E495" s="2" t="s">
        <v>42</v>
      </c>
      <c r="F495" s="2" t="s">
        <v>29</v>
      </c>
      <c r="G495" s="2" t="s">
        <v>30</v>
      </c>
      <c r="H495" s="2" t="s">
        <v>31</v>
      </c>
      <c r="I495" s="2" t="s">
        <v>32</v>
      </c>
      <c r="J495" s="2" t="s">
        <v>52</v>
      </c>
      <c r="K495" s="2" t="s">
        <v>34</v>
      </c>
      <c r="L495" s="3">
        <v>40448</v>
      </c>
      <c r="M495" s="3">
        <v>40553</v>
      </c>
      <c r="N495" s="3">
        <v>40553</v>
      </c>
      <c r="O495" s="3">
        <v>40553</v>
      </c>
      <c r="P495" s="2" t="s">
        <v>772</v>
      </c>
      <c r="Q495" s="2" t="s">
        <v>54</v>
      </c>
      <c r="R495" s="2" t="s">
        <v>37</v>
      </c>
      <c r="S495" s="2" t="s">
        <v>120</v>
      </c>
      <c r="T495" s="2" t="s">
        <v>773</v>
      </c>
      <c r="U495" s="2">
        <v>30</v>
      </c>
      <c r="V495" s="2">
        <v>610</v>
      </c>
      <c r="W495" s="2">
        <v>8082.5</v>
      </c>
      <c r="X495" s="2">
        <v>13.25</v>
      </c>
      <c r="Y495" s="2">
        <v>0.44</v>
      </c>
      <c r="AB495">
        <v>1</v>
      </c>
      <c r="AC495">
        <v>2011</v>
      </c>
      <c r="AE495" s="2">
        <v>268.39999999999998</v>
      </c>
    </row>
    <row r="496" spans="2:31" ht="14.5">
      <c r="B496" s="2">
        <v>31648</v>
      </c>
      <c r="C496" s="2" t="s">
        <v>981</v>
      </c>
      <c r="D496" s="2" t="s">
        <v>982</v>
      </c>
      <c r="E496" s="2" t="s">
        <v>42</v>
      </c>
      <c r="F496" s="2" t="s">
        <v>29</v>
      </c>
      <c r="G496" s="2" t="s">
        <v>30</v>
      </c>
      <c r="H496" s="2" t="s">
        <v>807</v>
      </c>
      <c r="I496" s="2" t="s">
        <v>32</v>
      </c>
      <c r="J496" s="2" t="s">
        <v>52</v>
      </c>
      <c r="K496" s="2" t="s">
        <v>34</v>
      </c>
      <c r="L496" s="3">
        <v>40009</v>
      </c>
      <c r="M496" s="3">
        <v>40327</v>
      </c>
      <c r="N496" s="3">
        <v>40327</v>
      </c>
      <c r="O496" s="3">
        <v>40327</v>
      </c>
      <c r="P496" s="2" t="s">
        <v>95</v>
      </c>
      <c r="Q496" s="2" t="s">
        <v>96</v>
      </c>
      <c r="R496" s="2" t="s">
        <v>37</v>
      </c>
      <c r="S496" s="2" t="s">
        <v>97</v>
      </c>
      <c r="T496" s="2" t="s">
        <v>39</v>
      </c>
      <c r="U496" s="2">
        <v>30</v>
      </c>
      <c r="V496" s="2">
        <v>59609</v>
      </c>
      <c r="W496" s="2">
        <v>357057.91</v>
      </c>
      <c r="X496" s="2">
        <v>5.99</v>
      </c>
      <c r="Y496" s="2">
        <v>0.2</v>
      </c>
      <c r="Z496" s="2">
        <v>4227</v>
      </c>
      <c r="AA496" s="2">
        <v>33008.050000000003</v>
      </c>
      <c r="AB496">
        <v>1</v>
      </c>
      <c r="AC496">
        <v>2010</v>
      </c>
      <c r="AE496" s="2">
        <v>11921.800000000001</v>
      </c>
    </row>
    <row r="497" spans="2:31" ht="14.5">
      <c r="B497" s="2">
        <v>31694</v>
      </c>
      <c r="C497" s="2" t="s">
        <v>983</v>
      </c>
      <c r="D497" s="2" t="s">
        <v>984</v>
      </c>
      <c r="E497" s="2" t="s">
        <v>42</v>
      </c>
      <c r="F497" s="2" t="s">
        <v>29</v>
      </c>
      <c r="G497" s="2" t="s">
        <v>30</v>
      </c>
      <c r="H497" s="2" t="s">
        <v>109</v>
      </c>
      <c r="I497" s="2" t="s">
        <v>32</v>
      </c>
      <c r="J497" s="2" t="s">
        <v>52</v>
      </c>
      <c r="K497" s="2" t="s">
        <v>34</v>
      </c>
      <c r="L497" s="3">
        <v>40267</v>
      </c>
      <c r="M497" s="3">
        <v>40448</v>
      </c>
      <c r="N497" s="3">
        <v>40448</v>
      </c>
      <c r="O497" s="3">
        <v>40448</v>
      </c>
      <c r="P497" s="2" t="s">
        <v>112</v>
      </c>
      <c r="Q497" s="2" t="s">
        <v>113</v>
      </c>
      <c r="R497" s="2" t="s">
        <v>37</v>
      </c>
      <c r="S497" s="2" t="s">
        <v>114</v>
      </c>
      <c r="T497" s="2" t="s">
        <v>47</v>
      </c>
      <c r="U497" s="2">
        <v>60</v>
      </c>
      <c r="V497" s="2">
        <v>61290</v>
      </c>
      <c r="W497" s="2">
        <v>698706</v>
      </c>
      <c r="X497" s="2">
        <v>11.4</v>
      </c>
      <c r="Y497" s="2">
        <v>0.19</v>
      </c>
      <c r="Z497" s="2">
        <v>7965</v>
      </c>
      <c r="AA497" s="2">
        <v>65851.289999999994</v>
      </c>
      <c r="AB497">
        <v>1</v>
      </c>
      <c r="AC497">
        <v>2010</v>
      </c>
      <c r="AE497" s="2">
        <v>11645.1</v>
      </c>
    </row>
    <row r="498" spans="2:31" ht="14.5">
      <c r="B498" s="2">
        <v>31750</v>
      </c>
      <c r="C498" s="2" t="s">
        <v>985</v>
      </c>
      <c r="D498" s="2" t="s">
        <v>986</v>
      </c>
      <c r="E498" s="2" t="s">
        <v>118</v>
      </c>
      <c r="F498" s="2" t="s">
        <v>29</v>
      </c>
      <c r="G498" s="2" t="s">
        <v>30</v>
      </c>
      <c r="H498" s="2" t="s">
        <v>103</v>
      </c>
      <c r="I498" s="2" t="s">
        <v>32</v>
      </c>
      <c r="J498" s="2" t="s">
        <v>52</v>
      </c>
      <c r="K498" s="2" t="s">
        <v>34</v>
      </c>
      <c r="L498" s="3">
        <v>41829</v>
      </c>
      <c r="M498" s="3">
        <v>41894</v>
      </c>
      <c r="N498" s="3">
        <v>41894</v>
      </c>
      <c r="O498" s="3">
        <v>41894</v>
      </c>
      <c r="P498" s="2" t="s">
        <v>864</v>
      </c>
      <c r="Q498" s="2" t="s">
        <v>865</v>
      </c>
      <c r="R498" s="2" t="s">
        <v>866</v>
      </c>
      <c r="S498" s="2" t="s">
        <v>100</v>
      </c>
      <c r="T498" s="2" t="s">
        <v>39</v>
      </c>
      <c r="U498" s="2">
        <v>120</v>
      </c>
      <c r="V498" s="2">
        <v>807</v>
      </c>
      <c r="W498" s="2">
        <v>53746.2</v>
      </c>
      <c r="X498" s="2">
        <v>66.599999999999994</v>
      </c>
      <c r="Y498" s="2">
        <v>0.55000000000000004</v>
      </c>
      <c r="Z498" s="2">
        <v>119</v>
      </c>
      <c r="AA498" s="2">
        <v>321.94</v>
      </c>
      <c r="AB498">
        <v>1</v>
      </c>
      <c r="AC498">
        <v>2014</v>
      </c>
      <c r="AE498" s="2">
        <v>443.85</v>
      </c>
    </row>
    <row r="499" spans="2:31" ht="14.5">
      <c r="B499" s="2">
        <v>31892</v>
      </c>
      <c r="C499" s="2" t="s">
        <v>987</v>
      </c>
      <c r="D499" s="2" t="s">
        <v>988</v>
      </c>
      <c r="E499" s="2" t="s">
        <v>60</v>
      </c>
      <c r="F499" s="2" t="s">
        <v>29</v>
      </c>
      <c r="G499" s="2" t="s">
        <v>30</v>
      </c>
      <c r="H499" s="2" t="s">
        <v>175</v>
      </c>
      <c r="I499" s="2" t="s">
        <v>32</v>
      </c>
      <c r="J499" s="2" t="s">
        <v>33</v>
      </c>
      <c r="K499" s="2" t="s">
        <v>34</v>
      </c>
      <c r="L499" s="3">
        <v>40176</v>
      </c>
      <c r="M499" s="3">
        <v>40200</v>
      </c>
      <c r="N499" s="3">
        <v>40200</v>
      </c>
      <c r="O499" s="3">
        <v>40200</v>
      </c>
      <c r="P499" s="2" t="s">
        <v>407</v>
      </c>
      <c r="Q499" s="2" t="s">
        <v>408</v>
      </c>
      <c r="R499" s="2" t="s">
        <v>37</v>
      </c>
      <c r="S499" s="2" t="s">
        <v>409</v>
      </c>
      <c r="T499" s="2" t="s">
        <v>47</v>
      </c>
      <c r="U499" s="2">
        <v>60</v>
      </c>
      <c r="V499" s="2">
        <v>39939</v>
      </c>
      <c r="W499" s="2">
        <v>134594.43</v>
      </c>
      <c r="X499" s="2">
        <v>3.37</v>
      </c>
      <c r="Y499" s="2">
        <v>0.06</v>
      </c>
      <c r="Z499" s="2">
        <v>2038</v>
      </c>
      <c r="AA499" s="2">
        <v>11789.31</v>
      </c>
      <c r="AB499">
        <v>1</v>
      </c>
      <c r="AC499">
        <v>2010</v>
      </c>
      <c r="AE499" s="2">
        <v>2396.3399999999997</v>
      </c>
    </row>
    <row r="500" spans="2:31" ht="14.5">
      <c r="B500" s="2">
        <v>32313</v>
      </c>
      <c r="C500" s="2" t="s">
        <v>989</v>
      </c>
      <c r="D500" s="2" t="s">
        <v>990</v>
      </c>
      <c r="E500" s="2" t="s">
        <v>42</v>
      </c>
      <c r="F500" s="2" t="s">
        <v>29</v>
      </c>
      <c r="G500" s="2" t="s">
        <v>30</v>
      </c>
      <c r="H500" s="2" t="s">
        <v>31</v>
      </c>
      <c r="I500" s="2" t="s">
        <v>32</v>
      </c>
      <c r="J500" s="2" t="s">
        <v>52</v>
      </c>
      <c r="K500" s="2" t="s">
        <v>34</v>
      </c>
      <c r="L500" s="3">
        <v>40448</v>
      </c>
      <c r="M500" s="3">
        <v>40658</v>
      </c>
      <c r="N500" s="3">
        <v>40658</v>
      </c>
      <c r="O500" s="3">
        <v>40658</v>
      </c>
      <c r="P500" s="2" t="s">
        <v>780</v>
      </c>
      <c r="Q500" s="2" t="s">
        <v>54</v>
      </c>
      <c r="R500" s="2" t="s">
        <v>37</v>
      </c>
      <c r="S500" s="2" t="s">
        <v>70</v>
      </c>
      <c r="T500" s="2" t="s">
        <v>773</v>
      </c>
      <c r="U500" s="2">
        <v>30</v>
      </c>
      <c r="V500" s="2">
        <v>595</v>
      </c>
      <c r="W500" s="2">
        <v>12048.75</v>
      </c>
      <c r="X500" s="2">
        <v>20.25</v>
      </c>
      <c r="Y500" s="2">
        <v>0.68</v>
      </c>
      <c r="Z500" s="2">
        <v>87</v>
      </c>
      <c r="AA500" s="2">
        <v>255</v>
      </c>
      <c r="AB500">
        <v>1</v>
      </c>
      <c r="AC500">
        <v>2011</v>
      </c>
      <c r="AE500" s="2">
        <v>404.6</v>
      </c>
    </row>
    <row r="501" spans="2:31" ht="14.5">
      <c r="B501" s="2">
        <v>32372</v>
      </c>
      <c r="C501" s="2" t="s">
        <v>991</v>
      </c>
      <c r="D501" s="2" t="s">
        <v>992</v>
      </c>
      <c r="E501" s="2" t="s">
        <v>118</v>
      </c>
      <c r="F501" s="2" t="s">
        <v>29</v>
      </c>
      <c r="G501" s="2" t="s">
        <v>50</v>
      </c>
      <c r="H501" s="2" t="s">
        <v>81</v>
      </c>
      <c r="I501" s="2" t="s">
        <v>32</v>
      </c>
      <c r="J501" s="2" t="s">
        <v>82</v>
      </c>
      <c r="K501" s="2" t="s">
        <v>34</v>
      </c>
      <c r="L501" s="3">
        <v>41285</v>
      </c>
      <c r="M501" s="3">
        <v>41373</v>
      </c>
      <c r="N501" s="3">
        <v>41373</v>
      </c>
      <c r="O501" s="3">
        <v>41373</v>
      </c>
      <c r="P501" s="2" t="s">
        <v>90</v>
      </c>
      <c r="Q501" s="2" t="s">
        <v>84</v>
      </c>
      <c r="R501" s="2" t="s">
        <v>37</v>
      </c>
      <c r="S501" s="2" t="s">
        <v>91</v>
      </c>
      <c r="T501" s="2" t="s">
        <v>39</v>
      </c>
      <c r="U501" s="2">
        <v>60</v>
      </c>
      <c r="V501" s="2">
        <v>6390</v>
      </c>
      <c r="W501" s="2">
        <v>37956.6</v>
      </c>
      <c r="X501" s="2">
        <v>5.94</v>
      </c>
      <c r="Y501" s="2">
        <v>0.1</v>
      </c>
      <c r="Z501" s="2">
        <v>733</v>
      </c>
      <c r="AA501" s="2">
        <v>6255.87</v>
      </c>
      <c r="AB501">
        <v>1</v>
      </c>
      <c r="AC501">
        <v>2013</v>
      </c>
      <c r="AE501" s="2">
        <v>639</v>
      </c>
    </row>
    <row r="502" spans="2:31" ht="14.5">
      <c r="B502" s="2">
        <v>32471</v>
      </c>
      <c r="C502" s="2" t="s">
        <v>776</v>
      </c>
      <c r="D502" s="2" t="s">
        <v>777</v>
      </c>
      <c r="E502" s="2" t="s">
        <v>28</v>
      </c>
      <c r="F502" s="2" t="s">
        <v>29</v>
      </c>
      <c r="G502" s="2" t="s">
        <v>30</v>
      </c>
      <c r="H502" s="2" t="s">
        <v>51</v>
      </c>
      <c r="I502" s="2" t="s">
        <v>32</v>
      </c>
      <c r="J502" s="2" t="s">
        <v>52</v>
      </c>
      <c r="K502" s="2" t="s">
        <v>34</v>
      </c>
      <c r="L502" s="3">
        <v>39993</v>
      </c>
      <c r="M502" s="3">
        <v>40144</v>
      </c>
      <c r="N502" s="3">
        <v>40144</v>
      </c>
      <c r="O502" s="3">
        <v>40144</v>
      </c>
      <c r="P502" s="2" t="s">
        <v>67</v>
      </c>
      <c r="Q502" s="2" t="s">
        <v>68</v>
      </c>
      <c r="R502" s="2" t="s">
        <v>69</v>
      </c>
      <c r="S502" s="2" t="s">
        <v>70</v>
      </c>
      <c r="T502" s="2" t="s">
        <v>71</v>
      </c>
      <c r="U502" s="2">
        <v>30</v>
      </c>
      <c r="V502" s="2">
        <v>15619</v>
      </c>
      <c r="W502" s="2">
        <v>369701.73</v>
      </c>
      <c r="X502" s="2">
        <v>23.67</v>
      </c>
      <c r="Y502" s="2">
        <v>0.79</v>
      </c>
      <c r="AB502">
        <v>1</v>
      </c>
      <c r="AC502">
        <v>2009</v>
      </c>
      <c r="AE502" s="2">
        <v>12339.01</v>
      </c>
    </row>
    <row r="503" spans="2:31" ht="14.5">
      <c r="B503" s="2">
        <v>32505</v>
      </c>
      <c r="C503" s="2" t="s">
        <v>993</v>
      </c>
      <c r="D503" s="2" t="s">
        <v>994</v>
      </c>
      <c r="E503" s="2" t="s">
        <v>118</v>
      </c>
      <c r="F503" s="2" t="s">
        <v>29</v>
      </c>
      <c r="G503" s="2" t="s">
        <v>50</v>
      </c>
      <c r="H503" s="2" t="s">
        <v>81</v>
      </c>
      <c r="I503" s="2" t="s">
        <v>32</v>
      </c>
      <c r="J503" s="2" t="s">
        <v>82</v>
      </c>
      <c r="K503" s="2" t="s">
        <v>34</v>
      </c>
      <c r="L503" s="3">
        <v>41309</v>
      </c>
      <c r="M503" s="3">
        <v>41394</v>
      </c>
      <c r="N503" s="3">
        <v>41394</v>
      </c>
      <c r="O503" s="3">
        <v>41394</v>
      </c>
      <c r="P503" s="2" t="s">
        <v>90</v>
      </c>
      <c r="Q503" s="2" t="s">
        <v>84</v>
      </c>
      <c r="R503" s="2" t="s">
        <v>37</v>
      </c>
      <c r="S503" s="2" t="s">
        <v>91</v>
      </c>
      <c r="T503" s="2" t="s">
        <v>39</v>
      </c>
      <c r="U503" s="2">
        <v>60</v>
      </c>
      <c r="V503" s="2">
        <v>2880</v>
      </c>
      <c r="W503" s="2">
        <v>17107.2</v>
      </c>
      <c r="X503" s="2">
        <v>5.94</v>
      </c>
      <c r="Y503" s="2">
        <v>0.1</v>
      </c>
      <c r="Z503" s="2">
        <v>335</v>
      </c>
      <c r="AA503" s="2">
        <v>3446.07</v>
      </c>
      <c r="AB503">
        <v>1</v>
      </c>
      <c r="AC503">
        <v>2013</v>
      </c>
      <c r="AE503" s="2">
        <v>288</v>
      </c>
    </row>
    <row r="504" spans="2:31" ht="14.5">
      <c r="B504" s="2">
        <v>32738</v>
      </c>
      <c r="C504" s="2" t="s">
        <v>995</v>
      </c>
      <c r="D504" s="2" t="s">
        <v>996</v>
      </c>
      <c r="E504" s="2" t="s">
        <v>42</v>
      </c>
      <c r="F504" s="2" t="s">
        <v>29</v>
      </c>
      <c r="G504" s="2" t="s">
        <v>30</v>
      </c>
      <c r="H504" s="2" t="s">
        <v>109</v>
      </c>
      <c r="I504" s="2" t="s">
        <v>32</v>
      </c>
      <c r="J504" s="2" t="s">
        <v>33</v>
      </c>
      <c r="K504" s="2" t="s">
        <v>646</v>
      </c>
      <c r="L504" s="3">
        <v>41019</v>
      </c>
      <c r="M504" s="3">
        <v>41144</v>
      </c>
      <c r="N504" s="3">
        <v>41144</v>
      </c>
      <c r="O504" s="3">
        <v>41144</v>
      </c>
      <c r="P504" s="2" t="s">
        <v>754</v>
      </c>
      <c r="Q504" s="2" t="s">
        <v>755</v>
      </c>
      <c r="R504" s="2" t="s">
        <v>37</v>
      </c>
      <c r="S504" s="2" t="s">
        <v>756</v>
      </c>
      <c r="T504" s="2" t="s">
        <v>47</v>
      </c>
      <c r="U504" s="2">
        <v>30</v>
      </c>
      <c r="V504" s="2">
        <v>46613</v>
      </c>
      <c r="W504" s="2">
        <v>605969</v>
      </c>
      <c r="X504" s="2">
        <v>13</v>
      </c>
      <c r="Y504" s="2">
        <v>0.43</v>
      </c>
      <c r="Z504" s="2">
        <v>5245</v>
      </c>
      <c r="AA504" s="2">
        <v>11186.24</v>
      </c>
      <c r="AB504">
        <v>1</v>
      </c>
      <c r="AC504">
        <v>2012</v>
      </c>
      <c r="AE504" s="2">
        <v>20043.59</v>
      </c>
    </row>
    <row r="505" spans="2:31" ht="14.5">
      <c r="B505" s="2">
        <v>32953</v>
      </c>
      <c r="C505" s="2" t="s">
        <v>997</v>
      </c>
      <c r="D505" s="2" t="s">
        <v>998</v>
      </c>
      <c r="E505" s="2" t="s">
        <v>42</v>
      </c>
      <c r="F505" s="2" t="s">
        <v>29</v>
      </c>
      <c r="G505" s="2" t="s">
        <v>30</v>
      </c>
      <c r="H505" s="2" t="s">
        <v>109</v>
      </c>
      <c r="I505" s="2" t="s">
        <v>32</v>
      </c>
      <c r="J505" s="2" t="s">
        <v>33</v>
      </c>
      <c r="K505" s="2" t="s">
        <v>34</v>
      </c>
      <c r="L505" s="3">
        <v>41536</v>
      </c>
      <c r="M505" s="3">
        <v>41670</v>
      </c>
      <c r="N505" s="3">
        <v>41670</v>
      </c>
      <c r="O505" s="3">
        <v>41702</v>
      </c>
      <c r="P505" s="2" t="s">
        <v>999</v>
      </c>
      <c r="Q505" s="2" t="s">
        <v>1000</v>
      </c>
      <c r="R505" s="2" t="s">
        <v>37</v>
      </c>
      <c r="S505" s="2" t="s">
        <v>1001</v>
      </c>
      <c r="T505" s="2" t="s">
        <v>47</v>
      </c>
      <c r="U505" s="2">
        <v>30</v>
      </c>
      <c r="V505" s="2">
        <v>40705</v>
      </c>
      <c r="W505" s="2">
        <v>549110.44999999995</v>
      </c>
      <c r="X505" s="2">
        <v>13.49</v>
      </c>
      <c r="Y505" s="2">
        <v>0.45</v>
      </c>
      <c r="Z505" s="2">
        <v>3948</v>
      </c>
      <c r="AA505" s="2">
        <v>24035.49</v>
      </c>
      <c r="AB505">
        <v>1</v>
      </c>
      <c r="AC505">
        <v>2014</v>
      </c>
      <c r="AE505" s="2">
        <v>18317.25</v>
      </c>
    </row>
    <row r="506" spans="2:31" ht="14.5">
      <c r="B506" s="2">
        <v>33116</v>
      </c>
      <c r="C506" s="2" t="s">
        <v>1002</v>
      </c>
      <c r="D506" s="2" t="s">
        <v>1003</v>
      </c>
      <c r="E506" s="2" t="s">
        <v>42</v>
      </c>
      <c r="F506" s="2" t="s">
        <v>29</v>
      </c>
      <c r="G506" s="2" t="s">
        <v>30</v>
      </c>
      <c r="H506" s="2" t="s">
        <v>94</v>
      </c>
      <c r="I506" s="2" t="s">
        <v>32</v>
      </c>
      <c r="J506" s="2" t="s">
        <v>33</v>
      </c>
      <c r="K506" s="2" t="s">
        <v>34</v>
      </c>
      <c r="L506" s="3">
        <v>41072</v>
      </c>
      <c r="M506" s="3">
        <v>41125</v>
      </c>
      <c r="N506" s="3">
        <v>41125</v>
      </c>
      <c r="O506" s="3">
        <v>41125</v>
      </c>
      <c r="P506" s="2" t="s">
        <v>706</v>
      </c>
      <c r="Q506" s="2" t="s">
        <v>707</v>
      </c>
      <c r="R506" s="2" t="s">
        <v>37</v>
      </c>
      <c r="S506" s="2" t="s">
        <v>708</v>
      </c>
      <c r="T506" s="2" t="s">
        <v>47</v>
      </c>
      <c r="U506" s="2">
        <v>30</v>
      </c>
      <c r="V506" s="2">
        <v>61209</v>
      </c>
      <c r="W506" s="2">
        <v>293191.11</v>
      </c>
      <c r="X506" s="2">
        <v>4.79</v>
      </c>
      <c r="Y506" s="2">
        <v>0.16</v>
      </c>
      <c r="Z506" s="2">
        <v>9117</v>
      </c>
      <c r="AA506" s="2">
        <v>98763.02</v>
      </c>
      <c r="AB506">
        <v>1</v>
      </c>
      <c r="AC506">
        <v>2012</v>
      </c>
      <c r="AE506" s="2">
        <v>9793.44</v>
      </c>
    </row>
    <row r="507" spans="2:31" ht="14.5">
      <c r="B507" s="2">
        <v>33168</v>
      </c>
      <c r="C507" s="2" t="s">
        <v>1004</v>
      </c>
      <c r="D507" s="2" t="s">
        <v>1005</v>
      </c>
      <c r="E507" s="2" t="s">
        <v>28</v>
      </c>
      <c r="F507" s="2" t="s">
        <v>29</v>
      </c>
      <c r="G507" s="2" t="s">
        <v>30</v>
      </c>
      <c r="H507" s="2" t="s">
        <v>109</v>
      </c>
      <c r="I507" s="2" t="s">
        <v>32</v>
      </c>
      <c r="J507" s="2" t="s">
        <v>33</v>
      </c>
      <c r="K507" s="2" t="s">
        <v>34</v>
      </c>
      <c r="L507" s="3">
        <v>41320</v>
      </c>
      <c r="M507" s="3">
        <v>41443</v>
      </c>
      <c r="N507" s="3">
        <v>41443</v>
      </c>
      <c r="O507" s="3">
        <v>41443</v>
      </c>
      <c r="P507" s="2" t="s">
        <v>813</v>
      </c>
      <c r="Q507" s="2" t="s">
        <v>814</v>
      </c>
      <c r="R507" s="2" t="s">
        <v>37</v>
      </c>
      <c r="S507" s="2" t="s">
        <v>815</v>
      </c>
      <c r="T507" s="2" t="s">
        <v>39</v>
      </c>
      <c r="U507" s="2">
        <v>30</v>
      </c>
      <c r="V507" s="2">
        <v>4779</v>
      </c>
      <c r="W507" s="2">
        <v>107527.5</v>
      </c>
      <c r="X507" s="2">
        <v>22.5</v>
      </c>
      <c r="Y507" s="2">
        <v>0.75</v>
      </c>
      <c r="Z507" s="2">
        <v>643</v>
      </c>
      <c r="AA507" s="2">
        <v>4142.07</v>
      </c>
      <c r="AB507">
        <v>1</v>
      </c>
      <c r="AC507">
        <v>2013</v>
      </c>
      <c r="AE507" s="2">
        <v>3584.25</v>
      </c>
    </row>
    <row r="508" spans="2:31" ht="14.5">
      <c r="B508" s="2">
        <v>33232</v>
      </c>
      <c r="C508" s="2" t="s">
        <v>1006</v>
      </c>
      <c r="D508" s="2" t="s">
        <v>1007</v>
      </c>
      <c r="E508" s="2" t="s">
        <v>118</v>
      </c>
      <c r="F508" s="2" t="s">
        <v>29</v>
      </c>
      <c r="G508" s="2" t="s">
        <v>30</v>
      </c>
      <c r="H508" s="2" t="s">
        <v>109</v>
      </c>
      <c r="I508" s="2" t="s">
        <v>32</v>
      </c>
      <c r="J508" s="2" t="s">
        <v>33</v>
      </c>
      <c r="K508" s="2" t="s">
        <v>34</v>
      </c>
      <c r="L508" s="3">
        <v>41719</v>
      </c>
      <c r="M508" s="3">
        <v>41816</v>
      </c>
      <c r="N508" s="3">
        <v>41816</v>
      </c>
      <c r="O508" s="3">
        <v>41817</v>
      </c>
      <c r="P508" s="2" t="s">
        <v>813</v>
      </c>
      <c r="Q508" s="2" t="s">
        <v>814</v>
      </c>
      <c r="R508" s="2" t="s">
        <v>37</v>
      </c>
      <c r="S508" s="2" t="s">
        <v>815</v>
      </c>
      <c r="T508" s="2" t="s">
        <v>39</v>
      </c>
      <c r="U508" s="2">
        <v>30</v>
      </c>
      <c r="V508" s="2">
        <v>1801</v>
      </c>
      <c r="W508" s="2">
        <v>36020</v>
      </c>
      <c r="X508" s="2">
        <v>20</v>
      </c>
      <c r="Y508" s="2">
        <v>0.67</v>
      </c>
      <c r="Z508" s="2">
        <v>225</v>
      </c>
      <c r="AA508" s="2">
        <v>1726.75</v>
      </c>
      <c r="AB508">
        <v>1</v>
      </c>
      <c r="AC508">
        <v>2014</v>
      </c>
      <c r="AE508" s="2">
        <v>1206.67</v>
      </c>
    </row>
    <row r="509" spans="2:31" ht="14.5">
      <c r="B509" s="2">
        <v>33296</v>
      </c>
      <c r="C509" s="2" t="s">
        <v>1008</v>
      </c>
      <c r="D509" s="2" t="s">
        <v>1009</v>
      </c>
      <c r="E509" s="2" t="s">
        <v>118</v>
      </c>
      <c r="F509" s="2" t="s">
        <v>29</v>
      </c>
      <c r="G509" s="2" t="s">
        <v>30</v>
      </c>
      <c r="H509" s="2" t="s">
        <v>103</v>
      </c>
      <c r="I509" s="2" t="s">
        <v>32</v>
      </c>
      <c r="J509" s="2" t="s">
        <v>711</v>
      </c>
      <c r="K509" s="2" t="s">
        <v>34</v>
      </c>
      <c r="L509" s="3">
        <v>40564</v>
      </c>
      <c r="M509" s="3">
        <v>40631</v>
      </c>
      <c r="N509" s="3">
        <v>40631</v>
      </c>
      <c r="O509" s="3">
        <v>40631</v>
      </c>
      <c r="P509" s="2" t="s">
        <v>864</v>
      </c>
      <c r="Q509" s="2" t="s">
        <v>865</v>
      </c>
      <c r="R509" s="2" t="s">
        <v>866</v>
      </c>
      <c r="S509" s="2" t="s">
        <v>100</v>
      </c>
      <c r="T509" s="2" t="s">
        <v>39</v>
      </c>
      <c r="U509" s="2">
        <v>120</v>
      </c>
      <c r="V509" s="2">
        <v>95</v>
      </c>
      <c r="W509" s="2">
        <v>8780.85</v>
      </c>
      <c r="X509" s="2">
        <v>92.43</v>
      </c>
      <c r="Y509" s="2">
        <v>0.77</v>
      </c>
      <c r="Z509" s="2">
        <v>14</v>
      </c>
      <c r="AA509" s="2">
        <v>171</v>
      </c>
      <c r="AB509">
        <v>1</v>
      </c>
      <c r="AC509">
        <v>2011</v>
      </c>
      <c r="AE509" s="2">
        <v>73.150000000000006</v>
      </c>
    </row>
    <row r="510" spans="2:31" ht="14.5">
      <c r="B510" s="2">
        <v>33359</v>
      </c>
      <c r="C510" s="2" t="s">
        <v>1010</v>
      </c>
      <c r="D510" s="2" t="s">
        <v>1011</v>
      </c>
      <c r="E510" s="2" t="s">
        <v>118</v>
      </c>
      <c r="F510" s="2" t="s">
        <v>29</v>
      </c>
      <c r="G510" s="2" t="s">
        <v>30</v>
      </c>
      <c r="H510" s="2" t="s">
        <v>1012</v>
      </c>
      <c r="I510" s="2" t="s">
        <v>32</v>
      </c>
      <c r="J510" s="2" t="s">
        <v>52</v>
      </c>
      <c r="K510" s="2" t="s">
        <v>34</v>
      </c>
      <c r="L510" s="3">
        <v>41876</v>
      </c>
      <c r="M510" s="3">
        <v>41944</v>
      </c>
      <c r="N510" s="3">
        <v>41944</v>
      </c>
      <c r="O510" s="3">
        <v>41945</v>
      </c>
      <c r="P510" s="2" t="s">
        <v>712</v>
      </c>
      <c r="Q510" s="2" t="s">
        <v>713</v>
      </c>
      <c r="R510" s="2" t="s">
        <v>714</v>
      </c>
      <c r="S510" s="2" t="s">
        <v>330</v>
      </c>
      <c r="T510" s="2" t="s">
        <v>39</v>
      </c>
      <c r="U510" s="2">
        <v>120</v>
      </c>
      <c r="V510" s="2">
        <v>501</v>
      </c>
      <c r="W510" s="2">
        <v>18036</v>
      </c>
      <c r="X510" s="2">
        <v>36</v>
      </c>
      <c r="Y510" s="2">
        <v>0.3</v>
      </c>
      <c r="Z510" s="2">
        <v>151</v>
      </c>
      <c r="AA510" s="2">
        <v>297.25</v>
      </c>
      <c r="AB510">
        <v>1</v>
      </c>
      <c r="AC510">
        <v>2014</v>
      </c>
      <c r="AE510" s="2">
        <v>150.29999999999998</v>
      </c>
    </row>
    <row r="511" spans="2:31" ht="14.5">
      <c r="B511" s="2">
        <v>33799</v>
      </c>
      <c r="C511" s="2" t="s">
        <v>1013</v>
      </c>
      <c r="D511" s="2" t="s">
        <v>1014</v>
      </c>
      <c r="E511" s="2" t="s">
        <v>28</v>
      </c>
      <c r="F511" s="2" t="s">
        <v>29</v>
      </c>
      <c r="G511" s="2" t="s">
        <v>50</v>
      </c>
      <c r="H511" s="2" t="s">
        <v>81</v>
      </c>
      <c r="I511" s="2" t="s">
        <v>32</v>
      </c>
      <c r="J511" s="2" t="s">
        <v>82</v>
      </c>
      <c r="K511" s="2" t="s">
        <v>34</v>
      </c>
      <c r="L511" s="3">
        <v>41578</v>
      </c>
      <c r="M511" s="3">
        <v>41705</v>
      </c>
      <c r="N511" s="3">
        <v>41705</v>
      </c>
      <c r="O511" s="3">
        <v>41709</v>
      </c>
      <c r="P511" s="2" t="s">
        <v>90</v>
      </c>
      <c r="Q511" s="2" t="s">
        <v>84</v>
      </c>
      <c r="R511" s="2" t="s">
        <v>37</v>
      </c>
      <c r="S511" s="2" t="s">
        <v>91</v>
      </c>
      <c r="T511" s="2" t="s">
        <v>39</v>
      </c>
      <c r="U511" s="2">
        <v>60</v>
      </c>
      <c r="V511" s="2">
        <v>1742</v>
      </c>
      <c r="W511" s="2">
        <v>10347.48</v>
      </c>
      <c r="X511" s="2">
        <v>5.94</v>
      </c>
      <c r="Y511" s="2">
        <v>0.1</v>
      </c>
      <c r="Z511" s="2">
        <v>208</v>
      </c>
      <c r="AA511" s="2">
        <v>2336.46</v>
      </c>
      <c r="AB511">
        <v>1</v>
      </c>
      <c r="AC511">
        <v>2014</v>
      </c>
      <c r="AE511" s="2">
        <v>174.20000000000002</v>
      </c>
    </row>
    <row r="512" spans="2:31" ht="14.5">
      <c r="B512" s="2">
        <v>33969</v>
      </c>
      <c r="C512" s="2" t="s">
        <v>1015</v>
      </c>
      <c r="D512" s="2" t="s">
        <v>1016</v>
      </c>
      <c r="E512" s="2" t="s">
        <v>28</v>
      </c>
      <c r="F512" s="2" t="s">
        <v>29</v>
      </c>
      <c r="G512" s="2" t="s">
        <v>30</v>
      </c>
      <c r="H512" s="2" t="s">
        <v>109</v>
      </c>
      <c r="I512" s="2" t="s">
        <v>32</v>
      </c>
      <c r="J512" s="2" t="s">
        <v>33</v>
      </c>
      <c r="K512" s="2" t="s">
        <v>646</v>
      </c>
      <c r="L512" s="3">
        <v>40291</v>
      </c>
      <c r="M512" s="3">
        <v>40442</v>
      </c>
      <c r="N512" s="3">
        <v>40442</v>
      </c>
      <c r="O512" s="3">
        <v>40442</v>
      </c>
      <c r="P512" s="2" t="s">
        <v>749</v>
      </c>
      <c r="Q512" s="2" t="s">
        <v>76</v>
      </c>
      <c r="R512" s="2" t="s">
        <v>37</v>
      </c>
      <c r="S512" s="2" t="s">
        <v>78</v>
      </c>
      <c r="T512" s="2" t="s">
        <v>47</v>
      </c>
      <c r="U512" s="2">
        <v>30</v>
      </c>
      <c r="V512" s="2">
        <v>57727</v>
      </c>
      <c r="W512" s="2">
        <v>1148767.3</v>
      </c>
      <c r="X512" s="2">
        <v>19.899999999999999</v>
      </c>
      <c r="Y512" s="2">
        <v>0.66</v>
      </c>
      <c r="Z512" s="2">
        <v>6349</v>
      </c>
      <c r="AA512" s="2">
        <v>27797.599999999999</v>
      </c>
      <c r="AB512">
        <v>1</v>
      </c>
      <c r="AC512">
        <v>2010</v>
      </c>
      <c r="AE512" s="2">
        <v>38099.82</v>
      </c>
    </row>
    <row r="513" spans="2:31" ht="14.5">
      <c r="B513" s="2">
        <v>34010</v>
      </c>
      <c r="C513" s="2" t="s">
        <v>1017</v>
      </c>
      <c r="D513" s="2" t="s">
        <v>1018</v>
      </c>
      <c r="E513" s="2" t="s">
        <v>118</v>
      </c>
      <c r="F513" s="2" t="s">
        <v>29</v>
      </c>
      <c r="G513" s="2" t="s">
        <v>30</v>
      </c>
      <c r="H513" s="2" t="s">
        <v>807</v>
      </c>
      <c r="I513" s="2" t="s">
        <v>32</v>
      </c>
      <c r="J513" s="2" t="s">
        <v>33</v>
      </c>
      <c r="K513" s="2" t="s">
        <v>34</v>
      </c>
      <c r="L513" s="3">
        <v>41968</v>
      </c>
      <c r="M513" s="3">
        <v>42150</v>
      </c>
      <c r="N513" s="3">
        <v>42150</v>
      </c>
      <c r="O513" s="3">
        <v>42156</v>
      </c>
      <c r="P513" s="2" t="s">
        <v>813</v>
      </c>
      <c r="Q513" s="2" t="s">
        <v>814</v>
      </c>
      <c r="R513" s="2" t="s">
        <v>37</v>
      </c>
      <c r="S513" s="2" t="s">
        <v>815</v>
      </c>
      <c r="T513" s="2" t="s">
        <v>39</v>
      </c>
      <c r="U513" s="2">
        <v>30</v>
      </c>
      <c r="V513" s="2">
        <v>1000</v>
      </c>
      <c r="W513" s="2">
        <v>18000</v>
      </c>
      <c r="X513" s="2">
        <v>18</v>
      </c>
      <c r="Y513" s="2">
        <v>0.6</v>
      </c>
      <c r="Z513" s="2">
        <v>132</v>
      </c>
      <c r="AA513" s="2">
        <v>1329.99</v>
      </c>
      <c r="AB513">
        <v>1</v>
      </c>
      <c r="AC513">
        <v>2015</v>
      </c>
      <c r="AE513" s="2">
        <v>600</v>
      </c>
    </row>
    <row r="514" spans="2:31" ht="14.5">
      <c r="B514" s="2">
        <v>34028</v>
      </c>
      <c r="C514" s="2" t="s">
        <v>1019</v>
      </c>
      <c r="D514" s="2" t="s">
        <v>1020</v>
      </c>
      <c r="E514" s="2" t="s">
        <v>42</v>
      </c>
      <c r="F514" s="2" t="s">
        <v>29</v>
      </c>
      <c r="G514" s="2" t="s">
        <v>30</v>
      </c>
      <c r="H514" s="2" t="s">
        <v>94</v>
      </c>
      <c r="I514" s="2" t="s">
        <v>32</v>
      </c>
      <c r="J514" s="2" t="s">
        <v>52</v>
      </c>
      <c r="K514" s="2" t="s">
        <v>34</v>
      </c>
      <c r="L514" s="3">
        <v>40043</v>
      </c>
      <c r="M514" s="3">
        <v>40342</v>
      </c>
      <c r="N514" s="3">
        <v>40342</v>
      </c>
      <c r="O514" s="3">
        <v>40342</v>
      </c>
      <c r="P514" s="2" t="s">
        <v>164</v>
      </c>
      <c r="Q514" s="2" t="s">
        <v>165</v>
      </c>
      <c r="R514" s="2" t="s">
        <v>37</v>
      </c>
      <c r="S514" s="2" t="s">
        <v>166</v>
      </c>
      <c r="T514" s="2" t="s">
        <v>39</v>
      </c>
      <c r="U514" s="2">
        <v>60</v>
      </c>
      <c r="V514" s="2">
        <v>4500</v>
      </c>
      <c r="W514" s="2">
        <v>11655</v>
      </c>
      <c r="X514" s="2">
        <v>2.59</v>
      </c>
      <c r="Y514" s="2">
        <v>0.04</v>
      </c>
      <c r="Z514" s="2">
        <v>277</v>
      </c>
      <c r="AA514" s="2">
        <v>1393.42</v>
      </c>
      <c r="AB514">
        <v>1</v>
      </c>
      <c r="AC514">
        <v>2010</v>
      </c>
      <c r="AE514" s="2">
        <v>180</v>
      </c>
    </row>
    <row r="515" spans="2:31" ht="14.5">
      <c r="B515" s="2">
        <v>35065</v>
      </c>
      <c r="C515" s="2" t="s">
        <v>1021</v>
      </c>
      <c r="D515" s="2" t="s">
        <v>1022</v>
      </c>
      <c r="E515" s="2" t="s">
        <v>118</v>
      </c>
      <c r="F515" s="2" t="s">
        <v>29</v>
      </c>
      <c r="G515" s="2" t="s">
        <v>30</v>
      </c>
      <c r="H515" s="2" t="s">
        <v>103</v>
      </c>
      <c r="I515" s="2" t="s">
        <v>32</v>
      </c>
      <c r="J515" s="2" t="s">
        <v>711</v>
      </c>
      <c r="K515" s="2" t="s">
        <v>34</v>
      </c>
      <c r="L515" s="3">
        <v>40847</v>
      </c>
      <c r="M515" s="3">
        <v>40912</v>
      </c>
      <c r="N515" s="3">
        <v>40912</v>
      </c>
      <c r="O515" s="3">
        <v>40912</v>
      </c>
      <c r="P515" s="2" t="s">
        <v>864</v>
      </c>
      <c r="Q515" s="2" t="s">
        <v>865</v>
      </c>
      <c r="R515" s="2" t="s">
        <v>866</v>
      </c>
      <c r="S515" s="2" t="s">
        <v>100</v>
      </c>
      <c r="T515" s="2" t="s">
        <v>39</v>
      </c>
      <c r="U515" s="2">
        <v>120</v>
      </c>
      <c r="V515" s="2">
        <v>165</v>
      </c>
      <c r="W515" s="2">
        <v>15140.4</v>
      </c>
      <c r="X515" s="2">
        <v>91.76</v>
      </c>
      <c r="Y515" s="2">
        <v>0.76</v>
      </c>
      <c r="Z515" s="2">
        <v>24</v>
      </c>
      <c r="AA515" s="2">
        <v>297</v>
      </c>
      <c r="AB515">
        <v>1</v>
      </c>
      <c r="AC515">
        <v>2012</v>
      </c>
      <c r="AE515" s="2">
        <v>125.4</v>
      </c>
    </row>
    <row r="516" spans="2:31" ht="14.5">
      <c r="B516" s="2">
        <v>35146</v>
      </c>
      <c r="C516" s="2" t="s">
        <v>1023</v>
      </c>
      <c r="D516" s="2" t="s">
        <v>1024</v>
      </c>
      <c r="E516" s="2" t="s">
        <v>118</v>
      </c>
      <c r="F516" s="2" t="s">
        <v>29</v>
      </c>
      <c r="G516" s="2" t="s">
        <v>30</v>
      </c>
      <c r="H516" s="2" t="s">
        <v>103</v>
      </c>
      <c r="I516" s="2" t="s">
        <v>32</v>
      </c>
      <c r="J516" s="2" t="s">
        <v>52</v>
      </c>
      <c r="K516" s="2" t="s">
        <v>34</v>
      </c>
      <c r="L516" s="3">
        <v>41458</v>
      </c>
      <c r="M516" s="3">
        <v>41598</v>
      </c>
      <c r="N516" s="3">
        <v>41598</v>
      </c>
      <c r="O516" s="3">
        <v>41599</v>
      </c>
      <c r="P516" s="2" t="s">
        <v>712</v>
      </c>
      <c r="Q516" s="2" t="s">
        <v>713</v>
      </c>
      <c r="R516" s="2" t="s">
        <v>714</v>
      </c>
      <c r="S516" s="2" t="s">
        <v>330</v>
      </c>
      <c r="T516" s="2" t="s">
        <v>39</v>
      </c>
      <c r="U516" s="2">
        <v>120</v>
      </c>
      <c r="V516" s="2">
        <v>217</v>
      </c>
      <c r="W516" s="2">
        <v>7812</v>
      </c>
      <c r="X516" s="2">
        <v>36</v>
      </c>
      <c r="Y516" s="2">
        <v>0.3</v>
      </c>
      <c r="Z516" s="2">
        <v>74</v>
      </c>
      <c r="AA516" s="2">
        <v>294.86</v>
      </c>
      <c r="AB516">
        <v>1</v>
      </c>
      <c r="AC516">
        <v>2013</v>
      </c>
      <c r="AE516" s="2">
        <v>65.099999999999994</v>
      </c>
    </row>
    <row r="517" spans="2:31" ht="14.5">
      <c r="B517" s="2">
        <v>35352</v>
      </c>
      <c r="C517" s="2" t="s">
        <v>860</v>
      </c>
      <c r="D517" s="2" t="s">
        <v>861</v>
      </c>
      <c r="E517" s="2" t="s">
        <v>42</v>
      </c>
      <c r="F517" s="2" t="s">
        <v>29</v>
      </c>
      <c r="G517" s="2" t="s">
        <v>30</v>
      </c>
      <c r="H517" s="2" t="s">
        <v>31</v>
      </c>
      <c r="I517" s="2" t="s">
        <v>32</v>
      </c>
      <c r="J517" s="2" t="s">
        <v>33</v>
      </c>
      <c r="K517" s="2" t="s">
        <v>34</v>
      </c>
      <c r="L517" s="3">
        <v>40856</v>
      </c>
      <c r="M517" s="3">
        <v>40998</v>
      </c>
      <c r="N517" s="3">
        <v>40998</v>
      </c>
      <c r="O517" s="3">
        <v>40998</v>
      </c>
      <c r="P517" s="2" t="s">
        <v>772</v>
      </c>
      <c r="Q517" s="2" t="s">
        <v>54</v>
      </c>
      <c r="R517" s="2" t="s">
        <v>37</v>
      </c>
      <c r="S517" s="2" t="s">
        <v>120</v>
      </c>
      <c r="T517" s="2" t="s">
        <v>773</v>
      </c>
      <c r="U517" s="2">
        <v>30</v>
      </c>
      <c r="V517" s="2">
        <v>1185</v>
      </c>
      <c r="W517" s="2">
        <v>15405</v>
      </c>
      <c r="X517" s="2">
        <v>13</v>
      </c>
      <c r="Y517" s="2">
        <v>0.43</v>
      </c>
      <c r="AB517">
        <v>1</v>
      </c>
      <c r="AC517">
        <v>2012</v>
      </c>
      <c r="AE517" s="2">
        <v>509.55</v>
      </c>
    </row>
    <row r="518" spans="2:31" ht="14.5">
      <c r="B518" s="2">
        <v>35444</v>
      </c>
      <c r="C518" s="2" t="s">
        <v>1025</v>
      </c>
      <c r="D518" s="2" t="s">
        <v>1026</v>
      </c>
      <c r="E518" s="2" t="s">
        <v>28</v>
      </c>
      <c r="F518" s="2" t="s">
        <v>29</v>
      </c>
      <c r="G518" s="2" t="s">
        <v>50</v>
      </c>
      <c r="H518" s="2" t="s">
        <v>81</v>
      </c>
      <c r="I518" s="2" t="s">
        <v>32</v>
      </c>
      <c r="J518" s="2" t="s">
        <v>82</v>
      </c>
      <c r="K518" s="2" t="s">
        <v>34</v>
      </c>
      <c r="L518" s="3">
        <v>41495</v>
      </c>
      <c r="M518" s="3">
        <v>41639</v>
      </c>
      <c r="N518" s="3">
        <v>41639</v>
      </c>
      <c r="O518" s="3">
        <v>41642</v>
      </c>
      <c r="P518" s="2" t="s">
        <v>90</v>
      </c>
      <c r="Q518" s="2" t="s">
        <v>84</v>
      </c>
      <c r="R518" s="2" t="s">
        <v>37</v>
      </c>
      <c r="S518" s="2" t="s">
        <v>91</v>
      </c>
      <c r="T518" s="2" t="s">
        <v>39</v>
      </c>
      <c r="U518" s="2">
        <v>60</v>
      </c>
      <c r="V518" s="2">
        <v>1764</v>
      </c>
      <c r="W518" s="2">
        <v>10478.16</v>
      </c>
      <c r="X518" s="2">
        <v>5.94</v>
      </c>
      <c r="Y518" s="2">
        <v>0.1</v>
      </c>
      <c r="Z518" s="2">
        <v>209</v>
      </c>
      <c r="AA518" s="2">
        <v>2177.56</v>
      </c>
      <c r="AB518">
        <v>1</v>
      </c>
      <c r="AC518">
        <v>2014</v>
      </c>
      <c r="AE518" s="2">
        <v>176.4</v>
      </c>
    </row>
    <row r="519" spans="2:31" ht="14.5">
      <c r="B519" s="2">
        <v>35643</v>
      </c>
      <c r="C519" s="2" t="s">
        <v>1027</v>
      </c>
      <c r="D519" s="2" t="s">
        <v>1028</v>
      </c>
      <c r="E519" s="2" t="s">
        <v>42</v>
      </c>
      <c r="F519" s="2" t="s">
        <v>29</v>
      </c>
      <c r="G519" s="2" t="s">
        <v>30</v>
      </c>
      <c r="H519" s="2" t="s">
        <v>807</v>
      </c>
      <c r="I519" s="2" t="s">
        <v>32</v>
      </c>
      <c r="J519" s="2" t="s">
        <v>33</v>
      </c>
      <c r="K519" s="2" t="s">
        <v>34</v>
      </c>
      <c r="L519" s="3">
        <v>41988</v>
      </c>
      <c r="M519" s="3">
        <v>42128</v>
      </c>
      <c r="N519" s="3">
        <v>42128</v>
      </c>
      <c r="O519" s="3">
        <v>42129</v>
      </c>
      <c r="P519" s="2" t="s">
        <v>813</v>
      </c>
      <c r="Q519" s="2" t="s">
        <v>814</v>
      </c>
      <c r="R519" s="2" t="s">
        <v>37</v>
      </c>
      <c r="S519" s="2" t="s">
        <v>815</v>
      </c>
      <c r="T519" s="2" t="s">
        <v>39</v>
      </c>
      <c r="U519" s="2">
        <v>30</v>
      </c>
      <c r="V519" s="2">
        <v>13823</v>
      </c>
      <c r="W519" s="2">
        <v>248814</v>
      </c>
      <c r="X519" s="2">
        <v>18</v>
      </c>
      <c r="Y519" s="2">
        <v>0.6</v>
      </c>
      <c r="Z519" s="2">
        <v>1805</v>
      </c>
      <c r="AA519" s="2">
        <v>10743.33</v>
      </c>
      <c r="AB519">
        <v>1</v>
      </c>
      <c r="AC519">
        <v>2015</v>
      </c>
      <c r="AE519" s="2">
        <v>8293.7999999999993</v>
      </c>
    </row>
    <row r="520" spans="2:31" ht="14.5">
      <c r="B520" s="2">
        <v>35717</v>
      </c>
      <c r="C520" s="2" t="s">
        <v>1029</v>
      </c>
      <c r="D520" s="2" t="s">
        <v>1030</v>
      </c>
      <c r="E520" s="2" t="s">
        <v>42</v>
      </c>
      <c r="F520" s="2" t="s">
        <v>29</v>
      </c>
      <c r="G520" s="2" t="s">
        <v>50</v>
      </c>
      <c r="H520" s="2" t="s">
        <v>743</v>
      </c>
      <c r="I520" s="2" t="s">
        <v>32</v>
      </c>
      <c r="J520" s="2" t="s">
        <v>82</v>
      </c>
      <c r="K520" s="2" t="s">
        <v>34</v>
      </c>
      <c r="L520" s="3">
        <v>42058</v>
      </c>
      <c r="M520" s="3">
        <v>42132</v>
      </c>
      <c r="N520" s="3">
        <v>42132</v>
      </c>
      <c r="O520" s="3">
        <v>42135</v>
      </c>
      <c r="P520" s="2" t="s">
        <v>744</v>
      </c>
      <c r="Q520" s="2" t="s">
        <v>745</v>
      </c>
      <c r="R520" s="2" t="s">
        <v>746</v>
      </c>
      <c r="S520" s="2" t="s">
        <v>38</v>
      </c>
      <c r="T520" s="2" t="s">
        <v>64</v>
      </c>
      <c r="U520" s="2">
        <v>60</v>
      </c>
      <c r="V520" s="2">
        <v>466</v>
      </c>
      <c r="W520" s="2">
        <v>18928.919999999998</v>
      </c>
      <c r="X520" s="2">
        <v>40.619999999999997</v>
      </c>
      <c r="Y520" s="2">
        <v>0.68</v>
      </c>
      <c r="Z520" s="2">
        <v>69</v>
      </c>
      <c r="AA520" s="2">
        <v>802.85</v>
      </c>
      <c r="AB520">
        <v>1</v>
      </c>
      <c r="AC520">
        <v>2015</v>
      </c>
      <c r="AE520" s="2">
        <v>316.88</v>
      </c>
    </row>
    <row r="521" spans="2:31" ht="14.5">
      <c r="B521" s="2">
        <v>35790</v>
      </c>
      <c r="C521" s="2" t="s">
        <v>1031</v>
      </c>
      <c r="D521" s="2" t="s">
        <v>1032</v>
      </c>
      <c r="E521" s="2" t="s">
        <v>118</v>
      </c>
      <c r="F521" s="2" t="s">
        <v>29</v>
      </c>
      <c r="G521" s="2" t="s">
        <v>30</v>
      </c>
      <c r="H521" s="2" t="s">
        <v>43</v>
      </c>
      <c r="I521" s="2" t="s">
        <v>32</v>
      </c>
      <c r="J521" s="2" t="s">
        <v>33</v>
      </c>
      <c r="K521" s="2" t="s">
        <v>34</v>
      </c>
      <c r="L521" s="3">
        <v>41486</v>
      </c>
      <c r="M521" s="3">
        <v>41550</v>
      </c>
      <c r="N521" s="3">
        <v>41550</v>
      </c>
      <c r="O521" s="3">
        <v>41552</v>
      </c>
      <c r="P521" s="2" t="s">
        <v>112</v>
      </c>
      <c r="Q521" s="2" t="s">
        <v>113</v>
      </c>
      <c r="R521" s="2" t="s">
        <v>37</v>
      </c>
      <c r="S521" s="2" t="s">
        <v>114</v>
      </c>
      <c r="T521" s="2" t="s">
        <v>47</v>
      </c>
      <c r="U521" s="2">
        <v>60</v>
      </c>
      <c r="V521" s="2">
        <v>114996</v>
      </c>
      <c r="W521" s="2">
        <v>931467.6</v>
      </c>
      <c r="X521" s="2">
        <v>8.1</v>
      </c>
      <c r="Y521" s="2">
        <v>0.13</v>
      </c>
      <c r="Z521" s="2">
        <v>15435</v>
      </c>
      <c r="AA521" s="2">
        <v>56180.34</v>
      </c>
      <c r="AB521">
        <v>1</v>
      </c>
      <c r="AC521">
        <v>2013</v>
      </c>
      <c r="AE521" s="2">
        <v>14949.480000000001</v>
      </c>
    </row>
    <row r="522" spans="2:31" ht="14.5">
      <c r="B522" s="2">
        <v>35870</v>
      </c>
      <c r="C522" s="2" t="s">
        <v>1033</v>
      </c>
      <c r="D522" s="2" t="s">
        <v>1034</v>
      </c>
      <c r="E522" s="2" t="s">
        <v>118</v>
      </c>
      <c r="F522" s="2" t="s">
        <v>29</v>
      </c>
      <c r="G522" s="2" t="s">
        <v>30</v>
      </c>
      <c r="H522" s="2" t="s">
        <v>103</v>
      </c>
      <c r="I522" s="2" t="s">
        <v>32</v>
      </c>
      <c r="J522" s="2" t="s">
        <v>711</v>
      </c>
      <c r="K522" s="2" t="s">
        <v>34</v>
      </c>
      <c r="L522" s="3">
        <v>41291</v>
      </c>
      <c r="M522" s="3">
        <v>41347</v>
      </c>
      <c r="N522" s="3">
        <v>41347</v>
      </c>
      <c r="O522" s="3">
        <v>41347</v>
      </c>
      <c r="P522" s="2" t="s">
        <v>864</v>
      </c>
      <c r="Q522" s="2" t="s">
        <v>865</v>
      </c>
      <c r="R522" s="2" t="s">
        <v>866</v>
      </c>
      <c r="S522" s="2" t="s">
        <v>100</v>
      </c>
      <c r="T522" s="2" t="s">
        <v>39</v>
      </c>
      <c r="U522" s="2">
        <v>120</v>
      </c>
      <c r="V522" s="2">
        <v>388</v>
      </c>
      <c r="W522" s="2">
        <v>25840.799999999999</v>
      </c>
      <c r="X522" s="2">
        <v>66.599999999999994</v>
      </c>
      <c r="Y522" s="2">
        <v>0.55000000000000004</v>
      </c>
      <c r="Z522" s="2">
        <v>68</v>
      </c>
      <c r="AA522" s="2">
        <v>1571.76</v>
      </c>
      <c r="AB522">
        <v>1</v>
      </c>
      <c r="AC522">
        <v>2013</v>
      </c>
      <c r="AE522" s="2">
        <v>213.4</v>
      </c>
    </row>
    <row r="523" spans="2:31" ht="14.5">
      <c r="B523" s="2">
        <v>35975</v>
      </c>
      <c r="C523" s="2" t="s">
        <v>970</v>
      </c>
      <c r="D523" s="2" t="s">
        <v>971</v>
      </c>
      <c r="E523" s="2" t="s">
        <v>42</v>
      </c>
      <c r="F523" s="2" t="s">
        <v>29</v>
      </c>
      <c r="G523" s="2" t="s">
        <v>30</v>
      </c>
      <c r="H523" s="2" t="s">
        <v>31</v>
      </c>
      <c r="I523" s="2" t="s">
        <v>32</v>
      </c>
      <c r="J523" s="2" t="s">
        <v>33</v>
      </c>
      <c r="K523" s="2" t="s">
        <v>34</v>
      </c>
      <c r="L523" s="3">
        <v>41094</v>
      </c>
      <c r="M523" s="3">
        <v>41143</v>
      </c>
      <c r="N523" s="3">
        <v>41143</v>
      </c>
      <c r="O523" s="3">
        <v>41143</v>
      </c>
      <c r="P523" s="2" t="s">
        <v>780</v>
      </c>
      <c r="Q523" s="2" t="s">
        <v>54</v>
      </c>
      <c r="R523" s="2" t="s">
        <v>37</v>
      </c>
      <c r="S523" s="2" t="s">
        <v>70</v>
      </c>
      <c r="T523" s="2" t="s">
        <v>773</v>
      </c>
      <c r="U523" s="2">
        <v>30</v>
      </c>
      <c r="V523" s="2">
        <v>1728</v>
      </c>
      <c r="W523" s="2">
        <v>34560</v>
      </c>
      <c r="X523" s="2">
        <v>20</v>
      </c>
      <c r="Y523" s="2">
        <v>0.67</v>
      </c>
      <c r="AB523">
        <v>1</v>
      </c>
      <c r="AC523">
        <v>2012</v>
      </c>
      <c r="AE523" s="2">
        <v>1157.76</v>
      </c>
    </row>
    <row r="524" spans="2:31" ht="14.5">
      <c r="B524" s="2">
        <v>36005</v>
      </c>
      <c r="C524" s="2" t="s">
        <v>1035</v>
      </c>
      <c r="D524" s="2" t="s">
        <v>1036</v>
      </c>
      <c r="E524" s="2" t="s">
        <v>42</v>
      </c>
      <c r="F524" s="2" t="s">
        <v>29</v>
      </c>
      <c r="G524" s="2" t="s">
        <v>30</v>
      </c>
      <c r="H524" s="2" t="s">
        <v>807</v>
      </c>
      <c r="I524" s="2" t="s">
        <v>32</v>
      </c>
      <c r="J524" s="2" t="s">
        <v>33</v>
      </c>
      <c r="K524" s="2" t="s">
        <v>34</v>
      </c>
      <c r="L524" s="3">
        <v>41988</v>
      </c>
      <c r="M524" s="3">
        <v>42243</v>
      </c>
      <c r="N524" s="3">
        <v>42243</v>
      </c>
      <c r="O524" s="3">
        <v>42243</v>
      </c>
      <c r="P524" s="2" t="s">
        <v>813</v>
      </c>
      <c r="Q524" s="2" t="s">
        <v>814</v>
      </c>
      <c r="R524" s="2" t="s">
        <v>37</v>
      </c>
      <c r="S524" s="2" t="s">
        <v>815</v>
      </c>
      <c r="T524" s="2" t="s">
        <v>39</v>
      </c>
      <c r="U524" s="2">
        <v>30</v>
      </c>
      <c r="V524" s="2">
        <v>4011</v>
      </c>
      <c r="W524" s="2">
        <v>72198</v>
      </c>
      <c r="X524" s="2">
        <v>18</v>
      </c>
      <c r="Y524" s="2">
        <v>0.6</v>
      </c>
      <c r="AB524">
        <v>1</v>
      </c>
      <c r="AC524">
        <v>2015</v>
      </c>
      <c r="AE524" s="2">
        <v>2406.6</v>
      </c>
    </row>
    <row r="525" spans="2:31" ht="14.5">
      <c r="B525" s="2">
        <v>36539</v>
      </c>
      <c r="C525" s="2" t="s">
        <v>1037</v>
      </c>
      <c r="D525" s="2" t="s">
        <v>1038</v>
      </c>
      <c r="E525" s="2" t="s">
        <v>118</v>
      </c>
      <c r="F525" s="2" t="s">
        <v>29</v>
      </c>
      <c r="G525" s="2" t="s">
        <v>30</v>
      </c>
      <c r="H525" s="2" t="s">
        <v>109</v>
      </c>
      <c r="I525" s="2" t="s">
        <v>32</v>
      </c>
      <c r="J525" s="2" t="s">
        <v>33</v>
      </c>
      <c r="K525" s="2" t="s">
        <v>34</v>
      </c>
      <c r="L525" s="3">
        <v>41207</v>
      </c>
      <c r="M525" s="3">
        <v>41295</v>
      </c>
      <c r="N525" s="3">
        <v>41295</v>
      </c>
      <c r="O525" s="3">
        <v>41295</v>
      </c>
      <c r="P525" s="2" t="s">
        <v>813</v>
      </c>
      <c r="Q525" s="2" t="s">
        <v>814</v>
      </c>
      <c r="R525" s="2" t="s">
        <v>37</v>
      </c>
      <c r="S525" s="2" t="s">
        <v>815</v>
      </c>
      <c r="T525" s="2" t="s">
        <v>39</v>
      </c>
      <c r="U525" s="2">
        <v>30</v>
      </c>
      <c r="V525" s="2">
        <v>1665</v>
      </c>
      <c r="W525" s="2">
        <v>37462.5</v>
      </c>
      <c r="X525" s="2">
        <v>22.5</v>
      </c>
      <c r="Y525" s="2">
        <v>0.75</v>
      </c>
      <c r="Z525" s="2">
        <v>420</v>
      </c>
      <c r="AA525" s="2">
        <v>3900.39</v>
      </c>
      <c r="AB525">
        <v>1</v>
      </c>
      <c r="AC525">
        <v>2013</v>
      </c>
      <c r="AE525" s="2">
        <v>1248.75</v>
      </c>
    </row>
    <row r="526" spans="2:31" ht="14.5">
      <c r="B526" s="2">
        <v>36654</v>
      </c>
      <c r="C526" s="2" t="s">
        <v>862</v>
      </c>
      <c r="D526" s="2" t="s">
        <v>1039</v>
      </c>
      <c r="E526" s="2" t="s">
        <v>118</v>
      </c>
      <c r="F526" s="2" t="s">
        <v>29</v>
      </c>
      <c r="G526" s="2" t="s">
        <v>30</v>
      </c>
      <c r="H526" s="2" t="s">
        <v>103</v>
      </c>
      <c r="I526" s="2" t="s">
        <v>32</v>
      </c>
      <c r="J526" s="2" t="s">
        <v>711</v>
      </c>
      <c r="K526" s="2" t="s">
        <v>34</v>
      </c>
      <c r="L526" s="3">
        <v>40627</v>
      </c>
      <c r="M526" s="3">
        <v>40696</v>
      </c>
      <c r="N526" s="3">
        <v>40696</v>
      </c>
      <c r="O526" s="3">
        <v>40696</v>
      </c>
      <c r="P526" s="2" t="s">
        <v>712</v>
      </c>
      <c r="Q526" s="2" t="s">
        <v>713</v>
      </c>
      <c r="R526" s="2" t="s">
        <v>714</v>
      </c>
      <c r="S526" s="2" t="s">
        <v>330</v>
      </c>
      <c r="T526" s="2" t="s">
        <v>39</v>
      </c>
      <c r="U526" s="2">
        <v>120</v>
      </c>
      <c r="V526" s="2">
        <v>27</v>
      </c>
      <c r="W526" s="2">
        <v>2361.42</v>
      </c>
      <c r="X526" s="2">
        <v>87.46</v>
      </c>
      <c r="Y526" s="2">
        <v>0.73</v>
      </c>
      <c r="Z526" s="2">
        <v>5</v>
      </c>
      <c r="AA526" s="2">
        <v>41</v>
      </c>
      <c r="AB526">
        <v>1</v>
      </c>
      <c r="AC526">
        <v>2011</v>
      </c>
      <c r="AE526" s="2">
        <v>19.71</v>
      </c>
    </row>
    <row r="527" spans="2:31" ht="14.5">
      <c r="B527" s="2">
        <v>36758</v>
      </c>
      <c r="C527" s="2" t="s">
        <v>1040</v>
      </c>
      <c r="D527" s="2" t="s">
        <v>1041</v>
      </c>
      <c r="E527" s="2" t="s">
        <v>42</v>
      </c>
      <c r="F527" s="2" t="s">
        <v>29</v>
      </c>
      <c r="G527" s="2" t="s">
        <v>30</v>
      </c>
      <c r="H527" s="2" t="s">
        <v>94</v>
      </c>
      <c r="I527" s="2" t="s">
        <v>32</v>
      </c>
      <c r="J527" s="2" t="s">
        <v>33</v>
      </c>
      <c r="K527" s="2" t="s">
        <v>34</v>
      </c>
      <c r="L527" s="3">
        <v>41199</v>
      </c>
      <c r="M527" s="3">
        <v>41304</v>
      </c>
      <c r="N527" s="3">
        <v>41304</v>
      </c>
      <c r="O527" s="3">
        <v>41304</v>
      </c>
      <c r="P527" s="2" t="s">
        <v>484</v>
      </c>
      <c r="Q527" s="2" t="s">
        <v>105</v>
      </c>
      <c r="R527" s="2" t="s">
        <v>37</v>
      </c>
      <c r="S527" s="2" t="s">
        <v>100</v>
      </c>
      <c r="T527" s="2" t="s">
        <v>39</v>
      </c>
      <c r="U527" s="2">
        <v>30</v>
      </c>
      <c r="V527" s="2">
        <v>672</v>
      </c>
      <c r="W527" s="2">
        <v>2520</v>
      </c>
      <c r="X527" s="2">
        <v>3.75</v>
      </c>
      <c r="Y527" s="2">
        <v>0.12</v>
      </c>
      <c r="Z527" s="2">
        <v>55</v>
      </c>
      <c r="AA527" s="2">
        <v>1276.53</v>
      </c>
      <c r="AB527">
        <v>1</v>
      </c>
      <c r="AC527">
        <v>2013</v>
      </c>
      <c r="AE527" s="2">
        <v>80.64</v>
      </c>
    </row>
    <row r="528" spans="2:31" ht="14.5">
      <c r="B528" s="2">
        <v>37152</v>
      </c>
      <c r="C528" s="2" t="s">
        <v>1042</v>
      </c>
      <c r="D528" s="2" t="s">
        <v>1043</v>
      </c>
      <c r="E528" s="2" t="s">
        <v>118</v>
      </c>
      <c r="F528" s="2" t="s">
        <v>29</v>
      </c>
      <c r="G528" s="2" t="s">
        <v>50</v>
      </c>
      <c r="H528" s="2" t="s">
        <v>807</v>
      </c>
      <c r="I528" s="2" t="s">
        <v>32</v>
      </c>
      <c r="J528" s="2" t="s">
        <v>33</v>
      </c>
      <c r="K528" s="2" t="s">
        <v>34</v>
      </c>
      <c r="L528" s="3">
        <v>40142</v>
      </c>
      <c r="M528" s="3">
        <v>40211</v>
      </c>
      <c r="N528" s="3">
        <v>40211</v>
      </c>
      <c r="O528" s="3">
        <v>40211</v>
      </c>
      <c r="P528" s="2" t="s">
        <v>808</v>
      </c>
      <c r="Q528" s="2" t="s">
        <v>745</v>
      </c>
      <c r="R528" s="2" t="s">
        <v>37</v>
      </c>
      <c r="S528" s="2" t="s">
        <v>166</v>
      </c>
      <c r="T528" s="2" t="s">
        <v>64</v>
      </c>
      <c r="U528" s="2">
        <v>60</v>
      </c>
      <c r="V528" s="2">
        <v>240</v>
      </c>
      <c r="W528" s="2">
        <v>6261.6</v>
      </c>
      <c r="X528" s="2">
        <v>26.09</v>
      </c>
      <c r="Y528" s="2">
        <v>0.43</v>
      </c>
      <c r="Z528" s="2">
        <v>25</v>
      </c>
      <c r="AA528" s="2">
        <v>915.09</v>
      </c>
      <c r="AB528">
        <v>1</v>
      </c>
      <c r="AC528">
        <v>2010</v>
      </c>
      <c r="AE528" s="2">
        <v>103.2</v>
      </c>
    </row>
    <row r="529" spans="2:31" ht="14.5">
      <c r="B529" s="2">
        <v>37324</v>
      </c>
      <c r="C529" s="2" t="s">
        <v>1044</v>
      </c>
      <c r="D529" s="2" t="s">
        <v>1045</v>
      </c>
      <c r="E529" s="2" t="s">
        <v>118</v>
      </c>
      <c r="F529" s="2" t="s">
        <v>29</v>
      </c>
      <c r="G529" s="2" t="s">
        <v>30</v>
      </c>
      <c r="H529" s="2" t="s">
        <v>109</v>
      </c>
      <c r="I529" s="2" t="s">
        <v>32</v>
      </c>
      <c r="J529" s="2" t="s">
        <v>33</v>
      </c>
      <c r="K529" s="2" t="s">
        <v>34</v>
      </c>
      <c r="L529" s="3">
        <v>41121</v>
      </c>
      <c r="M529" s="3">
        <v>41150</v>
      </c>
      <c r="N529" s="3">
        <v>41150</v>
      </c>
      <c r="O529" s="3">
        <v>41150</v>
      </c>
      <c r="P529" s="2" t="s">
        <v>754</v>
      </c>
      <c r="Q529" s="2" t="s">
        <v>755</v>
      </c>
      <c r="R529" s="2" t="s">
        <v>37</v>
      </c>
      <c r="S529" s="2" t="s">
        <v>756</v>
      </c>
      <c r="T529" s="2" t="s">
        <v>47</v>
      </c>
      <c r="U529" s="2">
        <v>30</v>
      </c>
      <c r="V529" s="2">
        <v>205042</v>
      </c>
      <c r="W529" s="2">
        <v>2458453.58</v>
      </c>
      <c r="X529" s="2">
        <v>11.99</v>
      </c>
      <c r="Y529" s="2">
        <v>0.4</v>
      </c>
      <c r="Z529" s="2">
        <v>24556</v>
      </c>
      <c r="AA529" s="2">
        <v>146850.66</v>
      </c>
      <c r="AB529">
        <v>1</v>
      </c>
      <c r="AC529">
        <v>2012</v>
      </c>
      <c r="AE529" s="2">
        <v>82016.800000000003</v>
      </c>
    </row>
    <row r="530" spans="2:31" ht="14.5">
      <c r="B530" s="2">
        <v>38111</v>
      </c>
      <c r="C530" s="2" t="s">
        <v>1046</v>
      </c>
      <c r="D530" s="2" t="s">
        <v>1047</v>
      </c>
      <c r="E530" s="2" t="s">
        <v>118</v>
      </c>
      <c r="F530" s="2" t="s">
        <v>29</v>
      </c>
      <c r="G530" s="2" t="s">
        <v>30</v>
      </c>
      <c r="H530" s="2" t="s">
        <v>109</v>
      </c>
      <c r="I530" s="2" t="s">
        <v>32</v>
      </c>
      <c r="J530" s="2" t="s">
        <v>33</v>
      </c>
      <c r="K530" s="2" t="s">
        <v>34</v>
      </c>
      <c r="L530" s="3">
        <v>42058</v>
      </c>
      <c r="M530" s="3">
        <v>42175</v>
      </c>
      <c r="N530" s="3">
        <v>42175</v>
      </c>
      <c r="O530" s="3">
        <v>42178</v>
      </c>
      <c r="P530" s="2" t="s">
        <v>813</v>
      </c>
      <c r="Q530" s="2" t="s">
        <v>814</v>
      </c>
      <c r="R530" s="2" t="s">
        <v>37</v>
      </c>
      <c r="S530" s="2" t="s">
        <v>815</v>
      </c>
      <c r="T530" s="2" t="s">
        <v>39</v>
      </c>
      <c r="U530" s="2">
        <v>30</v>
      </c>
      <c r="V530" s="2">
        <v>12370</v>
      </c>
      <c r="W530" s="2">
        <v>241215</v>
      </c>
      <c r="X530" s="2">
        <v>19.5</v>
      </c>
      <c r="Y530" s="2">
        <v>0.65</v>
      </c>
      <c r="Z530" s="2">
        <v>1652</v>
      </c>
      <c r="AA530" s="2">
        <v>7172.9</v>
      </c>
      <c r="AB530">
        <v>1</v>
      </c>
      <c r="AC530">
        <v>2015</v>
      </c>
      <c r="AE530" s="2">
        <v>8040.5</v>
      </c>
    </row>
    <row r="531" spans="2:31" ht="14.5">
      <c r="B531" s="2">
        <v>38120</v>
      </c>
      <c r="C531" s="2" t="s">
        <v>1048</v>
      </c>
      <c r="D531" s="2" t="s">
        <v>1049</v>
      </c>
      <c r="E531" s="2" t="s">
        <v>42</v>
      </c>
      <c r="F531" s="2" t="s">
        <v>29</v>
      </c>
      <c r="G531" s="2" t="s">
        <v>30</v>
      </c>
      <c r="H531" s="2" t="s">
        <v>31</v>
      </c>
      <c r="I531" s="2" t="s">
        <v>32</v>
      </c>
      <c r="J531" s="2" t="s">
        <v>33</v>
      </c>
      <c r="K531" s="2" t="s">
        <v>34</v>
      </c>
      <c r="L531" s="3">
        <v>41072</v>
      </c>
      <c r="M531" s="3">
        <v>41089</v>
      </c>
      <c r="N531" s="3">
        <v>41089</v>
      </c>
      <c r="O531" s="3">
        <v>41089</v>
      </c>
      <c r="P531" s="2" t="s">
        <v>35</v>
      </c>
      <c r="Q531" s="2" t="s">
        <v>36</v>
      </c>
      <c r="R531" s="2" t="s">
        <v>37</v>
      </c>
      <c r="S531" s="2" t="s">
        <v>38</v>
      </c>
      <c r="T531" s="2" t="s">
        <v>39</v>
      </c>
      <c r="U531" s="2">
        <v>60</v>
      </c>
      <c r="V531" s="2">
        <v>22500</v>
      </c>
      <c r="W531" s="2">
        <v>52875</v>
      </c>
      <c r="X531" s="2">
        <v>2.35</v>
      </c>
      <c r="Y531" s="2">
        <v>0.04</v>
      </c>
      <c r="Z531" s="2">
        <v>2145</v>
      </c>
      <c r="AA531" s="2">
        <v>17858.68</v>
      </c>
      <c r="AB531">
        <v>1</v>
      </c>
      <c r="AC531">
        <v>2012</v>
      </c>
      <c r="AE531" s="2">
        <v>900</v>
      </c>
    </row>
    <row r="532" spans="2:31" ht="14.5">
      <c r="B532" s="2">
        <v>38312</v>
      </c>
      <c r="C532" s="2" t="s">
        <v>1050</v>
      </c>
      <c r="D532" s="2" t="s">
        <v>1051</v>
      </c>
      <c r="E532" s="2" t="s">
        <v>118</v>
      </c>
      <c r="F532" s="2" t="s">
        <v>29</v>
      </c>
      <c r="G532" s="2" t="s">
        <v>30</v>
      </c>
      <c r="H532" s="2" t="s">
        <v>81</v>
      </c>
      <c r="I532" s="2" t="s">
        <v>32</v>
      </c>
      <c r="J532" s="2" t="s">
        <v>82</v>
      </c>
      <c r="K532" s="2" t="s">
        <v>34</v>
      </c>
      <c r="L532" s="3">
        <v>40149</v>
      </c>
      <c r="M532" s="3">
        <v>40247</v>
      </c>
      <c r="N532" s="3">
        <v>40247</v>
      </c>
      <c r="O532" s="3">
        <v>40247</v>
      </c>
      <c r="P532" s="2" t="s">
        <v>384</v>
      </c>
      <c r="Q532" s="2" t="s">
        <v>385</v>
      </c>
      <c r="R532" s="2" t="s">
        <v>386</v>
      </c>
      <c r="S532" s="2" t="s">
        <v>330</v>
      </c>
      <c r="T532" s="2" t="s">
        <v>64</v>
      </c>
      <c r="U532" s="2">
        <v>336</v>
      </c>
      <c r="V532" s="2">
        <v>21</v>
      </c>
      <c r="W532" s="2">
        <v>805.56</v>
      </c>
      <c r="X532" s="2">
        <v>38.36</v>
      </c>
      <c r="Y532" s="2">
        <v>0.11</v>
      </c>
      <c r="Z532" s="2">
        <v>58</v>
      </c>
      <c r="AA532" s="2">
        <v>776.62</v>
      </c>
      <c r="AB532">
        <v>1</v>
      </c>
      <c r="AC532">
        <v>2010</v>
      </c>
      <c r="AE532" s="2">
        <v>2.31</v>
      </c>
    </row>
    <row r="533" spans="2:31" ht="14.5">
      <c r="B533" s="2">
        <v>38318</v>
      </c>
      <c r="C533" s="2" t="s">
        <v>1052</v>
      </c>
      <c r="D533" s="2" t="s">
        <v>1053</v>
      </c>
      <c r="E533" s="2" t="s">
        <v>118</v>
      </c>
      <c r="F533" s="2" t="s">
        <v>29</v>
      </c>
      <c r="G533" s="2" t="s">
        <v>30</v>
      </c>
      <c r="H533" s="2" t="s">
        <v>74</v>
      </c>
      <c r="I533" s="2" t="s">
        <v>32</v>
      </c>
      <c r="J533" s="2" t="s">
        <v>52</v>
      </c>
      <c r="K533" s="2" t="s">
        <v>34</v>
      </c>
      <c r="L533" s="3">
        <v>41207</v>
      </c>
      <c r="M533" s="3">
        <v>41375</v>
      </c>
      <c r="N533" s="3">
        <v>41375</v>
      </c>
      <c r="O533" s="3">
        <v>41375</v>
      </c>
      <c r="P533" s="2" t="s">
        <v>833</v>
      </c>
      <c r="Q533" s="2" t="s">
        <v>834</v>
      </c>
      <c r="R533" s="2" t="s">
        <v>835</v>
      </c>
      <c r="S533" s="2" t="s">
        <v>70</v>
      </c>
      <c r="T533" s="2" t="s">
        <v>39</v>
      </c>
      <c r="U533" s="2">
        <v>60</v>
      </c>
      <c r="V533" s="2">
        <v>786</v>
      </c>
      <c r="W533" s="2">
        <v>43623</v>
      </c>
      <c r="X533" s="2">
        <v>55.5</v>
      </c>
      <c r="Y533" s="2">
        <v>0.92</v>
      </c>
      <c r="Z533" s="2">
        <v>79</v>
      </c>
      <c r="AA533" s="2">
        <v>2158.88</v>
      </c>
      <c r="AB533">
        <v>1</v>
      </c>
      <c r="AC533">
        <v>2013</v>
      </c>
      <c r="AE533" s="2">
        <v>723.12</v>
      </c>
    </row>
    <row r="534" spans="2:31" ht="14.5">
      <c r="B534" s="2">
        <v>38590</v>
      </c>
      <c r="C534" s="2" t="s">
        <v>1054</v>
      </c>
      <c r="D534" s="2" t="s">
        <v>1055</v>
      </c>
      <c r="E534" s="2" t="s">
        <v>42</v>
      </c>
      <c r="F534" s="2" t="s">
        <v>29</v>
      </c>
      <c r="G534" s="2" t="s">
        <v>30</v>
      </c>
      <c r="H534" s="2" t="s">
        <v>31</v>
      </c>
      <c r="I534" s="2" t="s">
        <v>32</v>
      </c>
      <c r="J534" s="2" t="s">
        <v>52</v>
      </c>
      <c r="K534" s="2" t="s">
        <v>34</v>
      </c>
      <c r="L534" s="3">
        <v>40218</v>
      </c>
      <c r="M534" s="3">
        <v>40372</v>
      </c>
      <c r="N534" s="3">
        <v>40372</v>
      </c>
      <c r="O534" s="3">
        <v>40372</v>
      </c>
      <c r="P534" s="2" t="s">
        <v>772</v>
      </c>
      <c r="Q534" s="2" t="s">
        <v>54</v>
      </c>
      <c r="R534" s="2" t="s">
        <v>37</v>
      </c>
      <c r="S534" s="2" t="s">
        <v>120</v>
      </c>
      <c r="T534" s="2" t="s">
        <v>773</v>
      </c>
      <c r="U534" s="2">
        <v>30</v>
      </c>
      <c r="V534" s="2">
        <v>599</v>
      </c>
      <c r="W534" s="2">
        <v>7966.7</v>
      </c>
      <c r="X534" s="2">
        <v>13.3</v>
      </c>
      <c r="Y534" s="2">
        <v>0.44</v>
      </c>
      <c r="Z534" s="2">
        <v>41</v>
      </c>
      <c r="AA534" s="2">
        <v>717</v>
      </c>
      <c r="AB534">
        <v>1</v>
      </c>
      <c r="AC534">
        <v>2010</v>
      </c>
      <c r="AE534" s="2">
        <v>263.56</v>
      </c>
    </row>
    <row r="535" spans="2:31" ht="14.5">
      <c r="B535" s="2">
        <v>39208</v>
      </c>
      <c r="C535" s="2" t="s">
        <v>981</v>
      </c>
      <c r="D535" s="2" t="s">
        <v>1056</v>
      </c>
      <c r="E535" s="2" t="s">
        <v>42</v>
      </c>
      <c r="F535" s="2" t="s">
        <v>29</v>
      </c>
      <c r="G535" s="2" t="s">
        <v>30</v>
      </c>
      <c r="H535" s="2" t="s">
        <v>807</v>
      </c>
      <c r="I535" s="2" t="s">
        <v>32</v>
      </c>
      <c r="J535" s="2" t="s">
        <v>52</v>
      </c>
      <c r="K535" s="2" t="s">
        <v>34</v>
      </c>
      <c r="L535" s="3">
        <v>40009</v>
      </c>
      <c r="M535" s="3">
        <v>40327</v>
      </c>
      <c r="N535" s="3">
        <v>40327</v>
      </c>
      <c r="O535" s="3">
        <v>40327</v>
      </c>
      <c r="P535" s="2" t="s">
        <v>95</v>
      </c>
      <c r="Q535" s="2" t="s">
        <v>96</v>
      </c>
      <c r="R535" s="2" t="s">
        <v>37</v>
      </c>
      <c r="S535" s="2" t="s">
        <v>97</v>
      </c>
      <c r="T535" s="2" t="s">
        <v>39</v>
      </c>
      <c r="U535" s="2">
        <v>30</v>
      </c>
      <c r="V535" s="2">
        <v>31</v>
      </c>
      <c r="W535" s="2">
        <v>185.69</v>
      </c>
      <c r="X535" s="2">
        <v>5.99</v>
      </c>
      <c r="Y535" s="2">
        <v>0.2</v>
      </c>
      <c r="Z535" s="2">
        <v>4</v>
      </c>
      <c r="AA535" s="2">
        <v>889.55</v>
      </c>
      <c r="AB535">
        <v>1</v>
      </c>
      <c r="AC535">
        <v>2010</v>
      </c>
      <c r="AE535" s="2">
        <v>6.2</v>
      </c>
    </row>
    <row r="536" spans="2:31" ht="14.5">
      <c r="B536" s="2">
        <v>39291</v>
      </c>
      <c r="C536" s="2" t="s">
        <v>1057</v>
      </c>
      <c r="D536" s="2" t="s">
        <v>1058</v>
      </c>
      <c r="E536" s="2" t="s">
        <v>118</v>
      </c>
      <c r="F536" s="2" t="s">
        <v>29</v>
      </c>
      <c r="G536" s="2" t="s">
        <v>50</v>
      </c>
      <c r="H536" s="2" t="s">
        <v>81</v>
      </c>
      <c r="I536" s="2" t="s">
        <v>32</v>
      </c>
      <c r="J536" s="2" t="s">
        <v>82</v>
      </c>
      <c r="K536" s="2" t="s">
        <v>34</v>
      </c>
      <c r="L536" s="3">
        <v>41813</v>
      </c>
      <c r="M536" s="3">
        <v>41905</v>
      </c>
      <c r="N536" s="3">
        <v>41905</v>
      </c>
      <c r="O536" s="3">
        <v>41905</v>
      </c>
      <c r="P536" s="2" t="s">
        <v>83</v>
      </c>
      <c r="Q536" s="2" t="s">
        <v>84</v>
      </c>
      <c r="R536" s="2" t="s">
        <v>85</v>
      </c>
      <c r="S536" s="2" t="s">
        <v>86</v>
      </c>
      <c r="T536" s="2" t="s">
        <v>87</v>
      </c>
      <c r="U536" s="2">
        <v>300</v>
      </c>
      <c r="V536" s="2">
        <v>75</v>
      </c>
      <c r="W536" s="2">
        <v>2311.5</v>
      </c>
      <c r="X536" s="2">
        <v>30.82</v>
      </c>
      <c r="Y536" s="2">
        <v>0.1</v>
      </c>
      <c r="Z536" s="2">
        <v>120</v>
      </c>
      <c r="AA536" s="2">
        <v>1487.76</v>
      </c>
      <c r="AB536">
        <v>1</v>
      </c>
      <c r="AC536">
        <v>2014</v>
      </c>
      <c r="AE536" s="2">
        <v>7.5</v>
      </c>
    </row>
    <row r="537" spans="2:31" ht="14.5">
      <c r="B537" s="2">
        <v>39661</v>
      </c>
      <c r="C537" s="2" t="s">
        <v>1059</v>
      </c>
      <c r="D537" s="2" t="s">
        <v>1060</v>
      </c>
      <c r="E537" s="2" t="s">
        <v>42</v>
      </c>
      <c r="F537" s="2" t="s">
        <v>29</v>
      </c>
      <c r="G537" s="2" t="s">
        <v>30</v>
      </c>
      <c r="H537" s="2" t="s">
        <v>31</v>
      </c>
      <c r="I537" s="2" t="s">
        <v>32</v>
      </c>
      <c r="J537" s="2" t="s">
        <v>33</v>
      </c>
      <c r="K537" s="2" t="s">
        <v>646</v>
      </c>
      <c r="L537" s="3">
        <v>41870</v>
      </c>
      <c r="M537" s="3">
        <v>41955</v>
      </c>
      <c r="N537" s="3">
        <v>41955</v>
      </c>
      <c r="O537" s="3">
        <v>41967</v>
      </c>
      <c r="P537" s="2" t="s">
        <v>706</v>
      </c>
      <c r="Q537" s="2" t="s">
        <v>707</v>
      </c>
      <c r="R537" s="2" t="s">
        <v>37</v>
      </c>
      <c r="S537" s="2" t="s">
        <v>708</v>
      </c>
      <c r="T537" s="2" t="s">
        <v>47</v>
      </c>
      <c r="U537" s="2">
        <v>30</v>
      </c>
      <c r="V537" s="2">
        <v>104000</v>
      </c>
      <c r="W537" s="2">
        <v>483600</v>
      </c>
      <c r="X537" s="2">
        <v>4.6500000000000004</v>
      </c>
      <c r="Y537" s="2">
        <v>0.16</v>
      </c>
      <c r="Z537" s="2">
        <v>9684</v>
      </c>
      <c r="AA537" s="2">
        <v>7898.15</v>
      </c>
      <c r="AB537">
        <v>1</v>
      </c>
      <c r="AC537">
        <v>2014</v>
      </c>
      <c r="AE537" s="2">
        <v>16640</v>
      </c>
    </row>
    <row r="538" spans="2:31" ht="14.5">
      <c r="B538" s="2">
        <v>39799</v>
      </c>
      <c r="C538" s="2" t="s">
        <v>1061</v>
      </c>
      <c r="D538" s="2" t="s">
        <v>1062</v>
      </c>
      <c r="E538" s="2" t="s">
        <v>118</v>
      </c>
      <c r="F538" s="2" t="s">
        <v>29</v>
      </c>
      <c r="G538" s="2" t="s">
        <v>30</v>
      </c>
      <c r="H538" s="2" t="s">
        <v>109</v>
      </c>
      <c r="I538" s="2" t="s">
        <v>32</v>
      </c>
      <c r="J538" s="2" t="s">
        <v>33</v>
      </c>
      <c r="K538" s="2" t="s">
        <v>34</v>
      </c>
      <c r="L538" s="3">
        <v>41486</v>
      </c>
      <c r="M538" s="3">
        <v>41515</v>
      </c>
      <c r="N538" s="3">
        <v>41515</v>
      </c>
      <c r="O538" s="3">
        <v>41515</v>
      </c>
      <c r="P538" s="2" t="s">
        <v>112</v>
      </c>
      <c r="Q538" s="2" t="s">
        <v>113</v>
      </c>
      <c r="R538" s="2" t="s">
        <v>37</v>
      </c>
      <c r="S538" s="2" t="s">
        <v>114</v>
      </c>
      <c r="T538" s="2" t="s">
        <v>47</v>
      </c>
      <c r="U538" s="2">
        <v>60</v>
      </c>
      <c r="V538" s="2">
        <v>50000</v>
      </c>
      <c r="W538" s="2">
        <v>405000</v>
      </c>
      <c r="X538" s="2">
        <v>8.1</v>
      </c>
      <c r="Y538" s="2">
        <v>0.13</v>
      </c>
      <c r="Z538" s="2">
        <v>6918</v>
      </c>
      <c r="AA538" s="2">
        <v>22886.81</v>
      </c>
      <c r="AB538">
        <v>1</v>
      </c>
      <c r="AC538">
        <v>2013</v>
      </c>
      <c r="AE538" s="2">
        <v>6500</v>
      </c>
    </row>
    <row r="539" spans="2:31" ht="14.5">
      <c r="B539" s="2">
        <v>40033</v>
      </c>
      <c r="C539" s="2" t="s">
        <v>1063</v>
      </c>
      <c r="D539" s="2" t="s">
        <v>1064</v>
      </c>
      <c r="E539" s="2" t="s">
        <v>118</v>
      </c>
      <c r="F539" s="2" t="s">
        <v>29</v>
      </c>
      <c r="G539" s="2" t="s">
        <v>50</v>
      </c>
      <c r="H539" s="2" t="s">
        <v>31</v>
      </c>
      <c r="I539" s="2" t="s">
        <v>32</v>
      </c>
      <c r="J539" s="2" t="s">
        <v>33</v>
      </c>
      <c r="K539" s="2" t="s">
        <v>34</v>
      </c>
      <c r="L539" s="3">
        <v>41968</v>
      </c>
      <c r="M539" s="3">
        <v>42102</v>
      </c>
      <c r="N539" s="3">
        <v>42102</v>
      </c>
      <c r="O539" s="3">
        <v>42102</v>
      </c>
      <c r="P539" s="2" t="s">
        <v>924</v>
      </c>
      <c r="Q539" s="2" t="s">
        <v>84</v>
      </c>
      <c r="R539" s="2" t="s">
        <v>37</v>
      </c>
      <c r="S539" s="2" t="s">
        <v>91</v>
      </c>
      <c r="T539" s="2" t="s">
        <v>39</v>
      </c>
      <c r="U539" s="2">
        <v>60</v>
      </c>
      <c r="V539" s="2">
        <v>4250</v>
      </c>
      <c r="W539" s="2">
        <v>34170</v>
      </c>
      <c r="X539" s="2">
        <v>8.0399999999999991</v>
      </c>
      <c r="Y539" s="2">
        <v>0.13</v>
      </c>
      <c r="Z539" s="2">
        <v>424</v>
      </c>
      <c r="AA539" s="2">
        <v>1488.99</v>
      </c>
      <c r="AB539">
        <v>1</v>
      </c>
      <c r="AC539">
        <v>2015</v>
      </c>
      <c r="AE539" s="2">
        <v>552.5</v>
      </c>
    </row>
    <row r="540" spans="2:31" ht="14.5">
      <c r="B540" s="2">
        <v>40214</v>
      </c>
      <c r="C540" s="2" t="s">
        <v>1065</v>
      </c>
      <c r="D540" s="2" t="s">
        <v>1066</v>
      </c>
      <c r="E540" s="2" t="s">
        <v>42</v>
      </c>
      <c r="F540" s="2" t="s">
        <v>29</v>
      </c>
      <c r="G540" s="2" t="s">
        <v>30</v>
      </c>
      <c r="H540" s="2" t="s">
        <v>109</v>
      </c>
      <c r="I540" s="2" t="s">
        <v>32</v>
      </c>
      <c r="J540" s="2" t="s">
        <v>33</v>
      </c>
      <c r="K540" s="2" t="s">
        <v>646</v>
      </c>
      <c r="L540" s="3">
        <v>41775</v>
      </c>
      <c r="M540" s="3">
        <v>41992</v>
      </c>
      <c r="N540" s="3">
        <v>41992</v>
      </c>
      <c r="O540" s="3">
        <v>41992</v>
      </c>
      <c r="P540" s="2" t="s">
        <v>813</v>
      </c>
      <c r="Q540" s="2" t="s">
        <v>814</v>
      </c>
      <c r="R540" s="2" t="s">
        <v>37</v>
      </c>
      <c r="S540" s="2" t="s">
        <v>815</v>
      </c>
      <c r="T540" s="2" t="s">
        <v>39</v>
      </c>
      <c r="U540" s="2">
        <v>30</v>
      </c>
      <c r="V540" s="2">
        <v>28869</v>
      </c>
      <c r="W540" s="2">
        <v>577380</v>
      </c>
      <c r="X540" s="2">
        <v>20</v>
      </c>
      <c r="Y540" s="2">
        <v>0.67</v>
      </c>
      <c r="Z540" s="2">
        <v>3865</v>
      </c>
      <c r="AA540" s="2">
        <v>5678.36</v>
      </c>
      <c r="AB540">
        <v>1</v>
      </c>
      <c r="AC540">
        <v>2014</v>
      </c>
      <c r="AE540" s="2">
        <v>19342.23</v>
      </c>
    </row>
    <row r="541" spans="2:31" ht="14.5">
      <c r="B541" s="2">
        <v>40286</v>
      </c>
      <c r="C541" s="2" t="s">
        <v>1067</v>
      </c>
      <c r="D541" s="2" t="s">
        <v>1068</v>
      </c>
      <c r="E541" s="2" t="s">
        <v>42</v>
      </c>
      <c r="F541" s="2" t="s">
        <v>29</v>
      </c>
      <c r="G541" s="2" t="s">
        <v>50</v>
      </c>
      <c r="H541" s="2" t="s">
        <v>81</v>
      </c>
      <c r="I541" s="2" t="s">
        <v>32</v>
      </c>
      <c r="J541" s="2" t="s">
        <v>82</v>
      </c>
      <c r="K541" s="2" t="s">
        <v>34</v>
      </c>
      <c r="L541" s="3">
        <v>41610</v>
      </c>
      <c r="M541" s="3">
        <v>41661</v>
      </c>
      <c r="N541" s="3">
        <v>41661</v>
      </c>
      <c r="O541" s="3">
        <v>41663</v>
      </c>
      <c r="P541" s="2" t="s">
        <v>90</v>
      </c>
      <c r="Q541" s="2" t="s">
        <v>84</v>
      </c>
      <c r="R541" s="2" t="s">
        <v>37</v>
      </c>
      <c r="S541" s="2" t="s">
        <v>91</v>
      </c>
      <c r="T541" s="2" t="s">
        <v>39</v>
      </c>
      <c r="U541" s="2">
        <v>60</v>
      </c>
      <c r="V541" s="2">
        <v>500</v>
      </c>
      <c r="W541" s="2">
        <v>2970</v>
      </c>
      <c r="X541" s="2">
        <v>5.94</v>
      </c>
      <c r="Y541" s="2">
        <v>0.1</v>
      </c>
      <c r="Z541" s="2">
        <v>65</v>
      </c>
      <c r="AA541" s="2">
        <v>985.26</v>
      </c>
      <c r="AB541">
        <v>1</v>
      </c>
      <c r="AC541">
        <v>2014</v>
      </c>
      <c r="AE541" s="2">
        <v>50</v>
      </c>
    </row>
    <row r="542" spans="2:31" ht="14.5">
      <c r="B542" s="2">
        <v>40479</v>
      </c>
      <c r="C542" s="2" t="s">
        <v>1069</v>
      </c>
      <c r="D542" s="2" t="s">
        <v>1070</v>
      </c>
      <c r="E542" s="2" t="s">
        <v>28</v>
      </c>
      <c r="F542" s="2" t="s">
        <v>29</v>
      </c>
      <c r="G542" s="2" t="s">
        <v>50</v>
      </c>
      <c r="H542" s="2" t="s">
        <v>81</v>
      </c>
      <c r="I542" s="2" t="s">
        <v>32</v>
      </c>
      <c r="J542" s="2" t="s">
        <v>82</v>
      </c>
      <c r="K542" s="2" t="s">
        <v>34</v>
      </c>
      <c r="L542" s="3">
        <v>41775</v>
      </c>
      <c r="M542" s="3">
        <v>41912</v>
      </c>
      <c r="N542" s="3">
        <v>41912</v>
      </c>
      <c r="O542" s="3">
        <v>41919</v>
      </c>
      <c r="P542" s="2" t="s">
        <v>83</v>
      </c>
      <c r="Q542" s="2" t="s">
        <v>84</v>
      </c>
      <c r="R542" s="2" t="s">
        <v>85</v>
      </c>
      <c r="S542" s="2" t="s">
        <v>86</v>
      </c>
      <c r="T542" s="2" t="s">
        <v>87</v>
      </c>
      <c r="U542" s="2">
        <v>300</v>
      </c>
      <c r="V542" s="2">
        <v>304</v>
      </c>
      <c r="W542" s="2">
        <v>9369.2800000000007</v>
      </c>
      <c r="X542" s="2">
        <v>30.82</v>
      </c>
      <c r="Y542" s="2">
        <v>0.1</v>
      </c>
      <c r="Z542" s="2">
        <v>278</v>
      </c>
      <c r="AA542" s="2">
        <v>5656.74</v>
      </c>
      <c r="AB542">
        <v>1</v>
      </c>
      <c r="AC542">
        <v>2014</v>
      </c>
      <c r="AE542" s="2">
        <v>30.400000000000002</v>
      </c>
    </row>
    <row r="543" spans="2:31" ht="14.5">
      <c r="B543" s="2">
        <v>40555</v>
      </c>
      <c r="C543" s="2" t="s">
        <v>1071</v>
      </c>
      <c r="D543" s="2" t="s">
        <v>1072</v>
      </c>
      <c r="E543" s="2" t="s">
        <v>28</v>
      </c>
      <c r="F543" s="2" t="s">
        <v>29</v>
      </c>
      <c r="G543" s="2" t="s">
        <v>30</v>
      </c>
      <c r="H543" s="2" t="s">
        <v>81</v>
      </c>
      <c r="I543" s="2" t="s">
        <v>32</v>
      </c>
      <c r="J543" s="2" t="s">
        <v>82</v>
      </c>
      <c r="K543" s="2" t="s">
        <v>34</v>
      </c>
      <c r="L543" s="3">
        <v>40249</v>
      </c>
      <c r="M543" s="3">
        <v>40340</v>
      </c>
      <c r="N543" s="3">
        <v>40333</v>
      </c>
      <c r="O543" s="3">
        <v>40333</v>
      </c>
      <c r="P543" s="2" t="s">
        <v>150</v>
      </c>
      <c r="Q543" s="2" t="s">
        <v>84</v>
      </c>
      <c r="R543" s="2" t="s">
        <v>151</v>
      </c>
      <c r="S543" s="2" t="s">
        <v>152</v>
      </c>
      <c r="T543" s="2" t="s">
        <v>39</v>
      </c>
      <c r="U543" s="2">
        <v>120</v>
      </c>
      <c r="V543" s="2">
        <v>2855</v>
      </c>
      <c r="W543" s="2">
        <v>103236.8</v>
      </c>
      <c r="X543" s="2">
        <v>36.159999999999997</v>
      </c>
      <c r="Y543" s="2">
        <v>0.3</v>
      </c>
      <c r="AB543">
        <v>1</v>
      </c>
      <c r="AC543">
        <v>2010</v>
      </c>
      <c r="AE543" s="2">
        <v>856.5</v>
      </c>
    </row>
    <row r="544" spans="2:31" ht="14.5">
      <c r="B544" s="2">
        <v>40608</v>
      </c>
      <c r="C544" s="2" t="s">
        <v>1073</v>
      </c>
      <c r="D544" s="2" t="s">
        <v>1074</v>
      </c>
      <c r="E544" s="2" t="s">
        <v>118</v>
      </c>
      <c r="F544" s="2" t="s">
        <v>29</v>
      </c>
      <c r="G544" s="2" t="s">
        <v>30</v>
      </c>
      <c r="H544" s="2" t="s">
        <v>103</v>
      </c>
      <c r="I544" s="2" t="s">
        <v>32</v>
      </c>
      <c r="J544" s="2" t="s">
        <v>33</v>
      </c>
      <c r="K544" s="2" t="s">
        <v>34</v>
      </c>
      <c r="L544" s="3">
        <v>40141</v>
      </c>
      <c r="M544" s="3">
        <v>40197</v>
      </c>
      <c r="N544" s="3">
        <v>40197</v>
      </c>
      <c r="O544" s="3">
        <v>40197</v>
      </c>
      <c r="P544" s="2" t="s">
        <v>864</v>
      </c>
      <c r="Q544" s="2" t="s">
        <v>865</v>
      </c>
      <c r="R544" s="2" t="s">
        <v>866</v>
      </c>
      <c r="S544" s="2" t="s">
        <v>100</v>
      </c>
      <c r="T544" s="2" t="s">
        <v>39</v>
      </c>
      <c r="U544" s="2">
        <v>120</v>
      </c>
      <c r="V544" s="2">
        <v>120</v>
      </c>
      <c r="W544" s="2">
        <v>10800</v>
      </c>
      <c r="X544" s="2">
        <v>90</v>
      </c>
      <c r="Y544" s="2">
        <v>0.75</v>
      </c>
      <c r="Z544" s="2">
        <v>18</v>
      </c>
      <c r="AA544" s="2">
        <v>1190.02</v>
      </c>
      <c r="AB544">
        <v>1</v>
      </c>
      <c r="AC544">
        <v>2010</v>
      </c>
      <c r="AE544" s="2">
        <v>90</v>
      </c>
    </row>
    <row r="545" spans="2:31" ht="14.5">
      <c r="B545" s="2">
        <v>40762</v>
      </c>
      <c r="C545" s="2" t="s">
        <v>1075</v>
      </c>
      <c r="D545" s="2" t="s">
        <v>1076</v>
      </c>
      <c r="E545" s="2" t="s">
        <v>118</v>
      </c>
      <c r="F545" s="2" t="s">
        <v>29</v>
      </c>
      <c r="G545" s="2" t="s">
        <v>30</v>
      </c>
      <c r="H545" s="2" t="s">
        <v>31</v>
      </c>
      <c r="I545" s="2" t="s">
        <v>32</v>
      </c>
      <c r="J545" s="2" t="s">
        <v>33</v>
      </c>
      <c r="K545" s="2" t="s">
        <v>34</v>
      </c>
      <c r="L545" s="3">
        <v>41072</v>
      </c>
      <c r="M545" s="3">
        <v>41108</v>
      </c>
      <c r="N545" s="3">
        <v>41113</v>
      </c>
      <c r="O545" s="3">
        <v>41113</v>
      </c>
      <c r="P545" s="2" t="s">
        <v>759</v>
      </c>
      <c r="Q545" s="2" t="s">
        <v>84</v>
      </c>
      <c r="R545" s="2" t="s">
        <v>37</v>
      </c>
      <c r="S545" s="2" t="s">
        <v>152</v>
      </c>
      <c r="T545" s="2" t="s">
        <v>39</v>
      </c>
      <c r="U545" s="2">
        <v>120</v>
      </c>
      <c r="V545" s="2">
        <v>10679</v>
      </c>
      <c r="W545" s="2">
        <v>272314.5</v>
      </c>
      <c r="X545" s="2">
        <v>25.5</v>
      </c>
      <c r="Y545" s="2">
        <v>0.21</v>
      </c>
      <c r="Z545" s="2">
        <v>2709</v>
      </c>
      <c r="AA545" s="2">
        <v>11409.29</v>
      </c>
      <c r="AB545">
        <v>0</v>
      </c>
      <c r="AC545">
        <v>2012</v>
      </c>
      <c r="AE545" s="2">
        <v>2242.5899999999997</v>
      </c>
    </row>
    <row r="546" spans="2:31" ht="14.5">
      <c r="B546" s="2">
        <v>40812</v>
      </c>
      <c r="C546" s="2" t="s">
        <v>1077</v>
      </c>
      <c r="D546" s="2" t="s">
        <v>1078</v>
      </c>
      <c r="E546" s="2" t="s">
        <v>42</v>
      </c>
      <c r="F546" s="2" t="s">
        <v>29</v>
      </c>
      <c r="G546" s="2" t="s">
        <v>30</v>
      </c>
      <c r="H546" s="2" t="s">
        <v>807</v>
      </c>
      <c r="I546" s="2" t="s">
        <v>32</v>
      </c>
      <c r="J546" s="2" t="s">
        <v>52</v>
      </c>
      <c r="K546" s="2" t="s">
        <v>34</v>
      </c>
      <c r="L546" s="3">
        <v>40009</v>
      </c>
      <c r="M546" s="3">
        <v>40297</v>
      </c>
      <c r="N546" s="3">
        <v>40297</v>
      </c>
      <c r="O546" s="3">
        <v>40297</v>
      </c>
      <c r="P546" s="2" t="s">
        <v>95</v>
      </c>
      <c r="Q546" s="2" t="s">
        <v>96</v>
      </c>
      <c r="R546" s="2" t="s">
        <v>37</v>
      </c>
      <c r="S546" s="2" t="s">
        <v>97</v>
      </c>
      <c r="T546" s="2" t="s">
        <v>39</v>
      </c>
      <c r="U546" s="2">
        <v>30</v>
      </c>
      <c r="V546" s="2">
        <v>54684</v>
      </c>
      <c r="W546" s="2">
        <v>327557.15999999997</v>
      </c>
      <c r="X546" s="2">
        <v>5.99</v>
      </c>
      <c r="Y546" s="2">
        <v>0.2</v>
      </c>
      <c r="Z546" s="2">
        <v>3889</v>
      </c>
      <c r="AA546" s="2">
        <v>31784.09</v>
      </c>
      <c r="AB546">
        <v>1</v>
      </c>
      <c r="AC546">
        <v>2010</v>
      </c>
      <c r="AE546" s="2">
        <v>10936.800000000001</v>
      </c>
    </row>
    <row r="547" spans="2:31" ht="14.5">
      <c r="B547" s="2">
        <v>41045</v>
      </c>
      <c r="C547" s="2" t="s">
        <v>1079</v>
      </c>
      <c r="D547" s="2" t="s">
        <v>1080</v>
      </c>
      <c r="E547" s="2" t="s">
        <v>42</v>
      </c>
      <c r="F547" s="2" t="s">
        <v>29</v>
      </c>
      <c r="G547" s="2" t="s">
        <v>30</v>
      </c>
      <c r="H547" s="2" t="s">
        <v>94</v>
      </c>
      <c r="I547" s="2" t="s">
        <v>32</v>
      </c>
      <c r="J547" s="2" t="s">
        <v>52</v>
      </c>
      <c r="K547" s="2" t="s">
        <v>34</v>
      </c>
      <c r="L547" s="3">
        <v>40010</v>
      </c>
      <c r="M547" s="3">
        <v>40162</v>
      </c>
      <c r="N547" s="3">
        <v>40162</v>
      </c>
      <c r="O547" s="3">
        <v>40162</v>
      </c>
      <c r="P547" s="2" t="s">
        <v>35</v>
      </c>
      <c r="Q547" s="2" t="s">
        <v>36</v>
      </c>
      <c r="R547" s="2" t="s">
        <v>37</v>
      </c>
      <c r="S547" s="2" t="s">
        <v>38</v>
      </c>
      <c r="T547" s="2" t="s">
        <v>39</v>
      </c>
      <c r="U547" s="2">
        <v>60</v>
      </c>
      <c r="V547" s="2">
        <v>34500</v>
      </c>
      <c r="W547" s="2">
        <v>106605</v>
      </c>
      <c r="X547" s="2">
        <v>3.09</v>
      </c>
      <c r="Y547" s="2">
        <v>0.05</v>
      </c>
      <c r="Z547" s="2">
        <v>2044</v>
      </c>
      <c r="AA547" s="2">
        <v>10883.65</v>
      </c>
      <c r="AB547">
        <v>1</v>
      </c>
      <c r="AC547">
        <v>2009</v>
      </c>
      <c r="AE547" s="2">
        <v>1725</v>
      </c>
    </row>
    <row r="548" spans="2:31" ht="14.5">
      <c r="B548" s="2">
        <v>41214</v>
      </c>
      <c r="C548" s="2" t="s">
        <v>1081</v>
      </c>
      <c r="D548" s="2" t="s">
        <v>1082</v>
      </c>
      <c r="E548" s="2" t="s">
        <v>28</v>
      </c>
      <c r="F548" s="2" t="s">
        <v>29</v>
      </c>
      <c r="G548" s="2" t="s">
        <v>30</v>
      </c>
      <c r="H548" s="2" t="s">
        <v>109</v>
      </c>
      <c r="I548" s="2" t="s">
        <v>32</v>
      </c>
      <c r="J548" s="2" t="s">
        <v>33</v>
      </c>
      <c r="K548" s="2" t="s">
        <v>34</v>
      </c>
      <c r="L548" s="3">
        <v>41471</v>
      </c>
      <c r="M548" s="3">
        <v>41551</v>
      </c>
      <c r="N548" s="3">
        <v>41551</v>
      </c>
      <c r="O548" s="3">
        <v>41551</v>
      </c>
      <c r="P548" s="2" t="s">
        <v>749</v>
      </c>
      <c r="Q548" s="2" t="s">
        <v>76</v>
      </c>
      <c r="R548" s="2" t="s">
        <v>37</v>
      </c>
      <c r="S548" s="2" t="s">
        <v>78</v>
      </c>
      <c r="T548" s="2" t="s">
        <v>47</v>
      </c>
      <c r="U548" s="2">
        <v>30</v>
      </c>
      <c r="V548" s="2">
        <v>216755</v>
      </c>
      <c r="W548" s="2">
        <v>2653081.2000000002</v>
      </c>
      <c r="X548" s="2">
        <v>12.24</v>
      </c>
      <c r="Y548" s="2">
        <v>0.41</v>
      </c>
      <c r="Z548" s="2">
        <v>28678</v>
      </c>
      <c r="AA548" s="2">
        <v>118541.26</v>
      </c>
      <c r="AB548">
        <v>1</v>
      </c>
      <c r="AC548">
        <v>2013</v>
      </c>
      <c r="AE548" s="2">
        <v>88869.549999999988</v>
      </c>
    </row>
    <row r="549" spans="2:31" ht="14.5">
      <c r="B549" s="2">
        <v>41723</v>
      </c>
      <c r="C549" s="2" t="s">
        <v>1083</v>
      </c>
      <c r="D549" s="2" t="s">
        <v>1084</v>
      </c>
      <c r="E549" s="2" t="s">
        <v>118</v>
      </c>
      <c r="F549" s="2" t="s">
        <v>29</v>
      </c>
      <c r="G549" s="2" t="s">
        <v>50</v>
      </c>
      <c r="H549" s="2" t="s">
        <v>81</v>
      </c>
      <c r="I549" s="2" t="s">
        <v>32</v>
      </c>
      <c r="J549" s="2" t="s">
        <v>82</v>
      </c>
      <c r="K549" s="2" t="s">
        <v>34</v>
      </c>
      <c r="L549" s="3">
        <v>41719</v>
      </c>
      <c r="M549" s="3">
        <v>41754</v>
      </c>
      <c r="N549" s="3">
        <v>41754</v>
      </c>
      <c r="O549" s="3">
        <v>41757</v>
      </c>
      <c r="P549" s="2" t="s">
        <v>90</v>
      </c>
      <c r="Q549" s="2" t="s">
        <v>84</v>
      </c>
      <c r="R549" s="2" t="s">
        <v>37</v>
      </c>
      <c r="S549" s="2" t="s">
        <v>91</v>
      </c>
      <c r="T549" s="2" t="s">
        <v>39</v>
      </c>
      <c r="U549" s="2">
        <v>60</v>
      </c>
      <c r="V549" s="2">
        <v>1000</v>
      </c>
      <c r="W549" s="2">
        <v>5940</v>
      </c>
      <c r="X549" s="2">
        <v>5.94</v>
      </c>
      <c r="Y549" s="2">
        <v>0.1</v>
      </c>
      <c r="Z549" s="2">
        <v>116</v>
      </c>
      <c r="AA549" s="2">
        <v>1105.5999999999999</v>
      </c>
      <c r="AB549">
        <v>1</v>
      </c>
      <c r="AC549">
        <v>2014</v>
      </c>
      <c r="AE549" s="2">
        <v>100</v>
      </c>
    </row>
    <row r="550" spans="2:31" ht="14.5">
      <c r="B550" s="2">
        <v>41838</v>
      </c>
      <c r="C550" s="2" t="s">
        <v>1085</v>
      </c>
      <c r="D550" s="2" t="s">
        <v>1086</v>
      </c>
      <c r="E550" s="2" t="s">
        <v>118</v>
      </c>
      <c r="F550" s="2" t="s">
        <v>29</v>
      </c>
      <c r="G550" s="2" t="s">
        <v>30</v>
      </c>
      <c r="H550" s="2" t="s">
        <v>94</v>
      </c>
      <c r="I550" s="2" t="s">
        <v>32</v>
      </c>
      <c r="J550" s="2" t="s">
        <v>33</v>
      </c>
      <c r="K550" s="2" t="s">
        <v>34</v>
      </c>
      <c r="L550" s="3">
        <v>41072</v>
      </c>
      <c r="M550" s="3">
        <v>41117</v>
      </c>
      <c r="N550" s="3">
        <v>41117</v>
      </c>
      <c r="O550" s="3">
        <v>41117</v>
      </c>
      <c r="P550" s="2" t="s">
        <v>35</v>
      </c>
      <c r="Q550" s="2" t="s">
        <v>36</v>
      </c>
      <c r="R550" s="2" t="s">
        <v>37</v>
      </c>
      <c r="S550" s="2" t="s">
        <v>38</v>
      </c>
      <c r="T550" s="2" t="s">
        <v>39</v>
      </c>
      <c r="U550" s="2">
        <v>60</v>
      </c>
      <c r="V550" s="2">
        <v>61290</v>
      </c>
      <c r="W550" s="2">
        <v>143418.6</v>
      </c>
      <c r="X550" s="2">
        <v>2.34</v>
      </c>
      <c r="Y550" s="2">
        <v>0.04</v>
      </c>
      <c r="Z550" s="2">
        <v>3528</v>
      </c>
      <c r="AA550" s="2">
        <v>16938.13</v>
      </c>
      <c r="AB550">
        <v>1</v>
      </c>
      <c r="AC550">
        <v>2012</v>
      </c>
      <c r="AE550" s="2">
        <v>2451.6</v>
      </c>
    </row>
    <row r="551" spans="2:31" ht="14.5">
      <c r="B551" s="2">
        <v>41905</v>
      </c>
      <c r="C551" s="2" t="s">
        <v>1087</v>
      </c>
      <c r="D551" s="2" t="s">
        <v>1088</v>
      </c>
      <c r="E551" s="2" t="s">
        <v>118</v>
      </c>
      <c r="F551" s="2" t="s">
        <v>29</v>
      </c>
      <c r="G551" s="2" t="s">
        <v>50</v>
      </c>
      <c r="H551" s="2" t="s">
        <v>31</v>
      </c>
      <c r="I551" s="2" t="s">
        <v>32</v>
      </c>
      <c r="J551" s="2" t="s">
        <v>33</v>
      </c>
      <c r="K551" s="2" t="s">
        <v>34</v>
      </c>
      <c r="L551" s="3">
        <v>41968</v>
      </c>
      <c r="M551" s="3">
        <v>42102</v>
      </c>
      <c r="N551" s="3">
        <v>42102</v>
      </c>
      <c r="O551" s="3">
        <v>42102</v>
      </c>
      <c r="P551" s="2" t="s">
        <v>924</v>
      </c>
      <c r="Q551" s="2" t="s">
        <v>84</v>
      </c>
      <c r="R551" s="2" t="s">
        <v>37</v>
      </c>
      <c r="S551" s="2" t="s">
        <v>91</v>
      </c>
      <c r="T551" s="2" t="s">
        <v>39</v>
      </c>
      <c r="U551" s="2">
        <v>60</v>
      </c>
      <c r="V551" s="2">
        <v>2335</v>
      </c>
      <c r="W551" s="2">
        <v>18773.400000000001</v>
      </c>
      <c r="X551" s="2">
        <v>8.0399999999999991</v>
      </c>
      <c r="Y551" s="2">
        <v>0.13</v>
      </c>
      <c r="Z551" s="2">
        <v>237</v>
      </c>
      <c r="AA551" s="2">
        <v>1488.99</v>
      </c>
      <c r="AB551">
        <v>1</v>
      </c>
      <c r="AC551">
        <v>2015</v>
      </c>
      <c r="AE551" s="2">
        <v>303.55</v>
      </c>
    </row>
    <row r="552" spans="2:31" ht="14.5">
      <c r="B552" s="2">
        <v>42159</v>
      </c>
      <c r="C552" s="2" t="s">
        <v>1089</v>
      </c>
      <c r="D552" s="2" t="s">
        <v>1090</v>
      </c>
      <c r="E552" s="2" t="s">
        <v>118</v>
      </c>
      <c r="F552" s="2" t="s">
        <v>29</v>
      </c>
      <c r="G552" s="2" t="s">
        <v>30</v>
      </c>
      <c r="H552" s="2" t="s">
        <v>74</v>
      </c>
      <c r="I552" s="2" t="s">
        <v>32</v>
      </c>
      <c r="J552" s="2" t="s">
        <v>52</v>
      </c>
      <c r="K552" s="2" t="s">
        <v>34</v>
      </c>
      <c r="L552" s="3">
        <v>41674</v>
      </c>
      <c r="M552" s="3">
        <v>41850</v>
      </c>
      <c r="N552" s="3">
        <v>41850</v>
      </c>
      <c r="O552" s="3">
        <v>41857</v>
      </c>
      <c r="P552" s="2" t="s">
        <v>833</v>
      </c>
      <c r="Q552" s="2" t="s">
        <v>834</v>
      </c>
      <c r="R552" s="2" t="s">
        <v>835</v>
      </c>
      <c r="S552" s="2" t="s">
        <v>70</v>
      </c>
      <c r="T552" s="2" t="s">
        <v>39</v>
      </c>
      <c r="U552" s="2">
        <v>60</v>
      </c>
      <c r="V552" s="2">
        <v>1300</v>
      </c>
      <c r="W552" s="2">
        <v>72150</v>
      </c>
      <c r="X552" s="2">
        <v>55.5</v>
      </c>
      <c r="Y552" s="2">
        <v>0.92</v>
      </c>
      <c r="AB552">
        <v>1</v>
      </c>
      <c r="AC552">
        <v>2014</v>
      </c>
      <c r="AE552" s="2">
        <v>1196</v>
      </c>
    </row>
    <row r="553" spans="2:31" ht="14.5">
      <c r="B553" s="2">
        <v>42499</v>
      </c>
      <c r="C553" s="2" t="s">
        <v>1091</v>
      </c>
      <c r="D553" s="2" t="s">
        <v>1092</v>
      </c>
      <c r="E553" s="2" t="s">
        <v>42</v>
      </c>
      <c r="F553" s="2" t="s">
        <v>29</v>
      </c>
      <c r="G553" s="2" t="s">
        <v>30</v>
      </c>
      <c r="H553" s="2" t="s">
        <v>94</v>
      </c>
      <c r="I553" s="2" t="s">
        <v>32</v>
      </c>
      <c r="J553" s="2" t="s">
        <v>52</v>
      </c>
      <c r="K553" s="2" t="s">
        <v>34</v>
      </c>
      <c r="L553" s="3">
        <v>40043</v>
      </c>
      <c r="M553" s="3">
        <v>40342</v>
      </c>
      <c r="N553" s="3">
        <v>40342</v>
      </c>
      <c r="O553" s="3">
        <v>40342</v>
      </c>
      <c r="P553" s="2" t="s">
        <v>164</v>
      </c>
      <c r="Q553" s="2" t="s">
        <v>165</v>
      </c>
      <c r="R553" s="2" t="s">
        <v>37</v>
      </c>
      <c r="S553" s="2" t="s">
        <v>166</v>
      </c>
      <c r="T553" s="2" t="s">
        <v>39</v>
      </c>
      <c r="U553" s="2">
        <v>60</v>
      </c>
      <c r="V553" s="2">
        <v>15030</v>
      </c>
      <c r="W553" s="2">
        <v>38927.699999999997</v>
      </c>
      <c r="X553" s="2">
        <v>2.59</v>
      </c>
      <c r="Y553" s="2">
        <v>0.04</v>
      </c>
      <c r="Z553" s="2">
        <v>933</v>
      </c>
      <c r="AA553" s="2">
        <v>3847.96</v>
      </c>
      <c r="AB553">
        <v>1</v>
      </c>
      <c r="AC553">
        <v>2010</v>
      </c>
      <c r="AE553" s="2">
        <v>601.20000000000005</v>
      </c>
    </row>
    <row r="554" spans="2:31" ht="14.5">
      <c r="B554" s="2">
        <v>42506</v>
      </c>
      <c r="C554" s="2" t="s">
        <v>1093</v>
      </c>
      <c r="D554" s="2" t="s">
        <v>1094</v>
      </c>
      <c r="E554" s="2" t="s">
        <v>118</v>
      </c>
      <c r="F554" s="2" t="s">
        <v>29</v>
      </c>
      <c r="G554" s="2" t="s">
        <v>30</v>
      </c>
      <c r="H554" s="2" t="s">
        <v>94</v>
      </c>
      <c r="I554" s="2" t="s">
        <v>32</v>
      </c>
      <c r="J554" s="2" t="s">
        <v>33</v>
      </c>
      <c r="K554" s="2" t="s">
        <v>34</v>
      </c>
      <c r="L554" s="3">
        <v>41072</v>
      </c>
      <c r="M554" s="3">
        <v>41124</v>
      </c>
      <c r="N554" s="3">
        <v>41124</v>
      </c>
      <c r="O554" s="3">
        <v>41124</v>
      </c>
      <c r="P554" s="2" t="s">
        <v>706</v>
      </c>
      <c r="Q554" s="2" t="s">
        <v>707</v>
      </c>
      <c r="R554" s="2" t="s">
        <v>37</v>
      </c>
      <c r="S554" s="2" t="s">
        <v>708</v>
      </c>
      <c r="T554" s="2" t="s">
        <v>47</v>
      </c>
      <c r="U554" s="2">
        <v>30</v>
      </c>
      <c r="V554" s="2">
        <v>66960</v>
      </c>
      <c r="W554" s="2">
        <v>320738.40000000002</v>
      </c>
      <c r="X554" s="2">
        <v>4.79</v>
      </c>
      <c r="Y554" s="2">
        <v>0.16</v>
      </c>
      <c r="Z554" s="2">
        <v>7549</v>
      </c>
      <c r="AA554" s="2">
        <v>26095.99</v>
      </c>
      <c r="AB554">
        <v>1</v>
      </c>
      <c r="AC554">
        <v>2012</v>
      </c>
      <c r="AE554" s="2">
        <v>10713.6</v>
      </c>
    </row>
    <row r="555" spans="2:31" ht="14.5">
      <c r="B555" s="2">
        <v>42848</v>
      </c>
      <c r="C555" s="2" t="s">
        <v>1095</v>
      </c>
      <c r="D555" s="2" t="s">
        <v>1096</v>
      </c>
      <c r="E555" s="2" t="s">
        <v>28</v>
      </c>
      <c r="F555" s="2" t="s">
        <v>29</v>
      </c>
      <c r="G555" s="2" t="s">
        <v>50</v>
      </c>
      <c r="H555" s="2" t="s">
        <v>81</v>
      </c>
      <c r="I555" s="2" t="s">
        <v>32</v>
      </c>
      <c r="J555" s="2" t="s">
        <v>82</v>
      </c>
      <c r="K555" s="2" t="s">
        <v>34</v>
      </c>
      <c r="L555" s="3">
        <v>40795</v>
      </c>
      <c r="M555" s="3">
        <v>40927</v>
      </c>
      <c r="N555" s="3">
        <v>40927</v>
      </c>
      <c r="O555" s="3">
        <v>40927</v>
      </c>
      <c r="P555" s="2" t="s">
        <v>90</v>
      </c>
      <c r="Q555" s="2" t="s">
        <v>84</v>
      </c>
      <c r="R555" s="2" t="s">
        <v>37</v>
      </c>
      <c r="S555" s="2" t="s">
        <v>91</v>
      </c>
      <c r="T555" s="2" t="s">
        <v>39</v>
      </c>
      <c r="U555" s="2">
        <v>60</v>
      </c>
      <c r="V555" s="2">
        <v>405</v>
      </c>
      <c r="W555" s="2">
        <v>3122.55</v>
      </c>
      <c r="X555" s="2">
        <v>7.71</v>
      </c>
      <c r="Y555" s="2">
        <v>0.13</v>
      </c>
      <c r="Z555" s="2">
        <v>75</v>
      </c>
      <c r="AA555" s="2">
        <v>1262.3599999999999</v>
      </c>
      <c r="AB555">
        <v>1</v>
      </c>
      <c r="AC555">
        <v>2012</v>
      </c>
      <c r="AE555" s="2">
        <v>52.65</v>
      </c>
    </row>
    <row r="556" spans="2:31" ht="14.5">
      <c r="B556" s="2">
        <v>42858</v>
      </c>
      <c r="C556" s="2" t="s">
        <v>875</v>
      </c>
      <c r="D556" s="2" t="s">
        <v>876</v>
      </c>
      <c r="E556" s="2" t="s">
        <v>42</v>
      </c>
      <c r="F556" s="2" t="s">
        <v>29</v>
      </c>
      <c r="G556" s="2" t="s">
        <v>30</v>
      </c>
      <c r="H556" s="2" t="s">
        <v>31</v>
      </c>
      <c r="I556" s="2" t="s">
        <v>32</v>
      </c>
      <c r="J556" s="2" t="s">
        <v>52</v>
      </c>
      <c r="K556" s="2" t="s">
        <v>34</v>
      </c>
      <c r="L556" s="3">
        <v>40001</v>
      </c>
      <c r="M556" s="3">
        <v>40283</v>
      </c>
      <c r="N556" s="3">
        <v>40283</v>
      </c>
      <c r="O556" s="3">
        <v>40283</v>
      </c>
      <c r="P556" s="2" t="s">
        <v>98</v>
      </c>
      <c r="Q556" s="2" t="s">
        <v>99</v>
      </c>
      <c r="R556" s="2" t="s">
        <v>37</v>
      </c>
      <c r="S556" s="2" t="s">
        <v>100</v>
      </c>
      <c r="T556" s="2" t="s">
        <v>39</v>
      </c>
      <c r="U556" s="2">
        <v>60</v>
      </c>
      <c r="V556" s="2">
        <v>12730</v>
      </c>
      <c r="W556" s="2">
        <v>246070.9</v>
      </c>
      <c r="X556" s="2">
        <v>19.329999999999998</v>
      </c>
      <c r="Y556" s="2">
        <v>0.32</v>
      </c>
      <c r="AB556">
        <v>1</v>
      </c>
      <c r="AC556">
        <v>2010</v>
      </c>
      <c r="AE556" s="2">
        <v>4073.6</v>
      </c>
    </row>
    <row r="557" spans="2:31" ht="14.5">
      <c r="B557" s="2">
        <v>43140</v>
      </c>
      <c r="C557" s="2" t="s">
        <v>1097</v>
      </c>
      <c r="D557" s="2" t="s">
        <v>1098</v>
      </c>
      <c r="E557" s="2" t="s">
        <v>28</v>
      </c>
      <c r="F557" s="2" t="s">
        <v>29</v>
      </c>
      <c r="G557" s="2" t="s">
        <v>30</v>
      </c>
      <c r="H557" s="2" t="s">
        <v>94</v>
      </c>
      <c r="I557" s="2" t="s">
        <v>32</v>
      </c>
      <c r="J557" s="2" t="s">
        <v>33</v>
      </c>
      <c r="K557" s="2" t="s">
        <v>34</v>
      </c>
      <c r="L557" s="3">
        <v>41635</v>
      </c>
      <c r="M557" s="3">
        <v>41778</v>
      </c>
      <c r="N557" s="3">
        <v>41778</v>
      </c>
      <c r="O557" s="3">
        <v>41778</v>
      </c>
      <c r="P557" s="2" t="s">
        <v>35</v>
      </c>
      <c r="Q557" s="2" t="s">
        <v>36</v>
      </c>
      <c r="R557" s="2" t="s">
        <v>37</v>
      </c>
      <c r="S557" s="2" t="s">
        <v>38</v>
      </c>
      <c r="T557" s="2" t="s">
        <v>39</v>
      </c>
      <c r="U557" s="2">
        <v>60</v>
      </c>
      <c r="V557" s="2">
        <v>96200</v>
      </c>
      <c r="W557" s="2">
        <v>209716</v>
      </c>
      <c r="X557" s="2">
        <v>2.1800000000000002</v>
      </c>
      <c r="Y557" s="2">
        <v>0.04</v>
      </c>
      <c r="Z557" s="2">
        <v>6320</v>
      </c>
      <c r="AA557" s="2">
        <v>33343.629999999997</v>
      </c>
      <c r="AB557">
        <v>1</v>
      </c>
      <c r="AC557">
        <v>2014</v>
      </c>
      <c r="AE557" s="2">
        <v>3848</v>
      </c>
    </row>
    <row r="558" spans="2:31" ht="14.5">
      <c r="B558" s="2">
        <v>43383</v>
      </c>
      <c r="C558" s="2" t="s">
        <v>1099</v>
      </c>
      <c r="D558" s="2" t="s">
        <v>1100</v>
      </c>
      <c r="E558" s="2" t="s">
        <v>118</v>
      </c>
      <c r="F558" s="2" t="s">
        <v>29</v>
      </c>
      <c r="G558" s="2" t="s">
        <v>30</v>
      </c>
      <c r="H558" s="2" t="s">
        <v>31</v>
      </c>
      <c r="I558" s="2" t="s">
        <v>32</v>
      </c>
      <c r="J558" s="2" t="s">
        <v>33</v>
      </c>
      <c r="K558" s="2" t="s">
        <v>34</v>
      </c>
      <c r="L558" s="3">
        <v>40255</v>
      </c>
      <c r="M558" s="3">
        <v>40296</v>
      </c>
      <c r="N558" s="3">
        <v>40296</v>
      </c>
      <c r="O558" s="3">
        <v>40296</v>
      </c>
      <c r="P558" s="2" t="s">
        <v>772</v>
      </c>
      <c r="Q558" s="2" t="s">
        <v>54</v>
      </c>
      <c r="R558" s="2" t="s">
        <v>37</v>
      </c>
      <c r="S558" s="2" t="s">
        <v>120</v>
      </c>
      <c r="T558" s="2" t="s">
        <v>773</v>
      </c>
      <c r="U558" s="2">
        <v>30</v>
      </c>
      <c r="V558" s="2">
        <v>60</v>
      </c>
      <c r="W558" s="2">
        <v>780</v>
      </c>
      <c r="X558" s="2">
        <v>13</v>
      </c>
      <c r="Y558" s="2">
        <v>0.43</v>
      </c>
      <c r="Z558" s="2">
        <v>4</v>
      </c>
      <c r="AA558" s="2">
        <v>1045.04</v>
      </c>
      <c r="AB558">
        <v>1</v>
      </c>
      <c r="AC558">
        <v>2010</v>
      </c>
      <c r="AE558" s="2">
        <v>25.8</v>
      </c>
    </row>
    <row r="559" spans="2:31" ht="14.5">
      <c r="B559" s="2">
        <v>43812</v>
      </c>
      <c r="C559" s="2" t="s">
        <v>1101</v>
      </c>
      <c r="D559" s="2" t="s">
        <v>1102</v>
      </c>
      <c r="E559" s="2" t="s">
        <v>42</v>
      </c>
      <c r="F559" s="2" t="s">
        <v>29</v>
      </c>
      <c r="G559" s="2" t="s">
        <v>30</v>
      </c>
      <c r="H559" s="2" t="s">
        <v>31</v>
      </c>
      <c r="I559" s="2" t="s">
        <v>32</v>
      </c>
      <c r="J559" s="2" t="s">
        <v>52</v>
      </c>
      <c r="K559" s="2" t="s">
        <v>34</v>
      </c>
      <c r="L559" s="3">
        <v>40011</v>
      </c>
      <c r="M559" s="3">
        <v>40281</v>
      </c>
      <c r="N559" s="3">
        <v>40281</v>
      </c>
      <c r="O559" s="3">
        <v>40281</v>
      </c>
      <c r="P559" s="2" t="s">
        <v>98</v>
      </c>
      <c r="Q559" s="2" t="s">
        <v>99</v>
      </c>
      <c r="R559" s="2" t="s">
        <v>37</v>
      </c>
      <c r="S559" s="2" t="s">
        <v>100</v>
      </c>
      <c r="T559" s="2" t="s">
        <v>39</v>
      </c>
      <c r="U559" s="2">
        <v>60</v>
      </c>
      <c r="V559" s="2">
        <v>10620</v>
      </c>
      <c r="W559" s="2">
        <v>205284.6</v>
      </c>
      <c r="X559" s="2">
        <v>19.329999999999998</v>
      </c>
      <c r="Y559" s="2">
        <v>0.32</v>
      </c>
      <c r="Z559" s="2">
        <v>1050</v>
      </c>
      <c r="AA559" s="2">
        <v>18475.61</v>
      </c>
      <c r="AB559">
        <v>1</v>
      </c>
      <c r="AC559">
        <v>2010</v>
      </c>
      <c r="AE559" s="2">
        <v>3398.4</v>
      </c>
    </row>
    <row r="560" spans="2:31" ht="14.5">
      <c r="B560" s="2">
        <v>43929</v>
      </c>
      <c r="C560" s="2" t="s">
        <v>1103</v>
      </c>
      <c r="D560" s="2" t="s">
        <v>1104</v>
      </c>
      <c r="E560" s="2" t="s">
        <v>118</v>
      </c>
      <c r="F560" s="2" t="s">
        <v>29</v>
      </c>
      <c r="G560" s="2" t="s">
        <v>30</v>
      </c>
      <c r="H560" s="2" t="s">
        <v>157</v>
      </c>
      <c r="I560" s="2" t="s">
        <v>32</v>
      </c>
      <c r="J560" s="2" t="s">
        <v>82</v>
      </c>
      <c r="K560" s="2" t="s">
        <v>34</v>
      </c>
      <c r="L560" s="3">
        <v>40837</v>
      </c>
      <c r="M560" s="3">
        <v>40922</v>
      </c>
      <c r="N560" s="3">
        <v>40922</v>
      </c>
      <c r="O560" s="3">
        <v>40922</v>
      </c>
      <c r="P560" s="2" t="s">
        <v>1105</v>
      </c>
      <c r="Q560" s="2" t="s">
        <v>159</v>
      </c>
      <c r="R560" s="2" t="s">
        <v>160</v>
      </c>
      <c r="S560" s="2" t="s">
        <v>1106</v>
      </c>
      <c r="T560" s="2" t="s">
        <v>39</v>
      </c>
      <c r="U560" s="2">
        <v>120</v>
      </c>
      <c r="V560" s="2">
        <v>98</v>
      </c>
      <c r="W560" s="2">
        <v>12362.16</v>
      </c>
      <c r="X560" s="2">
        <v>126.14</v>
      </c>
      <c r="Y560" s="2">
        <v>1.05</v>
      </c>
      <c r="Z560" s="2">
        <v>18</v>
      </c>
      <c r="AA560" s="2">
        <v>586.16</v>
      </c>
      <c r="AB560">
        <v>1</v>
      </c>
      <c r="AC560">
        <v>2012</v>
      </c>
      <c r="AE560" s="2">
        <v>102.9</v>
      </c>
    </row>
    <row r="561" spans="2:31" ht="14.5">
      <c r="B561" s="2">
        <v>43970</v>
      </c>
      <c r="C561" s="2" t="s">
        <v>1107</v>
      </c>
      <c r="D561" s="2" t="s">
        <v>1108</v>
      </c>
      <c r="E561" s="2" t="s">
        <v>28</v>
      </c>
      <c r="F561" s="2" t="s">
        <v>29</v>
      </c>
      <c r="G561" s="2" t="s">
        <v>30</v>
      </c>
      <c r="H561" s="2" t="s">
        <v>109</v>
      </c>
      <c r="I561" s="2" t="s">
        <v>32</v>
      </c>
      <c r="J561" s="2" t="s">
        <v>33</v>
      </c>
      <c r="K561" s="2" t="s">
        <v>646</v>
      </c>
      <c r="L561" s="3">
        <v>40415</v>
      </c>
      <c r="M561" s="3">
        <v>40541</v>
      </c>
      <c r="N561" s="3">
        <v>40541</v>
      </c>
      <c r="O561" s="3">
        <v>40541</v>
      </c>
      <c r="P561" s="2" t="s">
        <v>749</v>
      </c>
      <c r="Q561" s="2" t="s">
        <v>76</v>
      </c>
      <c r="R561" s="2" t="s">
        <v>37</v>
      </c>
      <c r="S561" s="2" t="s">
        <v>78</v>
      </c>
      <c r="T561" s="2" t="s">
        <v>47</v>
      </c>
      <c r="U561" s="2">
        <v>30</v>
      </c>
      <c r="V561" s="2">
        <v>53149</v>
      </c>
      <c r="W561" s="2">
        <v>1057665.1000000001</v>
      </c>
      <c r="X561" s="2">
        <v>19.899999999999999</v>
      </c>
      <c r="Y561" s="2">
        <v>0.66</v>
      </c>
      <c r="Z561" s="2">
        <v>5803</v>
      </c>
      <c r="AA561" s="2">
        <v>27478.63</v>
      </c>
      <c r="AB561">
        <v>1</v>
      </c>
      <c r="AC561">
        <v>2010</v>
      </c>
      <c r="AE561" s="2">
        <v>35078.340000000004</v>
      </c>
    </row>
    <row r="562" spans="2:31" ht="14.5">
      <c r="B562" s="2">
        <v>43989</v>
      </c>
      <c r="C562" s="2" t="s">
        <v>1109</v>
      </c>
      <c r="D562" s="2" t="s">
        <v>1110</v>
      </c>
      <c r="E562" s="2" t="s">
        <v>28</v>
      </c>
      <c r="F562" s="2" t="s">
        <v>29</v>
      </c>
      <c r="G562" s="2" t="s">
        <v>30</v>
      </c>
      <c r="H562" s="2" t="s">
        <v>51</v>
      </c>
      <c r="I562" s="2" t="s">
        <v>32</v>
      </c>
      <c r="J562" s="2" t="s">
        <v>52</v>
      </c>
      <c r="K562" s="2" t="s">
        <v>34</v>
      </c>
      <c r="L562" s="3">
        <v>39993</v>
      </c>
      <c r="M562" s="3">
        <v>40036</v>
      </c>
      <c r="N562" s="3">
        <v>40036</v>
      </c>
      <c r="O562" s="3">
        <v>40036</v>
      </c>
      <c r="P562" s="2" t="s">
        <v>67</v>
      </c>
      <c r="Q562" s="2" t="s">
        <v>68</v>
      </c>
      <c r="R562" s="2" t="s">
        <v>69</v>
      </c>
      <c r="S562" s="2" t="s">
        <v>70</v>
      </c>
      <c r="T562" s="2" t="s">
        <v>71</v>
      </c>
      <c r="U562" s="2">
        <v>30</v>
      </c>
      <c r="V562" s="2">
        <v>3000</v>
      </c>
      <c r="W562" s="2">
        <v>71010</v>
      </c>
      <c r="X562" s="2">
        <v>23.67</v>
      </c>
      <c r="Y562" s="2">
        <v>0.79</v>
      </c>
      <c r="Z562" s="2">
        <v>363</v>
      </c>
      <c r="AA562" s="2">
        <v>777</v>
      </c>
      <c r="AB562">
        <v>1</v>
      </c>
      <c r="AC562">
        <v>2009</v>
      </c>
      <c r="AE562" s="2">
        <v>2370</v>
      </c>
    </row>
    <row r="563" spans="2:31" ht="14.5">
      <c r="B563" s="2">
        <v>44045</v>
      </c>
      <c r="C563" s="2" t="s">
        <v>1111</v>
      </c>
      <c r="D563" s="2" t="s">
        <v>1112</v>
      </c>
      <c r="E563" s="2" t="s">
        <v>118</v>
      </c>
      <c r="F563" s="2" t="s">
        <v>29</v>
      </c>
      <c r="G563" s="2" t="s">
        <v>50</v>
      </c>
      <c r="H563" s="2" t="s">
        <v>807</v>
      </c>
      <c r="I563" s="2" t="s">
        <v>32</v>
      </c>
      <c r="J563" s="2" t="s">
        <v>33</v>
      </c>
      <c r="K563" s="2" t="s">
        <v>34</v>
      </c>
      <c r="L563" s="3">
        <v>40070</v>
      </c>
      <c r="M563" s="3">
        <v>40128</v>
      </c>
      <c r="N563" s="3">
        <v>40128</v>
      </c>
      <c r="O563" s="3">
        <v>40128</v>
      </c>
      <c r="P563" s="2" t="s">
        <v>808</v>
      </c>
      <c r="Q563" s="2" t="s">
        <v>745</v>
      </c>
      <c r="R563" s="2" t="s">
        <v>37</v>
      </c>
      <c r="S563" s="2" t="s">
        <v>166</v>
      </c>
      <c r="T563" s="2" t="s">
        <v>64</v>
      </c>
      <c r="U563" s="2">
        <v>60</v>
      </c>
      <c r="V563" s="2">
        <v>46</v>
      </c>
      <c r="W563" s="2">
        <v>1200.1400000000001</v>
      </c>
      <c r="X563" s="2">
        <v>26.09</v>
      </c>
      <c r="Y563" s="2">
        <v>0.43</v>
      </c>
      <c r="Z563" s="2">
        <v>3</v>
      </c>
      <c r="AA563" s="2">
        <v>986.79</v>
      </c>
      <c r="AB563">
        <v>1</v>
      </c>
      <c r="AC563">
        <v>2009</v>
      </c>
      <c r="AE563" s="2">
        <v>19.78</v>
      </c>
    </row>
    <row r="564" spans="2:31" ht="14.5">
      <c r="B564" s="2">
        <v>44209</v>
      </c>
      <c r="C564" s="2" t="s">
        <v>1113</v>
      </c>
      <c r="D564" s="2" t="s">
        <v>1114</v>
      </c>
      <c r="E564" s="2" t="s">
        <v>28</v>
      </c>
      <c r="F564" s="2" t="s">
        <v>29</v>
      </c>
      <c r="G564" s="2" t="s">
        <v>30</v>
      </c>
      <c r="H564" s="2" t="s">
        <v>31</v>
      </c>
      <c r="I564" s="2" t="s">
        <v>32</v>
      </c>
      <c r="J564" s="2" t="s">
        <v>33</v>
      </c>
      <c r="K564" s="2" t="s">
        <v>34</v>
      </c>
      <c r="L564" s="3">
        <v>41647</v>
      </c>
      <c r="M564" s="3">
        <v>41740</v>
      </c>
      <c r="N564" s="3">
        <v>41740</v>
      </c>
      <c r="O564" s="3">
        <v>41740</v>
      </c>
      <c r="P564" s="2" t="s">
        <v>333</v>
      </c>
      <c r="Q564" s="2" t="s">
        <v>225</v>
      </c>
      <c r="R564" s="2" t="s">
        <v>37</v>
      </c>
      <c r="S564" s="2" t="s">
        <v>100</v>
      </c>
      <c r="T564" s="2" t="s">
        <v>39</v>
      </c>
      <c r="U564" s="2">
        <v>60</v>
      </c>
      <c r="V564" s="2">
        <v>31528</v>
      </c>
      <c r="W564" s="2">
        <v>171197.04</v>
      </c>
      <c r="X564" s="2">
        <v>5.43</v>
      </c>
      <c r="Y564" s="2">
        <v>0.09</v>
      </c>
      <c r="Z564" s="2">
        <v>1899</v>
      </c>
      <c r="AA564" s="2">
        <v>10879.44</v>
      </c>
      <c r="AB564">
        <v>1</v>
      </c>
      <c r="AC564">
        <v>2014</v>
      </c>
      <c r="AE564" s="2">
        <v>2837.52</v>
      </c>
    </row>
    <row r="565" spans="2:31" ht="14.5">
      <c r="B565" s="2">
        <v>44265</v>
      </c>
      <c r="C565" s="2" t="s">
        <v>1115</v>
      </c>
      <c r="D565" s="2" t="s">
        <v>1116</v>
      </c>
      <c r="E565" s="2" t="s">
        <v>42</v>
      </c>
      <c r="F565" s="2" t="s">
        <v>29</v>
      </c>
      <c r="G565" s="2" t="s">
        <v>30</v>
      </c>
      <c r="H565" s="2" t="s">
        <v>31</v>
      </c>
      <c r="I565" s="2" t="s">
        <v>32</v>
      </c>
      <c r="J565" s="2" t="s">
        <v>52</v>
      </c>
      <c r="K565" s="2" t="s">
        <v>34</v>
      </c>
      <c r="L565" s="3">
        <v>40001</v>
      </c>
      <c r="M565" s="3">
        <v>40582</v>
      </c>
      <c r="N565" s="3">
        <v>40582</v>
      </c>
      <c r="O565" s="3">
        <v>40582</v>
      </c>
      <c r="P565" s="2" t="s">
        <v>780</v>
      </c>
      <c r="Q565" s="2" t="s">
        <v>54</v>
      </c>
      <c r="R565" s="2" t="s">
        <v>37</v>
      </c>
      <c r="S565" s="2" t="s">
        <v>70</v>
      </c>
      <c r="T565" s="2" t="s">
        <v>773</v>
      </c>
      <c r="U565" s="2">
        <v>30</v>
      </c>
      <c r="V565" s="2">
        <v>276</v>
      </c>
      <c r="W565" s="2">
        <v>6187.92</v>
      </c>
      <c r="X565" s="2">
        <v>22.42</v>
      </c>
      <c r="Y565" s="2">
        <v>0.75</v>
      </c>
      <c r="AB565">
        <v>1</v>
      </c>
      <c r="AC565">
        <v>2011</v>
      </c>
      <c r="AE565" s="2">
        <v>207</v>
      </c>
    </row>
    <row r="566" spans="2:31" ht="14.5">
      <c r="B566" s="2">
        <v>44567</v>
      </c>
      <c r="C566" s="2" t="s">
        <v>912</v>
      </c>
      <c r="D566" s="2" t="s">
        <v>1117</v>
      </c>
      <c r="E566" s="2" t="s">
        <v>42</v>
      </c>
      <c r="F566" s="2" t="s">
        <v>29</v>
      </c>
      <c r="G566" s="2" t="s">
        <v>30</v>
      </c>
      <c r="H566" s="2" t="s">
        <v>31</v>
      </c>
      <c r="I566" s="2" t="s">
        <v>32</v>
      </c>
      <c r="J566" s="2" t="s">
        <v>33</v>
      </c>
      <c r="K566" s="2" t="s">
        <v>34</v>
      </c>
      <c r="L566" s="3">
        <v>41106</v>
      </c>
      <c r="M566" s="3">
        <v>41161</v>
      </c>
      <c r="N566" s="3">
        <v>41161</v>
      </c>
      <c r="O566" s="3">
        <v>41161</v>
      </c>
      <c r="P566" s="2" t="s">
        <v>35</v>
      </c>
      <c r="Q566" s="2" t="s">
        <v>36</v>
      </c>
      <c r="R566" s="2" t="s">
        <v>37</v>
      </c>
      <c r="S566" s="2" t="s">
        <v>38</v>
      </c>
      <c r="T566" s="2" t="s">
        <v>39</v>
      </c>
      <c r="U566" s="2">
        <v>60</v>
      </c>
      <c r="V566" s="2">
        <v>57961</v>
      </c>
      <c r="W566" s="2">
        <v>130412.25</v>
      </c>
      <c r="X566" s="2">
        <v>2.25</v>
      </c>
      <c r="Y566" s="2">
        <v>0.04</v>
      </c>
      <c r="Z566" s="2">
        <v>5525</v>
      </c>
      <c r="AA566" s="2">
        <v>43237.33</v>
      </c>
      <c r="AB566">
        <v>1</v>
      </c>
      <c r="AC566">
        <v>2012</v>
      </c>
      <c r="AE566" s="2">
        <v>2318.44</v>
      </c>
    </row>
    <row r="567" spans="2:31" ht="14.5">
      <c r="B567" s="2">
        <v>44962</v>
      </c>
      <c r="C567" s="2" t="s">
        <v>1118</v>
      </c>
      <c r="D567" s="2" t="s">
        <v>1119</v>
      </c>
      <c r="E567" s="2" t="s">
        <v>118</v>
      </c>
      <c r="F567" s="2" t="s">
        <v>29</v>
      </c>
      <c r="G567" s="2" t="s">
        <v>50</v>
      </c>
      <c r="H567" s="2" t="s">
        <v>81</v>
      </c>
      <c r="I567" s="2" t="s">
        <v>32</v>
      </c>
      <c r="J567" s="2" t="s">
        <v>82</v>
      </c>
      <c r="K567" s="2" t="s">
        <v>34</v>
      </c>
      <c r="L567" s="3">
        <v>41003</v>
      </c>
      <c r="M567" s="3">
        <v>41033</v>
      </c>
      <c r="N567" s="3">
        <v>41033</v>
      </c>
      <c r="O567" s="3">
        <v>41033</v>
      </c>
      <c r="P567" s="2" t="s">
        <v>90</v>
      </c>
      <c r="Q567" s="2" t="s">
        <v>84</v>
      </c>
      <c r="R567" s="2" t="s">
        <v>37</v>
      </c>
      <c r="S567" s="2" t="s">
        <v>91</v>
      </c>
      <c r="T567" s="2" t="s">
        <v>39</v>
      </c>
      <c r="U567" s="2">
        <v>60</v>
      </c>
      <c r="V567" s="2">
        <v>210</v>
      </c>
      <c r="W567" s="2">
        <v>1554</v>
      </c>
      <c r="X567" s="2">
        <v>7.4</v>
      </c>
      <c r="Y567" s="2">
        <v>0.12</v>
      </c>
      <c r="Z567" s="2">
        <v>36</v>
      </c>
      <c r="AA567" s="2">
        <v>677.4</v>
      </c>
      <c r="AB567">
        <v>1</v>
      </c>
      <c r="AC567">
        <v>2012</v>
      </c>
      <c r="AE567" s="2">
        <v>25.2</v>
      </c>
    </row>
    <row r="568" spans="2:31" ht="14.5">
      <c r="B568" s="2">
        <v>45147</v>
      </c>
      <c r="C568" s="2" t="s">
        <v>1120</v>
      </c>
      <c r="D568" s="2" t="s">
        <v>1121</v>
      </c>
      <c r="E568" s="2" t="s">
        <v>118</v>
      </c>
      <c r="F568" s="2" t="s">
        <v>29</v>
      </c>
      <c r="G568" s="2" t="s">
        <v>30</v>
      </c>
      <c r="H568" s="2" t="s">
        <v>807</v>
      </c>
      <c r="I568" s="2" t="s">
        <v>32</v>
      </c>
      <c r="J568" s="2" t="s">
        <v>33</v>
      </c>
      <c r="K568" s="2" t="s">
        <v>34</v>
      </c>
      <c r="L568" s="3">
        <v>41968</v>
      </c>
      <c r="M568" s="3">
        <v>42212</v>
      </c>
      <c r="N568" s="3">
        <v>42212</v>
      </c>
      <c r="O568" s="3">
        <v>42213</v>
      </c>
      <c r="P568" s="2" t="s">
        <v>813</v>
      </c>
      <c r="Q568" s="2" t="s">
        <v>814</v>
      </c>
      <c r="R568" s="2" t="s">
        <v>37</v>
      </c>
      <c r="S568" s="2" t="s">
        <v>815</v>
      </c>
      <c r="T568" s="2" t="s">
        <v>39</v>
      </c>
      <c r="U568" s="2">
        <v>30</v>
      </c>
      <c r="V568" s="2">
        <v>6907</v>
      </c>
      <c r="W568" s="2">
        <v>124326</v>
      </c>
      <c r="X568" s="2">
        <v>18</v>
      </c>
      <c r="Y568" s="2">
        <v>0.6</v>
      </c>
      <c r="AB568">
        <v>1</v>
      </c>
      <c r="AC568">
        <v>2015</v>
      </c>
      <c r="AE568" s="2">
        <v>4144.2</v>
      </c>
    </row>
    <row r="569" spans="2:31" ht="14.5">
      <c r="B569" s="2">
        <v>45440</v>
      </c>
      <c r="C569" s="2" t="s">
        <v>738</v>
      </c>
      <c r="D569" s="2" t="s">
        <v>1122</v>
      </c>
      <c r="E569" s="2" t="s">
        <v>42</v>
      </c>
      <c r="F569" s="2" t="s">
        <v>29</v>
      </c>
      <c r="G569" s="2" t="s">
        <v>50</v>
      </c>
      <c r="H569" s="2" t="s">
        <v>31</v>
      </c>
      <c r="I569" s="2" t="s">
        <v>32</v>
      </c>
      <c r="J569" s="2" t="s">
        <v>33</v>
      </c>
      <c r="K569" s="2" t="s">
        <v>34</v>
      </c>
      <c r="L569" s="3">
        <v>41698</v>
      </c>
      <c r="M569" s="3">
        <v>41765</v>
      </c>
      <c r="N569" s="3">
        <v>41765</v>
      </c>
      <c r="O569" s="3">
        <v>41774</v>
      </c>
      <c r="P569" s="2" t="s">
        <v>740</v>
      </c>
      <c r="Q569" s="2" t="s">
        <v>36</v>
      </c>
      <c r="R569" s="2" t="s">
        <v>37</v>
      </c>
      <c r="S569" s="2" t="s">
        <v>226</v>
      </c>
      <c r="T569" s="2" t="s">
        <v>526</v>
      </c>
      <c r="U569" s="2">
        <v>240</v>
      </c>
      <c r="V569" s="2">
        <v>6821</v>
      </c>
      <c r="W569" s="2">
        <v>10299.709999999999</v>
      </c>
      <c r="X569" s="2">
        <v>1.51</v>
      </c>
      <c r="Y569" s="2">
        <v>0.01</v>
      </c>
      <c r="Z569" s="2">
        <v>2686</v>
      </c>
      <c r="AB569">
        <v>1</v>
      </c>
      <c r="AC569">
        <v>2014</v>
      </c>
      <c r="AE569" s="2">
        <v>68.210000000000008</v>
      </c>
    </row>
    <row r="570" spans="2:31" ht="14.5">
      <c r="B570" s="2">
        <v>45977</v>
      </c>
      <c r="C570" s="2" t="s">
        <v>1123</v>
      </c>
      <c r="D570" s="2" t="s">
        <v>1124</v>
      </c>
      <c r="E570" s="2" t="s">
        <v>28</v>
      </c>
      <c r="F570" s="2" t="s">
        <v>29</v>
      </c>
      <c r="G570" s="2" t="s">
        <v>30</v>
      </c>
      <c r="H570" s="2" t="s">
        <v>31</v>
      </c>
      <c r="I570" s="2" t="s">
        <v>32</v>
      </c>
      <c r="J570" s="2" t="s">
        <v>33</v>
      </c>
      <c r="K570" s="2" t="s">
        <v>34</v>
      </c>
      <c r="L570" s="3">
        <v>41575</v>
      </c>
      <c r="M570" s="3">
        <v>41705</v>
      </c>
      <c r="N570" s="3">
        <v>41705</v>
      </c>
      <c r="O570" s="3">
        <v>41713</v>
      </c>
      <c r="P570" s="2" t="s">
        <v>333</v>
      </c>
      <c r="Q570" s="2" t="s">
        <v>225</v>
      </c>
      <c r="R570" s="2" t="s">
        <v>37</v>
      </c>
      <c r="S570" s="2" t="s">
        <v>100</v>
      </c>
      <c r="T570" s="2" t="s">
        <v>39</v>
      </c>
      <c r="U570" s="2">
        <v>60</v>
      </c>
      <c r="V570" s="2">
        <v>20172</v>
      </c>
      <c r="W570" s="2">
        <v>109533.96</v>
      </c>
      <c r="X570" s="2">
        <v>5.43</v>
      </c>
      <c r="Y570" s="2">
        <v>0.09</v>
      </c>
      <c r="Z570" s="2">
        <v>1104</v>
      </c>
      <c r="AA570" s="2">
        <v>5765.11</v>
      </c>
      <c r="AB570">
        <v>1</v>
      </c>
      <c r="AC570">
        <v>2014</v>
      </c>
      <c r="AE570" s="2">
        <v>1815.48</v>
      </c>
    </row>
    <row r="571" spans="2:31" ht="14.5">
      <c r="B571" s="2">
        <v>46005</v>
      </c>
      <c r="C571" s="2" t="s">
        <v>1125</v>
      </c>
      <c r="D571" s="2" t="s">
        <v>1126</v>
      </c>
      <c r="E571" s="2" t="s">
        <v>42</v>
      </c>
      <c r="F571" s="2" t="s">
        <v>29</v>
      </c>
      <c r="G571" s="2" t="s">
        <v>50</v>
      </c>
      <c r="H571" s="2" t="s">
        <v>43</v>
      </c>
      <c r="I571" s="2" t="s">
        <v>32</v>
      </c>
      <c r="J571" s="2" t="s">
        <v>52</v>
      </c>
      <c r="K571" s="2" t="s">
        <v>34</v>
      </c>
      <c r="L571" s="3">
        <v>40977</v>
      </c>
      <c r="M571" s="3">
        <v>41088</v>
      </c>
      <c r="N571" s="3">
        <v>41088</v>
      </c>
      <c r="O571" s="3">
        <v>41088</v>
      </c>
      <c r="P571" s="2" t="s">
        <v>302</v>
      </c>
      <c r="Q571" s="2" t="s">
        <v>165</v>
      </c>
      <c r="R571" s="2" t="s">
        <v>37</v>
      </c>
      <c r="S571" s="2" t="s">
        <v>226</v>
      </c>
      <c r="T571" s="2" t="s">
        <v>87</v>
      </c>
      <c r="U571" s="2">
        <v>240</v>
      </c>
      <c r="V571" s="2">
        <v>9565</v>
      </c>
      <c r="W571" s="2">
        <v>18651.75</v>
      </c>
      <c r="X571" s="2">
        <v>1.95</v>
      </c>
      <c r="Y571" s="2">
        <v>0.01</v>
      </c>
      <c r="Z571" s="2">
        <v>6490</v>
      </c>
      <c r="AA571" s="2">
        <v>3010.89</v>
      </c>
      <c r="AB571">
        <v>1</v>
      </c>
      <c r="AC571">
        <v>2012</v>
      </c>
      <c r="AE571" s="2">
        <v>95.65</v>
      </c>
    </row>
    <row r="572" spans="2:31" ht="14.5">
      <c r="B572" s="2">
        <v>46010</v>
      </c>
      <c r="C572" s="2" t="s">
        <v>910</v>
      </c>
      <c r="D572" s="2" t="s">
        <v>1127</v>
      </c>
      <c r="E572" s="2" t="s">
        <v>42</v>
      </c>
      <c r="F572" s="2" t="s">
        <v>29</v>
      </c>
      <c r="G572" s="2" t="s">
        <v>30</v>
      </c>
      <c r="H572" s="2" t="s">
        <v>94</v>
      </c>
      <c r="I572" s="2" t="s">
        <v>32</v>
      </c>
      <c r="J572" s="2" t="s">
        <v>52</v>
      </c>
      <c r="K572" s="2" t="s">
        <v>34</v>
      </c>
      <c r="L572" s="3">
        <v>40438</v>
      </c>
      <c r="M572" s="3">
        <v>40521</v>
      </c>
      <c r="N572" s="3">
        <v>40521</v>
      </c>
      <c r="O572" s="3">
        <v>40521</v>
      </c>
      <c r="P572" s="2" t="s">
        <v>35</v>
      </c>
      <c r="Q572" s="2" t="s">
        <v>36</v>
      </c>
      <c r="R572" s="2" t="s">
        <v>37</v>
      </c>
      <c r="S572" s="2" t="s">
        <v>38</v>
      </c>
      <c r="T572" s="2" t="s">
        <v>39</v>
      </c>
      <c r="U572" s="2">
        <v>60</v>
      </c>
      <c r="V572" s="2">
        <v>63254</v>
      </c>
      <c r="W572" s="2">
        <v>166990.56</v>
      </c>
      <c r="X572" s="2">
        <v>2.64</v>
      </c>
      <c r="Y572" s="2">
        <v>0.04</v>
      </c>
      <c r="Z572" s="2">
        <v>3700</v>
      </c>
      <c r="AB572">
        <v>1</v>
      </c>
      <c r="AC572">
        <v>2010</v>
      </c>
      <c r="AE572" s="2">
        <v>2530.16</v>
      </c>
    </row>
    <row r="573" spans="2:31" ht="14.5">
      <c r="B573" s="2">
        <v>46067</v>
      </c>
      <c r="C573" s="2" t="s">
        <v>937</v>
      </c>
      <c r="D573" s="2" t="s">
        <v>938</v>
      </c>
      <c r="E573" s="2" t="s">
        <v>28</v>
      </c>
      <c r="F573" s="2" t="s">
        <v>29</v>
      </c>
      <c r="G573" s="2" t="s">
        <v>30</v>
      </c>
      <c r="H573" s="2" t="s">
        <v>783</v>
      </c>
      <c r="I573" s="2" t="s">
        <v>32</v>
      </c>
      <c r="J573" s="2" t="s">
        <v>82</v>
      </c>
      <c r="K573" s="2" t="s">
        <v>34</v>
      </c>
      <c r="L573" s="3">
        <v>40647</v>
      </c>
      <c r="M573" s="3">
        <v>40738</v>
      </c>
      <c r="N573" s="3">
        <v>40738</v>
      </c>
      <c r="O573" s="3">
        <v>40738</v>
      </c>
      <c r="P573" s="2" t="s">
        <v>67</v>
      </c>
      <c r="Q573" s="2" t="s">
        <v>68</v>
      </c>
      <c r="R573" s="2" t="s">
        <v>69</v>
      </c>
      <c r="S573" s="2" t="s">
        <v>70</v>
      </c>
      <c r="T573" s="2" t="s">
        <v>71</v>
      </c>
      <c r="U573" s="2">
        <v>30</v>
      </c>
      <c r="V573" s="2">
        <v>18311</v>
      </c>
      <c r="W573" s="2">
        <v>433421.37</v>
      </c>
      <c r="X573" s="2">
        <v>23.67</v>
      </c>
      <c r="Y573" s="2">
        <v>0.79</v>
      </c>
      <c r="AB573">
        <v>1</v>
      </c>
      <c r="AC573">
        <v>2011</v>
      </c>
      <c r="AE573" s="2">
        <v>14465.69</v>
      </c>
    </row>
    <row r="574" spans="2:31" ht="14.5">
      <c r="B574" s="2">
        <v>46127</v>
      </c>
      <c r="C574" s="2" t="s">
        <v>1128</v>
      </c>
      <c r="D574" s="2" t="s">
        <v>1129</v>
      </c>
      <c r="E574" s="2" t="s">
        <v>42</v>
      </c>
      <c r="F574" s="2" t="s">
        <v>29</v>
      </c>
      <c r="G574" s="2" t="s">
        <v>30</v>
      </c>
      <c r="H574" s="2" t="s">
        <v>94</v>
      </c>
      <c r="I574" s="2" t="s">
        <v>32</v>
      </c>
      <c r="J574" s="2" t="s">
        <v>33</v>
      </c>
      <c r="K574" s="2" t="s">
        <v>646</v>
      </c>
      <c r="L574" s="3">
        <v>40449</v>
      </c>
      <c r="M574" s="3">
        <v>40833</v>
      </c>
      <c r="N574" s="3">
        <v>40833</v>
      </c>
      <c r="O574" s="3">
        <v>40833</v>
      </c>
      <c r="P574" s="2" t="s">
        <v>35</v>
      </c>
      <c r="Q574" s="2" t="s">
        <v>36</v>
      </c>
      <c r="R574" s="2" t="s">
        <v>37</v>
      </c>
      <c r="S574" s="2" t="s">
        <v>38</v>
      </c>
      <c r="T574" s="2" t="s">
        <v>39</v>
      </c>
      <c r="U574" s="2">
        <v>60</v>
      </c>
      <c r="V574" s="2">
        <v>236925</v>
      </c>
      <c r="W574" s="2">
        <v>575727.75</v>
      </c>
      <c r="X574" s="2">
        <v>2.4300000000000002</v>
      </c>
      <c r="Y574" s="2">
        <v>0.04</v>
      </c>
      <c r="Z574" s="2">
        <v>13622</v>
      </c>
      <c r="AA574" s="2">
        <v>82095.850000000006</v>
      </c>
      <c r="AB574">
        <v>1</v>
      </c>
      <c r="AC574">
        <v>2011</v>
      </c>
      <c r="AE574" s="2">
        <v>9477</v>
      </c>
    </row>
    <row r="575" spans="2:31" ht="14.5">
      <c r="B575" s="2">
        <v>46447</v>
      </c>
      <c r="C575" s="2" t="s">
        <v>1130</v>
      </c>
      <c r="D575" s="2" t="s">
        <v>1131</v>
      </c>
      <c r="E575" s="2" t="s">
        <v>118</v>
      </c>
      <c r="F575" s="2" t="s">
        <v>29</v>
      </c>
      <c r="G575" s="2" t="s">
        <v>30</v>
      </c>
      <c r="H575" s="2" t="s">
        <v>103</v>
      </c>
      <c r="I575" s="2" t="s">
        <v>32</v>
      </c>
      <c r="J575" s="2" t="s">
        <v>52</v>
      </c>
      <c r="K575" s="2" t="s">
        <v>34</v>
      </c>
      <c r="L575" s="3">
        <v>41458</v>
      </c>
      <c r="M575" s="3">
        <v>41598</v>
      </c>
      <c r="N575" s="3">
        <v>41598</v>
      </c>
      <c r="O575" s="3">
        <v>41599</v>
      </c>
      <c r="P575" s="2" t="s">
        <v>864</v>
      </c>
      <c r="Q575" s="2" t="s">
        <v>865</v>
      </c>
      <c r="R575" s="2" t="s">
        <v>866</v>
      </c>
      <c r="S575" s="2" t="s">
        <v>100</v>
      </c>
      <c r="T575" s="2" t="s">
        <v>39</v>
      </c>
      <c r="U575" s="2">
        <v>120</v>
      </c>
      <c r="V575" s="2">
        <v>841</v>
      </c>
      <c r="W575" s="2">
        <v>56010.6</v>
      </c>
      <c r="X575" s="2">
        <v>66.599999999999994</v>
      </c>
      <c r="Y575" s="2">
        <v>0.55000000000000004</v>
      </c>
      <c r="Z575" s="2">
        <v>169</v>
      </c>
      <c r="AA575" s="2">
        <v>359.53</v>
      </c>
      <c r="AB575">
        <v>1</v>
      </c>
      <c r="AC575">
        <v>2013</v>
      </c>
      <c r="AE575" s="2">
        <v>462.55</v>
      </c>
    </row>
    <row r="576" spans="2:31" ht="14.5">
      <c r="B576" s="2">
        <v>46460</v>
      </c>
      <c r="C576" s="2" t="s">
        <v>1132</v>
      </c>
      <c r="D576" s="2" t="s">
        <v>1133</v>
      </c>
      <c r="E576" s="2" t="s">
        <v>118</v>
      </c>
      <c r="F576" s="2" t="s">
        <v>29</v>
      </c>
      <c r="G576" s="2" t="s">
        <v>50</v>
      </c>
      <c r="H576" s="2" t="s">
        <v>31</v>
      </c>
      <c r="I576" s="2" t="s">
        <v>32</v>
      </c>
      <c r="J576" s="2" t="s">
        <v>33</v>
      </c>
      <c r="K576" s="2" t="s">
        <v>34</v>
      </c>
      <c r="L576" s="3">
        <v>41968</v>
      </c>
      <c r="M576" s="3">
        <v>42102</v>
      </c>
      <c r="N576" s="3">
        <v>42102</v>
      </c>
      <c r="O576" s="3">
        <v>42102</v>
      </c>
      <c r="P576" s="2" t="s">
        <v>924</v>
      </c>
      <c r="Q576" s="2" t="s">
        <v>84</v>
      </c>
      <c r="R576" s="2" t="s">
        <v>37</v>
      </c>
      <c r="S576" s="2" t="s">
        <v>91</v>
      </c>
      <c r="T576" s="2" t="s">
        <v>39</v>
      </c>
      <c r="U576" s="2">
        <v>60</v>
      </c>
      <c r="V576" s="2">
        <v>1560</v>
      </c>
      <c r="W576" s="2">
        <v>12542.4</v>
      </c>
      <c r="X576" s="2">
        <v>8.0399999999999991</v>
      </c>
      <c r="Y576" s="2">
        <v>0.13</v>
      </c>
      <c r="Z576" s="2">
        <v>166</v>
      </c>
      <c r="AA576" s="2">
        <v>1488.99</v>
      </c>
      <c r="AB576">
        <v>1</v>
      </c>
      <c r="AC576">
        <v>2015</v>
      </c>
      <c r="AE576" s="2">
        <v>202.8</v>
      </c>
    </row>
    <row r="577" spans="2:31" ht="14.5">
      <c r="B577" s="2">
        <v>46574</v>
      </c>
      <c r="C577" s="2" t="s">
        <v>1134</v>
      </c>
      <c r="D577" s="2" t="s">
        <v>1135</v>
      </c>
      <c r="E577" s="2" t="s">
        <v>42</v>
      </c>
      <c r="F577" s="2" t="s">
        <v>29</v>
      </c>
      <c r="G577" s="2" t="s">
        <v>50</v>
      </c>
      <c r="H577" s="2" t="s">
        <v>43</v>
      </c>
      <c r="I577" s="2" t="s">
        <v>32</v>
      </c>
      <c r="J577" s="2" t="s">
        <v>52</v>
      </c>
      <c r="K577" s="2" t="s">
        <v>34</v>
      </c>
      <c r="L577" s="3">
        <v>40977</v>
      </c>
      <c r="M577" s="3">
        <v>41075</v>
      </c>
      <c r="N577" s="3">
        <v>41075</v>
      </c>
      <c r="O577" s="3">
        <v>41075</v>
      </c>
      <c r="P577" s="2" t="s">
        <v>1136</v>
      </c>
      <c r="Q577" s="2" t="s">
        <v>408</v>
      </c>
      <c r="R577" s="2" t="s">
        <v>37</v>
      </c>
      <c r="S577" s="2" t="s">
        <v>1137</v>
      </c>
      <c r="T577" s="2" t="s">
        <v>729</v>
      </c>
      <c r="U577" s="2">
        <v>60</v>
      </c>
      <c r="V577" s="2">
        <v>672</v>
      </c>
      <c r="W577" s="2">
        <v>2466.2399999999998</v>
      </c>
      <c r="X577" s="2">
        <v>3.67</v>
      </c>
      <c r="Y577" s="2">
        <v>0.06</v>
      </c>
      <c r="Z577" s="2">
        <v>49</v>
      </c>
      <c r="AA577" s="2">
        <v>221.96</v>
      </c>
      <c r="AB577">
        <v>1</v>
      </c>
      <c r="AC577">
        <v>2012</v>
      </c>
      <c r="AE577" s="2">
        <v>40.32</v>
      </c>
    </row>
    <row r="578" spans="2:31" ht="14.5">
      <c r="B578" s="2">
        <v>46726</v>
      </c>
      <c r="C578" s="2" t="s">
        <v>1021</v>
      </c>
      <c r="D578" s="2" t="s">
        <v>1138</v>
      </c>
      <c r="E578" s="2" t="s">
        <v>118</v>
      </c>
      <c r="F578" s="2" t="s">
        <v>29</v>
      </c>
      <c r="G578" s="2" t="s">
        <v>30</v>
      </c>
      <c r="H578" s="2" t="s">
        <v>103</v>
      </c>
      <c r="I578" s="2" t="s">
        <v>32</v>
      </c>
      <c r="J578" s="2" t="s">
        <v>711</v>
      </c>
      <c r="K578" s="2" t="s">
        <v>34</v>
      </c>
      <c r="L578" s="3">
        <v>40847</v>
      </c>
      <c r="M578" s="3">
        <v>40914</v>
      </c>
      <c r="N578" s="3">
        <v>40914</v>
      </c>
      <c r="O578" s="3">
        <v>40914</v>
      </c>
      <c r="P578" s="2" t="s">
        <v>712</v>
      </c>
      <c r="Q578" s="2" t="s">
        <v>713</v>
      </c>
      <c r="R578" s="2" t="s">
        <v>714</v>
      </c>
      <c r="S578" s="2" t="s">
        <v>330</v>
      </c>
      <c r="T578" s="2" t="s">
        <v>39</v>
      </c>
      <c r="U578" s="2">
        <v>120</v>
      </c>
      <c r="V578" s="2">
        <v>83</v>
      </c>
      <c r="W578" s="2">
        <v>6811.81</v>
      </c>
      <c r="X578" s="2">
        <v>82.07</v>
      </c>
      <c r="Y578" s="2">
        <v>0.68</v>
      </c>
      <c r="Z578" s="2">
        <v>16</v>
      </c>
      <c r="AA578" s="2">
        <v>375</v>
      </c>
      <c r="AB578">
        <v>1</v>
      </c>
      <c r="AC578">
        <v>2012</v>
      </c>
      <c r="AE578" s="2">
        <v>56.440000000000005</v>
      </c>
    </row>
    <row r="579" spans="2:31" ht="14.5">
      <c r="B579" s="2">
        <v>47077</v>
      </c>
      <c r="C579" s="2" t="s">
        <v>1139</v>
      </c>
      <c r="D579" s="2" t="s">
        <v>1140</v>
      </c>
      <c r="E579" s="2" t="s">
        <v>118</v>
      </c>
      <c r="F579" s="2" t="s">
        <v>29</v>
      </c>
      <c r="G579" s="2" t="s">
        <v>30</v>
      </c>
      <c r="H579" s="2" t="s">
        <v>807</v>
      </c>
      <c r="I579" s="2" t="s">
        <v>32</v>
      </c>
      <c r="J579" s="2" t="s">
        <v>33</v>
      </c>
      <c r="K579" s="2" t="s">
        <v>34</v>
      </c>
      <c r="L579" s="3">
        <v>41968</v>
      </c>
      <c r="M579" s="3">
        <v>42170</v>
      </c>
      <c r="N579" s="3">
        <v>42170</v>
      </c>
      <c r="O579" s="3">
        <v>42170</v>
      </c>
      <c r="P579" s="2" t="s">
        <v>813</v>
      </c>
      <c r="Q579" s="2" t="s">
        <v>814</v>
      </c>
      <c r="R579" s="2" t="s">
        <v>37</v>
      </c>
      <c r="S579" s="2" t="s">
        <v>815</v>
      </c>
      <c r="T579" s="2" t="s">
        <v>39</v>
      </c>
      <c r="U579" s="2">
        <v>30</v>
      </c>
      <c r="V579" s="2">
        <v>9235</v>
      </c>
      <c r="W579" s="2">
        <v>166230</v>
      </c>
      <c r="X579" s="2">
        <v>18</v>
      </c>
      <c r="Y579" s="2">
        <v>0.6</v>
      </c>
      <c r="Z579" s="2">
        <v>1197</v>
      </c>
      <c r="AA579" s="2">
        <v>5375.13</v>
      </c>
      <c r="AB579">
        <v>1</v>
      </c>
      <c r="AC579">
        <v>2015</v>
      </c>
      <c r="AE579" s="2">
        <v>5541</v>
      </c>
    </row>
    <row r="580" spans="2:31" ht="14.5">
      <c r="B580" s="2">
        <v>47212</v>
      </c>
      <c r="C580" s="2" t="s">
        <v>1141</v>
      </c>
      <c r="D580" s="2" t="s">
        <v>1142</v>
      </c>
      <c r="E580" s="2" t="s">
        <v>118</v>
      </c>
      <c r="F580" s="2" t="s">
        <v>29</v>
      </c>
      <c r="G580" s="2" t="s">
        <v>50</v>
      </c>
      <c r="H580" s="2" t="s">
        <v>81</v>
      </c>
      <c r="I580" s="2" t="s">
        <v>32</v>
      </c>
      <c r="J580" s="2" t="s">
        <v>82</v>
      </c>
      <c r="K580" s="2" t="s">
        <v>34</v>
      </c>
      <c r="L580" s="3">
        <v>41813</v>
      </c>
      <c r="M580" s="3">
        <v>41957</v>
      </c>
      <c r="N580" s="3">
        <v>41957</v>
      </c>
      <c r="O580" s="3">
        <v>41959</v>
      </c>
      <c r="P580" s="2" t="s">
        <v>83</v>
      </c>
      <c r="Q580" s="2" t="s">
        <v>84</v>
      </c>
      <c r="R580" s="2" t="s">
        <v>85</v>
      </c>
      <c r="S580" s="2" t="s">
        <v>86</v>
      </c>
      <c r="T580" s="2" t="s">
        <v>87</v>
      </c>
      <c r="U580" s="2">
        <v>300</v>
      </c>
      <c r="V580" s="2">
        <v>80</v>
      </c>
      <c r="W580" s="2">
        <v>2465.6</v>
      </c>
      <c r="X580" s="2">
        <v>30.82</v>
      </c>
      <c r="Y580" s="2">
        <v>0.1</v>
      </c>
      <c r="Z580" s="2">
        <v>136</v>
      </c>
      <c r="AA580" s="2">
        <v>2077.87</v>
      </c>
      <c r="AB580">
        <v>1</v>
      </c>
      <c r="AC580">
        <v>2014</v>
      </c>
      <c r="AE580" s="2">
        <v>8</v>
      </c>
    </row>
    <row r="581" spans="2:31" ht="14.5">
      <c r="B581" s="2">
        <v>47411</v>
      </c>
      <c r="C581" s="2" t="s">
        <v>1143</v>
      </c>
      <c r="D581" s="2" t="s">
        <v>1144</v>
      </c>
      <c r="E581" s="2" t="s">
        <v>118</v>
      </c>
      <c r="F581" s="2" t="s">
        <v>29</v>
      </c>
      <c r="G581" s="2" t="s">
        <v>50</v>
      </c>
      <c r="H581" s="2" t="s">
        <v>31</v>
      </c>
      <c r="I581" s="2" t="s">
        <v>32</v>
      </c>
      <c r="J581" s="2" t="s">
        <v>33</v>
      </c>
      <c r="K581" s="2" t="s">
        <v>34</v>
      </c>
      <c r="L581" s="3">
        <v>41575</v>
      </c>
      <c r="M581" s="3">
        <v>41620</v>
      </c>
      <c r="N581" s="3">
        <v>41620</v>
      </c>
      <c r="O581" s="3">
        <v>41621</v>
      </c>
      <c r="P581" s="2" t="s">
        <v>818</v>
      </c>
      <c r="Q581" s="2" t="s">
        <v>36</v>
      </c>
      <c r="R581" s="2" t="s">
        <v>37</v>
      </c>
      <c r="S581" s="2" t="s">
        <v>226</v>
      </c>
      <c r="T581" s="2" t="s">
        <v>526</v>
      </c>
      <c r="U581" s="2">
        <v>100</v>
      </c>
      <c r="V581" s="2">
        <v>700</v>
      </c>
      <c r="W581" s="2">
        <v>910</v>
      </c>
      <c r="X581" s="2">
        <v>1.3</v>
      </c>
      <c r="Y581" s="2">
        <v>0.01</v>
      </c>
      <c r="AB581">
        <v>1</v>
      </c>
      <c r="AC581">
        <v>2013</v>
      </c>
      <c r="AE581" s="2">
        <v>7</v>
      </c>
    </row>
    <row r="582" spans="2:31" ht="14.5">
      <c r="B582" s="2">
        <v>47443</v>
      </c>
      <c r="C582" s="2" t="s">
        <v>1145</v>
      </c>
      <c r="D582" s="2" t="s">
        <v>1146</v>
      </c>
      <c r="E582" s="2" t="s">
        <v>118</v>
      </c>
      <c r="F582" s="2" t="s">
        <v>29</v>
      </c>
      <c r="G582" s="2" t="s">
        <v>30</v>
      </c>
      <c r="H582" s="2" t="s">
        <v>81</v>
      </c>
      <c r="I582" s="2" t="s">
        <v>32</v>
      </c>
      <c r="J582" s="2" t="s">
        <v>82</v>
      </c>
      <c r="K582" s="2" t="s">
        <v>34</v>
      </c>
      <c r="L582" s="3">
        <v>40066</v>
      </c>
      <c r="M582" s="3">
        <v>40106</v>
      </c>
      <c r="N582" s="3">
        <v>40106</v>
      </c>
      <c r="O582" s="3">
        <v>40106</v>
      </c>
      <c r="P582" s="2" t="s">
        <v>150</v>
      </c>
      <c r="Q582" s="2" t="s">
        <v>84</v>
      </c>
      <c r="R582" s="2" t="s">
        <v>151</v>
      </c>
      <c r="S582" s="2" t="s">
        <v>152</v>
      </c>
      <c r="T582" s="2" t="s">
        <v>39</v>
      </c>
      <c r="U582" s="2">
        <v>120</v>
      </c>
      <c r="V582" s="2">
        <v>120</v>
      </c>
      <c r="W582" s="2">
        <v>4339.2</v>
      </c>
      <c r="X582" s="2">
        <v>36.159999999999997</v>
      </c>
      <c r="Y582" s="2">
        <v>0.3</v>
      </c>
      <c r="Z582" s="2">
        <v>36</v>
      </c>
      <c r="AA582" s="2">
        <v>1025.69</v>
      </c>
      <c r="AB582">
        <v>1</v>
      </c>
      <c r="AC582">
        <v>2009</v>
      </c>
      <c r="AE582" s="2">
        <v>36</v>
      </c>
    </row>
    <row r="583" spans="2:31" ht="14.5">
      <c r="B583" s="2">
        <v>47541</v>
      </c>
      <c r="C583" s="2" t="s">
        <v>1002</v>
      </c>
      <c r="D583" s="2" t="s">
        <v>1003</v>
      </c>
      <c r="E583" s="2" t="s">
        <v>42</v>
      </c>
      <c r="F583" s="2" t="s">
        <v>29</v>
      </c>
      <c r="G583" s="2" t="s">
        <v>30</v>
      </c>
      <c r="H583" s="2" t="s">
        <v>94</v>
      </c>
      <c r="I583" s="2" t="s">
        <v>32</v>
      </c>
      <c r="J583" s="2" t="s">
        <v>33</v>
      </c>
      <c r="K583" s="2" t="s">
        <v>34</v>
      </c>
      <c r="L583" s="3">
        <v>41072</v>
      </c>
      <c r="M583" s="3">
        <v>41125</v>
      </c>
      <c r="N583" s="3">
        <v>41125</v>
      </c>
      <c r="O583" s="3">
        <v>41125</v>
      </c>
      <c r="P583" s="2" t="s">
        <v>35</v>
      </c>
      <c r="Q583" s="2" t="s">
        <v>36</v>
      </c>
      <c r="R583" s="2" t="s">
        <v>37</v>
      </c>
      <c r="S583" s="2" t="s">
        <v>38</v>
      </c>
      <c r="T583" s="2" t="s">
        <v>39</v>
      </c>
      <c r="U583" s="2">
        <v>60</v>
      </c>
      <c r="V583" s="2">
        <v>37140</v>
      </c>
      <c r="W583" s="2">
        <v>86907.6</v>
      </c>
      <c r="X583" s="2">
        <v>2.34</v>
      </c>
      <c r="Y583" s="2">
        <v>0.04</v>
      </c>
      <c r="AB583">
        <v>1</v>
      </c>
      <c r="AC583">
        <v>2012</v>
      </c>
      <c r="AE583" s="2">
        <v>1485.6000000000001</v>
      </c>
    </row>
    <row r="584" spans="2:31" ht="14.5">
      <c r="B584" s="2">
        <v>47837</v>
      </c>
      <c r="C584" s="2" t="s">
        <v>1147</v>
      </c>
      <c r="D584" s="2" t="s">
        <v>1148</v>
      </c>
      <c r="E584" s="2" t="s">
        <v>42</v>
      </c>
      <c r="F584" s="2" t="s">
        <v>29</v>
      </c>
      <c r="G584" s="2" t="s">
        <v>30</v>
      </c>
      <c r="H584" s="2" t="s">
        <v>94</v>
      </c>
      <c r="I584" s="2" t="s">
        <v>32</v>
      </c>
      <c r="J584" s="2" t="s">
        <v>52</v>
      </c>
      <c r="K584" s="2" t="s">
        <v>34</v>
      </c>
      <c r="L584" s="3">
        <v>40010</v>
      </c>
      <c r="M584" s="3">
        <v>40035</v>
      </c>
      <c r="N584" s="3">
        <v>40035</v>
      </c>
      <c r="O584" s="3">
        <v>40035</v>
      </c>
      <c r="P584" s="2" t="s">
        <v>35</v>
      </c>
      <c r="Q584" s="2" t="s">
        <v>36</v>
      </c>
      <c r="R584" s="2" t="s">
        <v>37</v>
      </c>
      <c r="S584" s="2" t="s">
        <v>38</v>
      </c>
      <c r="T584" s="2" t="s">
        <v>39</v>
      </c>
      <c r="U584" s="2">
        <v>60</v>
      </c>
      <c r="V584" s="2">
        <v>9300</v>
      </c>
      <c r="W584" s="2">
        <v>28737</v>
      </c>
      <c r="X584" s="2">
        <v>3.09</v>
      </c>
      <c r="Y584" s="2">
        <v>0.05</v>
      </c>
      <c r="Z584" s="2">
        <v>550</v>
      </c>
      <c r="AA584" s="2">
        <v>3054.13</v>
      </c>
      <c r="AB584">
        <v>1</v>
      </c>
      <c r="AC584">
        <v>2009</v>
      </c>
      <c r="AE584" s="2">
        <v>465</v>
      </c>
    </row>
    <row r="585" spans="2:31" ht="14.5">
      <c r="B585" s="2">
        <v>48151</v>
      </c>
      <c r="C585" s="2" t="s">
        <v>766</v>
      </c>
      <c r="D585" s="2" t="s">
        <v>1149</v>
      </c>
      <c r="E585" s="2" t="s">
        <v>42</v>
      </c>
      <c r="F585" s="2" t="s">
        <v>29</v>
      </c>
      <c r="G585" s="2" t="s">
        <v>30</v>
      </c>
      <c r="H585" s="2" t="s">
        <v>31</v>
      </c>
      <c r="I585" s="2" t="s">
        <v>32</v>
      </c>
      <c r="J585" s="2" t="s">
        <v>33</v>
      </c>
      <c r="K585" s="2" t="s">
        <v>34</v>
      </c>
      <c r="L585" s="3">
        <v>40890</v>
      </c>
      <c r="M585" s="3">
        <v>40932</v>
      </c>
      <c r="N585" s="3">
        <v>40932</v>
      </c>
      <c r="O585" s="3">
        <v>40932</v>
      </c>
      <c r="P585" s="2" t="s">
        <v>706</v>
      </c>
      <c r="Q585" s="2" t="s">
        <v>707</v>
      </c>
      <c r="R585" s="2" t="s">
        <v>37</v>
      </c>
      <c r="S585" s="2" t="s">
        <v>708</v>
      </c>
      <c r="T585" s="2" t="s">
        <v>47</v>
      </c>
      <c r="U585" s="2">
        <v>30</v>
      </c>
      <c r="V585" s="2">
        <v>42074</v>
      </c>
      <c r="W585" s="2">
        <v>225095.9</v>
      </c>
      <c r="X585" s="2">
        <v>5.35</v>
      </c>
      <c r="Y585" s="2">
        <v>0.18</v>
      </c>
      <c r="Z585" s="2">
        <v>4105</v>
      </c>
      <c r="AA585" s="2">
        <v>25382.52</v>
      </c>
      <c r="AB585">
        <v>1</v>
      </c>
      <c r="AC585">
        <v>2012</v>
      </c>
      <c r="AE585" s="2">
        <v>7573.32</v>
      </c>
    </row>
    <row r="586" spans="2:31" ht="14.5">
      <c r="B586" s="2">
        <v>48184</v>
      </c>
      <c r="C586" s="2" t="s">
        <v>1150</v>
      </c>
      <c r="D586" s="2" t="s">
        <v>1151</v>
      </c>
      <c r="E586" s="2" t="s">
        <v>42</v>
      </c>
      <c r="F586" s="2" t="s">
        <v>29</v>
      </c>
      <c r="G586" s="2" t="s">
        <v>50</v>
      </c>
      <c r="H586" s="2" t="s">
        <v>31</v>
      </c>
      <c r="I586" s="2" t="s">
        <v>32</v>
      </c>
      <c r="J586" s="2" t="s">
        <v>33</v>
      </c>
      <c r="K586" s="2" t="s">
        <v>34</v>
      </c>
      <c r="L586" s="3">
        <v>41988</v>
      </c>
      <c r="M586" s="3">
        <v>42019</v>
      </c>
      <c r="N586" s="3">
        <v>42019</v>
      </c>
      <c r="O586" s="3">
        <v>42059</v>
      </c>
      <c r="P586" s="2" t="s">
        <v>924</v>
      </c>
      <c r="Q586" s="2" t="s">
        <v>84</v>
      </c>
      <c r="R586" s="2" t="s">
        <v>37</v>
      </c>
      <c r="S586" s="2" t="s">
        <v>91</v>
      </c>
      <c r="T586" s="2" t="s">
        <v>39</v>
      </c>
      <c r="U586" s="2">
        <v>60</v>
      </c>
      <c r="V586" s="2">
        <v>1592</v>
      </c>
      <c r="W586" s="2">
        <v>12799.68</v>
      </c>
      <c r="X586" s="2">
        <v>8.0399999999999991</v>
      </c>
      <c r="Y586" s="2">
        <v>0.13</v>
      </c>
      <c r="Z586" s="2">
        <v>167</v>
      </c>
      <c r="AA586" s="2">
        <v>1923.14</v>
      </c>
      <c r="AB586">
        <v>1</v>
      </c>
      <c r="AC586">
        <v>2015</v>
      </c>
      <c r="AE586" s="2">
        <v>206.96</v>
      </c>
    </row>
    <row r="587" spans="2:31" ht="14.5">
      <c r="B587" s="2">
        <v>48261</v>
      </c>
      <c r="C587" s="2" t="s">
        <v>1152</v>
      </c>
      <c r="D587" s="2" t="s">
        <v>1153</v>
      </c>
      <c r="E587" s="2" t="s">
        <v>42</v>
      </c>
      <c r="F587" s="2" t="s">
        <v>29</v>
      </c>
      <c r="G587" s="2" t="s">
        <v>50</v>
      </c>
      <c r="H587" s="2" t="s">
        <v>81</v>
      </c>
      <c r="I587" s="2" t="s">
        <v>32</v>
      </c>
      <c r="J587" s="2" t="s">
        <v>82</v>
      </c>
      <c r="K587" s="2" t="s">
        <v>34</v>
      </c>
      <c r="L587" s="3">
        <v>42192</v>
      </c>
      <c r="M587" s="3">
        <v>42237</v>
      </c>
      <c r="N587" s="3">
        <v>42237</v>
      </c>
      <c r="O587" s="3">
        <v>42240</v>
      </c>
      <c r="P587" s="2" t="s">
        <v>83</v>
      </c>
      <c r="Q587" s="2" t="s">
        <v>84</v>
      </c>
      <c r="R587" s="2" t="s">
        <v>85</v>
      </c>
      <c r="S587" s="2" t="s">
        <v>86</v>
      </c>
      <c r="T587" s="2" t="s">
        <v>87</v>
      </c>
      <c r="U587" s="2">
        <v>300</v>
      </c>
      <c r="V587" s="2">
        <v>350</v>
      </c>
      <c r="W587" s="2">
        <v>10787</v>
      </c>
      <c r="X587" s="2">
        <v>30.82</v>
      </c>
      <c r="Y587" s="2">
        <v>0.1</v>
      </c>
      <c r="AB587">
        <v>1</v>
      </c>
      <c r="AC587">
        <v>2015</v>
      </c>
      <c r="AE587" s="2">
        <v>35</v>
      </c>
    </row>
    <row r="588" spans="2:31" ht="14.5">
      <c r="B588" s="2">
        <v>48438</v>
      </c>
      <c r="C588" s="2" t="s">
        <v>1154</v>
      </c>
      <c r="D588" s="2" t="s">
        <v>1155</v>
      </c>
      <c r="E588" s="2" t="s">
        <v>118</v>
      </c>
      <c r="F588" s="2" t="s">
        <v>29</v>
      </c>
      <c r="G588" s="2" t="s">
        <v>30</v>
      </c>
      <c r="H588" s="2" t="s">
        <v>74</v>
      </c>
      <c r="I588" s="2" t="s">
        <v>32</v>
      </c>
      <c r="J588" s="2" t="s">
        <v>52</v>
      </c>
      <c r="K588" s="2" t="s">
        <v>34</v>
      </c>
      <c r="L588" s="3">
        <v>40500</v>
      </c>
      <c r="M588" s="3">
        <v>40570</v>
      </c>
      <c r="N588" s="3">
        <v>40570</v>
      </c>
      <c r="O588" s="3">
        <v>40570</v>
      </c>
      <c r="P588" s="2" t="s">
        <v>833</v>
      </c>
      <c r="Q588" s="2" t="s">
        <v>834</v>
      </c>
      <c r="R588" s="2" t="s">
        <v>835</v>
      </c>
      <c r="S588" s="2" t="s">
        <v>70</v>
      </c>
      <c r="T588" s="2" t="s">
        <v>39</v>
      </c>
      <c r="U588" s="2">
        <v>60</v>
      </c>
      <c r="V588" s="2">
        <v>223</v>
      </c>
      <c r="W588" s="2">
        <v>20404.5</v>
      </c>
      <c r="X588" s="2">
        <v>91.5</v>
      </c>
      <c r="Y588" s="2">
        <v>1.52</v>
      </c>
      <c r="Z588" s="2">
        <v>21</v>
      </c>
      <c r="AA588" s="2">
        <v>761</v>
      </c>
      <c r="AB588">
        <v>1</v>
      </c>
      <c r="AC588">
        <v>2011</v>
      </c>
      <c r="AE588" s="2">
        <v>338.96</v>
      </c>
    </row>
    <row r="589" spans="2:31" ht="14.5">
      <c r="B589" s="2">
        <v>48500</v>
      </c>
      <c r="C589" s="2" t="s">
        <v>1156</v>
      </c>
      <c r="D589" s="2" t="s">
        <v>1157</v>
      </c>
      <c r="E589" s="2" t="s">
        <v>42</v>
      </c>
      <c r="F589" s="2" t="s">
        <v>29</v>
      </c>
      <c r="G589" s="2" t="s">
        <v>30</v>
      </c>
      <c r="H589" s="2" t="s">
        <v>94</v>
      </c>
      <c r="I589" s="2" t="s">
        <v>32</v>
      </c>
      <c r="J589" s="2" t="s">
        <v>33</v>
      </c>
      <c r="K589" s="2" t="s">
        <v>646</v>
      </c>
      <c r="L589" s="3">
        <v>40449</v>
      </c>
      <c r="M589" s="3">
        <v>40603</v>
      </c>
      <c r="N589" s="3">
        <v>40603</v>
      </c>
      <c r="O589" s="3">
        <v>40603</v>
      </c>
      <c r="P589" s="2" t="s">
        <v>35</v>
      </c>
      <c r="Q589" s="2" t="s">
        <v>36</v>
      </c>
      <c r="R589" s="2" t="s">
        <v>37</v>
      </c>
      <c r="S589" s="2" t="s">
        <v>38</v>
      </c>
      <c r="T589" s="2" t="s">
        <v>39</v>
      </c>
      <c r="U589" s="2">
        <v>60</v>
      </c>
      <c r="V589" s="2">
        <v>176100</v>
      </c>
      <c r="W589" s="2">
        <v>427923</v>
      </c>
      <c r="X589" s="2">
        <v>2.4300000000000002</v>
      </c>
      <c r="Y589" s="2">
        <v>0.04</v>
      </c>
      <c r="Z589" s="2">
        <v>24219</v>
      </c>
      <c r="AA589" s="2">
        <v>23736.39</v>
      </c>
      <c r="AB589">
        <v>1</v>
      </c>
      <c r="AC589">
        <v>2011</v>
      </c>
      <c r="AE589" s="2">
        <v>7044</v>
      </c>
    </row>
    <row r="590" spans="2:31" ht="14.5">
      <c r="B590" s="2">
        <v>48623</v>
      </c>
      <c r="C590" s="2" t="s">
        <v>1158</v>
      </c>
      <c r="D590" s="2" t="s">
        <v>1159</v>
      </c>
      <c r="E590" s="2" t="s">
        <v>118</v>
      </c>
      <c r="F590" s="2" t="s">
        <v>29</v>
      </c>
      <c r="G590" s="2" t="s">
        <v>30</v>
      </c>
      <c r="H590" s="2" t="s">
        <v>109</v>
      </c>
      <c r="I590" s="2" t="s">
        <v>32</v>
      </c>
      <c r="J590" s="2" t="s">
        <v>33</v>
      </c>
      <c r="K590" s="2" t="s">
        <v>34</v>
      </c>
      <c r="L590" s="3">
        <v>41086</v>
      </c>
      <c r="M590" s="3">
        <v>41173</v>
      </c>
      <c r="N590" s="3">
        <v>41173</v>
      </c>
      <c r="O590" s="3">
        <v>41173</v>
      </c>
      <c r="P590" s="2" t="s">
        <v>813</v>
      </c>
      <c r="Q590" s="2" t="s">
        <v>814</v>
      </c>
      <c r="R590" s="2" t="s">
        <v>37</v>
      </c>
      <c r="S590" s="2" t="s">
        <v>815</v>
      </c>
      <c r="T590" s="2" t="s">
        <v>39</v>
      </c>
      <c r="U590" s="2">
        <v>30</v>
      </c>
      <c r="V590" s="2">
        <v>1558</v>
      </c>
      <c r="W590" s="2">
        <v>35055</v>
      </c>
      <c r="X590" s="2">
        <v>22.5</v>
      </c>
      <c r="Y590" s="2">
        <v>0.75</v>
      </c>
      <c r="Z590" s="2">
        <v>195</v>
      </c>
      <c r="AA590" s="2">
        <v>3387.72</v>
      </c>
      <c r="AB590">
        <v>1</v>
      </c>
      <c r="AC590">
        <v>2012</v>
      </c>
      <c r="AE590" s="2">
        <v>1168.5</v>
      </c>
    </row>
    <row r="591" spans="2:31" ht="14.5">
      <c r="B591" s="2">
        <v>48706</v>
      </c>
      <c r="C591" s="2" t="s">
        <v>1160</v>
      </c>
      <c r="D591" s="2" t="s">
        <v>1161</v>
      </c>
      <c r="E591" s="2" t="s">
        <v>42</v>
      </c>
      <c r="F591" s="2" t="s">
        <v>29</v>
      </c>
      <c r="G591" s="2" t="s">
        <v>30</v>
      </c>
      <c r="H591" s="2" t="s">
        <v>94</v>
      </c>
      <c r="I591" s="2" t="s">
        <v>32</v>
      </c>
      <c r="J591" s="2" t="s">
        <v>33</v>
      </c>
      <c r="K591" s="2" t="s">
        <v>646</v>
      </c>
      <c r="L591" s="3">
        <v>40449</v>
      </c>
      <c r="M591" s="3">
        <v>40603</v>
      </c>
      <c r="N591" s="3">
        <v>40603</v>
      </c>
      <c r="O591" s="3">
        <v>40603</v>
      </c>
      <c r="P591" s="2" t="s">
        <v>95</v>
      </c>
      <c r="Q591" s="2" t="s">
        <v>96</v>
      </c>
      <c r="R591" s="2" t="s">
        <v>37</v>
      </c>
      <c r="S591" s="2" t="s">
        <v>97</v>
      </c>
      <c r="T591" s="2" t="s">
        <v>39</v>
      </c>
      <c r="U591" s="2">
        <v>30</v>
      </c>
      <c r="V591" s="2">
        <v>38113</v>
      </c>
      <c r="W591" s="2">
        <v>157406.69</v>
      </c>
      <c r="X591" s="2">
        <v>4.13</v>
      </c>
      <c r="Y591" s="2">
        <v>0.14000000000000001</v>
      </c>
      <c r="Z591" s="2">
        <v>3077</v>
      </c>
      <c r="AA591" s="2">
        <v>6499.25</v>
      </c>
      <c r="AB591">
        <v>1</v>
      </c>
      <c r="AC591">
        <v>2011</v>
      </c>
      <c r="AE591" s="2">
        <v>5335.8200000000006</v>
      </c>
    </row>
    <row r="592" spans="2:31" ht="14.5">
      <c r="B592" s="2">
        <v>48945</v>
      </c>
      <c r="C592" s="2" t="s">
        <v>1162</v>
      </c>
      <c r="D592" s="2" t="s">
        <v>1163</v>
      </c>
      <c r="E592" s="2" t="s">
        <v>118</v>
      </c>
      <c r="F592" s="2" t="s">
        <v>29</v>
      </c>
      <c r="G592" s="2" t="s">
        <v>30</v>
      </c>
      <c r="H592" s="2" t="s">
        <v>109</v>
      </c>
      <c r="I592" s="2" t="s">
        <v>32</v>
      </c>
      <c r="J592" s="2" t="s">
        <v>33</v>
      </c>
      <c r="K592" s="2" t="s">
        <v>646</v>
      </c>
      <c r="L592" s="3">
        <v>41486</v>
      </c>
      <c r="M592" s="3">
        <v>41584</v>
      </c>
      <c r="N592" s="3">
        <v>41584</v>
      </c>
      <c r="O592" s="3">
        <v>41591</v>
      </c>
      <c r="P592" s="2" t="s">
        <v>44</v>
      </c>
      <c r="Q592" s="2" t="s">
        <v>45</v>
      </c>
      <c r="R592" s="2" t="s">
        <v>37</v>
      </c>
      <c r="S592" s="2" t="s">
        <v>46</v>
      </c>
      <c r="T592" s="2" t="s">
        <v>47</v>
      </c>
      <c r="U592" s="2">
        <v>60</v>
      </c>
      <c r="V592" s="2">
        <v>165179</v>
      </c>
      <c r="W592" s="2">
        <v>1072011.71</v>
      </c>
      <c r="X592" s="2">
        <v>6.49</v>
      </c>
      <c r="Y592" s="2">
        <v>0.11</v>
      </c>
      <c r="Z592" s="2">
        <v>37127</v>
      </c>
      <c r="AA592" s="2">
        <v>33981.11</v>
      </c>
      <c r="AB592">
        <v>1</v>
      </c>
      <c r="AC592">
        <v>2013</v>
      </c>
      <c r="AE592" s="2">
        <v>18169.689999999999</v>
      </c>
    </row>
    <row r="593" spans="2:31" ht="14.5">
      <c r="B593" s="2">
        <v>49003</v>
      </c>
      <c r="C593" s="2" t="s">
        <v>1164</v>
      </c>
      <c r="D593" s="2" t="s">
        <v>1165</v>
      </c>
      <c r="E593" s="2" t="s">
        <v>28</v>
      </c>
      <c r="F593" s="2" t="s">
        <v>29</v>
      </c>
      <c r="G593" s="2" t="s">
        <v>30</v>
      </c>
      <c r="H593" s="2" t="s">
        <v>81</v>
      </c>
      <c r="I593" s="2" t="s">
        <v>32</v>
      </c>
      <c r="J593" s="2" t="s">
        <v>82</v>
      </c>
      <c r="K593" s="2" t="s">
        <v>34</v>
      </c>
      <c r="L593" s="3">
        <v>40716</v>
      </c>
      <c r="M593" s="3">
        <v>40840</v>
      </c>
      <c r="N593" s="3">
        <v>40840</v>
      </c>
      <c r="O593" s="3">
        <v>40840</v>
      </c>
      <c r="P593" s="2" t="s">
        <v>150</v>
      </c>
      <c r="Q593" s="2" t="s">
        <v>84</v>
      </c>
      <c r="R593" s="2" t="s">
        <v>151</v>
      </c>
      <c r="S593" s="2" t="s">
        <v>152</v>
      </c>
      <c r="T593" s="2" t="s">
        <v>39</v>
      </c>
      <c r="U593" s="2">
        <v>120</v>
      </c>
      <c r="V593" s="2">
        <v>20000</v>
      </c>
      <c r="W593" s="2">
        <v>674000</v>
      </c>
      <c r="X593" s="2">
        <v>33.700000000000003</v>
      </c>
      <c r="Y593" s="2">
        <v>0.28000000000000003</v>
      </c>
      <c r="Z593" s="2">
        <v>4727</v>
      </c>
      <c r="AA593" s="2">
        <v>21584.02</v>
      </c>
      <c r="AB593">
        <v>1</v>
      </c>
      <c r="AC593">
        <v>2011</v>
      </c>
      <c r="AE593" s="2">
        <v>5600.0000000000009</v>
      </c>
    </row>
    <row r="594" spans="2:31" ht="14.5">
      <c r="B594" s="2">
        <v>49116</v>
      </c>
      <c r="C594" s="2" t="s">
        <v>1166</v>
      </c>
      <c r="D594" s="2" t="s">
        <v>1167</v>
      </c>
      <c r="E594" s="2" t="s">
        <v>28</v>
      </c>
      <c r="F594" s="2" t="s">
        <v>29</v>
      </c>
      <c r="G594" s="2" t="s">
        <v>50</v>
      </c>
      <c r="H594" s="2" t="s">
        <v>81</v>
      </c>
      <c r="I594" s="2" t="s">
        <v>32</v>
      </c>
      <c r="J594" s="2" t="s">
        <v>82</v>
      </c>
      <c r="K594" s="2" t="s">
        <v>34</v>
      </c>
      <c r="L594" s="3">
        <v>41684</v>
      </c>
      <c r="M594" s="3">
        <v>41877</v>
      </c>
      <c r="N594" s="3">
        <v>41877</v>
      </c>
      <c r="O594" s="3">
        <v>41886</v>
      </c>
      <c r="P594" s="2" t="s">
        <v>83</v>
      </c>
      <c r="Q594" s="2" t="s">
        <v>84</v>
      </c>
      <c r="R594" s="2" t="s">
        <v>85</v>
      </c>
      <c r="S594" s="2" t="s">
        <v>86</v>
      </c>
      <c r="T594" s="2" t="s">
        <v>87</v>
      </c>
      <c r="U594" s="2">
        <v>300</v>
      </c>
      <c r="V594" s="2">
        <v>268</v>
      </c>
      <c r="W594" s="2">
        <v>8259.76</v>
      </c>
      <c r="X594" s="2">
        <v>30.82</v>
      </c>
      <c r="Y594" s="2">
        <v>0.1</v>
      </c>
      <c r="Z594" s="2">
        <v>261</v>
      </c>
      <c r="AA594" s="2">
        <v>2569.33</v>
      </c>
      <c r="AB594">
        <v>1</v>
      </c>
      <c r="AC594">
        <v>2014</v>
      </c>
      <c r="AE594" s="2">
        <v>26.8</v>
      </c>
    </row>
    <row r="595" spans="2:31" ht="14.5">
      <c r="B595" s="2">
        <v>49169</v>
      </c>
      <c r="C595" s="2" t="s">
        <v>1168</v>
      </c>
      <c r="D595" s="2" t="s">
        <v>1169</v>
      </c>
      <c r="E595" s="2" t="s">
        <v>42</v>
      </c>
      <c r="F595" s="2" t="s">
        <v>29</v>
      </c>
      <c r="G595" s="2" t="s">
        <v>30</v>
      </c>
      <c r="H595" s="2" t="s">
        <v>109</v>
      </c>
      <c r="I595" s="2" t="s">
        <v>32</v>
      </c>
      <c r="J595" s="2" t="s">
        <v>52</v>
      </c>
      <c r="K595" s="2" t="s">
        <v>34</v>
      </c>
      <c r="L595" s="3">
        <v>41002</v>
      </c>
      <c r="M595" s="3">
        <v>41025</v>
      </c>
      <c r="N595" s="3">
        <v>41025</v>
      </c>
      <c r="O595" s="3">
        <v>41025</v>
      </c>
      <c r="P595" s="2" t="s">
        <v>754</v>
      </c>
      <c r="Q595" s="2" t="s">
        <v>755</v>
      </c>
      <c r="R595" s="2" t="s">
        <v>37</v>
      </c>
      <c r="S595" s="2" t="s">
        <v>756</v>
      </c>
      <c r="T595" s="2" t="s">
        <v>47</v>
      </c>
      <c r="U595" s="2">
        <v>30</v>
      </c>
      <c r="V595" s="2">
        <v>4560</v>
      </c>
      <c r="W595" s="2">
        <v>62335.199999999997</v>
      </c>
      <c r="X595" s="2">
        <v>13.67</v>
      </c>
      <c r="Y595" s="2">
        <v>0.46</v>
      </c>
      <c r="Z595" s="2">
        <v>561</v>
      </c>
      <c r="AA595" s="2">
        <v>5610.17</v>
      </c>
      <c r="AB595">
        <v>1</v>
      </c>
      <c r="AC595">
        <v>2012</v>
      </c>
      <c r="AE595" s="2">
        <v>2097.6</v>
      </c>
    </row>
    <row r="596" spans="2:31" ht="14.5">
      <c r="B596" s="2">
        <v>49214</v>
      </c>
      <c r="C596" s="2" t="s">
        <v>1170</v>
      </c>
      <c r="D596" s="2" t="s">
        <v>1171</v>
      </c>
      <c r="E596" s="2" t="s">
        <v>42</v>
      </c>
      <c r="F596" s="2" t="s">
        <v>29</v>
      </c>
      <c r="G596" s="2" t="s">
        <v>30</v>
      </c>
      <c r="H596" s="2" t="s">
        <v>94</v>
      </c>
      <c r="I596" s="2" t="s">
        <v>32</v>
      </c>
      <c r="J596" s="2" t="s">
        <v>52</v>
      </c>
      <c r="K596" s="2" t="s">
        <v>34</v>
      </c>
      <c r="L596" s="3">
        <v>40010</v>
      </c>
      <c r="M596" s="3">
        <v>40277</v>
      </c>
      <c r="N596" s="3">
        <v>40277</v>
      </c>
      <c r="O596" s="3">
        <v>40277</v>
      </c>
      <c r="P596" s="2" t="s">
        <v>35</v>
      </c>
      <c r="Q596" s="2" t="s">
        <v>36</v>
      </c>
      <c r="R596" s="2" t="s">
        <v>37</v>
      </c>
      <c r="S596" s="2" t="s">
        <v>38</v>
      </c>
      <c r="T596" s="2" t="s">
        <v>39</v>
      </c>
      <c r="U596" s="2">
        <v>60</v>
      </c>
      <c r="V596" s="2">
        <v>60300</v>
      </c>
      <c r="W596" s="2">
        <v>186327</v>
      </c>
      <c r="X596" s="2">
        <v>3.09</v>
      </c>
      <c r="Y596" s="2">
        <v>0.05</v>
      </c>
      <c r="Z596" s="2">
        <v>3539</v>
      </c>
      <c r="AA596" s="2">
        <v>16769.43</v>
      </c>
      <c r="AB596">
        <v>1</v>
      </c>
      <c r="AC596">
        <v>2010</v>
      </c>
      <c r="AE596" s="2">
        <v>3015</v>
      </c>
    </row>
    <row r="597" spans="2:31" ht="14.5">
      <c r="B597" s="2">
        <v>49320</v>
      </c>
      <c r="C597" s="2" t="s">
        <v>1172</v>
      </c>
      <c r="D597" s="2" t="s">
        <v>1173</v>
      </c>
      <c r="E597" s="2" t="s">
        <v>118</v>
      </c>
      <c r="F597" s="2" t="s">
        <v>29</v>
      </c>
      <c r="G597" s="2" t="s">
        <v>30</v>
      </c>
      <c r="H597" s="2" t="s">
        <v>81</v>
      </c>
      <c r="I597" s="2" t="s">
        <v>32</v>
      </c>
      <c r="J597" s="2" t="s">
        <v>82</v>
      </c>
      <c r="K597" s="2" t="s">
        <v>34</v>
      </c>
      <c r="L597" s="3">
        <v>41003</v>
      </c>
      <c r="M597" s="3">
        <v>41033</v>
      </c>
      <c r="N597" s="3">
        <v>41033</v>
      </c>
      <c r="O597" s="3">
        <v>41033</v>
      </c>
      <c r="P597" s="2" t="s">
        <v>855</v>
      </c>
      <c r="Q597" s="2" t="s">
        <v>385</v>
      </c>
      <c r="R597" s="2" t="s">
        <v>386</v>
      </c>
      <c r="S597" s="2" t="s">
        <v>330</v>
      </c>
      <c r="T597" s="2" t="s">
        <v>39</v>
      </c>
      <c r="U597" s="2">
        <v>60</v>
      </c>
      <c r="V597" s="2">
        <v>429</v>
      </c>
      <c r="W597" s="2">
        <v>2938.65</v>
      </c>
      <c r="X597" s="2">
        <v>6.85</v>
      </c>
      <c r="Y597" s="2">
        <v>0.11</v>
      </c>
      <c r="Z597" s="2">
        <v>62</v>
      </c>
      <c r="AA597" s="2">
        <v>1060.22</v>
      </c>
      <c r="AB597">
        <v>1</v>
      </c>
      <c r="AC597">
        <v>2012</v>
      </c>
      <c r="AE597" s="2">
        <v>47.19</v>
      </c>
    </row>
    <row r="598" spans="2:31" ht="14.5">
      <c r="B598" s="2">
        <v>49498</v>
      </c>
      <c r="C598" s="2" t="s">
        <v>1174</v>
      </c>
      <c r="D598" s="2" t="s">
        <v>1175</v>
      </c>
      <c r="E598" s="2" t="s">
        <v>118</v>
      </c>
      <c r="F598" s="2" t="s">
        <v>29</v>
      </c>
      <c r="G598" s="2" t="s">
        <v>30</v>
      </c>
      <c r="H598" s="2" t="s">
        <v>74</v>
      </c>
      <c r="I598" s="2" t="s">
        <v>32</v>
      </c>
      <c r="J598" s="2" t="s">
        <v>52</v>
      </c>
      <c r="K598" s="2" t="s">
        <v>34</v>
      </c>
      <c r="L598" s="3">
        <v>41159</v>
      </c>
      <c r="M598" s="3">
        <v>41187</v>
      </c>
      <c r="N598" s="3">
        <v>41187</v>
      </c>
      <c r="O598" s="3">
        <v>41187</v>
      </c>
      <c r="P598" s="2" t="s">
        <v>833</v>
      </c>
      <c r="Q598" s="2" t="s">
        <v>834</v>
      </c>
      <c r="R598" s="2" t="s">
        <v>835</v>
      </c>
      <c r="S598" s="2" t="s">
        <v>70</v>
      </c>
      <c r="T598" s="2" t="s">
        <v>39</v>
      </c>
      <c r="U598" s="2">
        <v>60</v>
      </c>
      <c r="V598" s="2">
        <v>390</v>
      </c>
      <c r="W598" s="2">
        <v>21645</v>
      </c>
      <c r="X598" s="2">
        <v>55.5</v>
      </c>
      <c r="Y598" s="2">
        <v>0.92</v>
      </c>
      <c r="Z598" s="2">
        <v>39</v>
      </c>
      <c r="AA598" s="2">
        <v>433</v>
      </c>
      <c r="AB598">
        <v>1</v>
      </c>
      <c r="AC598">
        <v>2012</v>
      </c>
      <c r="AE598" s="2">
        <v>358.8</v>
      </c>
    </row>
    <row r="599" spans="2:31" ht="14.5">
      <c r="B599" s="2">
        <v>49540</v>
      </c>
      <c r="C599" s="2" t="s">
        <v>2815</v>
      </c>
      <c r="D599" s="2" t="s">
        <v>2816</v>
      </c>
      <c r="E599" s="2" t="s">
        <v>2817</v>
      </c>
      <c r="F599" s="2" t="s">
        <v>29</v>
      </c>
      <c r="G599" s="2" t="s">
        <v>50</v>
      </c>
      <c r="H599" s="2" t="s">
        <v>31</v>
      </c>
      <c r="I599" s="2" t="s">
        <v>32</v>
      </c>
      <c r="J599" s="2" t="s">
        <v>33</v>
      </c>
      <c r="K599" s="2" t="s">
        <v>34</v>
      </c>
      <c r="L599" s="3">
        <v>41313</v>
      </c>
      <c r="M599" s="3">
        <v>41417</v>
      </c>
      <c r="N599" s="3">
        <v>41417</v>
      </c>
      <c r="O599" s="3">
        <v>41417</v>
      </c>
      <c r="P599" s="2" t="s">
        <v>717</v>
      </c>
      <c r="Q599" s="2" t="s">
        <v>36</v>
      </c>
      <c r="R599" s="2" t="s">
        <v>37</v>
      </c>
      <c r="S599" s="2" t="s">
        <v>179</v>
      </c>
      <c r="T599" s="2" t="s">
        <v>180</v>
      </c>
      <c r="U599" s="2">
        <v>30</v>
      </c>
      <c r="V599" s="2">
        <v>625</v>
      </c>
      <c r="W599" s="2">
        <v>781.25</v>
      </c>
      <c r="X599" s="2">
        <v>1.25</v>
      </c>
      <c r="Y599" s="2">
        <v>0.04</v>
      </c>
      <c r="Z599" s="2">
        <v>34</v>
      </c>
      <c r="AA599" s="2">
        <v>1191.93</v>
      </c>
      <c r="AB599">
        <v>1</v>
      </c>
      <c r="AC599">
        <v>2013</v>
      </c>
      <c r="AE599" s="2">
        <v>25</v>
      </c>
    </row>
    <row r="600" spans="2:31" ht="14.5">
      <c r="B600" s="2">
        <v>49653</v>
      </c>
      <c r="C600" s="2" t="s">
        <v>1130</v>
      </c>
      <c r="D600" s="2" t="s">
        <v>1131</v>
      </c>
      <c r="E600" s="2" t="s">
        <v>118</v>
      </c>
      <c r="F600" s="2" t="s">
        <v>29</v>
      </c>
      <c r="G600" s="2" t="s">
        <v>30</v>
      </c>
      <c r="H600" s="2" t="s">
        <v>103</v>
      </c>
      <c r="I600" s="2" t="s">
        <v>32</v>
      </c>
      <c r="J600" s="2" t="s">
        <v>52</v>
      </c>
      <c r="K600" s="2" t="s">
        <v>34</v>
      </c>
      <c r="L600" s="3">
        <v>41458</v>
      </c>
      <c r="M600" s="3">
        <v>41598</v>
      </c>
      <c r="N600" s="3">
        <v>41598</v>
      </c>
      <c r="O600" s="3">
        <v>41599</v>
      </c>
      <c r="P600" s="2" t="s">
        <v>864</v>
      </c>
      <c r="Q600" s="2" t="s">
        <v>865</v>
      </c>
      <c r="R600" s="2" t="s">
        <v>866</v>
      </c>
      <c r="S600" s="2" t="s">
        <v>100</v>
      </c>
      <c r="T600" s="2" t="s">
        <v>39</v>
      </c>
      <c r="U600" s="2">
        <v>120</v>
      </c>
      <c r="V600" s="2">
        <v>287</v>
      </c>
      <c r="W600" s="2">
        <v>19114.2</v>
      </c>
      <c r="X600" s="2">
        <v>66.599999999999994</v>
      </c>
      <c r="Y600" s="2">
        <v>0.55000000000000004</v>
      </c>
      <c r="AB600">
        <v>1</v>
      </c>
      <c r="AC600">
        <v>2013</v>
      </c>
      <c r="AE600" s="2">
        <v>157.85000000000002</v>
      </c>
    </row>
    <row r="601" spans="2:31" ht="14.5">
      <c r="B601" s="2">
        <v>49837</v>
      </c>
      <c r="C601" s="2" t="s">
        <v>1176</v>
      </c>
      <c r="D601" s="2" t="s">
        <v>1177</v>
      </c>
      <c r="E601" s="2" t="s">
        <v>42</v>
      </c>
      <c r="F601" s="2" t="s">
        <v>29</v>
      </c>
      <c r="G601" s="2" t="s">
        <v>30</v>
      </c>
      <c r="H601" s="2" t="s">
        <v>81</v>
      </c>
      <c r="I601" s="2" t="s">
        <v>32</v>
      </c>
      <c r="J601" s="2" t="s">
        <v>82</v>
      </c>
      <c r="K601" s="2" t="s">
        <v>34</v>
      </c>
      <c r="L601" s="3">
        <v>40858</v>
      </c>
      <c r="M601" s="3">
        <v>40966</v>
      </c>
      <c r="N601" s="3">
        <v>40966</v>
      </c>
      <c r="O601" s="3">
        <v>40966</v>
      </c>
      <c r="P601" s="2" t="s">
        <v>855</v>
      </c>
      <c r="Q601" s="2" t="s">
        <v>385</v>
      </c>
      <c r="R601" s="2" t="s">
        <v>386</v>
      </c>
      <c r="S601" s="2" t="s">
        <v>330</v>
      </c>
      <c r="T601" s="2" t="s">
        <v>39</v>
      </c>
      <c r="U601" s="2">
        <v>60</v>
      </c>
      <c r="V601" s="2">
        <v>110</v>
      </c>
      <c r="W601" s="2">
        <v>753.5</v>
      </c>
      <c r="X601" s="2">
        <v>6.85</v>
      </c>
      <c r="Y601" s="2">
        <v>0.11</v>
      </c>
      <c r="Z601" s="2">
        <v>43</v>
      </c>
      <c r="AA601" s="2">
        <v>1046.02</v>
      </c>
      <c r="AB601">
        <v>1</v>
      </c>
      <c r="AC601">
        <v>2012</v>
      </c>
      <c r="AE601" s="2">
        <v>12.1</v>
      </c>
    </row>
    <row r="602" spans="2:31" ht="14.5">
      <c r="B602" s="2">
        <v>50309</v>
      </c>
      <c r="C602" s="2" t="s">
        <v>1178</v>
      </c>
      <c r="D602" s="2" t="s">
        <v>1179</v>
      </c>
      <c r="E602" s="2" t="s">
        <v>118</v>
      </c>
      <c r="F602" s="2" t="s">
        <v>29</v>
      </c>
      <c r="G602" s="2" t="s">
        <v>50</v>
      </c>
      <c r="H602" s="2" t="s">
        <v>965</v>
      </c>
      <c r="I602" s="2" t="s">
        <v>32</v>
      </c>
      <c r="J602" s="2" t="s">
        <v>33</v>
      </c>
      <c r="K602" s="2" t="s">
        <v>34</v>
      </c>
      <c r="L602" s="3">
        <v>41312</v>
      </c>
      <c r="M602" s="3">
        <v>41374</v>
      </c>
      <c r="N602" s="3">
        <v>41374</v>
      </c>
      <c r="O602" s="3">
        <v>41374</v>
      </c>
      <c r="P602" s="2" t="s">
        <v>722</v>
      </c>
      <c r="Q602" s="2" t="s">
        <v>96</v>
      </c>
      <c r="R602" s="2" t="s">
        <v>37</v>
      </c>
      <c r="S602" s="2" t="s">
        <v>179</v>
      </c>
      <c r="T602" s="2" t="s">
        <v>64</v>
      </c>
      <c r="U602" s="2">
        <v>30</v>
      </c>
      <c r="V602" s="2">
        <v>168</v>
      </c>
      <c r="W602" s="2">
        <v>336</v>
      </c>
      <c r="X602" s="2">
        <v>2</v>
      </c>
      <c r="Y602" s="2">
        <v>7.0000000000000007E-2</v>
      </c>
      <c r="Z602" s="2">
        <v>8</v>
      </c>
      <c r="AA602" s="2">
        <v>1021.34</v>
      </c>
      <c r="AB602">
        <v>1</v>
      </c>
      <c r="AC602">
        <v>2013</v>
      </c>
      <c r="AE602" s="2">
        <v>11.760000000000002</v>
      </c>
    </row>
    <row r="603" spans="2:31" ht="14.5">
      <c r="B603" s="2">
        <v>50383</v>
      </c>
      <c r="C603" s="2" t="s">
        <v>781</v>
      </c>
      <c r="D603" s="2" t="s">
        <v>782</v>
      </c>
      <c r="E603" s="2" t="s">
        <v>28</v>
      </c>
      <c r="F603" s="2" t="s">
        <v>29</v>
      </c>
      <c r="G603" s="2" t="s">
        <v>50</v>
      </c>
      <c r="H603" s="2" t="s">
        <v>783</v>
      </c>
      <c r="I603" s="2" t="s">
        <v>32</v>
      </c>
      <c r="J603" s="2" t="s">
        <v>82</v>
      </c>
      <c r="K603" s="2" t="s">
        <v>34</v>
      </c>
      <c r="L603" s="3">
        <v>40759</v>
      </c>
      <c r="M603" s="3">
        <v>40997</v>
      </c>
      <c r="N603" s="3">
        <v>40997</v>
      </c>
      <c r="O603" s="3">
        <v>40997</v>
      </c>
      <c r="P603" s="2" t="s">
        <v>1180</v>
      </c>
      <c r="Q603" s="2" t="s">
        <v>54</v>
      </c>
      <c r="R603" s="2" t="s">
        <v>55</v>
      </c>
      <c r="S603" s="2" t="s">
        <v>1181</v>
      </c>
      <c r="T603" s="2" t="s">
        <v>180</v>
      </c>
      <c r="U603" s="2">
        <v>60</v>
      </c>
      <c r="V603" s="2">
        <v>3000</v>
      </c>
      <c r="W603" s="2">
        <v>21000</v>
      </c>
      <c r="X603" s="2">
        <v>7</v>
      </c>
      <c r="Y603" s="2">
        <v>0.12</v>
      </c>
      <c r="AB603">
        <v>1</v>
      </c>
      <c r="AC603">
        <v>2012</v>
      </c>
      <c r="AE603" s="2">
        <v>360</v>
      </c>
    </row>
    <row r="604" spans="2:31" ht="14.5">
      <c r="B604" s="2">
        <v>50483</v>
      </c>
      <c r="C604" s="2" t="s">
        <v>1182</v>
      </c>
      <c r="D604" s="2" t="s">
        <v>1183</v>
      </c>
      <c r="E604" s="2" t="s">
        <v>42</v>
      </c>
      <c r="F604" s="2" t="s">
        <v>29</v>
      </c>
      <c r="G604" s="2" t="s">
        <v>30</v>
      </c>
      <c r="H604" s="2" t="s">
        <v>31</v>
      </c>
      <c r="I604" s="2" t="s">
        <v>32</v>
      </c>
      <c r="J604" s="2" t="s">
        <v>52</v>
      </c>
      <c r="K604" s="2" t="s">
        <v>34</v>
      </c>
      <c r="L604" s="3">
        <v>40010</v>
      </c>
      <c r="M604" s="3">
        <v>40136</v>
      </c>
      <c r="N604" s="3">
        <v>40136</v>
      </c>
      <c r="O604" s="3">
        <v>40136</v>
      </c>
      <c r="P604" s="2" t="s">
        <v>484</v>
      </c>
      <c r="Q604" s="2" t="s">
        <v>105</v>
      </c>
      <c r="R604" s="2" t="s">
        <v>37</v>
      </c>
      <c r="S604" s="2" t="s">
        <v>100</v>
      </c>
      <c r="T604" s="2" t="s">
        <v>39</v>
      </c>
      <c r="U604" s="2">
        <v>30</v>
      </c>
      <c r="V604" s="2">
        <v>250</v>
      </c>
      <c r="W604" s="2">
        <v>2.5</v>
      </c>
      <c r="X604" s="2">
        <v>0.01</v>
      </c>
      <c r="Y604" s="2">
        <v>0</v>
      </c>
      <c r="Z604" s="2">
        <v>24</v>
      </c>
      <c r="AA604" s="2">
        <v>280.23</v>
      </c>
      <c r="AB604">
        <v>1</v>
      </c>
      <c r="AC604">
        <v>2009</v>
      </c>
      <c r="AE604" s="2">
        <v>0</v>
      </c>
    </row>
    <row r="605" spans="2:31" ht="14.5">
      <c r="B605" s="2">
        <v>50802</v>
      </c>
      <c r="C605" s="2" t="s">
        <v>1184</v>
      </c>
      <c r="D605" s="2" t="s">
        <v>1185</v>
      </c>
      <c r="E605" s="2" t="s">
        <v>28</v>
      </c>
      <c r="F605" s="2" t="s">
        <v>29</v>
      </c>
      <c r="G605" s="2" t="s">
        <v>30</v>
      </c>
      <c r="H605" s="2" t="s">
        <v>31</v>
      </c>
      <c r="I605" s="2" t="s">
        <v>32</v>
      </c>
      <c r="J605" s="2" t="s">
        <v>33</v>
      </c>
      <c r="K605" s="2" t="s">
        <v>34</v>
      </c>
      <c r="L605" s="3">
        <v>41575</v>
      </c>
      <c r="M605" s="3">
        <v>41639</v>
      </c>
      <c r="N605" s="3">
        <v>41639</v>
      </c>
      <c r="O605" s="3">
        <v>41642</v>
      </c>
      <c r="P605" s="2" t="s">
        <v>333</v>
      </c>
      <c r="Q605" s="2" t="s">
        <v>225</v>
      </c>
      <c r="R605" s="2" t="s">
        <v>37</v>
      </c>
      <c r="S605" s="2" t="s">
        <v>100</v>
      </c>
      <c r="T605" s="2" t="s">
        <v>39</v>
      </c>
      <c r="U605" s="2">
        <v>60</v>
      </c>
      <c r="V605" s="2">
        <v>11500</v>
      </c>
      <c r="W605" s="2">
        <v>62445</v>
      </c>
      <c r="X605" s="2">
        <v>5.43</v>
      </c>
      <c r="Y605" s="2">
        <v>0.09</v>
      </c>
      <c r="Z605" s="2">
        <v>632</v>
      </c>
      <c r="AA605" s="2">
        <v>4168.1899999999996</v>
      </c>
      <c r="AB605">
        <v>1</v>
      </c>
      <c r="AC605">
        <v>2014</v>
      </c>
      <c r="AE605" s="2">
        <v>1035</v>
      </c>
    </row>
    <row r="606" spans="2:31" ht="14.5">
      <c r="B606" s="2">
        <v>50876</v>
      </c>
      <c r="C606" s="2" t="s">
        <v>1186</v>
      </c>
      <c r="D606" s="2" t="s">
        <v>1187</v>
      </c>
      <c r="E606" s="2" t="s">
        <v>42</v>
      </c>
      <c r="F606" s="2" t="s">
        <v>29</v>
      </c>
      <c r="G606" s="2" t="s">
        <v>30</v>
      </c>
      <c r="H606" s="2" t="s">
        <v>94</v>
      </c>
      <c r="I606" s="2" t="s">
        <v>32</v>
      </c>
      <c r="J606" s="2" t="s">
        <v>33</v>
      </c>
      <c r="K606" s="2" t="s">
        <v>646</v>
      </c>
      <c r="L606" s="3">
        <v>41106</v>
      </c>
      <c r="M606" s="3">
        <v>41285</v>
      </c>
      <c r="N606" s="3">
        <v>41285</v>
      </c>
      <c r="O606" s="3">
        <v>41285</v>
      </c>
      <c r="P606" s="2" t="s">
        <v>139</v>
      </c>
      <c r="Q606" s="2" t="s">
        <v>140</v>
      </c>
      <c r="R606" s="2" t="s">
        <v>37</v>
      </c>
      <c r="S606" s="2" t="s">
        <v>141</v>
      </c>
      <c r="T606" s="2" t="s">
        <v>47</v>
      </c>
      <c r="U606" s="2">
        <v>60</v>
      </c>
      <c r="V606" s="2">
        <v>63410</v>
      </c>
      <c r="W606" s="2">
        <v>278369.90000000002</v>
      </c>
      <c r="X606" s="2">
        <v>4.3899999999999997</v>
      </c>
      <c r="Y606" s="2">
        <v>7.0000000000000007E-2</v>
      </c>
      <c r="Z606" s="2">
        <v>6589</v>
      </c>
      <c r="AA606" s="2">
        <v>17075.43</v>
      </c>
      <c r="AB606">
        <v>1</v>
      </c>
      <c r="AC606">
        <v>2013</v>
      </c>
      <c r="AE606" s="2">
        <v>4438.7000000000007</v>
      </c>
    </row>
    <row r="607" spans="2:31" ht="14.5">
      <c r="B607" s="2">
        <v>50918</v>
      </c>
      <c r="C607" s="2" t="s">
        <v>1188</v>
      </c>
      <c r="D607" s="2" t="s">
        <v>1189</v>
      </c>
      <c r="E607" s="2" t="s">
        <v>42</v>
      </c>
      <c r="F607" s="2" t="s">
        <v>29</v>
      </c>
      <c r="G607" s="2" t="s">
        <v>30</v>
      </c>
      <c r="H607" s="2" t="s">
        <v>94</v>
      </c>
      <c r="I607" s="2" t="s">
        <v>32</v>
      </c>
      <c r="J607" s="2" t="s">
        <v>33</v>
      </c>
      <c r="K607" s="2" t="s">
        <v>646</v>
      </c>
      <c r="L607" s="3">
        <v>40449</v>
      </c>
      <c r="M607" s="3">
        <v>40603</v>
      </c>
      <c r="N607" s="3">
        <v>40603</v>
      </c>
      <c r="O607" s="3">
        <v>40603</v>
      </c>
      <c r="P607" s="2" t="s">
        <v>35</v>
      </c>
      <c r="Q607" s="2" t="s">
        <v>36</v>
      </c>
      <c r="R607" s="2" t="s">
        <v>37</v>
      </c>
      <c r="S607" s="2" t="s">
        <v>38</v>
      </c>
      <c r="T607" s="2" t="s">
        <v>39</v>
      </c>
      <c r="U607" s="2">
        <v>60</v>
      </c>
      <c r="V607" s="2">
        <v>206475</v>
      </c>
      <c r="W607" s="2">
        <v>501734.25</v>
      </c>
      <c r="X607" s="2">
        <v>2.4300000000000002</v>
      </c>
      <c r="Y607" s="2">
        <v>0.04</v>
      </c>
      <c r="Z607" s="2">
        <v>12077</v>
      </c>
      <c r="AA607" s="2">
        <v>19328.36</v>
      </c>
      <c r="AB607">
        <v>1</v>
      </c>
      <c r="AC607">
        <v>2011</v>
      </c>
      <c r="AE607" s="2">
        <v>8259</v>
      </c>
    </row>
    <row r="608" spans="2:31" ht="14.5">
      <c r="B608" s="2">
        <v>50976</v>
      </c>
      <c r="C608" s="2" t="s">
        <v>1190</v>
      </c>
      <c r="D608" s="2" t="s">
        <v>1191</v>
      </c>
      <c r="E608" s="2" t="s">
        <v>42</v>
      </c>
      <c r="F608" s="2" t="s">
        <v>29</v>
      </c>
      <c r="G608" s="2" t="s">
        <v>30</v>
      </c>
      <c r="H608" s="2" t="s">
        <v>109</v>
      </c>
      <c r="I608" s="2" t="s">
        <v>32</v>
      </c>
      <c r="J608" s="2" t="s">
        <v>52</v>
      </c>
      <c r="K608" s="2" t="s">
        <v>34</v>
      </c>
      <c r="L608" s="3">
        <v>40449</v>
      </c>
      <c r="M608" s="3">
        <v>40571</v>
      </c>
      <c r="N608" s="3">
        <v>40571</v>
      </c>
      <c r="O608" s="3">
        <v>40571</v>
      </c>
      <c r="P608" s="2" t="s">
        <v>754</v>
      </c>
      <c r="Q608" s="2" t="s">
        <v>755</v>
      </c>
      <c r="R608" s="2" t="s">
        <v>37</v>
      </c>
      <c r="S608" s="2" t="s">
        <v>756</v>
      </c>
      <c r="T608" s="2" t="s">
        <v>47</v>
      </c>
      <c r="U608" s="2">
        <v>30</v>
      </c>
      <c r="V608" s="2">
        <v>5244</v>
      </c>
      <c r="W608" s="2">
        <v>91665.12</v>
      </c>
      <c r="X608" s="2">
        <v>17.48</v>
      </c>
      <c r="Y608" s="2">
        <v>0.57999999999999996</v>
      </c>
      <c r="AB608">
        <v>1</v>
      </c>
      <c r="AC608">
        <v>2011</v>
      </c>
      <c r="AE608" s="2">
        <v>3041.52</v>
      </c>
    </row>
    <row r="609" spans="2:31" ht="14.5">
      <c r="B609" s="2">
        <v>51928</v>
      </c>
      <c r="C609" s="2" t="s">
        <v>1192</v>
      </c>
      <c r="D609" s="2" t="s">
        <v>1193</v>
      </c>
      <c r="E609" s="2" t="s">
        <v>60</v>
      </c>
      <c r="F609" s="2" t="s">
        <v>29</v>
      </c>
      <c r="G609" s="2" t="s">
        <v>30</v>
      </c>
      <c r="H609" s="2" t="s">
        <v>109</v>
      </c>
      <c r="I609" s="2" t="s">
        <v>32</v>
      </c>
      <c r="J609" s="2" t="s">
        <v>33</v>
      </c>
      <c r="K609" s="2" t="s">
        <v>34</v>
      </c>
      <c r="L609" s="3">
        <v>40142</v>
      </c>
      <c r="M609" s="3">
        <v>40177</v>
      </c>
      <c r="N609" s="3">
        <v>40177</v>
      </c>
      <c r="O609" s="3">
        <v>40177</v>
      </c>
      <c r="P609" s="2" t="s">
        <v>164</v>
      </c>
      <c r="Q609" s="2" t="s">
        <v>165</v>
      </c>
      <c r="R609" s="2" t="s">
        <v>37</v>
      </c>
      <c r="S609" s="2" t="s">
        <v>166</v>
      </c>
      <c r="T609" s="2" t="s">
        <v>39</v>
      </c>
      <c r="U609" s="2">
        <v>60</v>
      </c>
      <c r="V609" s="2">
        <v>50000</v>
      </c>
      <c r="W609" s="2">
        <v>130000</v>
      </c>
      <c r="X609" s="2">
        <v>2.6</v>
      </c>
      <c r="Y609" s="2">
        <v>0.04</v>
      </c>
      <c r="Z609" s="2">
        <v>2504</v>
      </c>
      <c r="AA609" s="2">
        <v>7354.24</v>
      </c>
      <c r="AB609">
        <v>1</v>
      </c>
      <c r="AC609">
        <v>2009</v>
      </c>
      <c r="AE609" s="2">
        <v>2000</v>
      </c>
    </row>
    <row r="610" spans="2:31" ht="14.5">
      <c r="B610" s="2">
        <v>51990</v>
      </c>
      <c r="C610" s="2" t="s">
        <v>1194</v>
      </c>
      <c r="D610" s="2" t="s">
        <v>1195</v>
      </c>
      <c r="E610" s="2" t="s">
        <v>42</v>
      </c>
      <c r="F610" s="2" t="s">
        <v>29</v>
      </c>
      <c r="G610" s="2" t="s">
        <v>30</v>
      </c>
      <c r="H610" s="2" t="s">
        <v>94</v>
      </c>
      <c r="I610" s="2" t="s">
        <v>32</v>
      </c>
      <c r="J610" s="2" t="s">
        <v>33</v>
      </c>
      <c r="K610" s="2" t="s">
        <v>646</v>
      </c>
      <c r="L610" s="3">
        <v>40449</v>
      </c>
      <c r="M610" s="3">
        <v>40694</v>
      </c>
      <c r="N610" s="3">
        <v>40694</v>
      </c>
      <c r="O610" s="3">
        <v>40694</v>
      </c>
      <c r="P610" s="2" t="s">
        <v>706</v>
      </c>
      <c r="Q610" s="2" t="s">
        <v>707</v>
      </c>
      <c r="R610" s="2" t="s">
        <v>37</v>
      </c>
      <c r="S610" s="2" t="s">
        <v>708</v>
      </c>
      <c r="T610" s="2" t="s">
        <v>47</v>
      </c>
      <c r="U610" s="2">
        <v>30</v>
      </c>
      <c r="V610" s="2">
        <v>82981</v>
      </c>
      <c r="W610" s="2">
        <v>776702.16</v>
      </c>
      <c r="X610" s="2">
        <v>9.36</v>
      </c>
      <c r="Y610" s="2">
        <v>0.31</v>
      </c>
      <c r="Z610" s="2">
        <v>6683</v>
      </c>
      <c r="AA610" s="2">
        <v>14760.6</v>
      </c>
      <c r="AB610">
        <v>1</v>
      </c>
      <c r="AC610">
        <v>2011</v>
      </c>
      <c r="AE610" s="2">
        <v>25724.11</v>
      </c>
    </row>
    <row r="611" spans="2:31" ht="14.5">
      <c r="B611" s="2">
        <v>52093</v>
      </c>
      <c r="C611" s="2" t="s">
        <v>1196</v>
      </c>
      <c r="D611" s="2" t="s">
        <v>1197</v>
      </c>
      <c r="E611" s="2" t="s">
        <v>42</v>
      </c>
      <c r="F611" s="2" t="s">
        <v>29</v>
      </c>
      <c r="G611" s="2" t="s">
        <v>30</v>
      </c>
      <c r="H611" s="2" t="s">
        <v>109</v>
      </c>
      <c r="I611" s="2" t="s">
        <v>32</v>
      </c>
      <c r="J611" s="2" t="s">
        <v>52</v>
      </c>
      <c r="K611" s="2" t="s">
        <v>34</v>
      </c>
      <c r="L611" s="3">
        <v>40283</v>
      </c>
      <c r="M611" s="3">
        <v>40461</v>
      </c>
      <c r="N611" s="3">
        <v>40461</v>
      </c>
      <c r="O611" s="3">
        <v>40461</v>
      </c>
      <c r="P611" s="2" t="s">
        <v>44</v>
      </c>
      <c r="Q611" s="2" t="s">
        <v>45</v>
      </c>
      <c r="R611" s="2" t="s">
        <v>37</v>
      </c>
      <c r="S611" s="2" t="s">
        <v>46</v>
      </c>
      <c r="T611" s="2" t="s">
        <v>47</v>
      </c>
      <c r="U611" s="2">
        <v>60</v>
      </c>
      <c r="V611" s="2">
        <v>21080</v>
      </c>
      <c r="W611" s="2">
        <v>189720</v>
      </c>
      <c r="X611" s="2">
        <v>9</v>
      </c>
      <c r="Y611" s="2">
        <v>0.15</v>
      </c>
      <c r="Z611" s="2">
        <v>1716</v>
      </c>
      <c r="AA611" s="2">
        <v>17074.8</v>
      </c>
      <c r="AB611">
        <v>1</v>
      </c>
      <c r="AC611">
        <v>2010</v>
      </c>
      <c r="AE611" s="2">
        <v>3162</v>
      </c>
    </row>
    <row r="612" spans="2:31" ht="14.5">
      <c r="B612" s="2">
        <v>52228</v>
      </c>
      <c r="C612" s="2" t="s">
        <v>1198</v>
      </c>
      <c r="D612" s="2" t="s">
        <v>1199</v>
      </c>
      <c r="E612" s="2" t="s">
        <v>42</v>
      </c>
      <c r="F612" s="2" t="s">
        <v>29</v>
      </c>
      <c r="G612" s="2" t="s">
        <v>30</v>
      </c>
      <c r="H612" s="2" t="s">
        <v>74</v>
      </c>
      <c r="I612" s="2" t="s">
        <v>32</v>
      </c>
      <c r="J612" s="2" t="s">
        <v>52</v>
      </c>
      <c r="K612" s="2" t="s">
        <v>34</v>
      </c>
      <c r="L612" s="3">
        <v>41438</v>
      </c>
      <c r="M612" s="3">
        <v>41566</v>
      </c>
      <c r="N612" s="3">
        <v>41566</v>
      </c>
      <c r="O612" s="3">
        <v>41569</v>
      </c>
      <c r="P612" s="2" t="s">
        <v>568</v>
      </c>
      <c r="Q612" s="2" t="s">
        <v>569</v>
      </c>
      <c r="R612" s="2" t="s">
        <v>570</v>
      </c>
      <c r="S612" s="2" t="s">
        <v>70</v>
      </c>
      <c r="T612" s="2" t="s">
        <v>64</v>
      </c>
      <c r="U612" s="2">
        <v>180</v>
      </c>
      <c r="V612" s="2">
        <v>36</v>
      </c>
      <c r="W612" s="2">
        <v>1800</v>
      </c>
      <c r="X612" s="2">
        <v>50</v>
      </c>
      <c r="Y612" s="2">
        <v>0.28000000000000003</v>
      </c>
      <c r="AB612">
        <v>1</v>
      </c>
      <c r="AC612">
        <v>2013</v>
      </c>
      <c r="AE612" s="2">
        <v>10.080000000000002</v>
      </c>
    </row>
    <row r="613" spans="2:31" ht="14.5">
      <c r="B613" s="2">
        <v>52244</v>
      </c>
      <c r="C613" s="2" t="s">
        <v>1200</v>
      </c>
      <c r="D613" s="2" t="s">
        <v>1201</v>
      </c>
      <c r="E613" s="2" t="s">
        <v>42</v>
      </c>
      <c r="F613" s="2" t="s">
        <v>29</v>
      </c>
      <c r="G613" s="2" t="s">
        <v>30</v>
      </c>
      <c r="H613" s="2" t="s">
        <v>43</v>
      </c>
      <c r="I613" s="2" t="s">
        <v>32</v>
      </c>
      <c r="J613" s="2" t="s">
        <v>52</v>
      </c>
      <c r="K613" s="2" t="s">
        <v>34</v>
      </c>
      <c r="L613" s="3">
        <v>40981</v>
      </c>
      <c r="M613" s="3">
        <v>41052</v>
      </c>
      <c r="N613" s="3">
        <v>41052</v>
      </c>
      <c r="O613" s="3">
        <v>41052</v>
      </c>
      <c r="P613" s="2" t="s">
        <v>484</v>
      </c>
      <c r="Q613" s="2" t="s">
        <v>105</v>
      </c>
      <c r="R613" s="2" t="s">
        <v>37</v>
      </c>
      <c r="S613" s="2" t="s">
        <v>100</v>
      </c>
      <c r="T613" s="2" t="s">
        <v>39</v>
      </c>
      <c r="U613" s="2">
        <v>30</v>
      </c>
      <c r="V613" s="2">
        <v>768</v>
      </c>
      <c r="W613" s="2">
        <v>4369.92</v>
      </c>
      <c r="X613" s="2">
        <v>5.69</v>
      </c>
      <c r="Y613" s="2">
        <v>0.19</v>
      </c>
      <c r="Z613" s="2">
        <v>55</v>
      </c>
      <c r="AA613" s="2">
        <v>393.29</v>
      </c>
      <c r="AB613">
        <v>1</v>
      </c>
      <c r="AC613">
        <v>2012</v>
      </c>
      <c r="AE613" s="2">
        <v>145.92000000000002</v>
      </c>
    </row>
    <row r="614" spans="2:31" ht="14.5">
      <c r="B614" s="2">
        <v>52364</v>
      </c>
      <c r="C614" s="2" t="s">
        <v>1202</v>
      </c>
      <c r="D614" s="2" t="s">
        <v>1203</v>
      </c>
      <c r="E614" s="2" t="s">
        <v>118</v>
      </c>
      <c r="F614" s="2" t="s">
        <v>29</v>
      </c>
      <c r="G614" s="2" t="s">
        <v>50</v>
      </c>
      <c r="H614" s="2" t="s">
        <v>81</v>
      </c>
      <c r="I614" s="2" t="s">
        <v>32</v>
      </c>
      <c r="J614" s="2" t="s">
        <v>82</v>
      </c>
      <c r="K614" s="2" t="s">
        <v>34</v>
      </c>
      <c r="L614" s="3">
        <v>41813</v>
      </c>
      <c r="M614" s="3">
        <v>41949</v>
      </c>
      <c r="N614" s="3">
        <v>41949</v>
      </c>
      <c r="O614" s="3">
        <v>41950</v>
      </c>
      <c r="P614" s="2" t="s">
        <v>90</v>
      </c>
      <c r="Q614" s="2" t="s">
        <v>84</v>
      </c>
      <c r="R614" s="2" t="s">
        <v>37</v>
      </c>
      <c r="S614" s="2" t="s">
        <v>91</v>
      </c>
      <c r="T614" s="2" t="s">
        <v>39</v>
      </c>
      <c r="U614" s="2">
        <v>60</v>
      </c>
      <c r="V614" s="2">
        <v>724</v>
      </c>
      <c r="W614" s="2">
        <v>4300.5600000000004</v>
      </c>
      <c r="X614" s="2">
        <v>5.94</v>
      </c>
      <c r="Y614" s="2">
        <v>0.1</v>
      </c>
      <c r="Z614" s="2">
        <v>82</v>
      </c>
      <c r="AA614" s="2">
        <v>1042.3599999999999</v>
      </c>
      <c r="AB614">
        <v>1</v>
      </c>
      <c r="AC614">
        <v>2014</v>
      </c>
      <c r="AE614" s="2">
        <v>72.400000000000006</v>
      </c>
    </row>
    <row r="615" spans="2:31" ht="14.5">
      <c r="B615" s="2">
        <v>52398</v>
      </c>
      <c r="C615" s="2" t="s">
        <v>1204</v>
      </c>
      <c r="D615" s="2" t="s">
        <v>1205</v>
      </c>
      <c r="E615" s="2" t="s">
        <v>118</v>
      </c>
      <c r="F615" s="2" t="s">
        <v>29</v>
      </c>
      <c r="G615" s="2" t="s">
        <v>30</v>
      </c>
      <c r="H615" s="2" t="s">
        <v>175</v>
      </c>
      <c r="I615" s="2" t="s">
        <v>32</v>
      </c>
      <c r="J615" s="2" t="s">
        <v>33</v>
      </c>
      <c r="K615" s="2" t="s">
        <v>646</v>
      </c>
      <c r="L615" s="3">
        <v>41485</v>
      </c>
      <c r="M615" s="3">
        <v>41586</v>
      </c>
      <c r="N615" s="3">
        <v>41586</v>
      </c>
      <c r="O615" s="3">
        <v>41591</v>
      </c>
      <c r="P615" s="2" t="s">
        <v>95</v>
      </c>
      <c r="Q615" s="2" t="s">
        <v>96</v>
      </c>
      <c r="R615" s="2" t="s">
        <v>37</v>
      </c>
      <c r="S615" s="2" t="s">
        <v>97</v>
      </c>
      <c r="T615" s="2" t="s">
        <v>39</v>
      </c>
      <c r="U615" s="2">
        <v>30</v>
      </c>
      <c r="V615" s="2">
        <v>71348</v>
      </c>
      <c r="W615" s="2">
        <v>227600.12</v>
      </c>
      <c r="X615" s="2">
        <v>3.19</v>
      </c>
      <c r="Y615" s="2">
        <v>0.11</v>
      </c>
      <c r="Z615" s="2">
        <v>4334</v>
      </c>
      <c r="AA615" s="2">
        <v>8144.11</v>
      </c>
      <c r="AB615">
        <v>1</v>
      </c>
      <c r="AC615">
        <v>2013</v>
      </c>
      <c r="AE615" s="2">
        <v>7848.28</v>
      </c>
    </row>
    <row r="616" spans="2:31" ht="14.5">
      <c r="B616" s="2">
        <v>52460</v>
      </c>
      <c r="C616" s="2" t="s">
        <v>1206</v>
      </c>
      <c r="D616" s="2" t="s">
        <v>1207</v>
      </c>
      <c r="E616" s="2" t="s">
        <v>42</v>
      </c>
      <c r="F616" s="2" t="s">
        <v>29</v>
      </c>
      <c r="G616" s="2" t="s">
        <v>50</v>
      </c>
      <c r="H616" s="2" t="s">
        <v>81</v>
      </c>
      <c r="I616" s="2" t="s">
        <v>32</v>
      </c>
      <c r="J616" s="2" t="s">
        <v>82</v>
      </c>
      <c r="K616" s="2" t="s">
        <v>34</v>
      </c>
      <c r="L616" s="3">
        <v>40858</v>
      </c>
      <c r="M616" s="3">
        <v>40935</v>
      </c>
      <c r="N616" s="3">
        <v>40935</v>
      </c>
      <c r="O616" s="3">
        <v>40935</v>
      </c>
      <c r="P616" s="2" t="s">
        <v>90</v>
      </c>
      <c r="Q616" s="2" t="s">
        <v>84</v>
      </c>
      <c r="R616" s="2" t="s">
        <v>37</v>
      </c>
      <c r="S616" s="2" t="s">
        <v>91</v>
      </c>
      <c r="T616" s="2" t="s">
        <v>39</v>
      </c>
      <c r="U616" s="2">
        <v>60</v>
      </c>
      <c r="V616" s="2">
        <v>1395</v>
      </c>
      <c r="W616" s="2">
        <v>10755.45</v>
      </c>
      <c r="X616" s="2">
        <v>7.71</v>
      </c>
      <c r="Y616" s="2">
        <v>0.13</v>
      </c>
      <c r="Z616" s="2">
        <v>188</v>
      </c>
      <c r="AA616" s="2">
        <v>3035.87</v>
      </c>
      <c r="AB616">
        <v>1</v>
      </c>
      <c r="AC616">
        <v>2012</v>
      </c>
      <c r="AE616" s="2">
        <v>181.35</v>
      </c>
    </row>
    <row r="617" spans="2:31" ht="14.5">
      <c r="B617" s="2">
        <v>52465</v>
      </c>
      <c r="C617" s="2" t="s">
        <v>1208</v>
      </c>
      <c r="D617" s="2" t="s">
        <v>1209</v>
      </c>
      <c r="E617" s="2" t="s">
        <v>118</v>
      </c>
      <c r="F617" s="2" t="s">
        <v>29</v>
      </c>
      <c r="G617" s="2" t="s">
        <v>30</v>
      </c>
      <c r="H617" s="2" t="s">
        <v>109</v>
      </c>
      <c r="I617" s="2" t="s">
        <v>32</v>
      </c>
      <c r="J617" s="2" t="s">
        <v>33</v>
      </c>
      <c r="K617" s="2" t="s">
        <v>34</v>
      </c>
      <c r="L617" s="3">
        <v>41439</v>
      </c>
      <c r="M617" s="3">
        <v>41502</v>
      </c>
      <c r="N617" s="3">
        <v>41502</v>
      </c>
      <c r="O617" s="3">
        <v>41502</v>
      </c>
      <c r="P617" s="2" t="s">
        <v>112</v>
      </c>
      <c r="Q617" s="2" t="s">
        <v>113</v>
      </c>
      <c r="R617" s="2" t="s">
        <v>37</v>
      </c>
      <c r="S617" s="2" t="s">
        <v>114</v>
      </c>
      <c r="T617" s="2" t="s">
        <v>47</v>
      </c>
      <c r="U617" s="2">
        <v>60</v>
      </c>
      <c r="V617" s="2">
        <v>60678</v>
      </c>
      <c r="W617" s="2">
        <v>491491.8</v>
      </c>
      <c r="X617" s="2">
        <v>8.1</v>
      </c>
      <c r="Y617" s="2">
        <v>0.13</v>
      </c>
      <c r="Z617" s="2">
        <v>8402</v>
      </c>
      <c r="AA617" s="2">
        <v>28304.85</v>
      </c>
      <c r="AB617">
        <v>1</v>
      </c>
      <c r="AC617">
        <v>2013</v>
      </c>
      <c r="AE617" s="2">
        <v>7888.14</v>
      </c>
    </row>
    <row r="618" spans="2:31" ht="14.5">
      <c r="B618" s="2">
        <v>52540</v>
      </c>
      <c r="C618" s="2" t="s">
        <v>1210</v>
      </c>
      <c r="D618" s="2" t="s">
        <v>1211</v>
      </c>
      <c r="E618" s="2" t="s">
        <v>60</v>
      </c>
      <c r="F618" s="2" t="s">
        <v>29</v>
      </c>
      <c r="G618" s="2" t="s">
        <v>30</v>
      </c>
      <c r="H618" s="2" t="s">
        <v>31</v>
      </c>
      <c r="I618" s="2" t="s">
        <v>32</v>
      </c>
      <c r="J618" s="2" t="s">
        <v>33</v>
      </c>
      <c r="K618" s="2" t="s">
        <v>34</v>
      </c>
      <c r="L618" s="3">
        <v>40575</v>
      </c>
      <c r="M618" s="3">
        <v>40667</v>
      </c>
      <c r="N618" s="3">
        <v>40667</v>
      </c>
      <c r="O618" s="3">
        <v>40667</v>
      </c>
      <c r="P618" s="2" t="s">
        <v>772</v>
      </c>
      <c r="Q618" s="2" t="s">
        <v>54</v>
      </c>
      <c r="R618" s="2" t="s">
        <v>37</v>
      </c>
      <c r="S618" s="2" t="s">
        <v>120</v>
      </c>
      <c r="T618" s="2" t="s">
        <v>773</v>
      </c>
      <c r="U618" s="2">
        <v>30</v>
      </c>
      <c r="V618" s="2">
        <v>1625</v>
      </c>
      <c r="W618" s="2">
        <v>21125</v>
      </c>
      <c r="X618" s="2">
        <v>13</v>
      </c>
      <c r="Y618" s="2">
        <v>0.43</v>
      </c>
      <c r="Z618" s="2">
        <v>111</v>
      </c>
      <c r="AA618" s="2">
        <v>1206.6199999999999</v>
      </c>
      <c r="AB618">
        <v>1</v>
      </c>
      <c r="AC618">
        <v>2011</v>
      </c>
      <c r="AE618" s="2">
        <v>698.75</v>
      </c>
    </row>
    <row r="619" spans="2:31" ht="14.5">
      <c r="B619" s="2">
        <v>52617</v>
      </c>
      <c r="C619" s="2" t="s">
        <v>766</v>
      </c>
      <c r="D619" s="2" t="s">
        <v>1212</v>
      </c>
      <c r="E619" s="2" t="s">
        <v>42</v>
      </c>
      <c r="F619" s="2" t="s">
        <v>29</v>
      </c>
      <c r="G619" s="2" t="s">
        <v>30</v>
      </c>
      <c r="H619" s="2" t="s">
        <v>31</v>
      </c>
      <c r="I619" s="2" t="s">
        <v>32</v>
      </c>
      <c r="J619" s="2" t="s">
        <v>33</v>
      </c>
      <c r="K619" s="2" t="s">
        <v>34</v>
      </c>
      <c r="L619" s="3">
        <v>40890</v>
      </c>
      <c r="M619" s="3">
        <v>40932</v>
      </c>
      <c r="N619" s="3">
        <v>40932</v>
      </c>
      <c r="O619" s="3">
        <v>40932</v>
      </c>
      <c r="P619" s="2" t="s">
        <v>706</v>
      </c>
      <c r="Q619" s="2" t="s">
        <v>707</v>
      </c>
      <c r="R619" s="2" t="s">
        <v>37</v>
      </c>
      <c r="S619" s="2" t="s">
        <v>708</v>
      </c>
      <c r="T619" s="2" t="s">
        <v>47</v>
      </c>
      <c r="U619" s="2">
        <v>30</v>
      </c>
      <c r="V619" s="2">
        <v>2800</v>
      </c>
      <c r="W619" s="2">
        <v>14980</v>
      </c>
      <c r="X619" s="2">
        <v>5.35</v>
      </c>
      <c r="Y619" s="2">
        <v>0.18</v>
      </c>
      <c r="Z619" s="2">
        <v>273</v>
      </c>
      <c r="AA619" s="2">
        <v>2964.49</v>
      </c>
      <c r="AB619">
        <v>1</v>
      </c>
      <c r="AC619">
        <v>2012</v>
      </c>
      <c r="AE619" s="2">
        <v>504</v>
      </c>
    </row>
    <row r="620" spans="2:31" ht="14.5">
      <c r="B620" s="2">
        <v>52677</v>
      </c>
      <c r="C620" s="2" t="s">
        <v>1213</v>
      </c>
      <c r="D620" s="2" t="s">
        <v>1214</v>
      </c>
      <c r="E620" s="2" t="s">
        <v>118</v>
      </c>
      <c r="F620" s="2" t="s">
        <v>29</v>
      </c>
      <c r="G620" s="2" t="s">
        <v>50</v>
      </c>
      <c r="H620" s="2" t="s">
        <v>81</v>
      </c>
      <c r="I620" s="2" t="s">
        <v>32</v>
      </c>
      <c r="J620" s="2" t="s">
        <v>33</v>
      </c>
      <c r="K620" s="2" t="s">
        <v>34</v>
      </c>
      <c r="L620" s="3">
        <v>41577</v>
      </c>
      <c r="M620" s="3">
        <v>41702</v>
      </c>
      <c r="N620" s="3">
        <v>41702</v>
      </c>
      <c r="O620" s="3">
        <v>41703</v>
      </c>
      <c r="P620" s="2" t="s">
        <v>83</v>
      </c>
      <c r="Q620" s="2" t="s">
        <v>84</v>
      </c>
      <c r="R620" s="2" t="s">
        <v>85</v>
      </c>
      <c r="S620" s="2" t="s">
        <v>86</v>
      </c>
      <c r="T620" s="2" t="s">
        <v>87</v>
      </c>
      <c r="U620" s="2">
        <v>300</v>
      </c>
      <c r="V620" s="2">
        <v>188</v>
      </c>
      <c r="W620" s="2">
        <v>5794.16</v>
      </c>
      <c r="X620" s="2">
        <v>30.82</v>
      </c>
      <c r="Y620" s="2">
        <v>0.1</v>
      </c>
      <c r="Z620" s="2">
        <v>221</v>
      </c>
      <c r="AA620" s="2">
        <v>2553.06</v>
      </c>
      <c r="AB620">
        <v>1</v>
      </c>
      <c r="AC620">
        <v>2014</v>
      </c>
      <c r="AE620" s="2">
        <v>18.8</v>
      </c>
    </row>
    <row r="621" spans="2:31" ht="14.5">
      <c r="B621" s="2">
        <v>52704</v>
      </c>
      <c r="C621" s="2" t="s">
        <v>1215</v>
      </c>
      <c r="D621" s="2" t="s">
        <v>1216</v>
      </c>
      <c r="E621" s="2" t="s">
        <v>118</v>
      </c>
      <c r="F621" s="2" t="s">
        <v>29</v>
      </c>
      <c r="G621" s="2" t="s">
        <v>50</v>
      </c>
      <c r="H621" s="2" t="s">
        <v>807</v>
      </c>
      <c r="I621" s="2" t="s">
        <v>32</v>
      </c>
      <c r="J621" s="2" t="s">
        <v>33</v>
      </c>
      <c r="K621" s="2" t="s">
        <v>34</v>
      </c>
      <c r="L621" s="3">
        <v>40149</v>
      </c>
      <c r="M621" s="3">
        <v>40246</v>
      </c>
      <c r="N621" s="3">
        <v>40246</v>
      </c>
      <c r="O621" s="3">
        <v>40246</v>
      </c>
      <c r="P621" s="2" t="s">
        <v>808</v>
      </c>
      <c r="Q621" s="2" t="s">
        <v>745</v>
      </c>
      <c r="R621" s="2" t="s">
        <v>37</v>
      </c>
      <c r="S621" s="2" t="s">
        <v>166</v>
      </c>
      <c r="T621" s="2" t="s">
        <v>64</v>
      </c>
      <c r="U621" s="2">
        <v>60</v>
      </c>
      <c r="V621" s="2">
        <v>384</v>
      </c>
      <c r="W621" s="2">
        <v>10018.56</v>
      </c>
      <c r="X621" s="2">
        <v>26.09</v>
      </c>
      <c r="Y621" s="2">
        <v>0.43</v>
      </c>
      <c r="Z621" s="2">
        <v>40</v>
      </c>
      <c r="AA621" s="2">
        <v>990.07</v>
      </c>
      <c r="AB621">
        <v>1</v>
      </c>
      <c r="AC621">
        <v>2010</v>
      </c>
      <c r="AE621" s="2">
        <v>165.12</v>
      </c>
    </row>
    <row r="622" spans="2:31" ht="14.5">
      <c r="B622" s="2">
        <v>53002</v>
      </c>
      <c r="C622" s="2" t="s">
        <v>1217</v>
      </c>
      <c r="D622" s="2" t="s">
        <v>1218</v>
      </c>
      <c r="E622" s="2" t="s">
        <v>42</v>
      </c>
      <c r="F622" s="2" t="s">
        <v>29</v>
      </c>
      <c r="G622" s="2" t="s">
        <v>30</v>
      </c>
      <c r="H622" s="2" t="s">
        <v>31</v>
      </c>
      <c r="I622" s="2" t="s">
        <v>32</v>
      </c>
      <c r="J622" s="2" t="s">
        <v>33</v>
      </c>
      <c r="K622" s="2" t="s">
        <v>34</v>
      </c>
      <c r="L622" s="3">
        <v>41061</v>
      </c>
      <c r="M622" s="3">
        <v>41089</v>
      </c>
      <c r="N622" s="3">
        <v>41089</v>
      </c>
      <c r="O622" s="3">
        <v>41089</v>
      </c>
      <c r="P622" s="2" t="s">
        <v>780</v>
      </c>
      <c r="Q622" s="2" t="s">
        <v>54</v>
      </c>
      <c r="R622" s="2" t="s">
        <v>37</v>
      </c>
      <c r="S622" s="2" t="s">
        <v>70</v>
      </c>
      <c r="T622" s="2" t="s">
        <v>773</v>
      </c>
      <c r="U622" s="2">
        <v>30</v>
      </c>
      <c r="V622" s="2">
        <v>1467</v>
      </c>
      <c r="W622" s="2">
        <v>29340</v>
      </c>
      <c r="X622" s="2">
        <v>20</v>
      </c>
      <c r="Y622" s="2">
        <v>0.67</v>
      </c>
      <c r="Z622" s="2">
        <v>114</v>
      </c>
      <c r="AA622" s="2">
        <v>4822.01</v>
      </c>
      <c r="AB622">
        <v>1</v>
      </c>
      <c r="AC622">
        <v>2012</v>
      </c>
      <c r="AE622" s="2">
        <v>982.8900000000001</v>
      </c>
    </row>
    <row r="623" spans="2:31" ht="14.5">
      <c r="B623" s="2">
        <v>53108</v>
      </c>
      <c r="C623" s="2" t="s">
        <v>1219</v>
      </c>
      <c r="D623" s="2" t="s">
        <v>1220</v>
      </c>
      <c r="E623" s="2" t="s">
        <v>42</v>
      </c>
      <c r="F623" s="2" t="s">
        <v>29</v>
      </c>
      <c r="G623" s="2" t="s">
        <v>50</v>
      </c>
      <c r="H623" s="2" t="s">
        <v>965</v>
      </c>
      <c r="I623" s="2" t="s">
        <v>32</v>
      </c>
      <c r="J623" s="2" t="s">
        <v>33</v>
      </c>
      <c r="K623" s="2" t="s">
        <v>34</v>
      </c>
      <c r="L623" s="3">
        <v>41698</v>
      </c>
      <c r="M623" s="3">
        <v>41733</v>
      </c>
      <c r="N623" s="3">
        <v>41733</v>
      </c>
      <c r="O623" s="3">
        <v>41751</v>
      </c>
      <c r="P623" s="2" t="s">
        <v>722</v>
      </c>
      <c r="Q623" s="2" t="s">
        <v>96</v>
      </c>
      <c r="R623" s="2" t="s">
        <v>37</v>
      </c>
      <c r="S623" s="2" t="s">
        <v>179</v>
      </c>
      <c r="T623" s="2" t="s">
        <v>64</v>
      </c>
      <c r="U623" s="2">
        <v>30</v>
      </c>
      <c r="V623" s="2">
        <v>924</v>
      </c>
      <c r="W623" s="2">
        <v>1755.6</v>
      </c>
      <c r="X623" s="2">
        <v>1.9</v>
      </c>
      <c r="Y623" s="2">
        <v>0.06</v>
      </c>
      <c r="Z623" s="2">
        <v>45</v>
      </c>
      <c r="AA623" s="2">
        <v>1411.52</v>
      </c>
      <c r="AB623">
        <v>1</v>
      </c>
      <c r="AC623">
        <v>2014</v>
      </c>
      <c r="AE623" s="2">
        <v>55.44</v>
      </c>
    </row>
    <row r="624" spans="2:31" ht="14.5">
      <c r="B624" s="2">
        <v>53556</v>
      </c>
      <c r="C624" s="2" t="s">
        <v>1221</v>
      </c>
      <c r="D624" s="2" t="s">
        <v>1222</v>
      </c>
      <c r="E624" s="2" t="s">
        <v>28</v>
      </c>
      <c r="F624" s="2" t="s">
        <v>29</v>
      </c>
      <c r="G624" s="2" t="s">
        <v>30</v>
      </c>
      <c r="H624" s="2" t="s">
        <v>31</v>
      </c>
      <c r="I624" s="2" t="s">
        <v>32</v>
      </c>
      <c r="J624" s="2" t="s">
        <v>33</v>
      </c>
      <c r="K624" s="2" t="s">
        <v>34</v>
      </c>
      <c r="L624" s="3">
        <v>41526</v>
      </c>
      <c r="M624" s="3">
        <v>41599</v>
      </c>
      <c r="N624" s="3">
        <v>41599</v>
      </c>
      <c r="O624" s="3">
        <v>41599</v>
      </c>
      <c r="P624" s="2" t="s">
        <v>98</v>
      </c>
      <c r="Q624" s="2" t="s">
        <v>99</v>
      </c>
      <c r="R624" s="2" t="s">
        <v>37</v>
      </c>
      <c r="S624" s="2" t="s">
        <v>100</v>
      </c>
      <c r="T624" s="2" t="s">
        <v>39</v>
      </c>
      <c r="U624" s="2">
        <v>60</v>
      </c>
      <c r="V624" s="2">
        <v>19000</v>
      </c>
      <c r="W624" s="2">
        <v>216600</v>
      </c>
      <c r="X624" s="2">
        <v>11.4</v>
      </c>
      <c r="Y624" s="2">
        <v>0.19</v>
      </c>
      <c r="Z624" s="2">
        <v>1909</v>
      </c>
      <c r="AA624" s="2">
        <v>9612.49</v>
      </c>
      <c r="AB624">
        <v>1</v>
      </c>
      <c r="AC624">
        <v>2013</v>
      </c>
      <c r="AE624" s="2">
        <v>3610</v>
      </c>
    </row>
    <row r="625" spans="2:31" ht="14.5">
      <c r="B625" s="2">
        <v>53625</v>
      </c>
      <c r="C625" s="2" t="s">
        <v>1223</v>
      </c>
      <c r="D625" s="2" t="s">
        <v>1224</v>
      </c>
      <c r="E625" s="2" t="s">
        <v>118</v>
      </c>
      <c r="F625" s="2" t="s">
        <v>29</v>
      </c>
      <c r="G625" s="2" t="s">
        <v>30</v>
      </c>
      <c r="H625" s="2" t="s">
        <v>74</v>
      </c>
      <c r="I625" s="2" t="s">
        <v>32</v>
      </c>
      <c r="J625" s="2" t="s">
        <v>52</v>
      </c>
      <c r="K625" s="2" t="s">
        <v>34</v>
      </c>
      <c r="L625" s="3">
        <v>40849</v>
      </c>
      <c r="M625" s="3">
        <v>40953</v>
      </c>
      <c r="N625" s="3">
        <v>40953</v>
      </c>
      <c r="O625" s="3">
        <v>40953</v>
      </c>
      <c r="P625" s="2" t="s">
        <v>833</v>
      </c>
      <c r="Q625" s="2" t="s">
        <v>834</v>
      </c>
      <c r="R625" s="2" t="s">
        <v>835</v>
      </c>
      <c r="S625" s="2" t="s">
        <v>70</v>
      </c>
      <c r="T625" s="2" t="s">
        <v>39</v>
      </c>
      <c r="U625" s="2">
        <v>60</v>
      </c>
      <c r="V625" s="2">
        <v>231</v>
      </c>
      <c r="W625" s="2">
        <v>21136.5</v>
      </c>
      <c r="X625" s="2">
        <v>91.5</v>
      </c>
      <c r="Y625" s="2">
        <v>1.52</v>
      </c>
      <c r="Z625" s="2">
        <v>23</v>
      </c>
      <c r="AA625" s="2">
        <v>250</v>
      </c>
      <c r="AB625">
        <v>1</v>
      </c>
      <c r="AC625">
        <v>2012</v>
      </c>
      <c r="AE625" s="2">
        <v>351.12</v>
      </c>
    </row>
    <row r="626" spans="2:31" ht="14.5">
      <c r="B626" s="2">
        <v>53877</v>
      </c>
      <c r="C626" s="2" t="s">
        <v>1225</v>
      </c>
      <c r="D626" s="2" t="s">
        <v>1226</v>
      </c>
      <c r="E626" s="2" t="s">
        <v>60</v>
      </c>
      <c r="F626" s="2" t="s">
        <v>29</v>
      </c>
      <c r="G626" s="2" t="s">
        <v>30</v>
      </c>
      <c r="H626" s="2" t="s">
        <v>31</v>
      </c>
      <c r="I626" s="2" t="s">
        <v>32</v>
      </c>
      <c r="J626" s="2" t="s">
        <v>33</v>
      </c>
      <c r="K626" s="2" t="s">
        <v>646</v>
      </c>
      <c r="L626" s="3">
        <v>40589</v>
      </c>
      <c r="M626" s="3">
        <v>40807</v>
      </c>
      <c r="N626" s="3">
        <v>40807</v>
      </c>
      <c r="O626" s="3">
        <v>40807</v>
      </c>
      <c r="P626" s="2" t="s">
        <v>759</v>
      </c>
      <c r="Q626" s="2" t="s">
        <v>84</v>
      </c>
      <c r="R626" s="2" t="s">
        <v>37</v>
      </c>
      <c r="S626" s="2" t="s">
        <v>152</v>
      </c>
      <c r="T626" s="2" t="s">
        <v>39</v>
      </c>
      <c r="U626" s="2">
        <v>120</v>
      </c>
      <c r="V626" s="2">
        <v>13703</v>
      </c>
      <c r="W626" s="2">
        <v>460420.8</v>
      </c>
      <c r="X626" s="2">
        <v>33.6</v>
      </c>
      <c r="Y626" s="2">
        <v>0.28000000000000003</v>
      </c>
      <c r="Z626" s="2">
        <v>3476</v>
      </c>
      <c r="AA626" s="2">
        <v>11729.82</v>
      </c>
      <c r="AB626">
        <v>1</v>
      </c>
      <c r="AC626">
        <v>2011</v>
      </c>
      <c r="AE626" s="2">
        <v>3836.84</v>
      </c>
    </row>
    <row r="627" spans="2:31" ht="14.5">
      <c r="B627" s="2">
        <v>54265</v>
      </c>
      <c r="C627" s="2" t="s">
        <v>798</v>
      </c>
      <c r="D627" s="2" t="s">
        <v>799</v>
      </c>
      <c r="E627" s="2" t="s">
        <v>28</v>
      </c>
      <c r="F627" s="2" t="s">
        <v>29</v>
      </c>
      <c r="G627" s="2" t="s">
        <v>30</v>
      </c>
      <c r="H627" s="2" t="s">
        <v>783</v>
      </c>
      <c r="I627" s="2" t="s">
        <v>32</v>
      </c>
      <c r="J627" s="2" t="s">
        <v>82</v>
      </c>
      <c r="K627" s="2" t="s">
        <v>34</v>
      </c>
      <c r="L627" s="3">
        <v>40647</v>
      </c>
      <c r="M627" s="3">
        <v>40721</v>
      </c>
      <c r="N627" s="3">
        <v>40721</v>
      </c>
      <c r="O627" s="3">
        <v>40721</v>
      </c>
      <c r="P627" s="2" t="s">
        <v>67</v>
      </c>
      <c r="Q627" s="2" t="s">
        <v>68</v>
      </c>
      <c r="R627" s="2" t="s">
        <v>69</v>
      </c>
      <c r="S627" s="2" t="s">
        <v>70</v>
      </c>
      <c r="T627" s="2" t="s">
        <v>71</v>
      </c>
      <c r="U627" s="2">
        <v>30</v>
      </c>
      <c r="V627" s="2">
        <v>772</v>
      </c>
      <c r="W627" s="2">
        <v>18273.240000000002</v>
      </c>
      <c r="X627" s="2">
        <v>23.67</v>
      </c>
      <c r="Y627" s="2">
        <v>0.79</v>
      </c>
      <c r="AB627">
        <v>1</v>
      </c>
      <c r="AC627">
        <v>2011</v>
      </c>
      <c r="AE627" s="2">
        <v>609.88</v>
      </c>
    </row>
    <row r="628" spans="2:31" ht="14.5">
      <c r="B628" s="2">
        <v>54461</v>
      </c>
      <c r="C628" s="2" t="s">
        <v>860</v>
      </c>
      <c r="D628" s="2" t="s">
        <v>861</v>
      </c>
      <c r="E628" s="2" t="s">
        <v>42</v>
      </c>
      <c r="F628" s="2" t="s">
        <v>29</v>
      </c>
      <c r="G628" s="2" t="s">
        <v>30</v>
      </c>
      <c r="H628" s="2" t="s">
        <v>31</v>
      </c>
      <c r="I628" s="2" t="s">
        <v>32</v>
      </c>
      <c r="J628" s="2" t="s">
        <v>33</v>
      </c>
      <c r="K628" s="2" t="s">
        <v>34</v>
      </c>
      <c r="L628" s="3">
        <v>40856</v>
      </c>
      <c r="M628" s="3">
        <v>40998</v>
      </c>
      <c r="N628" s="3">
        <v>40998</v>
      </c>
      <c r="O628" s="3">
        <v>40998</v>
      </c>
      <c r="P628" s="2" t="s">
        <v>772</v>
      </c>
      <c r="Q628" s="2" t="s">
        <v>54</v>
      </c>
      <c r="R628" s="2" t="s">
        <v>37</v>
      </c>
      <c r="S628" s="2" t="s">
        <v>120</v>
      </c>
      <c r="T628" s="2" t="s">
        <v>773</v>
      </c>
      <c r="U628" s="2">
        <v>30</v>
      </c>
      <c r="V628" s="2">
        <v>754</v>
      </c>
      <c r="W628" s="2">
        <v>9802</v>
      </c>
      <c r="X628" s="2">
        <v>13</v>
      </c>
      <c r="Y628" s="2">
        <v>0.43</v>
      </c>
      <c r="AB628">
        <v>1</v>
      </c>
      <c r="AC628">
        <v>2012</v>
      </c>
      <c r="AE628" s="2">
        <v>324.21999999999997</v>
      </c>
    </row>
    <row r="629" spans="2:31" ht="14.5">
      <c r="B629" s="2">
        <v>54666</v>
      </c>
      <c r="C629" s="2" t="s">
        <v>1227</v>
      </c>
      <c r="D629" s="2" t="s">
        <v>1228</v>
      </c>
      <c r="E629" s="2" t="s">
        <v>118</v>
      </c>
      <c r="F629" s="2" t="s">
        <v>29</v>
      </c>
      <c r="G629" s="2" t="s">
        <v>30</v>
      </c>
      <c r="H629" s="2" t="s">
        <v>109</v>
      </c>
      <c r="I629" s="2" t="s">
        <v>32</v>
      </c>
      <c r="J629" s="2" t="s">
        <v>52</v>
      </c>
      <c r="K629" s="2" t="s">
        <v>34</v>
      </c>
      <c r="L629" s="3">
        <v>41508</v>
      </c>
      <c r="M629" s="3">
        <v>41661</v>
      </c>
      <c r="N629" s="3">
        <v>41661</v>
      </c>
      <c r="O629" s="3">
        <v>41691</v>
      </c>
      <c r="P629" s="2" t="s">
        <v>999</v>
      </c>
      <c r="Q629" s="2" t="s">
        <v>1000</v>
      </c>
      <c r="R629" s="2" t="s">
        <v>37</v>
      </c>
      <c r="S629" s="2" t="s">
        <v>1001</v>
      </c>
      <c r="T629" s="2" t="s">
        <v>47</v>
      </c>
      <c r="U629" s="2">
        <v>30</v>
      </c>
      <c r="V629" s="2">
        <v>8215</v>
      </c>
      <c r="W629" s="2">
        <v>110820.35</v>
      </c>
      <c r="X629" s="2">
        <v>13.49</v>
      </c>
      <c r="Y629" s="2">
        <v>0.45</v>
      </c>
      <c r="Z629" s="2">
        <v>805</v>
      </c>
      <c r="AA629" s="2">
        <v>1003.18</v>
      </c>
      <c r="AB629">
        <v>1</v>
      </c>
      <c r="AC629">
        <v>2014</v>
      </c>
      <c r="AE629" s="2">
        <v>3696.75</v>
      </c>
    </row>
    <row r="630" spans="2:31" ht="14.5">
      <c r="B630" s="2">
        <v>54828</v>
      </c>
      <c r="C630" s="2" t="s">
        <v>1229</v>
      </c>
      <c r="D630" s="2" t="s">
        <v>1230</v>
      </c>
      <c r="E630" s="2" t="s">
        <v>42</v>
      </c>
      <c r="F630" s="2" t="s">
        <v>29</v>
      </c>
      <c r="G630" s="2" t="s">
        <v>30</v>
      </c>
      <c r="H630" s="2" t="s">
        <v>109</v>
      </c>
      <c r="I630" s="2" t="s">
        <v>32</v>
      </c>
      <c r="J630" s="2" t="s">
        <v>33</v>
      </c>
      <c r="K630" s="2" t="s">
        <v>34</v>
      </c>
      <c r="L630" s="3">
        <v>41060</v>
      </c>
      <c r="M630" s="3">
        <v>41137</v>
      </c>
      <c r="N630" s="3">
        <v>41137</v>
      </c>
      <c r="O630" s="3">
        <v>41137</v>
      </c>
      <c r="P630" s="2" t="s">
        <v>706</v>
      </c>
      <c r="Q630" s="2" t="s">
        <v>707</v>
      </c>
      <c r="R630" s="2" t="s">
        <v>37</v>
      </c>
      <c r="S630" s="2" t="s">
        <v>708</v>
      </c>
      <c r="T630" s="2" t="s">
        <v>47</v>
      </c>
      <c r="U630" s="2">
        <v>30</v>
      </c>
      <c r="V630" s="2">
        <v>131704</v>
      </c>
      <c r="W630" s="2">
        <v>683543.76</v>
      </c>
      <c r="X630" s="2">
        <v>5.19</v>
      </c>
      <c r="Y630" s="2">
        <v>0.17</v>
      </c>
      <c r="Z630" s="2">
        <v>10818</v>
      </c>
      <c r="AA630" s="2">
        <v>119695.66</v>
      </c>
      <c r="AB630">
        <v>1</v>
      </c>
      <c r="AC630">
        <v>2012</v>
      </c>
      <c r="AE630" s="2">
        <v>22389.68</v>
      </c>
    </row>
    <row r="631" spans="2:31" ht="14.5">
      <c r="B631" s="2">
        <v>54952</v>
      </c>
      <c r="C631" s="2" t="s">
        <v>1231</v>
      </c>
      <c r="D631" s="2" t="s">
        <v>1232</v>
      </c>
      <c r="E631" s="2" t="s">
        <v>60</v>
      </c>
      <c r="F631" s="2" t="s">
        <v>29</v>
      </c>
      <c r="G631" s="2" t="s">
        <v>30</v>
      </c>
      <c r="H631" s="2" t="s">
        <v>31</v>
      </c>
      <c r="I631" s="2" t="s">
        <v>32</v>
      </c>
      <c r="J631" s="2" t="s">
        <v>33</v>
      </c>
      <c r="K631" s="2" t="s">
        <v>34</v>
      </c>
      <c r="L631" s="3">
        <v>40297</v>
      </c>
      <c r="M631" s="3">
        <v>40319</v>
      </c>
      <c r="N631" s="3">
        <v>40319</v>
      </c>
      <c r="O631" s="3">
        <v>40319</v>
      </c>
      <c r="P631" s="2" t="s">
        <v>772</v>
      </c>
      <c r="Q631" s="2" t="s">
        <v>54</v>
      </c>
      <c r="R631" s="2" t="s">
        <v>37</v>
      </c>
      <c r="S631" s="2" t="s">
        <v>120</v>
      </c>
      <c r="T631" s="2" t="s">
        <v>773</v>
      </c>
      <c r="U631" s="2">
        <v>30</v>
      </c>
      <c r="V631" s="2">
        <v>3000</v>
      </c>
      <c r="W631" s="2">
        <v>39000</v>
      </c>
      <c r="X631" s="2">
        <v>13</v>
      </c>
      <c r="Y631" s="2">
        <v>0.43</v>
      </c>
      <c r="Z631" s="2">
        <v>201</v>
      </c>
      <c r="AA631" s="2">
        <v>1120.57</v>
      </c>
      <c r="AB631">
        <v>1</v>
      </c>
      <c r="AC631">
        <v>2010</v>
      </c>
      <c r="AE631" s="2">
        <v>1290</v>
      </c>
    </row>
    <row r="632" spans="2:31" ht="14.5">
      <c r="B632" s="2">
        <v>54984</v>
      </c>
      <c r="C632" s="2" t="s">
        <v>1233</v>
      </c>
      <c r="D632" s="2" t="s">
        <v>1234</v>
      </c>
      <c r="E632" s="2" t="s">
        <v>28</v>
      </c>
      <c r="F632" s="2" t="s">
        <v>29</v>
      </c>
      <c r="G632" s="2" t="s">
        <v>50</v>
      </c>
      <c r="H632" s="2" t="s">
        <v>81</v>
      </c>
      <c r="I632" s="2" t="s">
        <v>32</v>
      </c>
      <c r="J632" s="2" t="s">
        <v>82</v>
      </c>
      <c r="K632" s="2" t="s">
        <v>34</v>
      </c>
      <c r="L632" s="3">
        <v>41495</v>
      </c>
      <c r="M632" s="3">
        <v>41599</v>
      </c>
      <c r="N632" s="3">
        <v>41599</v>
      </c>
      <c r="O632" s="3">
        <v>41599</v>
      </c>
      <c r="P632" s="2" t="s">
        <v>90</v>
      </c>
      <c r="Q632" s="2" t="s">
        <v>84</v>
      </c>
      <c r="R632" s="2" t="s">
        <v>37</v>
      </c>
      <c r="S632" s="2" t="s">
        <v>91</v>
      </c>
      <c r="T632" s="2" t="s">
        <v>39</v>
      </c>
      <c r="U632" s="2">
        <v>60</v>
      </c>
      <c r="V632" s="2">
        <v>2736</v>
      </c>
      <c r="W632" s="2">
        <v>16251.84</v>
      </c>
      <c r="X632" s="2">
        <v>5.94</v>
      </c>
      <c r="Y632" s="2">
        <v>0.1</v>
      </c>
      <c r="Z632" s="2">
        <v>328</v>
      </c>
      <c r="AA632" s="2">
        <v>3940.54</v>
      </c>
      <c r="AB632">
        <v>1</v>
      </c>
      <c r="AC632">
        <v>2013</v>
      </c>
      <c r="AE632" s="2">
        <v>273.60000000000002</v>
      </c>
    </row>
    <row r="633" spans="2:31" ht="14.5">
      <c r="B633" s="2">
        <v>55017</v>
      </c>
      <c r="C633" s="2" t="s">
        <v>1235</v>
      </c>
      <c r="D633" s="2" t="s">
        <v>1236</v>
      </c>
      <c r="E633" s="2" t="s">
        <v>28</v>
      </c>
      <c r="F633" s="2" t="s">
        <v>29</v>
      </c>
      <c r="G633" s="2" t="s">
        <v>30</v>
      </c>
      <c r="H633" s="2" t="s">
        <v>109</v>
      </c>
      <c r="I633" s="2" t="s">
        <v>32</v>
      </c>
      <c r="J633" s="2" t="s">
        <v>33</v>
      </c>
      <c r="K633" s="2" t="s">
        <v>646</v>
      </c>
      <c r="L633" s="3">
        <v>41513</v>
      </c>
      <c r="M633" s="3">
        <v>41570</v>
      </c>
      <c r="N633" s="3">
        <v>41570</v>
      </c>
      <c r="O633" s="3">
        <v>41570</v>
      </c>
      <c r="P633" s="2" t="s">
        <v>749</v>
      </c>
      <c r="Q633" s="2" t="s">
        <v>76</v>
      </c>
      <c r="R633" s="2" t="s">
        <v>37</v>
      </c>
      <c r="S633" s="2" t="s">
        <v>78</v>
      </c>
      <c r="T633" s="2" t="s">
        <v>47</v>
      </c>
      <c r="U633" s="2">
        <v>30</v>
      </c>
      <c r="V633" s="2">
        <v>163929</v>
      </c>
      <c r="W633" s="2">
        <v>2047473.21</v>
      </c>
      <c r="X633" s="2">
        <v>12.49</v>
      </c>
      <c r="Y633" s="2">
        <v>0.42</v>
      </c>
      <c r="Z633" s="2">
        <v>21675</v>
      </c>
      <c r="AA633" s="2">
        <v>20312.64</v>
      </c>
      <c r="AB633">
        <v>1</v>
      </c>
      <c r="AC633">
        <v>2013</v>
      </c>
      <c r="AE633" s="2">
        <v>68850.179999999993</v>
      </c>
    </row>
    <row r="634" spans="2:31" ht="14.5">
      <c r="B634" s="2">
        <v>55018</v>
      </c>
      <c r="C634" s="2" t="s">
        <v>889</v>
      </c>
      <c r="D634" s="2" t="s">
        <v>890</v>
      </c>
      <c r="E634" s="2" t="s">
        <v>118</v>
      </c>
      <c r="F634" s="2" t="s">
        <v>29</v>
      </c>
      <c r="G634" s="2" t="s">
        <v>30</v>
      </c>
      <c r="H634" s="2" t="s">
        <v>103</v>
      </c>
      <c r="I634" s="2" t="s">
        <v>32</v>
      </c>
      <c r="J634" s="2" t="s">
        <v>891</v>
      </c>
      <c r="K634" s="2" t="s">
        <v>34</v>
      </c>
      <c r="L634" s="3">
        <v>41207</v>
      </c>
      <c r="M634" s="3">
        <v>41257</v>
      </c>
      <c r="N634" s="3">
        <v>41257</v>
      </c>
      <c r="O634" s="3">
        <v>41257</v>
      </c>
      <c r="P634" s="2" t="s">
        <v>864</v>
      </c>
      <c r="Q634" s="2" t="s">
        <v>865</v>
      </c>
      <c r="R634" s="2" t="s">
        <v>866</v>
      </c>
      <c r="S634" s="2" t="s">
        <v>100</v>
      </c>
      <c r="T634" s="2" t="s">
        <v>39</v>
      </c>
      <c r="U634" s="2">
        <v>120</v>
      </c>
      <c r="V634" s="2">
        <v>312</v>
      </c>
      <c r="W634" s="2">
        <v>20779.2</v>
      </c>
      <c r="X634" s="2">
        <v>66.599999999999994</v>
      </c>
      <c r="Y634" s="2">
        <v>0.55000000000000004</v>
      </c>
      <c r="AB634">
        <v>1</v>
      </c>
      <c r="AC634">
        <v>2012</v>
      </c>
      <c r="AE634" s="2">
        <v>171.60000000000002</v>
      </c>
    </row>
    <row r="635" spans="2:31" ht="14.5">
      <c r="B635" s="2">
        <v>55049</v>
      </c>
      <c r="C635" s="2" t="s">
        <v>1075</v>
      </c>
      <c r="D635" s="2" t="s">
        <v>1237</v>
      </c>
      <c r="E635" s="2" t="s">
        <v>118</v>
      </c>
      <c r="F635" s="2" t="s">
        <v>29</v>
      </c>
      <c r="G635" s="2" t="s">
        <v>30</v>
      </c>
      <c r="H635" s="2" t="s">
        <v>31</v>
      </c>
      <c r="I635" s="2" t="s">
        <v>32</v>
      </c>
      <c r="J635" s="2" t="s">
        <v>33</v>
      </c>
      <c r="K635" s="2" t="s">
        <v>34</v>
      </c>
      <c r="L635" s="3">
        <v>41072</v>
      </c>
      <c r="M635" s="3">
        <v>41113</v>
      </c>
      <c r="N635" s="3">
        <v>41108</v>
      </c>
      <c r="O635" s="3">
        <v>41108</v>
      </c>
      <c r="P635" s="2" t="s">
        <v>95</v>
      </c>
      <c r="Q635" s="2" t="s">
        <v>96</v>
      </c>
      <c r="R635" s="2" t="s">
        <v>37</v>
      </c>
      <c r="S635" s="2" t="s">
        <v>97</v>
      </c>
      <c r="T635" s="2" t="s">
        <v>39</v>
      </c>
      <c r="U635" s="2">
        <v>30</v>
      </c>
      <c r="V635" s="2">
        <v>54383</v>
      </c>
      <c r="W635" s="2">
        <v>184902.2</v>
      </c>
      <c r="X635" s="2">
        <v>3.4</v>
      </c>
      <c r="Y635" s="2">
        <v>0.11</v>
      </c>
      <c r="Z635" s="2">
        <v>4668</v>
      </c>
      <c r="AA635" s="2">
        <v>20869.599999999999</v>
      </c>
      <c r="AB635">
        <v>1</v>
      </c>
      <c r="AC635">
        <v>2012</v>
      </c>
      <c r="AE635" s="2">
        <v>5982.13</v>
      </c>
    </row>
    <row r="636" spans="2:31" ht="14.5">
      <c r="B636" s="2">
        <v>55050</v>
      </c>
      <c r="C636" s="2" t="s">
        <v>1238</v>
      </c>
      <c r="D636" s="2" t="s">
        <v>1239</v>
      </c>
      <c r="E636" s="2" t="s">
        <v>42</v>
      </c>
      <c r="F636" s="2" t="s">
        <v>29</v>
      </c>
      <c r="G636" s="2" t="s">
        <v>30</v>
      </c>
      <c r="H636" s="2" t="s">
        <v>94</v>
      </c>
      <c r="I636" s="2" t="s">
        <v>32</v>
      </c>
      <c r="J636" s="2" t="s">
        <v>52</v>
      </c>
      <c r="K636" s="2" t="s">
        <v>34</v>
      </c>
      <c r="L636" s="3">
        <v>40448</v>
      </c>
      <c r="M636" s="3">
        <v>40554</v>
      </c>
      <c r="N636" s="3">
        <v>40554</v>
      </c>
      <c r="O636" s="3">
        <v>40554</v>
      </c>
      <c r="P636" s="2" t="s">
        <v>95</v>
      </c>
      <c r="Q636" s="2" t="s">
        <v>96</v>
      </c>
      <c r="R636" s="2" t="s">
        <v>37</v>
      </c>
      <c r="S636" s="2" t="s">
        <v>97</v>
      </c>
      <c r="T636" s="2" t="s">
        <v>39</v>
      </c>
      <c r="U636" s="2">
        <v>30</v>
      </c>
      <c r="V636" s="2">
        <v>2094</v>
      </c>
      <c r="W636" s="2">
        <v>9067.02</v>
      </c>
      <c r="X636" s="2">
        <v>4.33</v>
      </c>
      <c r="Y636" s="2">
        <v>0.14000000000000001</v>
      </c>
      <c r="AB636">
        <v>1</v>
      </c>
      <c r="AC636">
        <v>2011</v>
      </c>
      <c r="AE636" s="2">
        <v>293.16000000000003</v>
      </c>
    </row>
    <row r="637" spans="2:31" ht="14.5">
      <c r="B637" s="2">
        <v>55085</v>
      </c>
      <c r="C637" s="2" t="s">
        <v>1240</v>
      </c>
      <c r="D637" s="2" t="s">
        <v>1241</v>
      </c>
      <c r="E637" s="2" t="s">
        <v>42</v>
      </c>
      <c r="F637" s="2" t="s">
        <v>29</v>
      </c>
      <c r="G637" s="2" t="s">
        <v>50</v>
      </c>
      <c r="H637" s="2" t="s">
        <v>43</v>
      </c>
      <c r="I637" s="2" t="s">
        <v>32</v>
      </c>
      <c r="J637" s="2" t="s">
        <v>33</v>
      </c>
      <c r="K637" s="2" t="s">
        <v>646</v>
      </c>
      <c r="L637" s="3">
        <v>40977</v>
      </c>
      <c r="M637" s="3">
        <v>41148</v>
      </c>
      <c r="N637" s="3">
        <v>41148</v>
      </c>
      <c r="O637" s="3">
        <v>41148</v>
      </c>
      <c r="P637" s="2" t="s">
        <v>302</v>
      </c>
      <c r="Q637" s="2" t="s">
        <v>165</v>
      </c>
      <c r="R637" s="2" t="s">
        <v>37</v>
      </c>
      <c r="S637" s="2" t="s">
        <v>226</v>
      </c>
      <c r="T637" s="2" t="s">
        <v>87</v>
      </c>
      <c r="U637" s="2">
        <v>240</v>
      </c>
      <c r="V637" s="2">
        <v>7840</v>
      </c>
      <c r="W637" s="2">
        <v>13720</v>
      </c>
      <c r="X637" s="2">
        <v>1.75</v>
      </c>
      <c r="Y637" s="2">
        <v>0.01</v>
      </c>
      <c r="Z637" s="2">
        <v>2995</v>
      </c>
      <c r="AA637" s="2">
        <v>20193.21</v>
      </c>
      <c r="AB637">
        <v>1</v>
      </c>
      <c r="AC637">
        <v>2012</v>
      </c>
      <c r="AE637" s="2">
        <v>78.400000000000006</v>
      </c>
    </row>
    <row r="638" spans="2:31" ht="14.5">
      <c r="B638" s="2">
        <v>55180</v>
      </c>
      <c r="C638" s="2" t="s">
        <v>1242</v>
      </c>
      <c r="D638" s="2" t="s">
        <v>1243</v>
      </c>
      <c r="E638" s="2" t="s">
        <v>118</v>
      </c>
      <c r="F638" s="2" t="s">
        <v>29</v>
      </c>
      <c r="G638" s="2" t="s">
        <v>30</v>
      </c>
      <c r="H638" s="2" t="s">
        <v>81</v>
      </c>
      <c r="I638" s="2" t="s">
        <v>32</v>
      </c>
      <c r="J638" s="2" t="s">
        <v>82</v>
      </c>
      <c r="K638" s="2" t="s">
        <v>34</v>
      </c>
      <c r="L638" s="3">
        <v>40255</v>
      </c>
      <c r="M638" s="3">
        <v>40302</v>
      </c>
      <c r="N638" s="3">
        <v>40302</v>
      </c>
      <c r="O638" s="3">
        <v>40302</v>
      </c>
      <c r="P638" s="2" t="s">
        <v>150</v>
      </c>
      <c r="Q638" s="2" t="s">
        <v>84</v>
      </c>
      <c r="R638" s="2" t="s">
        <v>151</v>
      </c>
      <c r="S638" s="2" t="s">
        <v>152</v>
      </c>
      <c r="T638" s="2" t="s">
        <v>39</v>
      </c>
      <c r="U638" s="2">
        <v>120</v>
      </c>
      <c r="V638" s="2">
        <v>100</v>
      </c>
      <c r="W638" s="2">
        <v>3616</v>
      </c>
      <c r="X638" s="2">
        <v>36.159999999999997</v>
      </c>
      <c r="Y638" s="2">
        <v>0.3</v>
      </c>
      <c r="Z638" s="2">
        <v>36</v>
      </c>
      <c r="AA638" s="2">
        <v>1084.27</v>
      </c>
      <c r="AB638">
        <v>1</v>
      </c>
      <c r="AC638">
        <v>2010</v>
      </c>
      <c r="AE638" s="2">
        <v>30</v>
      </c>
    </row>
    <row r="639" spans="2:31" ht="14.5">
      <c r="B639" s="2">
        <v>55401</v>
      </c>
      <c r="C639" s="2" t="s">
        <v>1244</v>
      </c>
      <c r="D639" s="2" t="s">
        <v>1245</v>
      </c>
      <c r="E639" s="2" t="s">
        <v>28</v>
      </c>
      <c r="F639" s="2" t="s">
        <v>29</v>
      </c>
      <c r="G639" s="2" t="s">
        <v>50</v>
      </c>
      <c r="H639" s="2" t="s">
        <v>81</v>
      </c>
      <c r="I639" s="2" t="s">
        <v>32</v>
      </c>
      <c r="J639" s="2" t="s">
        <v>82</v>
      </c>
      <c r="K639" s="2" t="s">
        <v>34</v>
      </c>
      <c r="L639" s="3">
        <v>41495</v>
      </c>
      <c r="M639" s="3">
        <v>41599</v>
      </c>
      <c r="N639" s="3">
        <v>41599</v>
      </c>
      <c r="O639" s="3">
        <v>41599</v>
      </c>
      <c r="P639" s="2" t="s">
        <v>83</v>
      </c>
      <c r="Q639" s="2" t="s">
        <v>84</v>
      </c>
      <c r="R639" s="2" t="s">
        <v>85</v>
      </c>
      <c r="S639" s="2" t="s">
        <v>86</v>
      </c>
      <c r="T639" s="2" t="s">
        <v>87</v>
      </c>
      <c r="U639" s="2">
        <v>300</v>
      </c>
      <c r="V639" s="2">
        <v>264</v>
      </c>
      <c r="W639" s="2">
        <v>8136.48</v>
      </c>
      <c r="X639" s="2">
        <v>30.82</v>
      </c>
      <c r="Y639" s="2">
        <v>0.1</v>
      </c>
      <c r="Z639" s="2">
        <v>257</v>
      </c>
      <c r="AA639" s="2">
        <v>2160.36</v>
      </c>
      <c r="AB639">
        <v>1</v>
      </c>
      <c r="AC639">
        <v>2013</v>
      </c>
      <c r="AE639" s="2">
        <v>26.400000000000002</v>
      </c>
    </row>
    <row r="640" spans="2:31" ht="14.5">
      <c r="B640" s="2">
        <v>55737</v>
      </c>
      <c r="C640" s="2" t="s">
        <v>794</v>
      </c>
      <c r="D640" s="2" t="s">
        <v>1246</v>
      </c>
      <c r="E640" s="2" t="s">
        <v>28</v>
      </c>
      <c r="F640" s="2" t="s">
        <v>29</v>
      </c>
      <c r="G640" s="2" t="s">
        <v>30</v>
      </c>
      <c r="H640" s="2" t="s">
        <v>31</v>
      </c>
      <c r="I640" s="2" t="s">
        <v>32</v>
      </c>
      <c r="J640" s="2" t="s">
        <v>33</v>
      </c>
      <c r="K640" s="2" t="s">
        <v>34</v>
      </c>
      <c r="L640" s="3">
        <v>40353</v>
      </c>
      <c r="M640" s="3">
        <v>40397</v>
      </c>
      <c r="N640" s="3">
        <v>40397</v>
      </c>
      <c r="O640" s="3">
        <v>40397</v>
      </c>
      <c r="P640" s="2" t="s">
        <v>35</v>
      </c>
      <c r="Q640" s="2" t="s">
        <v>36</v>
      </c>
      <c r="R640" s="2" t="s">
        <v>37</v>
      </c>
      <c r="S640" s="2" t="s">
        <v>38</v>
      </c>
      <c r="T640" s="2" t="s">
        <v>39</v>
      </c>
      <c r="U640" s="2">
        <v>60</v>
      </c>
      <c r="V640" s="2">
        <v>28755</v>
      </c>
      <c r="W640" s="2">
        <v>74763</v>
      </c>
      <c r="X640" s="2">
        <v>2.6</v>
      </c>
      <c r="Y640" s="2">
        <v>0.04</v>
      </c>
      <c r="Z640" s="2">
        <v>3392</v>
      </c>
      <c r="AA640" s="2">
        <v>20294.849999999999</v>
      </c>
      <c r="AB640">
        <v>1</v>
      </c>
      <c r="AC640">
        <v>2010</v>
      </c>
      <c r="AE640" s="2">
        <v>1150.2</v>
      </c>
    </row>
    <row r="641" spans="2:31" ht="14.5">
      <c r="B641" s="2">
        <v>55783</v>
      </c>
      <c r="C641" s="2" t="s">
        <v>1247</v>
      </c>
      <c r="D641" s="2" t="s">
        <v>1248</v>
      </c>
      <c r="E641" s="2" t="s">
        <v>42</v>
      </c>
      <c r="F641" s="2" t="s">
        <v>29</v>
      </c>
      <c r="G641" s="2" t="s">
        <v>30</v>
      </c>
      <c r="H641" s="2" t="s">
        <v>31</v>
      </c>
      <c r="I641" s="2" t="s">
        <v>32</v>
      </c>
      <c r="J641" s="2" t="s">
        <v>52</v>
      </c>
      <c r="K641" s="2" t="s">
        <v>34</v>
      </c>
      <c r="L641" s="3">
        <v>40011</v>
      </c>
      <c r="M641" s="3">
        <v>40205</v>
      </c>
      <c r="N641" s="3">
        <v>40205</v>
      </c>
      <c r="O641" s="3">
        <v>40205</v>
      </c>
      <c r="P641" s="2" t="s">
        <v>98</v>
      </c>
      <c r="Q641" s="2" t="s">
        <v>99</v>
      </c>
      <c r="R641" s="2" t="s">
        <v>37</v>
      </c>
      <c r="S641" s="2" t="s">
        <v>100</v>
      </c>
      <c r="T641" s="2" t="s">
        <v>39</v>
      </c>
      <c r="U641" s="2">
        <v>60</v>
      </c>
      <c r="V641" s="2">
        <v>9270</v>
      </c>
      <c r="W641" s="2">
        <v>179189.1</v>
      </c>
      <c r="X641" s="2">
        <v>19.329999999999998</v>
      </c>
      <c r="Y641" s="2">
        <v>0.32</v>
      </c>
      <c r="Z641" s="2">
        <v>1010</v>
      </c>
      <c r="AA641" s="2">
        <v>16847.52</v>
      </c>
      <c r="AB641">
        <v>1</v>
      </c>
      <c r="AC641">
        <v>2010</v>
      </c>
      <c r="AE641" s="2">
        <v>2966.4</v>
      </c>
    </row>
    <row r="642" spans="2:31" ht="14.5">
      <c r="B642" s="2">
        <v>56416</v>
      </c>
      <c r="C642" s="2" t="s">
        <v>1075</v>
      </c>
      <c r="D642" s="2" t="s">
        <v>1249</v>
      </c>
      <c r="E642" s="2" t="s">
        <v>118</v>
      </c>
      <c r="F642" s="2" t="s">
        <v>29</v>
      </c>
      <c r="G642" s="2" t="s">
        <v>30</v>
      </c>
      <c r="H642" s="2" t="s">
        <v>31</v>
      </c>
      <c r="I642" s="2" t="s">
        <v>32</v>
      </c>
      <c r="J642" s="2" t="s">
        <v>33</v>
      </c>
      <c r="K642" s="2" t="s">
        <v>34</v>
      </c>
      <c r="L642" s="3">
        <v>41072</v>
      </c>
      <c r="M642" s="3">
        <v>41113</v>
      </c>
      <c r="N642" s="3">
        <v>41113</v>
      </c>
      <c r="O642" s="3">
        <v>41113</v>
      </c>
      <c r="P642" s="2" t="s">
        <v>95</v>
      </c>
      <c r="Q642" s="2" t="s">
        <v>96</v>
      </c>
      <c r="R642" s="2" t="s">
        <v>37</v>
      </c>
      <c r="S642" s="2" t="s">
        <v>97</v>
      </c>
      <c r="T642" s="2" t="s">
        <v>39</v>
      </c>
      <c r="U642" s="2">
        <v>30</v>
      </c>
      <c r="V642" s="2">
        <v>20617</v>
      </c>
      <c r="W642" s="2">
        <v>70097.8</v>
      </c>
      <c r="X642" s="2">
        <v>3.4</v>
      </c>
      <c r="Y642" s="2">
        <v>0.11</v>
      </c>
      <c r="Z642" s="2">
        <v>1770</v>
      </c>
      <c r="AA642" s="2">
        <v>7651.56</v>
      </c>
      <c r="AB642">
        <v>1</v>
      </c>
      <c r="AC642">
        <v>2012</v>
      </c>
      <c r="AE642" s="2">
        <v>2267.87</v>
      </c>
    </row>
    <row r="643" spans="2:31" ht="14.5">
      <c r="B643" s="2">
        <v>56550</v>
      </c>
      <c r="C643" s="2" t="s">
        <v>1250</v>
      </c>
      <c r="D643" s="2" t="s">
        <v>1251</v>
      </c>
      <c r="E643" s="2" t="s">
        <v>28</v>
      </c>
      <c r="F643" s="2" t="s">
        <v>29</v>
      </c>
      <c r="G643" s="2" t="s">
        <v>30</v>
      </c>
      <c r="H643" s="2" t="s">
        <v>81</v>
      </c>
      <c r="I643" s="2" t="s">
        <v>32</v>
      </c>
      <c r="J643" s="2" t="s">
        <v>82</v>
      </c>
      <c r="K643" s="2" t="s">
        <v>34</v>
      </c>
      <c r="L643" s="3">
        <v>39987</v>
      </c>
      <c r="M643" s="3">
        <v>40134</v>
      </c>
      <c r="N643" s="3">
        <v>40134</v>
      </c>
      <c r="O643" s="3">
        <v>40134</v>
      </c>
      <c r="P643" s="2" t="s">
        <v>384</v>
      </c>
      <c r="Q643" s="2" t="s">
        <v>385</v>
      </c>
      <c r="R643" s="2" t="s">
        <v>386</v>
      </c>
      <c r="S643" s="2" t="s">
        <v>330</v>
      </c>
      <c r="T643" s="2" t="s">
        <v>64</v>
      </c>
      <c r="U643" s="2">
        <v>336</v>
      </c>
      <c r="V643" s="2">
        <v>645</v>
      </c>
      <c r="W643" s="2">
        <v>24742.2</v>
      </c>
      <c r="X643" s="2">
        <v>38.36</v>
      </c>
      <c r="Y643" s="2">
        <v>0.11</v>
      </c>
      <c r="Z643" s="2">
        <v>1210</v>
      </c>
      <c r="AA643" s="2">
        <v>7015.04</v>
      </c>
      <c r="AB643">
        <v>1</v>
      </c>
      <c r="AC643">
        <v>2009</v>
      </c>
      <c r="AE643" s="2">
        <v>70.95</v>
      </c>
    </row>
    <row r="644" spans="2:31" ht="14.5">
      <c r="B644" s="2">
        <v>56748</v>
      </c>
      <c r="C644" s="2" t="s">
        <v>1178</v>
      </c>
      <c r="D644" s="2" t="s">
        <v>1179</v>
      </c>
      <c r="E644" s="2" t="s">
        <v>118</v>
      </c>
      <c r="F644" s="2" t="s">
        <v>29</v>
      </c>
      <c r="G644" s="2" t="s">
        <v>50</v>
      </c>
      <c r="H644" s="2" t="s">
        <v>965</v>
      </c>
      <c r="I644" s="2" t="s">
        <v>32</v>
      </c>
      <c r="J644" s="2" t="s">
        <v>33</v>
      </c>
      <c r="K644" s="2" t="s">
        <v>34</v>
      </c>
      <c r="L644" s="3">
        <v>41312</v>
      </c>
      <c r="M644" s="3">
        <v>41374</v>
      </c>
      <c r="N644" s="3">
        <v>41374</v>
      </c>
      <c r="O644" s="3">
        <v>41374</v>
      </c>
      <c r="P644" s="2" t="s">
        <v>722</v>
      </c>
      <c r="Q644" s="2" t="s">
        <v>96</v>
      </c>
      <c r="R644" s="2" t="s">
        <v>37</v>
      </c>
      <c r="S644" s="2" t="s">
        <v>179</v>
      </c>
      <c r="T644" s="2" t="s">
        <v>64</v>
      </c>
      <c r="U644" s="2">
        <v>30</v>
      </c>
      <c r="V644" s="2">
        <v>56</v>
      </c>
      <c r="W644" s="2">
        <v>112</v>
      </c>
      <c r="X644" s="2">
        <v>2</v>
      </c>
      <c r="Y644" s="2">
        <v>7.0000000000000007E-2</v>
      </c>
      <c r="AB644">
        <v>1</v>
      </c>
      <c r="AC644">
        <v>2013</v>
      </c>
      <c r="AE644" s="2">
        <v>3.9200000000000004</v>
      </c>
    </row>
    <row r="645" spans="2:31" ht="14.5">
      <c r="B645" s="2">
        <v>56906</v>
      </c>
      <c r="C645" s="2" t="s">
        <v>1252</v>
      </c>
      <c r="D645" s="2" t="s">
        <v>1253</v>
      </c>
      <c r="E645" s="2" t="s">
        <v>118</v>
      </c>
      <c r="F645" s="2" t="s">
        <v>29</v>
      </c>
      <c r="G645" s="2" t="s">
        <v>30</v>
      </c>
      <c r="H645" s="2" t="s">
        <v>109</v>
      </c>
      <c r="I645" s="2" t="s">
        <v>32</v>
      </c>
      <c r="J645" s="2" t="s">
        <v>33</v>
      </c>
      <c r="K645" s="2" t="s">
        <v>34</v>
      </c>
      <c r="L645" s="3">
        <v>41449</v>
      </c>
      <c r="M645" s="3">
        <v>41599</v>
      </c>
      <c r="N645" s="3">
        <v>41599</v>
      </c>
      <c r="O645" s="3">
        <v>41600</v>
      </c>
      <c r="P645" s="2" t="s">
        <v>954</v>
      </c>
      <c r="Q645" s="2" t="s">
        <v>745</v>
      </c>
      <c r="R645" s="2" t="s">
        <v>37</v>
      </c>
      <c r="S645" s="2" t="s">
        <v>100</v>
      </c>
      <c r="T645" s="2" t="s">
        <v>64</v>
      </c>
      <c r="U645" s="2">
        <v>30</v>
      </c>
      <c r="V645" s="2">
        <v>7035</v>
      </c>
      <c r="W645" s="2">
        <v>105525</v>
      </c>
      <c r="X645" s="2">
        <v>15</v>
      </c>
      <c r="Y645" s="2">
        <v>0.5</v>
      </c>
      <c r="Z645" s="2">
        <v>440</v>
      </c>
      <c r="AA645" s="2">
        <v>2242.71</v>
      </c>
      <c r="AB645">
        <v>1</v>
      </c>
      <c r="AC645">
        <v>2013</v>
      </c>
      <c r="AE645" s="2">
        <v>3517.5</v>
      </c>
    </row>
    <row r="646" spans="2:31" ht="14.5">
      <c r="B646" s="2">
        <v>56940</v>
      </c>
      <c r="C646" s="2" t="s">
        <v>1254</v>
      </c>
      <c r="D646" s="2" t="s">
        <v>1255</v>
      </c>
      <c r="E646" s="2" t="s">
        <v>118</v>
      </c>
      <c r="F646" s="2" t="s">
        <v>29</v>
      </c>
      <c r="G646" s="2" t="s">
        <v>30</v>
      </c>
      <c r="H646" s="2" t="s">
        <v>43</v>
      </c>
      <c r="I646" s="2" t="s">
        <v>32</v>
      </c>
      <c r="J646" s="2" t="s">
        <v>33</v>
      </c>
      <c r="K646" s="2" t="s">
        <v>34</v>
      </c>
      <c r="L646" s="3">
        <v>41486</v>
      </c>
      <c r="M646" s="3">
        <v>41577</v>
      </c>
      <c r="N646" s="3">
        <v>41577</v>
      </c>
      <c r="O646" s="3">
        <v>41577</v>
      </c>
      <c r="P646" s="2" t="s">
        <v>706</v>
      </c>
      <c r="Q646" s="2" t="s">
        <v>707</v>
      </c>
      <c r="R646" s="2" t="s">
        <v>37</v>
      </c>
      <c r="S646" s="2" t="s">
        <v>708</v>
      </c>
      <c r="T646" s="2" t="s">
        <v>47</v>
      </c>
      <c r="U646" s="2">
        <v>30</v>
      </c>
      <c r="V646" s="2">
        <v>16716</v>
      </c>
      <c r="W646" s="2">
        <v>76893.600000000006</v>
      </c>
      <c r="X646" s="2">
        <v>4.5999999999999996</v>
      </c>
      <c r="Y646" s="2">
        <v>0.15</v>
      </c>
      <c r="Z646" s="2">
        <v>1874</v>
      </c>
      <c r="AA646" s="2">
        <v>7487.81</v>
      </c>
      <c r="AB646">
        <v>1</v>
      </c>
      <c r="AC646">
        <v>2013</v>
      </c>
      <c r="AE646" s="2">
        <v>2507.4</v>
      </c>
    </row>
    <row r="647" spans="2:31" ht="14.5">
      <c r="B647" s="2">
        <v>57087</v>
      </c>
      <c r="C647" s="2" t="s">
        <v>1256</v>
      </c>
      <c r="D647" s="2" t="s">
        <v>1257</v>
      </c>
      <c r="E647" s="2" t="s">
        <v>118</v>
      </c>
      <c r="F647" s="2" t="s">
        <v>29</v>
      </c>
      <c r="G647" s="2" t="s">
        <v>30</v>
      </c>
      <c r="H647" s="2" t="s">
        <v>109</v>
      </c>
      <c r="I647" s="2" t="s">
        <v>32</v>
      </c>
      <c r="J647" s="2" t="s">
        <v>33</v>
      </c>
      <c r="K647" s="2" t="s">
        <v>34</v>
      </c>
      <c r="L647" s="3">
        <v>41810</v>
      </c>
      <c r="M647" s="3">
        <v>41940</v>
      </c>
      <c r="N647" s="3">
        <v>41940</v>
      </c>
      <c r="O647" s="3">
        <v>41941</v>
      </c>
      <c r="P647" s="2" t="s">
        <v>813</v>
      </c>
      <c r="Q647" s="2" t="s">
        <v>814</v>
      </c>
      <c r="R647" s="2" t="s">
        <v>37</v>
      </c>
      <c r="S647" s="2" t="s">
        <v>815</v>
      </c>
      <c r="T647" s="2" t="s">
        <v>39</v>
      </c>
      <c r="U647" s="2">
        <v>30</v>
      </c>
      <c r="V647" s="2">
        <v>3115</v>
      </c>
      <c r="W647" s="2">
        <v>62300</v>
      </c>
      <c r="X647" s="2">
        <v>20</v>
      </c>
      <c r="Y647" s="2">
        <v>0.67</v>
      </c>
      <c r="Z647" s="2">
        <v>420</v>
      </c>
      <c r="AA647" s="2">
        <v>2335.73</v>
      </c>
      <c r="AB647">
        <v>1</v>
      </c>
      <c r="AC647">
        <v>2014</v>
      </c>
      <c r="AE647" s="2">
        <v>2087.0500000000002</v>
      </c>
    </row>
    <row r="648" spans="2:31" ht="14.5">
      <c r="B648" s="2">
        <v>57392</v>
      </c>
      <c r="C648" s="2" t="s">
        <v>1258</v>
      </c>
      <c r="D648" s="2" t="s">
        <v>1259</v>
      </c>
      <c r="E648" s="2" t="s">
        <v>118</v>
      </c>
      <c r="F648" s="2" t="s">
        <v>29</v>
      </c>
      <c r="G648" s="2" t="s">
        <v>30</v>
      </c>
      <c r="H648" s="2" t="s">
        <v>94</v>
      </c>
      <c r="I648" s="2" t="s">
        <v>32</v>
      </c>
      <c r="J648" s="2" t="s">
        <v>33</v>
      </c>
      <c r="K648" s="2" t="s">
        <v>34</v>
      </c>
      <c r="L648" s="3">
        <v>41072</v>
      </c>
      <c r="M648" s="3">
        <v>41117</v>
      </c>
      <c r="N648" s="3">
        <v>41117</v>
      </c>
      <c r="O648" s="3">
        <v>41117</v>
      </c>
      <c r="P648" s="2" t="s">
        <v>35</v>
      </c>
      <c r="Q648" s="2" t="s">
        <v>36</v>
      </c>
      <c r="R648" s="2" t="s">
        <v>37</v>
      </c>
      <c r="S648" s="2" t="s">
        <v>38</v>
      </c>
      <c r="T648" s="2" t="s">
        <v>39</v>
      </c>
      <c r="U648" s="2">
        <v>60</v>
      </c>
      <c r="V648" s="2">
        <v>40860</v>
      </c>
      <c r="W648" s="2">
        <v>95612.4</v>
      </c>
      <c r="X648" s="2">
        <v>2.34</v>
      </c>
      <c r="Y648" s="2">
        <v>0.04</v>
      </c>
      <c r="Z648" s="2">
        <v>12945</v>
      </c>
      <c r="AA648" s="2">
        <v>48653.36</v>
      </c>
      <c r="AB648">
        <v>1</v>
      </c>
      <c r="AC648">
        <v>2012</v>
      </c>
      <c r="AE648" s="2">
        <v>1634.4</v>
      </c>
    </row>
    <row r="649" spans="2:31" ht="14.5">
      <c r="B649" s="2">
        <v>57590</v>
      </c>
      <c r="C649" s="2" t="s">
        <v>849</v>
      </c>
      <c r="D649" s="2" t="s">
        <v>1260</v>
      </c>
      <c r="E649" s="2" t="s">
        <v>118</v>
      </c>
      <c r="F649" s="2" t="s">
        <v>29</v>
      </c>
      <c r="G649" s="2" t="s">
        <v>30</v>
      </c>
      <c r="H649" s="2" t="s">
        <v>43</v>
      </c>
      <c r="I649" s="2" t="s">
        <v>32</v>
      </c>
      <c r="J649" s="2" t="s">
        <v>33</v>
      </c>
      <c r="K649" s="2" t="s">
        <v>34</v>
      </c>
      <c r="L649" s="3">
        <v>41527</v>
      </c>
      <c r="M649" s="3">
        <v>41594</v>
      </c>
      <c r="N649" s="3">
        <v>41594</v>
      </c>
      <c r="O649" s="3">
        <v>41604</v>
      </c>
      <c r="P649" s="2" t="s">
        <v>706</v>
      </c>
      <c r="Q649" s="2" t="s">
        <v>707</v>
      </c>
      <c r="R649" s="2" t="s">
        <v>37</v>
      </c>
      <c r="S649" s="2" t="s">
        <v>708</v>
      </c>
      <c r="T649" s="2" t="s">
        <v>47</v>
      </c>
      <c r="U649" s="2">
        <v>30</v>
      </c>
      <c r="V649" s="2">
        <v>40000</v>
      </c>
      <c r="W649" s="2">
        <v>184000</v>
      </c>
      <c r="X649" s="2">
        <v>4.5999999999999996</v>
      </c>
      <c r="Y649" s="2">
        <v>0.15</v>
      </c>
      <c r="Z649" s="2">
        <v>4620</v>
      </c>
      <c r="AA649" s="2">
        <v>18550.93</v>
      </c>
      <c r="AB649">
        <v>1</v>
      </c>
      <c r="AC649">
        <v>2013</v>
      </c>
      <c r="AE649" s="2">
        <v>6000</v>
      </c>
    </row>
    <row r="650" spans="2:31" ht="14.5">
      <c r="B650" s="2">
        <v>57866</v>
      </c>
      <c r="C650" s="2" t="s">
        <v>1261</v>
      </c>
      <c r="D650" s="2" t="s">
        <v>1262</v>
      </c>
      <c r="E650" s="2" t="s">
        <v>118</v>
      </c>
      <c r="F650" s="2" t="s">
        <v>29</v>
      </c>
      <c r="G650" s="2" t="s">
        <v>30</v>
      </c>
      <c r="H650" s="2" t="s">
        <v>109</v>
      </c>
      <c r="I650" s="2" t="s">
        <v>32</v>
      </c>
      <c r="J650" s="2" t="s">
        <v>33</v>
      </c>
      <c r="K650" s="2" t="s">
        <v>34</v>
      </c>
      <c r="L650" s="3">
        <v>41449</v>
      </c>
      <c r="M650" s="3">
        <v>41599</v>
      </c>
      <c r="N650" s="3">
        <v>41599</v>
      </c>
      <c r="O650" s="3">
        <v>41600</v>
      </c>
      <c r="P650" s="2" t="s">
        <v>954</v>
      </c>
      <c r="Q650" s="2" t="s">
        <v>745</v>
      </c>
      <c r="R650" s="2" t="s">
        <v>37</v>
      </c>
      <c r="S650" s="2" t="s">
        <v>100</v>
      </c>
      <c r="T650" s="2" t="s">
        <v>64</v>
      </c>
      <c r="U650" s="2">
        <v>30</v>
      </c>
      <c r="V650" s="2">
        <v>1946</v>
      </c>
      <c r="W650" s="2">
        <v>29190</v>
      </c>
      <c r="X650" s="2">
        <v>15</v>
      </c>
      <c r="Y650" s="2">
        <v>0.5</v>
      </c>
      <c r="Z650" s="2">
        <v>122</v>
      </c>
      <c r="AA650" s="2">
        <v>1249.78</v>
      </c>
      <c r="AB650">
        <v>1</v>
      </c>
      <c r="AC650">
        <v>2013</v>
      </c>
      <c r="AE650" s="2">
        <v>973</v>
      </c>
    </row>
    <row r="651" spans="2:31" ht="14.5">
      <c r="B651" s="2">
        <v>58494</v>
      </c>
      <c r="C651" s="2" t="s">
        <v>1037</v>
      </c>
      <c r="D651" s="2" t="s">
        <v>1038</v>
      </c>
      <c r="E651" s="2" t="s">
        <v>118</v>
      </c>
      <c r="F651" s="2" t="s">
        <v>29</v>
      </c>
      <c r="G651" s="2" t="s">
        <v>30</v>
      </c>
      <c r="H651" s="2" t="s">
        <v>109</v>
      </c>
      <c r="I651" s="2" t="s">
        <v>32</v>
      </c>
      <c r="J651" s="2" t="s">
        <v>33</v>
      </c>
      <c r="K651" s="2" t="s">
        <v>34</v>
      </c>
      <c r="L651" s="3">
        <v>41207</v>
      </c>
      <c r="M651" s="3">
        <v>41295</v>
      </c>
      <c r="N651" s="3">
        <v>41295</v>
      </c>
      <c r="O651" s="3">
        <v>41295</v>
      </c>
      <c r="P651" s="2" t="s">
        <v>813</v>
      </c>
      <c r="Q651" s="2" t="s">
        <v>814</v>
      </c>
      <c r="R651" s="2" t="s">
        <v>37</v>
      </c>
      <c r="S651" s="2" t="s">
        <v>815</v>
      </c>
      <c r="T651" s="2" t="s">
        <v>39</v>
      </c>
      <c r="U651" s="2">
        <v>30</v>
      </c>
      <c r="V651" s="2">
        <v>1455</v>
      </c>
      <c r="W651" s="2">
        <v>32737.5</v>
      </c>
      <c r="X651" s="2">
        <v>22.5</v>
      </c>
      <c r="Y651" s="2">
        <v>0.75</v>
      </c>
      <c r="AB651">
        <v>1</v>
      </c>
      <c r="AC651">
        <v>2013</v>
      </c>
      <c r="AE651" s="2">
        <v>1091.25</v>
      </c>
    </row>
    <row r="652" spans="2:31" ht="14.5">
      <c r="B652" s="2">
        <v>58716</v>
      </c>
      <c r="C652" s="2" t="s">
        <v>1263</v>
      </c>
      <c r="D652" s="2" t="s">
        <v>1264</v>
      </c>
      <c r="E652" s="2" t="s">
        <v>118</v>
      </c>
      <c r="F652" s="2" t="s">
        <v>29</v>
      </c>
      <c r="G652" s="2" t="s">
        <v>30</v>
      </c>
      <c r="H652" s="2" t="s">
        <v>103</v>
      </c>
      <c r="I652" s="2" t="s">
        <v>32</v>
      </c>
      <c r="J652" s="2" t="s">
        <v>711</v>
      </c>
      <c r="K652" s="2" t="s">
        <v>34</v>
      </c>
      <c r="L652" s="3">
        <v>41016</v>
      </c>
      <c r="M652" s="3">
        <v>41081</v>
      </c>
      <c r="N652" s="3">
        <v>41081</v>
      </c>
      <c r="O652" s="3">
        <v>41081</v>
      </c>
      <c r="P652" s="2" t="s">
        <v>864</v>
      </c>
      <c r="Q652" s="2" t="s">
        <v>865</v>
      </c>
      <c r="R652" s="2" t="s">
        <v>866</v>
      </c>
      <c r="S652" s="2" t="s">
        <v>100</v>
      </c>
      <c r="T652" s="2" t="s">
        <v>39</v>
      </c>
      <c r="U652" s="2">
        <v>120</v>
      </c>
      <c r="V652" s="2">
        <v>173</v>
      </c>
      <c r="W652" s="2">
        <v>11521.8</v>
      </c>
      <c r="X652" s="2">
        <v>66.599999999999994</v>
      </c>
      <c r="Y652" s="2">
        <v>0.55000000000000004</v>
      </c>
      <c r="Z652" s="2">
        <v>35</v>
      </c>
      <c r="AA652" s="2">
        <v>251.52</v>
      </c>
      <c r="AB652">
        <v>1</v>
      </c>
      <c r="AC652">
        <v>2012</v>
      </c>
      <c r="AE652" s="2">
        <v>95.15</v>
      </c>
    </row>
    <row r="653" spans="2:31" ht="14.5">
      <c r="B653" s="2">
        <v>58958</v>
      </c>
      <c r="C653" s="2" t="s">
        <v>1265</v>
      </c>
      <c r="D653" s="2" t="s">
        <v>1266</v>
      </c>
      <c r="E653" s="2" t="s">
        <v>28</v>
      </c>
      <c r="F653" s="2" t="s">
        <v>29</v>
      </c>
      <c r="G653" s="2" t="s">
        <v>50</v>
      </c>
      <c r="H653" s="2" t="s">
        <v>81</v>
      </c>
      <c r="I653" s="2" t="s">
        <v>32</v>
      </c>
      <c r="J653" s="2" t="s">
        <v>82</v>
      </c>
      <c r="K653" s="2" t="s">
        <v>34</v>
      </c>
      <c r="L653" s="3">
        <v>41164</v>
      </c>
      <c r="M653" s="3">
        <v>41290</v>
      </c>
      <c r="N653" s="3">
        <v>41290</v>
      </c>
      <c r="O653" s="3">
        <v>41290</v>
      </c>
      <c r="P653" s="2" t="s">
        <v>83</v>
      </c>
      <c r="Q653" s="2" t="s">
        <v>84</v>
      </c>
      <c r="R653" s="2" t="s">
        <v>85</v>
      </c>
      <c r="S653" s="2" t="s">
        <v>86</v>
      </c>
      <c r="T653" s="2" t="s">
        <v>87</v>
      </c>
      <c r="U653" s="2">
        <v>300</v>
      </c>
      <c r="V653" s="2">
        <v>68</v>
      </c>
      <c r="W653" s="2">
        <v>2095.7600000000002</v>
      </c>
      <c r="X653" s="2">
        <v>30.82</v>
      </c>
      <c r="Y653" s="2">
        <v>0.1</v>
      </c>
      <c r="Z653" s="2">
        <v>116</v>
      </c>
      <c r="AA653" s="2">
        <v>1818.56</v>
      </c>
      <c r="AB653">
        <v>1</v>
      </c>
      <c r="AC653">
        <v>2013</v>
      </c>
      <c r="AE653" s="2">
        <v>6.8000000000000007</v>
      </c>
    </row>
    <row r="654" spans="2:31" ht="14.5">
      <c r="B654" s="2">
        <v>59442</v>
      </c>
      <c r="C654" s="2" t="s">
        <v>1267</v>
      </c>
      <c r="D654" s="2" t="s">
        <v>1268</v>
      </c>
      <c r="E654" s="2" t="s">
        <v>42</v>
      </c>
      <c r="F654" s="2" t="s">
        <v>29</v>
      </c>
      <c r="G654" s="2" t="s">
        <v>30</v>
      </c>
      <c r="H654" s="2" t="s">
        <v>31</v>
      </c>
      <c r="I654" s="2" t="s">
        <v>32</v>
      </c>
      <c r="J654" s="2" t="s">
        <v>33</v>
      </c>
      <c r="K654" s="2" t="s">
        <v>34</v>
      </c>
      <c r="L654" s="3">
        <v>41106</v>
      </c>
      <c r="M654" s="3">
        <v>41127</v>
      </c>
      <c r="N654" s="3">
        <v>41127</v>
      </c>
      <c r="O654" s="3">
        <v>41127</v>
      </c>
      <c r="P654" s="2" t="s">
        <v>44</v>
      </c>
      <c r="Q654" s="2" t="s">
        <v>45</v>
      </c>
      <c r="R654" s="2" t="s">
        <v>37</v>
      </c>
      <c r="S654" s="2" t="s">
        <v>46</v>
      </c>
      <c r="T654" s="2" t="s">
        <v>47</v>
      </c>
      <c r="U654" s="2">
        <v>60</v>
      </c>
      <c r="V654" s="2">
        <v>35820</v>
      </c>
      <c r="W654" s="2">
        <v>256113</v>
      </c>
      <c r="X654" s="2">
        <v>7.15</v>
      </c>
      <c r="Y654" s="2">
        <v>0.12</v>
      </c>
      <c r="Z654" s="2">
        <v>3114</v>
      </c>
      <c r="AA654" s="2">
        <v>18779.990000000002</v>
      </c>
      <c r="AB654">
        <v>1</v>
      </c>
      <c r="AC654">
        <v>2012</v>
      </c>
      <c r="AE654" s="2">
        <v>4298.3999999999996</v>
      </c>
    </row>
    <row r="655" spans="2:31" ht="14.5">
      <c r="B655" s="2">
        <v>59896</v>
      </c>
      <c r="C655" s="2" t="s">
        <v>1031</v>
      </c>
      <c r="D655" s="2" t="s">
        <v>1269</v>
      </c>
      <c r="E655" s="2" t="s">
        <v>118</v>
      </c>
      <c r="F655" s="2" t="s">
        <v>29</v>
      </c>
      <c r="G655" s="2" t="s">
        <v>30</v>
      </c>
      <c r="H655" s="2" t="s">
        <v>43</v>
      </c>
      <c r="I655" s="2" t="s">
        <v>32</v>
      </c>
      <c r="J655" s="2" t="s">
        <v>33</v>
      </c>
      <c r="K655" s="2" t="s">
        <v>34</v>
      </c>
      <c r="L655" s="3">
        <v>41486</v>
      </c>
      <c r="M655" s="3">
        <v>41550</v>
      </c>
      <c r="N655" s="3">
        <v>41550</v>
      </c>
      <c r="O655" s="3">
        <v>41584</v>
      </c>
      <c r="P655" s="2" t="s">
        <v>44</v>
      </c>
      <c r="Q655" s="2" t="s">
        <v>45</v>
      </c>
      <c r="R655" s="2" t="s">
        <v>37</v>
      </c>
      <c r="S655" s="2" t="s">
        <v>46</v>
      </c>
      <c r="T655" s="2" t="s">
        <v>47</v>
      </c>
      <c r="U655" s="2">
        <v>60</v>
      </c>
      <c r="V655" s="2">
        <v>97380</v>
      </c>
      <c r="W655" s="2">
        <v>641734.19999999995</v>
      </c>
      <c r="X655" s="2">
        <v>6.59</v>
      </c>
      <c r="Y655" s="2">
        <v>0.11</v>
      </c>
      <c r="Z655" s="2">
        <v>8722</v>
      </c>
      <c r="AA655" s="2">
        <v>32208.32</v>
      </c>
      <c r="AB655">
        <v>1</v>
      </c>
      <c r="AC655">
        <v>2013</v>
      </c>
      <c r="AE655" s="2">
        <v>10711.8</v>
      </c>
    </row>
    <row r="656" spans="2:31" ht="14.5">
      <c r="B656" s="2">
        <v>60005</v>
      </c>
      <c r="C656" s="2" t="s">
        <v>774</v>
      </c>
      <c r="D656" s="2" t="s">
        <v>1270</v>
      </c>
      <c r="E656" s="2" t="s">
        <v>28</v>
      </c>
      <c r="F656" s="2" t="s">
        <v>29</v>
      </c>
      <c r="G656" s="2" t="s">
        <v>30</v>
      </c>
      <c r="H656" s="2" t="s">
        <v>31</v>
      </c>
      <c r="I656" s="2" t="s">
        <v>32</v>
      </c>
      <c r="J656" s="2" t="s">
        <v>33</v>
      </c>
      <c r="K656" s="2" t="s">
        <v>34</v>
      </c>
      <c r="L656" s="3">
        <v>41471</v>
      </c>
      <c r="M656" s="3">
        <v>41541</v>
      </c>
      <c r="N656" s="3">
        <v>41541</v>
      </c>
      <c r="O656" s="3">
        <v>41541</v>
      </c>
      <c r="P656" s="2" t="s">
        <v>112</v>
      </c>
      <c r="Q656" s="2" t="s">
        <v>113</v>
      </c>
      <c r="R656" s="2" t="s">
        <v>37</v>
      </c>
      <c r="S656" s="2" t="s">
        <v>114</v>
      </c>
      <c r="T656" s="2" t="s">
        <v>47</v>
      </c>
      <c r="U656" s="2">
        <v>60</v>
      </c>
      <c r="V656" s="2">
        <v>33022</v>
      </c>
      <c r="W656" s="2">
        <v>268468.86</v>
      </c>
      <c r="X656" s="2">
        <v>8.1300000000000008</v>
      </c>
      <c r="Y656" s="2">
        <v>0.14000000000000001</v>
      </c>
      <c r="Z656" s="2">
        <v>4190</v>
      </c>
      <c r="AA656" s="2">
        <v>16066.92</v>
      </c>
      <c r="AB656">
        <v>1</v>
      </c>
      <c r="AC656">
        <v>2013</v>
      </c>
      <c r="AE656" s="2">
        <v>4623.0800000000008</v>
      </c>
    </row>
    <row r="657" spans="2:31" ht="14.5">
      <c r="B657" s="2">
        <v>60112</v>
      </c>
      <c r="C657" s="2" t="s">
        <v>1271</v>
      </c>
      <c r="D657" s="2" t="s">
        <v>1272</v>
      </c>
      <c r="E657" s="2" t="s">
        <v>118</v>
      </c>
      <c r="F657" s="2" t="s">
        <v>29</v>
      </c>
      <c r="G657" s="2" t="s">
        <v>30</v>
      </c>
      <c r="H657" s="2" t="s">
        <v>31</v>
      </c>
      <c r="I657" s="2" t="s">
        <v>32</v>
      </c>
      <c r="J657" s="2" t="s">
        <v>33</v>
      </c>
      <c r="K657" s="2" t="s">
        <v>34</v>
      </c>
      <c r="L657" s="3">
        <v>41625</v>
      </c>
      <c r="M657" s="3">
        <v>41692</v>
      </c>
      <c r="N657" s="3">
        <v>41692</v>
      </c>
      <c r="O657" s="3">
        <v>41722</v>
      </c>
      <c r="P657" s="2" t="s">
        <v>35</v>
      </c>
      <c r="Q657" s="2" t="s">
        <v>36</v>
      </c>
      <c r="R657" s="2" t="s">
        <v>37</v>
      </c>
      <c r="S657" s="2" t="s">
        <v>38</v>
      </c>
      <c r="T657" s="2" t="s">
        <v>39</v>
      </c>
      <c r="U657" s="2">
        <v>60</v>
      </c>
      <c r="V657" s="2">
        <v>18216</v>
      </c>
      <c r="W657" s="2">
        <v>40986</v>
      </c>
      <c r="X657" s="2">
        <v>2.25</v>
      </c>
      <c r="Y657" s="2">
        <v>0.04</v>
      </c>
      <c r="Z657" s="2">
        <v>1863</v>
      </c>
      <c r="AA657" s="2">
        <v>6757.18</v>
      </c>
      <c r="AB657">
        <v>1</v>
      </c>
      <c r="AC657">
        <v>2014</v>
      </c>
      <c r="AE657" s="2">
        <v>728.64</v>
      </c>
    </row>
    <row r="658" spans="2:31" ht="14.5">
      <c r="B658" s="2">
        <v>60778</v>
      </c>
      <c r="C658" s="2" t="s">
        <v>1273</v>
      </c>
      <c r="D658" s="2" t="s">
        <v>1274</v>
      </c>
      <c r="E658" s="2" t="s">
        <v>28</v>
      </c>
      <c r="F658" s="2" t="s">
        <v>29</v>
      </c>
      <c r="G658" s="2" t="s">
        <v>30</v>
      </c>
      <c r="H658" s="2" t="s">
        <v>109</v>
      </c>
      <c r="I658" s="2" t="s">
        <v>32</v>
      </c>
      <c r="J658" s="2" t="s">
        <v>33</v>
      </c>
      <c r="K658" s="2" t="s">
        <v>34</v>
      </c>
      <c r="L658" s="3">
        <v>41526</v>
      </c>
      <c r="M658" s="3">
        <v>41667</v>
      </c>
      <c r="N658" s="3">
        <v>41667</v>
      </c>
      <c r="O658" s="3">
        <v>41667</v>
      </c>
      <c r="P658" s="2" t="s">
        <v>98</v>
      </c>
      <c r="Q658" s="2" t="s">
        <v>99</v>
      </c>
      <c r="R658" s="2" t="s">
        <v>37</v>
      </c>
      <c r="S658" s="2" t="s">
        <v>100</v>
      </c>
      <c r="T658" s="2" t="s">
        <v>39</v>
      </c>
      <c r="U658" s="2">
        <v>60</v>
      </c>
      <c r="V658" s="2">
        <v>20000</v>
      </c>
      <c r="W658" s="2">
        <v>223800</v>
      </c>
      <c r="X658" s="2">
        <v>11.19</v>
      </c>
      <c r="Y658" s="2">
        <v>0.19</v>
      </c>
      <c r="Z658" s="2">
        <v>2039</v>
      </c>
      <c r="AA658" s="2">
        <v>9182.4500000000007</v>
      </c>
      <c r="AB658">
        <v>1</v>
      </c>
      <c r="AC658">
        <v>2014</v>
      </c>
      <c r="AE658" s="2">
        <v>3800</v>
      </c>
    </row>
    <row r="659" spans="2:31" ht="14.5">
      <c r="B659" s="2">
        <v>60811</v>
      </c>
      <c r="C659" s="2" t="s">
        <v>1275</v>
      </c>
      <c r="D659" s="2" t="s">
        <v>1276</v>
      </c>
      <c r="E659" s="2" t="s">
        <v>118</v>
      </c>
      <c r="F659" s="2" t="s">
        <v>29</v>
      </c>
      <c r="G659" s="2" t="s">
        <v>30</v>
      </c>
      <c r="H659" s="2" t="s">
        <v>81</v>
      </c>
      <c r="I659" s="2" t="s">
        <v>32</v>
      </c>
      <c r="J659" s="2" t="s">
        <v>82</v>
      </c>
      <c r="K659" s="2" t="s">
        <v>34</v>
      </c>
      <c r="L659" s="3">
        <v>40336</v>
      </c>
      <c r="M659" s="3">
        <v>40378</v>
      </c>
      <c r="N659" s="3">
        <v>40378</v>
      </c>
      <c r="O659" s="3">
        <v>40378</v>
      </c>
      <c r="P659" s="2" t="s">
        <v>384</v>
      </c>
      <c r="Q659" s="2" t="s">
        <v>385</v>
      </c>
      <c r="R659" s="2" t="s">
        <v>386</v>
      </c>
      <c r="S659" s="2" t="s">
        <v>330</v>
      </c>
      <c r="T659" s="2" t="s">
        <v>64</v>
      </c>
      <c r="U659" s="2">
        <v>336</v>
      </c>
      <c r="V659" s="2">
        <v>15</v>
      </c>
      <c r="W659" s="2">
        <v>575.4</v>
      </c>
      <c r="X659" s="2">
        <v>38.36</v>
      </c>
      <c r="Y659" s="2">
        <v>0.11</v>
      </c>
      <c r="Z659" s="2">
        <v>53</v>
      </c>
      <c r="AA659" s="2">
        <v>708.2</v>
      </c>
      <c r="AB659">
        <v>1</v>
      </c>
      <c r="AC659">
        <v>2010</v>
      </c>
      <c r="AE659" s="2">
        <v>1.65</v>
      </c>
    </row>
    <row r="660" spans="2:31" ht="14.5">
      <c r="B660" s="2">
        <v>60818</v>
      </c>
      <c r="C660" s="2" t="s">
        <v>1277</v>
      </c>
      <c r="D660" s="2" t="s">
        <v>1278</v>
      </c>
      <c r="E660" s="2" t="s">
        <v>28</v>
      </c>
      <c r="F660" s="2" t="s">
        <v>29</v>
      </c>
      <c r="G660" s="2" t="s">
        <v>30</v>
      </c>
      <c r="H660" s="2" t="s">
        <v>81</v>
      </c>
      <c r="I660" s="2" t="s">
        <v>32</v>
      </c>
      <c r="J660" s="2" t="s">
        <v>82</v>
      </c>
      <c r="K660" s="2" t="s">
        <v>34</v>
      </c>
      <c r="L660" s="3">
        <v>40716</v>
      </c>
      <c r="M660" s="3">
        <v>40977</v>
      </c>
      <c r="N660" s="3">
        <v>40977</v>
      </c>
      <c r="O660" s="3">
        <v>40977</v>
      </c>
      <c r="P660" s="2" t="s">
        <v>855</v>
      </c>
      <c r="Q660" s="2" t="s">
        <v>385</v>
      </c>
      <c r="R660" s="2" t="s">
        <v>386</v>
      </c>
      <c r="S660" s="2" t="s">
        <v>330</v>
      </c>
      <c r="T660" s="2" t="s">
        <v>39</v>
      </c>
      <c r="U660" s="2">
        <v>60</v>
      </c>
      <c r="V660" s="2">
        <v>2145</v>
      </c>
      <c r="W660" s="2">
        <v>14693.25</v>
      </c>
      <c r="X660" s="2">
        <v>6.85</v>
      </c>
      <c r="Y660" s="2">
        <v>0.11</v>
      </c>
      <c r="Z660" s="2">
        <v>309</v>
      </c>
      <c r="AA660" s="2">
        <v>2383.65</v>
      </c>
      <c r="AB660">
        <v>1</v>
      </c>
      <c r="AC660">
        <v>2012</v>
      </c>
      <c r="AE660" s="2">
        <v>235.95</v>
      </c>
    </row>
    <row r="661" spans="2:31" ht="14.5">
      <c r="B661" s="2">
        <v>60841</v>
      </c>
      <c r="C661" s="2" t="s">
        <v>860</v>
      </c>
      <c r="D661" s="2" t="s">
        <v>861</v>
      </c>
      <c r="E661" s="2" t="s">
        <v>42</v>
      </c>
      <c r="F661" s="2" t="s">
        <v>29</v>
      </c>
      <c r="G661" s="2" t="s">
        <v>30</v>
      </c>
      <c r="H661" s="2" t="s">
        <v>31</v>
      </c>
      <c r="I661" s="2" t="s">
        <v>32</v>
      </c>
      <c r="J661" s="2" t="s">
        <v>33</v>
      </c>
      <c r="K661" s="2" t="s">
        <v>34</v>
      </c>
      <c r="L661" s="3">
        <v>40856</v>
      </c>
      <c r="M661" s="3">
        <v>40998</v>
      </c>
      <c r="N661" s="3">
        <v>40998</v>
      </c>
      <c r="O661" s="3">
        <v>40998</v>
      </c>
      <c r="P661" s="2" t="s">
        <v>772</v>
      </c>
      <c r="Q661" s="2" t="s">
        <v>54</v>
      </c>
      <c r="R661" s="2" t="s">
        <v>37</v>
      </c>
      <c r="S661" s="2" t="s">
        <v>120</v>
      </c>
      <c r="T661" s="2" t="s">
        <v>773</v>
      </c>
      <c r="U661" s="2">
        <v>30</v>
      </c>
      <c r="V661" s="2">
        <v>784</v>
      </c>
      <c r="W661" s="2">
        <v>10192</v>
      </c>
      <c r="X661" s="2">
        <v>13</v>
      </c>
      <c r="Y661" s="2">
        <v>0.43</v>
      </c>
      <c r="AB661">
        <v>1</v>
      </c>
      <c r="AC661">
        <v>2012</v>
      </c>
      <c r="AE661" s="2">
        <v>337.12</v>
      </c>
    </row>
    <row r="662" spans="2:31" ht="14.5">
      <c r="B662" s="2">
        <v>61111</v>
      </c>
      <c r="C662" s="2" t="s">
        <v>1279</v>
      </c>
      <c r="D662" s="2" t="s">
        <v>1280</v>
      </c>
      <c r="E662" s="2" t="s">
        <v>118</v>
      </c>
      <c r="F662" s="2" t="s">
        <v>29</v>
      </c>
      <c r="G662" s="2" t="s">
        <v>30</v>
      </c>
      <c r="H662" s="2" t="s">
        <v>1281</v>
      </c>
      <c r="I662" s="2" t="s">
        <v>32</v>
      </c>
      <c r="J662" s="2" t="s">
        <v>33</v>
      </c>
      <c r="K662" s="2" t="s">
        <v>34</v>
      </c>
      <c r="L662" s="3">
        <v>41674</v>
      </c>
      <c r="M662" s="3">
        <v>41836</v>
      </c>
      <c r="N662" s="3">
        <v>41836</v>
      </c>
      <c r="O662" s="3">
        <v>41838</v>
      </c>
      <c r="P662" s="2" t="s">
        <v>712</v>
      </c>
      <c r="Q662" s="2" t="s">
        <v>713</v>
      </c>
      <c r="R662" s="2" t="s">
        <v>714</v>
      </c>
      <c r="S662" s="2" t="s">
        <v>330</v>
      </c>
      <c r="T662" s="2" t="s">
        <v>39</v>
      </c>
      <c r="U662" s="2">
        <v>120</v>
      </c>
      <c r="V662" s="2">
        <v>502</v>
      </c>
      <c r="W662" s="2">
        <v>18072</v>
      </c>
      <c r="X662" s="2">
        <v>36</v>
      </c>
      <c r="Y662" s="2">
        <v>0.3</v>
      </c>
      <c r="Z662" s="2">
        <v>119</v>
      </c>
      <c r="AA662" s="2">
        <v>923.18</v>
      </c>
      <c r="AB662">
        <v>1</v>
      </c>
      <c r="AC662">
        <v>2014</v>
      </c>
      <c r="AE662" s="2">
        <v>150.6</v>
      </c>
    </row>
    <row r="663" spans="2:31" ht="14.5">
      <c r="B663" s="2">
        <v>61271</v>
      </c>
      <c r="C663" s="2" t="s">
        <v>816</v>
      </c>
      <c r="D663" s="2" t="s">
        <v>1282</v>
      </c>
      <c r="E663" s="2" t="s">
        <v>118</v>
      </c>
      <c r="F663" s="2" t="s">
        <v>29</v>
      </c>
      <c r="G663" s="2" t="s">
        <v>50</v>
      </c>
      <c r="H663" s="2" t="s">
        <v>31</v>
      </c>
      <c r="I663" s="2" t="s">
        <v>32</v>
      </c>
      <c r="J663" s="2" t="s">
        <v>33</v>
      </c>
      <c r="K663" s="2" t="s">
        <v>34</v>
      </c>
      <c r="L663" s="3">
        <v>41495</v>
      </c>
      <c r="M663" s="3">
        <v>41618</v>
      </c>
      <c r="N663" s="3">
        <v>41620</v>
      </c>
      <c r="O663" s="3">
        <v>41621</v>
      </c>
      <c r="P663" s="2" t="s">
        <v>818</v>
      </c>
      <c r="Q663" s="2" t="s">
        <v>36</v>
      </c>
      <c r="R663" s="2" t="s">
        <v>37</v>
      </c>
      <c r="S663" s="2" t="s">
        <v>226</v>
      </c>
      <c r="T663" s="2" t="s">
        <v>526</v>
      </c>
      <c r="U663" s="2">
        <v>100</v>
      </c>
      <c r="V663" s="2">
        <v>11036</v>
      </c>
      <c r="W663" s="2">
        <v>14346.8</v>
      </c>
      <c r="X663" s="2">
        <v>1.3</v>
      </c>
      <c r="Y663" s="2">
        <v>0.01</v>
      </c>
      <c r="Z663" s="2">
        <v>2385</v>
      </c>
      <c r="AA663" s="2">
        <v>10898.12</v>
      </c>
      <c r="AB663">
        <v>0</v>
      </c>
      <c r="AC663">
        <v>2013</v>
      </c>
      <c r="AE663" s="2">
        <v>110.36</v>
      </c>
    </row>
    <row r="664" spans="2:31" ht="14.5">
      <c r="B664" s="2">
        <v>61281</v>
      </c>
      <c r="C664" s="2" t="s">
        <v>1156</v>
      </c>
      <c r="D664" s="2" t="s">
        <v>1157</v>
      </c>
      <c r="E664" s="2" t="s">
        <v>42</v>
      </c>
      <c r="F664" s="2" t="s">
        <v>29</v>
      </c>
      <c r="G664" s="2" t="s">
        <v>30</v>
      </c>
      <c r="H664" s="2" t="s">
        <v>94</v>
      </c>
      <c r="I664" s="2" t="s">
        <v>32</v>
      </c>
      <c r="J664" s="2" t="s">
        <v>33</v>
      </c>
      <c r="K664" s="2" t="s">
        <v>646</v>
      </c>
      <c r="L664" s="3">
        <v>40449</v>
      </c>
      <c r="M664" s="3">
        <v>40603</v>
      </c>
      <c r="N664" s="3">
        <v>40603</v>
      </c>
      <c r="O664" s="3">
        <v>40603</v>
      </c>
      <c r="P664" s="2" t="s">
        <v>706</v>
      </c>
      <c r="Q664" s="2" t="s">
        <v>707</v>
      </c>
      <c r="R664" s="2" t="s">
        <v>37</v>
      </c>
      <c r="S664" s="2" t="s">
        <v>708</v>
      </c>
      <c r="T664" s="2" t="s">
        <v>47</v>
      </c>
      <c r="U664" s="2">
        <v>30</v>
      </c>
      <c r="V664" s="2">
        <v>172800</v>
      </c>
      <c r="W664" s="2">
        <v>1617408</v>
      </c>
      <c r="X664" s="2">
        <v>9.36</v>
      </c>
      <c r="Y664" s="2">
        <v>0.31</v>
      </c>
      <c r="AB664">
        <v>1</v>
      </c>
      <c r="AC664">
        <v>2011</v>
      </c>
      <c r="AE664" s="2">
        <v>53568</v>
      </c>
    </row>
    <row r="665" spans="2:31" ht="14.5">
      <c r="B665" s="2">
        <v>61418</v>
      </c>
      <c r="C665" s="2" t="s">
        <v>1118</v>
      </c>
      <c r="D665" s="2" t="s">
        <v>1283</v>
      </c>
      <c r="E665" s="2" t="s">
        <v>118</v>
      </c>
      <c r="F665" s="2" t="s">
        <v>29</v>
      </c>
      <c r="G665" s="2" t="s">
        <v>30</v>
      </c>
      <c r="H665" s="2" t="s">
        <v>81</v>
      </c>
      <c r="I665" s="2" t="s">
        <v>32</v>
      </c>
      <c r="J665" s="2" t="s">
        <v>82</v>
      </c>
      <c r="K665" s="2" t="s">
        <v>34</v>
      </c>
      <c r="L665" s="3">
        <v>41003</v>
      </c>
      <c r="M665" s="3">
        <v>41033</v>
      </c>
      <c r="N665" s="3">
        <v>41033</v>
      </c>
      <c r="O665" s="3">
        <v>41033</v>
      </c>
      <c r="P665" s="2" t="s">
        <v>855</v>
      </c>
      <c r="Q665" s="2" t="s">
        <v>385</v>
      </c>
      <c r="R665" s="2" t="s">
        <v>386</v>
      </c>
      <c r="S665" s="2" t="s">
        <v>330</v>
      </c>
      <c r="T665" s="2" t="s">
        <v>39</v>
      </c>
      <c r="U665" s="2">
        <v>60</v>
      </c>
      <c r="V665" s="2">
        <v>625</v>
      </c>
      <c r="W665" s="2">
        <v>4281.25</v>
      </c>
      <c r="X665" s="2">
        <v>6.85</v>
      </c>
      <c r="Y665" s="2">
        <v>0.11</v>
      </c>
      <c r="Z665" s="2">
        <v>86</v>
      </c>
      <c r="AA665" s="2">
        <v>86</v>
      </c>
      <c r="AB665">
        <v>1</v>
      </c>
      <c r="AC665">
        <v>2012</v>
      </c>
      <c r="AE665" s="2">
        <v>68.75</v>
      </c>
    </row>
    <row r="666" spans="2:31" ht="14.5">
      <c r="B666" s="2">
        <v>61436</v>
      </c>
      <c r="C666" s="2" t="s">
        <v>1284</v>
      </c>
      <c r="D666" s="2" t="s">
        <v>1285</v>
      </c>
      <c r="E666" s="2" t="s">
        <v>118</v>
      </c>
      <c r="F666" s="2" t="s">
        <v>29</v>
      </c>
      <c r="G666" s="2" t="s">
        <v>30</v>
      </c>
      <c r="H666" s="2" t="s">
        <v>175</v>
      </c>
      <c r="I666" s="2" t="s">
        <v>32</v>
      </c>
      <c r="J666" s="2" t="s">
        <v>33</v>
      </c>
      <c r="K666" s="2" t="s">
        <v>34</v>
      </c>
      <c r="L666" s="3">
        <v>42213</v>
      </c>
      <c r="M666" s="3">
        <v>42244</v>
      </c>
      <c r="N666" s="3">
        <v>42244</v>
      </c>
      <c r="O666" s="3">
        <v>42247</v>
      </c>
      <c r="P666" s="2" t="s">
        <v>95</v>
      </c>
      <c r="Q666" s="2" t="s">
        <v>96</v>
      </c>
      <c r="R666" s="2" t="s">
        <v>37</v>
      </c>
      <c r="S666" s="2" t="s">
        <v>97</v>
      </c>
      <c r="T666" s="2" t="s">
        <v>39</v>
      </c>
      <c r="U666" s="2">
        <v>30</v>
      </c>
      <c r="V666" s="2">
        <v>61751</v>
      </c>
      <c r="W666" s="2">
        <v>194515.65</v>
      </c>
      <c r="X666" s="2">
        <v>3.15</v>
      </c>
      <c r="Y666" s="2">
        <v>0.1</v>
      </c>
      <c r="AB666">
        <v>1</v>
      </c>
      <c r="AC666">
        <v>2015</v>
      </c>
      <c r="AE666" s="2">
        <v>6175.1</v>
      </c>
    </row>
    <row r="667" spans="2:31" ht="14.5">
      <c r="B667" s="2">
        <v>61520</v>
      </c>
      <c r="C667" s="2" t="s">
        <v>1286</v>
      </c>
      <c r="D667" s="2" t="s">
        <v>1287</v>
      </c>
      <c r="E667" s="2" t="s">
        <v>42</v>
      </c>
      <c r="F667" s="2" t="s">
        <v>29</v>
      </c>
      <c r="G667" s="2" t="s">
        <v>50</v>
      </c>
      <c r="H667" s="2" t="s">
        <v>31</v>
      </c>
      <c r="I667" s="2" t="s">
        <v>32</v>
      </c>
      <c r="J667" s="2" t="s">
        <v>52</v>
      </c>
      <c r="K667" s="2" t="s">
        <v>34</v>
      </c>
      <c r="L667" s="3">
        <v>40448</v>
      </c>
      <c r="M667" s="3">
        <v>40813</v>
      </c>
      <c r="N667" s="3">
        <v>40813</v>
      </c>
      <c r="O667" s="3">
        <v>40813</v>
      </c>
      <c r="P667" s="2" t="s">
        <v>1288</v>
      </c>
      <c r="Q667" s="2" t="s">
        <v>165</v>
      </c>
      <c r="R667" s="2" t="s">
        <v>37</v>
      </c>
      <c r="S667" s="2" t="s">
        <v>226</v>
      </c>
      <c r="T667" s="2" t="s">
        <v>87</v>
      </c>
      <c r="U667" s="2">
        <v>240</v>
      </c>
      <c r="V667" s="2">
        <v>2468</v>
      </c>
      <c r="W667" s="2">
        <v>7231.24</v>
      </c>
      <c r="X667" s="2">
        <v>2.93</v>
      </c>
      <c r="Y667" s="2">
        <v>0.01</v>
      </c>
      <c r="Z667" s="2">
        <v>907</v>
      </c>
      <c r="AA667" s="2">
        <v>650.80999999999995</v>
      </c>
      <c r="AB667">
        <v>1</v>
      </c>
      <c r="AC667">
        <v>2011</v>
      </c>
      <c r="AE667" s="2">
        <v>24.68</v>
      </c>
    </row>
    <row r="668" spans="2:31" ht="14.5">
      <c r="B668" s="2">
        <v>61715</v>
      </c>
      <c r="C668" s="2" t="s">
        <v>789</v>
      </c>
      <c r="D668" s="2" t="s">
        <v>1289</v>
      </c>
      <c r="E668" s="2" t="s">
        <v>42</v>
      </c>
      <c r="F668" s="2" t="s">
        <v>29</v>
      </c>
      <c r="G668" s="2" t="s">
        <v>50</v>
      </c>
      <c r="H668" s="2" t="s">
        <v>43</v>
      </c>
      <c r="I668" s="2" t="s">
        <v>32</v>
      </c>
      <c r="J668" s="2" t="s">
        <v>33</v>
      </c>
      <c r="K668" s="2" t="s">
        <v>34</v>
      </c>
      <c r="L668" s="3">
        <v>40982</v>
      </c>
      <c r="M668" s="3">
        <v>41089</v>
      </c>
      <c r="N668" s="3">
        <v>41089</v>
      </c>
      <c r="O668" s="3">
        <v>41089</v>
      </c>
      <c r="P668" s="2" t="s">
        <v>291</v>
      </c>
      <c r="Q668" s="2" t="s">
        <v>99</v>
      </c>
      <c r="R668" s="2" t="s">
        <v>37</v>
      </c>
      <c r="S668" s="2" t="s">
        <v>172</v>
      </c>
      <c r="T668" s="2" t="s">
        <v>87</v>
      </c>
      <c r="U668" s="2">
        <v>240</v>
      </c>
      <c r="V668" s="2">
        <v>4192</v>
      </c>
      <c r="W668" s="2">
        <v>35632</v>
      </c>
      <c r="X668" s="2">
        <v>8.5</v>
      </c>
      <c r="Y668" s="2">
        <v>0.04</v>
      </c>
      <c r="Z668" s="2">
        <v>1514</v>
      </c>
      <c r="AA668" s="2">
        <v>6072.8</v>
      </c>
      <c r="AB668">
        <v>1</v>
      </c>
      <c r="AC668">
        <v>2012</v>
      </c>
      <c r="AE668" s="2">
        <v>167.68</v>
      </c>
    </row>
    <row r="669" spans="2:31" ht="14.5">
      <c r="B669" s="2">
        <v>61783</v>
      </c>
      <c r="C669" s="2" t="s">
        <v>1235</v>
      </c>
      <c r="D669" s="2" t="s">
        <v>1290</v>
      </c>
      <c r="E669" s="2" t="s">
        <v>28</v>
      </c>
      <c r="F669" s="2" t="s">
        <v>29</v>
      </c>
      <c r="G669" s="2" t="s">
        <v>30</v>
      </c>
      <c r="H669" s="2" t="s">
        <v>109</v>
      </c>
      <c r="I669" s="2" t="s">
        <v>32</v>
      </c>
      <c r="J669" s="2" t="s">
        <v>33</v>
      </c>
      <c r="K669" s="2" t="s">
        <v>646</v>
      </c>
      <c r="L669" s="3">
        <v>41513</v>
      </c>
      <c r="M669" s="3">
        <v>41570</v>
      </c>
      <c r="N669" s="3">
        <v>41570</v>
      </c>
      <c r="O669" s="3">
        <v>41570</v>
      </c>
      <c r="P669" s="2" t="s">
        <v>749</v>
      </c>
      <c r="Q669" s="2" t="s">
        <v>76</v>
      </c>
      <c r="R669" s="2" t="s">
        <v>37</v>
      </c>
      <c r="S669" s="2" t="s">
        <v>78</v>
      </c>
      <c r="T669" s="2" t="s">
        <v>47</v>
      </c>
      <c r="U669" s="2">
        <v>30</v>
      </c>
      <c r="V669" s="2">
        <v>65763</v>
      </c>
      <c r="W669" s="2">
        <v>821379.87</v>
      </c>
      <c r="X669" s="2">
        <v>12.49</v>
      </c>
      <c r="Y669" s="2">
        <v>0.42</v>
      </c>
      <c r="Z669" s="2">
        <v>8182</v>
      </c>
      <c r="AA669" s="2">
        <v>7814.59</v>
      </c>
      <c r="AB669">
        <v>1</v>
      </c>
      <c r="AC669">
        <v>2013</v>
      </c>
      <c r="AE669" s="2">
        <v>27620.46</v>
      </c>
    </row>
    <row r="670" spans="2:31" ht="14.5">
      <c r="B670" s="2">
        <v>61959</v>
      </c>
      <c r="C670" s="2" t="s">
        <v>1291</v>
      </c>
      <c r="D670" s="2" t="s">
        <v>1292</v>
      </c>
      <c r="E670" s="2" t="s">
        <v>118</v>
      </c>
      <c r="F670" s="2" t="s">
        <v>29</v>
      </c>
      <c r="G670" s="2" t="s">
        <v>30</v>
      </c>
      <c r="H670" s="2" t="s">
        <v>175</v>
      </c>
      <c r="I670" s="2" t="s">
        <v>32</v>
      </c>
      <c r="J670" s="2" t="s">
        <v>33</v>
      </c>
      <c r="K670" s="2" t="s">
        <v>34</v>
      </c>
      <c r="L670" s="3">
        <v>41485</v>
      </c>
      <c r="M670" s="3">
        <v>41531</v>
      </c>
      <c r="N670" s="3">
        <v>41531</v>
      </c>
      <c r="O670" s="3">
        <v>41531</v>
      </c>
      <c r="P670" s="2" t="s">
        <v>95</v>
      </c>
      <c r="Q670" s="2" t="s">
        <v>96</v>
      </c>
      <c r="R670" s="2" t="s">
        <v>37</v>
      </c>
      <c r="S670" s="2" t="s">
        <v>97</v>
      </c>
      <c r="T670" s="2" t="s">
        <v>39</v>
      </c>
      <c r="U670" s="2">
        <v>30</v>
      </c>
      <c r="V670" s="2">
        <v>111348</v>
      </c>
      <c r="W670" s="2">
        <v>355200.12</v>
      </c>
      <c r="X670" s="2">
        <v>3.19</v>
      </c>
      <c r="Y670" s="2">
        <v>0.11</v>
      </c>
      <c r="Z670" s="2">
        <v>6953</v>
      </c>
      <c r="AA670" s="2">
        <v>30711.919999999998</v>
      </c>
      <c r="AB670">
        <v>1</v>
      </c>
      <c r="AC670">
        <v>2013</v>
      </c>
      <c r="AE670" s="2">
        <v>12248.28</v>
      </c>
    </row>
    <row r="671" spans="2:31" ht="14.5">
      <c r="B671" s="2">
        <v>62319</v>
      </c>
      <c r="C671" s="2" t="s">
        <v>1293</v>
      </c>
      <c r="D671" s="2" t="s">
        <v>1294</v>
      </c>
      <c r="E671" s="2" t="s">
        <v>118</v>
      </c>
      <c r="F671" s="2" t="s">
        <v>29</v>
      </c>
      <c r="G671" s="2" t="s">
        <v>30</v>
      </c>
      <c r="H671" s="2" t="s">
        <v>81</v>
      </c>
      <c r="I671" s="2" t="s">
        <v>32</v>
      </c>
      <c r="J671" s="2" t="s">
        <v>82</v>
      </c>
      <c r="K671" s="2" t="s">
        <v>34</v>
      </c>
      <c r="L671" s="3">
        <v>40219</v>
      </c>
      <c r="M671" s="3">
        <v>40261</v>
      </c>
      <c r="N671" s="3">
        <v>40261</v>
      </c>
      <c r="O671" s="3">
        <v>40261</v>
      </c>
      <c r="P671" s="2" t="s">
        <v>150</v>
      </c>
      <c r="Q671" s="2" t="s">
        <v>84</v>
      </c>
      <c r="R671" s="2" t="s">
        <v>151</v>
      </c>
      <c r="S671" s="2" t="s">
        <v>152</v>
      </c>
      <c r="T671" s="2" t="s">
        <v>39</v>
      </c>
      <c r="U671" s="2">
        <v>120</v>
      </c>
      <c r="V671" s="2">
        <v>480</v>
      </c>
      <c r="W671" s="2">
        <v>17356.8</v>
      </c>
      <c r="X671" s="2">
        <v>36.159999999999997</v>
      </c>
      <c r="Y671" s="2">
        <v>0.3</v>
      </c>
      <c r="Z671" s="2">
        <v>127</v>
      </c>
      <c r="AA671" s="2">
        <v>1400.91</v>
      </c>
      <c r="AB671">
        <v>1</v>
      </c>
      <c r="AC671">
        <v>2010</v>
      </c>
      <c r="AE671" s="2">
        <v>144</v>
      </c>
    </row>
    <row r="672" spans="2:31" ht="14.5">
      <c r="B672" s="2">
        <v>62400</v>
      </c>
      <c r="C672" s="2" t="s">
        <v>1295</v>
      </c>
      <c r="D672" s="2" t="s">
        <v>1296</v>
      </c>
      <c r="E672" s="2" t="s">
        <v>42</v>
      </c>
      <c r="F672" s="2" t="s">
        <v>29</v>
      </c>
      <c r="G672" s="2" t="s">
        <v>30</v>
      </c>
      <c r="H672" s="2" t="s">
        <v>31</v>
      </c>
      <c r="I672" s="2" t="s">
        <v>32</v>
      </c>
      <c r="J672" s="2" t="s">
        <v>52</v>
      </c>
      <c r="K672" s="2" t="s">
        <v>34</v>
      </c>
      <c r="L672" s="3">
        <v>40010</v>
      </c>
      <c r="M672" s="3">
        <v>40394</v>
      </c>
      <c r="N672" s="3">
        <v>40394</v>
      </c>
      <c r="O672" s="3">
        <v>40394</v>
      </c>
      <c r="P672" s="2" t="s">
        <v>780</v>
      </c>
      <c r="Q672" s="2" t="s">
        <v>54</v>
      </c>
      <c r="R672" s="2" t="s">
        <v>37</v>
      </c>
      <c r="S672" s="2" t="s">
        <v>70</v>
      </c>
      <c r="T672" s="2" t="s">
        <v>773</v>
      </c>
      <c r="U672" s="2">
        <v>30</v>
      </c>
      <c r="V672" s="2">
        <v>559</v>
      </c>
      <c r="W672" s="2">
        <v>12532.78</v>
      </c>
      <c r="X672" s="2">
        <v>22.42</v>
      </c>
      <c r="Y672" s="2">
        <v>0.75</v>
      </c>
      <c r="Z672" s="2">
        <v>46</v>
      </c>
      <c r="AA672" s="2">
        <v>1127.95</v>
      </c>
      <c r="AB672">
        <v>1</v>
      </c>
      <c r="AC672">
        <v>2010</v>
      </c>
      <c r="AE672" s="2">
        <v>419.25</v>
      </c>
    </row>
    <row r="673" spans="2:31" ht="14.5">
      <c r="B673" s="2">
        <v>62586</v>
      </c>
      <c r="C673" s="2" t="s">
        <v>1297</v>
      </c>
      <c r="D673" s="2" t="s">
        <v>1298</v>
      </c>
      <c r="E673" s="2" t="s">
        <v>118</v>
      </c>
      <c r="F673" s="2" t="s">
        <v>29</v>
      </c>
      <c r="G673" s="2" t="s">
        <v>30</v>
      </c>
      <c r="H673" s="2" t="s">
        <v>103</v>
      </c>
      <c r="I673" s="2" t="s">
        <v>32</v>
      </c>
      <c r="J673" s="2" t="s">
        <v>891</v>
      </c>
      <c r="K673" s="2" t="s">
        <v>34</v>
      </c>
      <c r="L673" s="3">
        <v>41158</v>
      </c>
      <c r="M673" s="3">
        <v>41207</v>
      </c>
      <c r="N673" s="3">
        <v>41207</v>
      </c>
      <c r="O673" s="3">
        <v>41207</v>
      </c>
      <c r="P673" s="2" t="s">
        <v>712</v>
      </c>
      <c r="Q673" s="2" t="s">
        <v>713</v>
      </c>
      <c r="R673" s="2" t="s">
        <v>714</v>
      </c>
      <c r="S673" s="2" t="s">
        <v>330</v>
      </c>
      <c r="T673" s="2" t="s">
        <v>39</v>
      </c>
      <c r="U673" s="2">
        <v>120</v>
      </c>
      <c r="V673" s="2">
        <v>111</v>
      </c>
      <c r="W673" s="2">
        <v>3996</v>
      </c>
      <c r="X673" s="2">
        <v>36</v>
      </c>
      <c r="Y673" s="2">
        <v>0.3</v>
      </c>
      <c r="Z673" s="2">
        <v>24</v>
      </c>
      <c r="AA673" s="2">
        <v>330</v>
      </c>
      <c r="AB673">
        <v>1</v>
      </c>
      <c r="AC673">
        <v>2012</v>
      </c>
      <c r="AE673" s="2">
        <v>33.299999999999997</v>
      </c>
    </row>
    <row r="674" spans="2:31" ht="14.5">
      <c r="B674" s="2">
        <v>62712</v>
      </c>
      <c r="C674" s="2" t="s">
        <v>1299</v>
      </c>
      <c r="D674" s="2" t="s">
        <v>1300</v>
      </c>
      <c r="E674" s="2" t="s">
        <v>118</v>
      </c>
      <c r="F674" s="2" t="s">
        <v>29</v>
      </c>
      <c r="G674" s="2" t="s">
        <v>50</v>
      </c>
      <c r="H674" s="2" t="s">
        <v>81</v>
      </c>
      <c r="I674" s="2" t="s">
        <v>32</v>
      </c>
      <c r="J674" s="2" t="s">
        <v>82</v>
      </c>
      <c r="K674" s="2" t="s">
        <v>34</v>
      </c>
      <c r="L674" s="3">
        <v>41968</v>
      </c>
      <c r="M674" s="3">
        <v>42083</v>
      </c>
      <c r="N674" s="3">
        <v>42083</v>
      </c>
      <c r="O674" s="3">
        <v>42083</v>
      </c>
      <c r="P674" s="2" t="s">
        <v>83</v>
      </c>
      <c r="Q674" s="2" t="s">
        <v>84</v>
      </c>
      <c r="R674" s="2" t="s">
        <v>85</v>
      </c>
      <c r="S674" s="2" t="s">
        <v>86</v>
      </c>
      <c r="T674" s="2" t="s">
        <v>87</v>
      </c>
      <c r="U674" s="2">
        <v>300</v>
      </c>
      <c r="V674" s="2">
        <v>150</v>
      </c>
      <c r="W674" s="2">
        <v>4623</v>
      </c>
      <c r="X674" s="2">
        <v>30.82</v>
      </c>
      <c r="Y674" s="2">
        <v>0.1</v>
      </c>
      <c r="Z674" s="2">
        <v>170</v>
      </c>
      <c r="AA674" s="2">
        <v>2265.89</v>
      </c>
      <c r="AB674">
        <v>1</v>
      </c>
      <c r="AC674">
        <v>2015</v>
      </c>
      <c r="AE674" s="2">
        <v>15</v>
      </c>
    </row>
    <row r="675" spans="2:31" ht="14.5">
      <c r="B675" s="2">
        <v>62935</v>
      </c>
      <c r="C675" s="2" t="s">
        <v>1301</v>
      </c>
      <c r="D675" s="2" t="s">
        <v>1302</v>
      </c>
      <c r="E675" s="2" t="s">
        <v>42</v>
      </c>
      <c r="F675" s="2" t="s">
        <v>29</v>
      </c>
      <c r="G675" s="2" t="s">
        <v>50</v>
      </c>
      <c r="H675" s="2" t="s">
        <v>81</v>
      </c>
      <c r="I675" s="2" t="s">
        <v>32</v>
      </c>
      <c r="J675" s="2" t="s">
        <v>82</v>
      </c>
      <c r="K675" s="2" t="s">
        <v>34</v>
      </c>
      <c r="L675" s="3">
        <v>42023</v>
      </c>
      <c r="M675" s="3">
        <v>42096</v>
      </c>
      <c r="N675" s="3">
        <v>42096</v>
      </c>
      <c r="O675" s="3">
        <v>42096</v>
      </c>
      <c r="P675" s="2" t="s">
        <v>83</v>
      </c>
      <c r="Q675" s="2" t="s">
        <v>84</v>
      </c>
      <c r="R675" s="2" t="s">
        <v>85</v>
      </c>
      <c r="S675" s="2" t="s">
        <v>86</v>
      </c>
      <c r="T675" s="2" t="s">
        <v>87</v>
      </c>
      <c r="U675" s="2">
        <v>300</v>
      </c>
      <c r="V675" s="2">
        <v>252</v>
      </c>
      <c r="W675" s="2">
        <v>7766.64</v>
      </c>
      <c r="X675" s="2">
        <v>30.82</v>
      </c>
      <c r="Y675" s="2">
        <v>0.1</v>
      </c>
      <c r="Z675" s="2">
        <v>316</v>
      </c>
      <c r="AA675" s="2">
        <v>2905.84</v>
      </c>
      <c r="AB675">
        <v>1</v>
      </c>
      <c r="AC675">
        <v>2015</v>
      </c>
      <c r="AE675" s="2">
        <v>25.200000000000003</v>
      </c>
    </row>
    <row r="676" spans="2:31" ht="14.5">
      <c r="B676" s="2">
        <v>63186</v>
      </c>
      <c r="C676" s="2" t="s">
        <v>1303</v>
      </c>
      <c r="D676" s="2" t="s">
        <v>1304</v>
      </c>
      <c r="E676" s="2" t="s">
        <v>42</v>
      </c>
      <c r="F676" s="2" t="s">
        <v>29</v>
      </c>
      <c r="G676" s="2" t="s">
        <v>30</v>
      </c>
      <c r="H676" s="2" t="s">
        <v>31</v>
      </c>
      <c r="I676" s="2" t="s">
        <v>32</v>
      </c>
      <c r="J676" s="2" t="s">
        <v>52</v>
      </c>
      <c r="K676" s="2" t="s">
        <v>34</v>
      </c>
      <c r="L676" s="3">
        <v>40010</v>
      </c>
      <c r="M676" s="3">
        <v>40105</v>
      </c>
      <c r="N676" s="3">
        <v>40105</v>
      </c>
      <c r="O676" s="3">
        <v>40105</v>
      </c>
      <c r="P676" s="2" t="s">
        <v>98</v>
      </c>
      <c r="Q676" s="2" t="s">
        <v>99</v>
      </c>
      <c r="R676" s="2" t="s">
        <v>37</v>
      </c>
      <c r="S676" s="2" t="s">
        <v>100</v>
      </c>
      <c r="T676" s="2" t="s">
        <v>39</v>
      </c>
      <c r="U676" s="2">
        <v>60</v>
      </c>
      <c r="V676" s="2">
        <v>427</v>
      </c>
      <c r="W676" s="2">
        <v>8253.91</v>
      </c>
      <c r="X676" s="2">
        <v>19.329999999999998</v>
      </c>
      <c r="Y676" s="2">
        <v>0.32</v>
      </c>
      <c r="Z676" s="2">
        <v>62</v>
      </c>
      <c r="AA676" s="2">
        <v>1060.3499999999999</v>
      </c>
      <c r="AB676">
        <v>1</v>
      </c>
      <c r="AC676">
        <v>2009</v>
      </c>
      <c r="AE676" s="2">
        <v>136.64000000000001</v>
      </c>
    </row>
    <row r="677" spans="2:31" ht="14.5">
      <c r="B677" s="2">
        <v>63401</v>
      </c>
      <c r="C677" s="2" t="s">
        <v>1305</v>
      </c>
      <c r="D677" s="2" t="s">
        <v>1306</v>
      </c>
      <c r="E677" s="2" t="s">
        <v>118</v>
      </c>
      <c r="F677" s="2" t="s">
        <v>29</v>
      </c>
      <c r="G677" s="2" t="s">
        <v>30</v>
      </c>
      <c r="H677" s="2" t="s">
        <v>103</v>
      </c>
      <c r="I677" s="2" t="s">
        <v>32</v>
      </c>
      <c r="J677" s="2" t="s">
        <v>52</v>
      </c>
      <c r="K677" s="2" t="s">
        <v>34</v>
      </c>
      <c r="L677" s="3">
        <v>41458</v>
      </c>
      <c r="M677" s="3">
        <v>41684</v>
      </c>
      <c r="N677" s="3">
        <v>41684</v>
      </c>
      <c r="O677" s="3">
        <v>41689</v>
      </c>
      <c r="P677" s="2" t="s">
        <v>864</v>
      </c>
      <c r="Q677" s="2" t="s">
        <v>865</v>
      </c>
      <c r="R677" s="2" t="s">
        <v>866</v>
      </c>
      <c r="S677" s="2" t="s">
        <v>100</v>
      </c>
      <c r="T677" s="2" t="s">
        <v>39</v>
      </c>
      <c r="U677" s="2">
        <v>120</v>
      </c>
      <c r="V677" s="2">
        <v>454</v>
      </c>
      <c r="W677" s="2">
        <v>30236.400000000001</v>
      </c>
      <c r="X677" s="2">
        <v>66.599999999999994</v>
      </c>
      <c r="Y677" s="2">
        <v>0.55000000000000004</v>
      </c>
      <c r="Z677" s="2">
        <v>79</v>
      </c>
      <c r="AA677" s="2">
        <v>281.94</v>
      </c>
      <c r="AB677">
        <v>1</v>
      </c>
      <c r="AC677">
        <v>2014</v>
      </c>
      <c r="AE677" s="2">
        <v>249.70000000000002</v>
      </c>
    </row>
    <row r="678" spans="2:31" ht="14.5">
      <c r="B678" s="2">
        <v>63438</v>
      </c>
      <c r="C678" s="2" t="s">
        <v>871</v>
      </c>
      <c r="D678" s="2" t="s">
        <v>1307</v>
      </c>
      <c r="E678" s="2" t="s">
        <v>28</v>
      </c>
      <c r="F678" s="2" t="s">
        <v>29</v>
      </c>
      <c r="G678" s="2" t="s">
        <v>30</v>
      </c>
      <c r="H678" s="2" t="s">
        <v>43</v>
      </c>
      <c r="I678" s="2" t="s">
        <v>32</v>
      </c>
      <c r="J678" s="2" t="s">
        <v>33</v>
      </c>
      <c r="K678" s="2" t="s">
        <v>34</v>
      </c>
      <c r="L678" s="3">
        <v>41513</v>
      </c>
      <c r="M678" s="3">
        <v>41635</v>
      </c>
      <c r="N678" s="3">
        <v>41635</v>
      </c>
      <c r="O678" s="3">
        <v>41635</v>
      </c>
      <c r="P678" s="2" t="s">
        <v>112</v>
      </c>
      <c r="Q678" s="2" t="s">
        <v>113</v>
      </c>
      <c r="R678" s="2" t="s">
        <v>37</v>
      </c>
      <c r="S678" s="2" t="s">
        <v>114</v>
      </c>
      <c r="T678" s="2" t="s">
        <v>47</v>
      </c>
      <c r="U678" s="2">
        <v>60</v>
      </c>
      <c r="V678" s="2">
        <v>80516</v>
      </c>
      <c r="W678" s="2">
        <v>652179.6</v>
      </c>
      <c r="X678" s="2">
        <v>8.1</v>
      </c>
      <c r="Y678" s="2">
        <v>0.13</v>
      </c>
      <c r="Z678" s="2">
        <v>11646</v>
      </c>
      <c r="AA678" s="2">
        <v>50445.73</v>
      </c>
      <c r="AB678">
        <v>1</v>
      </c>
      <c r="AC678">
        <v>2013</v>
      </c>
      <c r="AE678" s="2">
        <v>10467.08</v>
      </c>
    </row>
    <row r="679" spans="2:31" ht="14.5">
      <c r="B679" s="2">
        <v>64553</v>
      </c>
      <c r="C679" s="2" t="s">
        <v>1308</v>
      </c>
      <c r="D679" s="2" t="s">
        <v>1309</v>
      </c>
      <c r="E679" s="2" t="s">
        <v>42</v>
      </c>
      <c r="F679" s="2" t="s">
        <v>29</v>
      </c>
      <c r="G679" s="2" t="s">
        <v>30</v>
      </c>
      <c r="H679" s="2" t="s">
        <v>31</v>
      </c>
      <c r="I679" s="2" t="s">
        <v>32</v>
      </c>
      <c r="J679" s="2" t="s">
        <v>33</v>
      </c>
      <c r="K679" s="2" t="s">
        <v>34</v>
      </c>
      <c r="L679" s="3">
        <v>41536</v>
      </c>
      <c r="M679" s="3">
        <v>41621</v>
      </c>
      <c r="N679" s="3">
        <v>41621</v>
      </c>
      <c r="O679" s="3">
        <v>41625</v>
      </c>
      <c r="P679" s="2" t="s">
        <v>999</v>
      </c>
      <c r="Q679" s="2" t="s">
        <v>1000</v>
      </c>
      <c r="R679" s="2" t="s">
        <v>37</v>
      </c>
      <c r="S679" s="2" t="s">
        <v>1001</v>
      </c>
      <c r="T679" s="2" t="s">
        <v>47</v>
      </c>
      <c r="U679" s="2">
        <v>30</v>
      </c>
      <c r="V679" s="2">
        <v>14000</v>
      </c>
      <c r="W679" s="2">
        <v>203000</v>
      </c>
      <c r="X679" s="2">
        <v>14.5</v>
      </c>
      <c r="Y679" s="2">
        <v>0.48</v>
      </c>
      <c r="Z679" s="2">
        <v>1428</v>
      </c>
      <c r="AA679" s="2">
        <v>9061.84</v>
      </c>
      <c r="AB679">
        <v>1</v>
      </c>
      <c r="AC679">
        <v>2013</v>
      </c>
      <c r="AE679" s="2">
        <v>6720</v>
      </c>
    </row>
    <row r="680" spans="2:31" ht="14.5">
      <c r="B680" s="2">
        <v>64558</v>
      </c>
      <c r="C680" s="2" t="s">
        <v>849</v>
      </c>
      <c r="D680" s="2" t="s">
        <v>1310</v>
      </c>
      <c r="E680" s="2" t="s">
        <v>118</v>
      </c>
      <c r="F680" s="2" t="s">
        <v>29</v>
      </c>
      <c r="G680" s="2" t="s">
        <v>30</v>
      </c>
      <c r="H680" s="2" t="s">
        <v>43</v>
      </c>
      <c r="I680" s="2" t="s">
        <v>32</v>
      </c>
      <c r="J680" s="2" t="s">
        <v>33</v>
      </c>
      <c r="K680" s="2" t="s">
        <v>34</v>
      </c>
      <c r="L680" s="3">
        <v>41527</v>
      </c>
      <c r="M680" s="3">
        <v>41594</v>
      </c>
      <c r="N680" s="3">
        <v>41594</v>
      </c>
      <c r="O680" s="3">
        <v>41599</v>
      </c>
      <c r="P680" s="2" t="s">
        <v>112</v>
      </c>
      <c r="Q680" s="2" t="s">
        <v>113</v>
      </c>
      <c r="R680" s="2" t="s">
        <v>37</v>
      </c>
      <c r="S680" s="2" t="s">
        <v>114</v>
      </c>
      <c r="T680" s="2" t="s">
        <v>47</v>
      </c>
      <c r="U680" s="2">
        <v>60</v>
      </c>
      <c r="V680" s="2">
        <v>39449</v>
      </c>
      <c r="W680" s="2">
        <v>319536.90000000002</v>
      </c>
      <c r="X680" s="2">
        <v>8.1</v>
      </c>
      <c r="Y680" s="2">
        <v>0.13</v>
      </c>
      <c r="Z680" s="2">
        <v>5714</v>
      </c>
      <c r="AA680" s="2">
        <v>20416.03</v>
      </c>
      <c r="AB680">
        <v>1</v>
      </c>
      <c r="AC680">
        <v>2013</v>
      </c>
      <c r="AE680" s="2">
        <v>5128.37</v>
      </c>
    </row>
    <row r="681" spans="2:31" ht="14.5">
      <c r="B681" s="2">
        <v>64589</v>
      </c>
      <c r="C681" s="2" t="s">
        <v>1311</v>
      </c>
      <c r="D681" s="2" t="s">
        <v>1312</v>
      </c>
      <c r="E681" s="2" t="s">
        <v>118</v>
      </c>
      <c r="F681" s="2" t="s">
        <v>29</v>
      </c>
      <c r="G681" s="2" t="s">
        <v>50</v>
      </c>
      <c r="H681" s="2" t="s">
        <v>965</v>
      </c>
      <c r="I681" s="2" t="s">
        <v>32</v>
      </c>
      <c r="J681" s="2" t="s">
        <v>33</v>
      </c>
      <c r="K681" s="2" t="s">
        <v>34</v>
      </c>
      <c r="L681" s="3">
        <v>41312</v>
      </c>
      <c r="M681" s="3">
        <v>41402</v>
      </c>
      <c r="N681" s="3">
        <v>41402</v>
      </c>
      <c r="O681" s="3">
        <v>41402</v>
      </c>
      <c r="P681" s="2" t="s">
        <v>722</v>
      </c>
      <c r="Q681" s="2" t="s">
        <v>96</v>
      </c>
      <c r="R681" s="2" t="s">
        <v>37</v>
      </c>
      <c r="S681" s="2" t="s">
        <v>179</v>
      </c>
      <c r="T681" s="2" t="s">
        <v>64</v>
      </c>
      <c r="U681" s="2">
        <v>30</v>
      </c>
      <c r="V681" s="2">
        <v>252</v>
      </c>
      <c r="W681" s="2">
        <v>504</v>
      </c>
      <c r="X681" s="2">
        <v>2</v>
      </c>
      <c r="Y681" s="2">
        <v>7.0000000000000007E-2</v>
      </c>
      <c r="Z681" s="2">
        <v>9</v>
      </c>
      <c r="AA681" s="2">
        <v>1026.1500000000001</v>
      </c>
      <c r="AB681">
        <v>1</v>
      </c>
      <c r="AC681">
        <v>2013</v>
      </c>
      <c r="AE681" s="2">
        <v>17.64</v>
      </c>
    </row>
    <row r="682" spans="2:31" ht="14.5">
      <c r="B682" s="2">
        <v>64615</v>
      </c>
      <c r="C682" s="2" t="s">
        <v>1313</v>
      </c>
      <c r="D682" s="2" t="s">
        <v>1314</v>
      </c>
      <c r="E682" s="2" t="s">
        <v>118</v>
      </c>
      <c r="F682" s="2" t="s">
        <v>29</v>
      </c>
      <c r="G682" s="2" t="s">
        <v>30</v>
      </c>
      <c r="H682" s="2" t="s">
        <v>81</v>
      </c>
      <c r="I682" s="2" t="s">
        <v>32</v>
      </c>
      <c r="J682" s="2" t="s">
        <v>82</v>
      </c>
      <c r="K682" s="2" t="s">
        <v>34</v>
      </c>
      <c r="L682" s="3">
        <v>41674</v>
      </c>
      <c r="M682" s="3">
        <v>41877</v>
      </c>
      <c r="N682" s="3">
        <v>41877</v>
      </c>
      <c r="O682" s="3">
        <v>41877</v>
      </c>
      <c r="P682" s="2" t="s">
        <v>855</v>
      </c>
      <c r="Q682" s="2" t="s">
        <v>385</v>
      </c>
      <c r="R682" s="2" t="s">
        <v>386</v>
      </c>
      <c r="S682" s="2" t="s">
        <v>330</v>
      </c>
      <c r="T682" s="2" t="s">
        <v>39</v>
      </c>
      <c r="U682" s="2">
        <v>60</v>
      </c>
      <c r="V682" s="2">
        <v>579</v>
      </c>
      <c r="W682" s="2">
        <v>3966.15</v>
      </c>
      <c r="X682" s="2">
        <v>6.85</v>
      </c>
      <c r="Y682" s="2">
        <v>0.11</v>
      </c>
      <c r="Z682" s="2">
        <v>103</v>
      </c>
      <c r="AA682" s="2">
        <v>1393.29</v>
      </c>
      <c r="AB682">
        <v>1</v>
      </c>
      <c r="AC682">
        <v>2014</v>
      </c>
      <c r="AE682" s="2">
        <v>63.69</v>
      </c>
    </row>
    <row r="683" spans="2:31" ht="14.5">
      <c r="B683" s="2">
        <v>65005</v>
      </c>
      <c r="C683" s="2" t="s">
        <v>1315</v>
      </c>
      <c r="D683" s="2" t="s">
        <v>1316</v>
      </c>
      <c r="E683" s="2" t="s">
        <v>42</v>
      </c>
      <c r="F683" s="2" t="s">
        <v>29</v>
      </c>
      <c r="G683" s="2" t="s">
        <v>50</v>
      </c>
      <c r="H683" s="2" t="s">
        <v>81</v>
      </c>
      <c r="I683" s="2" t="s">
        <v>32</v>
      </c>
      <c r="J683" s="2" t="s">
        <v>82</v>
      </c>
      <c r="K683" s="2" t="s">
        <v>34</v>
      </c>
      <c r="L683" s="3">
        <v>40858</v>
      </c>
      <c r="M683" s="3">
        <v>40941</v>
      </c>
      <c r="N683" s="3">
        <v>40941</v>
      </c>
      <c r="O683" s="3">
        <v>40941</v>
      </c>
      <c r="P683" s="2" t="s">
        <v>90</v>
      </c>
      <c r="Q683" s="2" t="s">
        <v>84</v>
      </c>
      <c r="R683" s="2" t="s">
        <v>37</v>
      </c>
      <c r="S683" s="2" t="s">
        <v>91</v>
      </c>
      <c r="T683" s="2" t="s">
        <v>39</v>
      </c>
      <c r="U683" s="2">
        <v>60</v>
      </c>
      <c r="V683" s="2">
        <v>1305</v>
      </c>
      <c r="W683" s="2">
        <v>10061.549999999999</v>
      </c>
      <c r="X683" s="2">
        <v>7.71</v>
      </c>
      <c r="Y683" s="2">
        <v>0.13</v>
      </c>
      <c r="Z683" s="2">
        <v>150</v>
      </c>
      <c r="AA683" s="2">
        <v>2682.48</v>
      </c>
      <c r="AB683">
        <v>1</v>
      </c>
      <c r="AC683">
        <v>2012</v>
      </c>
      <c r="AE683" s="2">
        <v>169.65</v>
      </c>
    </row>
    <row r="684" spans="2:31" ht="14.5">
      <c r="B684" s="2">
        <v>65323</v>
      </c>
      <c r="C684" s="2" t="s">
        <v>871</v>
      </c>
      <c r="D684" s="2" t="s">
        <v>1317</v>
      </c>
      <c r="E684" s="2" t="s">
        <v>28</v>
      </c>
      <c r="F684" s="2" t="s">
        <v>29</v>
      </c>
      <c r="G684" s="2" t="s">
        <v>30</v>
      </c>
      <c r="H684" s="2" t="s">
        <v>43</v>
      </c>
      <c r="I684" s="2" t="s">
        <v>32</v>
      </c>
      <c r="J684" s="2" t="s">
        <v>33</v>
      </c>
      <c r="K684" s="2" t="s">
        <v>34</v>
      </c>
      <c r="L684" s="3">
        <v>41513</v>
      </c>
      <c r="M684" s="3">
        <v>41635</v>
      </c>
      <c r="N684" s="3">
        <v>41635</v>
      </c>
      <c r="O684" s="3">
        <v>41635</v>
      </c>
      <c r="P684" s="2" t="s">
        <v>112</v>
      </c>
      <c r="Q684" s="2" t="s">
        <v>113</v>
      </c>
      <c r="R684" s="2" t="s">
        <v>37</v>
      </c>
      <c r="S684" s="2" t="s">
        <v>114</v>
      </c>
      <c r="T684" s="2" t="s">
        <v>47</v>
      </c>
      <c r="U684" s="2">
        <v>60</v>
      </c>
      <c r="V684" s="2">
        <v>53239</v>
      </c>
      <c r="W684" s="2">
        <v>431235.9</v>
      </c>
      <c r="X684" s="2">
        <v>8.1</v>
      </c>
      <c r="Y684" s="2">
        <v>0.13</v>
      </c>
      <c r="Z684" s="2">
        <v>7696</v>
      </c>
      <c r="AA684" s="2">
        <v>33442.629999999997</v>
      </c>
      <c r="AB684">
        <v>1</v>
      </c>
      <c r="AC684">
        <v>2013</v>
      </c>
      <c r="AE684" s="2">
        <v>6921.0700000000006</v>
      </c>
    </row>
    <row r="685" spans="2:31" ht="14.5">
      <c r="B685" s="2">
        <v>65363</v>
      </c>
      <c r="C685" s="2" t="s">
        <v>770</v>
      </c>
      <c r="D685" s="2" t="s">
        <v>771</v>
      </c>
      <c r="E685" s="2" t="s">
        <v>60</v>
      </c>
      <c r="F685" s="2" t="s">
        <v>29</v>
      </c>
      <c r="G685" s="2" t="s">
        <v>30</v>
      </c>
      <c r="H685" s="2" t="s">
        <v>31</v>
      </c>
      <c r="I685" s="2" t="s">
        <v>32</v>
      </c>
      <c r="J685" s="2" t="s">
        <v>33</v>
      </c>
      <c r="K685" s="2" t="s">
        <v>34</v>
      </c>
      <c r="L685" s="3">
        <v>40297</v>
      </c>
      <c r="M685" s="3">
        <v>40588</v>
      </c>
      <c r="N685" s="3">
        <v>40588</v>
      </c>
      <c r="O685" s="3">
        <v>40588</v>
      </c>
      <c r="P685" s="2" t="s">
        <v>780</v>
      </c>
      <c r="Q685" s="2" t="s">
        <v>54</v>
      </c>
      <c r="R685" s="2" t="s">
        <v>37</v>
      </c>
      <c r="S685" s="2" t="s">
        <v>70</v>
      </c>
      <c r="T685" s="2" t="s">
        <v>773</v>
      </c>
      <c r="U685" s="2">
        <v>30</v>
      </c>
      <c r="V685" s="2">
        <v>750</v>
      </c>
      <c r="W685" s="2">
        <v>15000</v>
      </c>
      <c r="X685" s="2">
        <v>20</v>
      </c>
      <c r="Y685" s="2">
        <v>0.67</v>
      </c>
      <c r="AB685">
        <v>1</v>
      </c>
      <c r="AC685">
        <v>2011</v>
      </c>
      <c r="AE685" s="2">
        <v>502.50000000000006</v>
      </c>
    </row>
    <row r="686" spans="2:31" ht="14.5">
      <c r="B686" s="2">
        <v>65579</v>
      </c>
      <c r="C686" s="2" t="s">
        <v>1318</v>
      </c>
      <c r="D686" s="2" t="s">
        <v>1319</v>
      </c>
      <c r="E686" s="2" t="s">
        <v>28</v>
      </c>
      <c r="F686" s="2" t="s">
        <v>29</v>
      </c>
      <c r="G686" s="2" t="s">
        <v>30</v>
      </c>
      <c r="H686" s="2" t="s">
        <v>81</v>
      </c>
      <c r="I686" s="2" t="s">
        <v>32</v>
      </c>
      <c r="J686" s="2" t="s">
        <v>82</v>
      </c>
      <c r="K686" s="2" t="s">
        <v>34</v>
      </c>
      <c r="L686" s="3">
        <v>40249</v>
      </c>
      <c r="M686" s="3">
        <v>40387</v>
      </c>
      <c r="N686" s="3">
        <v>40387</v>
      </c>
      <c r="O686" s="3">
        <v>40387</v>
      </c>
      <c r="P686" s="2" t="s">
        <v>150</v>
      </c>
      <c r="Q686" s="2" t="s">
        <v>84</v>
      </c>
      <c r="R686" s="2" t="s">
        <v>151</v>
      </c>
      <c r="S686" s="2" t="s">
        <v>152</v>
      </c>
      <c r="T686" s="2" t="s">
        <v>39</v>
      </c>
      <c r="U686" s="2">
        <v>120</v>
      </c>
      <c r="V686" s="2">
        <v>9007</v>
      </c>
      <c r="W686" s="2">
        <v>325693.12</v>
      </c>
      <c r="X686" s="2">
        <v>36.159999999999997</v>
      </c>
      <c r="Y686" s="2">
        <v>0.3</v>
      </c>
      <c r="Z686" s="2">
        <v>2020</v>
      </c>
      <c r="AA686" s="2">
        <v>9169.6299999999992</v>
      </c>
      <c r="AB686">
        <v>1</v>
      </c>
      <c r="AC686">
        <v>2010</v>
      </c>
      <c r="AE686" s="2">
        <v>2702.1</v>
      </c>
    </row>
    <row r="687" spans="2:31" ht="14.5">
      <c r="B687" s="2">
        <v>65617</v>
      </c>
      <c r="C687" s="2" t="s">
        <v>794</v>
      </c>
      <c r="D687" s="2" t="s">
        <v>1320</v>
      </c>
      <c r="E687" s="2" t="s">
        <v>28</v>
      </c>
      <c r="F687" s="2" t="s">
        <v>29</v>
      </c>
      <c r="G687" s="2" t="s">
        <v>30</v>
      </c>
      <c r="H687" s="2" t="s">
        <v>31</v>
      </c>
      <c r="I687" s="2" t="s">
        <v>32</v>
      </c>
      <c r="J687" s="2" t="s">
        <v>33</v>
      </c>
      <c r="K687" s="2" t="s">
        <v>34</v>
      </c>
      <c r="L687" s="3">
        <v>40353</v>
      </c>
      <c r="M687" s="3">
        <v>40397</v>
      </c>
      <c r="N687" s="3">
        <v>40397</v>
      </c>
      <c r="O687" s="3">
        <v>40397</v>
      </c>
      <c r="P687" s="2" t="s">
        <v>35</v>
      </c>
      <c r="Q687" s="2" t="s">
        <v>36</v>
      </c>
      <c r="R687" s="2" t="s">
        <v>37</v>
      </c>
      <c r="S687" s="2" t="s">
        <v>38</v>
      </c>
      <c r="T687" s="2" t="s">
        <v>39</v>
      </c>
      <c r="U687" s="2">
        <v>60</v>
      </c>
      <c r="V687" s="2">
        <v>28800</v>
      </c>
      <c r="W687" s="2">
        <v>74880</v>
      </c>
      <c r="X687" s="2">
        <v>2.6</v>
      </c>
      <c r="Y687" s="2">
        <v>0.04</v>
      </c>
      <c r="Z687" s="2">
        <v>3396</v>
      </c>
      <c r="AA687" s="2">
        <v>16416.580000000002</v>
      </c>
      <c r="AB687">
        <v>1</v>
      </c>
      <c r="AC687">
        <v>2010</v>
      </c>
      <c r="AE687" s="2">
        <v>1152</v>
      </c>
    </row>
    <row r="688" spans="2:31" ht="14.5">
      <c r="B688" s="2">
        <v>65675</v>
      </c>
      <c r="C688" s="2" t="s">
        <v>1321</v>
      </c>
      <c r="D688" s="2" t="s">
        <v>1322</v>
      </c>
      <c r="E688" s="2" t="s">
        <v>28</v>
      </c>
      <c r="F688" s="2" t="s">
        <v>29</v>
      </c>
      <c r="G688" s="2" t="s">
        <v>30</v>
      </c>
      <c r="H688" s="2" t="s">
        <v>109</v>
      </c>
      <c r="I688" s="2" t="s">
        <v>32</v>
      </c>
      <c r="J688" s="2" t="s">
        <v>33</v>
      </c>
      <c r="K688" s="2" t="s">
        <v>34</v>
      </c>
      <c r="L688" s="3">
        <v>41705</v>
      </c>
      <c r="M688" s="3">
        <v>41814</v>
      </c>
      <c r="N688" s="3">
        <v>41814</v>
      </c>
      <c r="O688" s="3">
        <v>41814</v>
      </c>
      <c r="P688" s="2" t="s">
        <v>98</v>
      </c>
      <c r="Q688" s="2" t="s">
        <v>99</v>
      </c>
      <c r="R688" s="2" t="s">
        <v>37</v>
      </c>
      <c r="S688" s="2" t="s">
        <v>100</v>
      </c>
      <c r="T688" s="2" t="s">
        <v>39</v>
      </c>
      <c r="U688" s="2">
        <v>60</v>
      </c>
      <c r="V688" s="2">
        <v>20000</v>
      </c>
      <c r="W688" s="2">
        <v>221800</v>
      </c>
      <c r="X688" s="2">
        <v>11.09</v>
      </c>
      <c r="Y688" s="2">
        <v>0.18</v>
      </c>
      <c r="Z688" s="2">
        <v>2069</v>
      </c>
      <c r="AA688" s="2">
        <v>9716.76</v>
      </c>
      <c r="AB688">
        <v>1</v>
      </c>
      <c r="AC688">
        <v>2014</v>
      </c>
      <c r="AE688" s="2">
        <v>3600</v>
      </c>
    </row>
    <row r="689" spans="2:31" ht="14.5">
      <c r="B689" s="2">
        <v>65709</v>
      </c>
      <c r="C689" s="2" t="s">
        <v>1258</v>
      </c>
      <c r="D689" s="2" t="s">
        <v>1259</v>
      </c>
      <c r="E689" s="2" t="s">
        <v>118</v>
      </c>
      <c r="F689" s="2" t="s">
        <v>29</v>
      </c>
      <c r="G689" s="2" t="s">
        <v>30</v>
      </c>
      <c r="H689" s="2" t="s">
        <v>94</v>
      </c>
      <c r="I689" s="2" t="s">
        <v>32</v>
      </c>
      <c r="J689" s="2" t="s">
        <v>33</v>
      </c>
      <c r="K689" s="2" t="s">
        <v>34</v>
      </c>
      <c r="L689" s="3">
        <v>41072</v>
      </c>
      <c r="M689" s="3">
        <v>41117</v>
      </c>
      <c r="N689" s="3">
        <v>41117</v>
      </c>
      <c r="O689" s="3">
        <v>41117</v>
      </c>
      <c r="P689" s="2" t="s">
        <v>706</v>
      </c>
      <c r="Q689" s="2" t="s">
        <v>707</v>
      </c>
      <c r="R689" s="2" t="s">
        <v>37</v>
      </c>
      <c r="S689" s="2" t="s">
        <v>708</v>
      </c>
      <c r="T689" s="2" t="s">
        <v>47</v>
      </c>
      <c r="U689" s="2">
        <v>30</v>
      </c>
      <c r="V689" s="2">
        <v>100440</v>
      </c>
      <c r="W689" s="2">
        <v>481107.6</v>
      </c>
      <c r="X689" s="2">
        <v>4.79</v>
      </c>
      <c r="Y689" s="2">
        <v>0.16</v>
      </c>
      <c r="AB689">
        <v>1</v>
      </c>
      <c r="AC689">
        <v>2012</v>
      </c>
      <c r="AE689" s="2">
        <v>16070.4</v>
      </c>
    </row>
    <row r="690" spans="2:31" ht="14.5">
      <c r="B690" s="2">
        <v>65732</v>
      </c>
      <c r="C690" s="2" t="s">
        <v>1323</v>
      </c>
      <c r="D690" s="2" t="s">
        <v>1324</v>
      </c>
      <c r="E690" s="2" t="s">
        <v>28</v>
      </c>
      <c r="F690" s="2" t="s">
        <v>29</v>
      </c>
      <c r="G690" s="2" t="s">
        <v>30</v>
      </c>
      <c r="H690" s="2" t="s">
        <v>81</v>
      </c>
      <c r="I690" s="2" t="s">
        <v>32</v>
      </c>
      <c r="J690" s="2" t="s">
        <v>82</v>
      </c>
      <c r="K690" s="2" t="s">
        <v>34</v>
      </c>
      <c r="L690" s="3">
        <v>39987</v>
      </c>
      <c r="M690" s="3">
        <v>40065</v>
      </c>
      <c r="N690" s="3">
        <v>40065</v>
      </c>
      <c r="O690" s="3">
        <v>40065</v>
      </c>
      <c r="P690" s="2" t="s">
        <v>384</v>
      </c>
      <c r="Q690" s="2" t="s">
        <v>385</v>
      </c>
      <c r="R690" s="2" t="s">
        <v>386</v>
      </c>
      <c r="S690" s="2" t="s">
        <v>330</v>
      </c>
      <c r="T690" s="2" t="s">
        <v>64</v>
      </c>
      <c r="U690" s="2">
        <v>336</v>
      </c>
      <c r="V690" s="2">
        <v>160</v>
      </c>
      <c r="W690" s="2">
        <v>6137.6</v>
      </c>
      <c r="X690" s="2">
        <v>38.36</v>
      </c>
      <c r="Y690" s="2">
        <v>0.11</v>
      </c>
      <c r="Z690" s="2">
        <v>325</v>
      </c>
      <c r="AA690" s="2">
        <v>2278.11</v>
      </c>
      <c r="AB690">
        <v>1</v>
      </c>
      <c r="AC690">
        <v>2009</v>
      </c>
      <c r="AE690" s="2">
        <v>17.600000000000001</v>
      </c>
    </row>
    <row r="691" spans="2:31" ht="14.5">
      <c r="B691" s="2">
        <v>65780</v>
      </c>
      <c r="C691" s="2" t="s">
        <v>1325</v>
      </c>
      <c r="D691" s="2" t="s">
        <v>1326</v>
      </c>
      <c r="E691" s="2" t="s">
        <v>42</v>
      </c>
      <c r="F691" s="2" t="s">
        <v>29</v>
      </c>
      <c r="G691" s="2" t="s">
        <v>30</v>
      </c>
      <c r="H691" s="2" t="s">
        <v>94</v>
      </c>
      <c r="I691" s="2" t="s">
        <v>32</v>
      </c>
      <c r="J691" s="2" t="s">
        <v>33</v>
      </c>
      <c r="K691" s="2" t="s">
        <v>34</v>
      </c>
      <c r="L691" s="3">
        <v>41072</v>
      </c>
      <c r="M691" s="3">
        <v>41110</v>
      </c>
      <c r="N691" s="3">
        <v>41110</v>
      </c>
      <c r="O691" s="3">
        <v>41110</v>
      </c>
      <c r="P691" s="2" t="s">
        <v>35</v>
      </c>
      <c r="Q691" s="2" t="s">
        <v>36</v>
      </c>
      <c r="R691" s="2" t="s">
        <v>37</v>
      </c>
      <c r="S691" s="2" t="s">
        <v>38</v>
      </c>
      <c r="T691" s="2" t="s">
        <v>39</v>
      </c>
      <c r="U691" s="2">
        <v>60</v>
      </c>
      <c r="V691" s="2">
        <v>55710</v>
      </c>
      <c r="W691" s="2">
        <v>130361.4</v>
      </c>
      <c r="X691" s="2">
        <v>2.34</v>
      </c>
      <c r="Y691" s="2">
        <v>0.04</v>
      </c>
      <c r="Z691" s="2">
        <v>3204</v>
      </c>
      <c r="AA691" s="2">
        <v>19625.64</v>
      </c>
      <c r="AB691">
        <v>1</v>
      </c>
      <c r="AC691">
        <v>2012</v>
      </c>
      <c r="AE691" s="2">
        <v>2228.4</v>
      </c>
    </row>
    <row r="692" spans="2:31" ht="14.5">
      <c r="B692" s="2">
        <v>66000</v>
      </c>
      <c r="C692" s="2" t="s">
        <v>1327</v>
      </c>
      <c r="D692" s="2" t="s">
        <v>1328</v>
      </c>
      <c r="E692" s="2" t="s">
        <v>42</v>
      </c>
      <c r="F692" s="2" t="s">
        <v>29</v>
      </c>
      <c r="G692" s="2" t="s">
        <v>50</v>
      </c>
      <c r="H692" s="2" t="s">
        <v>81</v>
      </c>
      <c r="I692" s="2" t="s">
        <v>32</v>
      </c>
      <c r="J692" s="2" t="s">
        <v>82</v>
      </c>
      <c r="K692" s="2" t="s">
        <v>34</v>
      </c>
      <c r="L692" s="3">
        <v>41792</v>
      </c>
      <c r="M692" s="3">
        <v>41836</v>
      </c>
      <c r="N692" s="3">
        <v>41836</v>
      </c>
      <c r="O692" s="3">
        <v>41842</v>
      </c>
      <c r="P692" s="2" t="s">
        <v>83</v>
      </c>
      <c r="Q692" s="2" t="s">
        <v>84</v>
      </c>
      <c r="R692" s="2" t="s">
        <v>85</v>
      </c>
      <c r="S692" s="2" t="s">
        <v>86</v>
      </c>
      <c r="T692" s="2" t="s">
        <v>87</v>
      </c>
      <c r="U692" s="2">
        <v>300</v>
      </c>
      <c r="V692" s="2">
        <v>316</v>
      </c>
      <c r="W692" s="2">
        <v>9739.1200000000008</v>
      </c>
      <c r="X692" s="2">
        <v>30.82</v>
      </c>
      <c r="Y692" s="2">
        <v>0.1</v>
      </c>
      <c r="Z692" s="2">
        <v>415</v>
      </c>
      <c r="AA692" s="2">
        <v>4399.6499999999996</v>
      </c>
      <c r="AB692">
        <v>1</v>
      </c>
      <c r="AC692">
        <v>2014</v>
      </c>
      <c r="AE692" s="2">
        <v>31.6</v>
      </c>
    </row>
    <row r="693" spans="2:31" ht="14.5">
      <c r="B693" s="2">
        <v>66207</v>
      </c>
      <c r="C693" s="2" t="s">
        <v>1329</v>
      </c>
      <c r="D693" s="2" t="s">
        <v>1330</v>
      </c>
      <c r="E693" s="2" t="s">
        <v>118</v>
      </c>
      <c r="F693" s="2" t="s">
        <v>29</v>
      </c>
      <c r="G693" s="2" t="s">
        <v>30</v>
      </c>
      <c r="H693" s="2" t="s">
        <v>103</v>
      </c>
      <c r="I693" s="2" t="s">
        <v>32</v>
      </c>
      <c r="J693" s="2" t="s">
        <v>33</v>
      </c>
      <c r="K693" s="2" t="s">
        <v>34</v>
      </c>
      <c r="L693" s="3">
        <v>40149</v>
      </c>
      <c r="M693" s="3">
        <v>40289</v>
      </c>
      <c r="N693" s="3">
        <v>40289</v>
      </c>
      <c r="O693" s="3">
        <v>40289</v>
      </c>
      <c r="P693" s="2" t="s">
        <v>864</v>
      </c>
      <c r="Q693" s="2" t="s">
        <v>865</v>
      </c>
      <c r="R693" s="2" t="s">
        <v>866</v>
      </c>
      <c r="S693" s="2" t="s">
        <v>100</v>
      </c>
      <c r="T693" s="2" t="s">
        <v>39</v>
      </c>
      <c r="U693" s="2">
        <v>120</v>
      </c>
      <c r="V693" s="2">
        <v>102</v>
      </c>
      <c r="W693" s="2">
        <v>9180</v>
      </c>
      <c r="X693" s="2">
        <v>90</v>
      </c>
      <c r="Y693" s="2">
        <v>0.75</v>
      </c>
      <c r="Z693" s="2">
        <v>15</v>
      </c>
      <c r="AA693" s="2">
        <v>845.1</v>
      </c>
      <c r="AB693">
        <v>1</v>
      </c>
      <c r="AC693">
        <v>2010</v>
      </c>
      <c r="AE693" s="2">
        <v>76.5</v>
      </c>
    </row>
    <row r="694" spans="2:31" ht="14.5">
      <c r="B694" s="2">
        <v>66277</v>
      </c>
      <c r="C694" s="2" t="s">
        <v>1331</v>
      </c>
      <c r="D694" s="2" t="s">
        <v>1332</v>
      </c>
      <c r="E694" s="2" t="s">
        <v>118</v>
      </c>
      <c r="F694" s="2" t="s">
        <v>29</v>
      </c>
      <c r="G694" s="2" t="s">
        <v>30</v>
      </c>
      <c r="H694" s="2" t="s">
        <v>103</v>
      </c>
      <c r="I694" s="2" t="s">
        <v>32</v>
      </c>
      <c r="J694" s="2" t="s">
        <v>711</v>
      </c>
      <c r="K694" s="2" t="s">
        <v>34</v>
      </c>
      <c r="L694" s="3">
        <v>41016</v>
      </c>
      <c r="M694" s="3">
        <v>41039</v>
      </c>
      <c r="N694" s="3">
        <v>41039</v>
      </c>
      <c r="O694" s="3">
        <v>41039</v>
      </c>
      <c r="P694" s="2" t="s">
        <v>864</v>
      </c>
      <c r="Q694" s="2" t="s">
        <v>865</v>
      </c>
      <c r="R694" s="2" t="s">
        <v>866</v>
      </c>
      <c r="S694" s="2" t="s">
        <v>100</v>
      </c>
      <c r="T694" s="2" t="s">
        <v>39</v>
      </c>
      <c r="U694" s="2">
        <v>120</v>
      </c>
      <c r="V694" s="2">
        <v>100</v>
      </c>
      <c r="W694" s="2">
        <v>6660</v>
      </c>
      <c r="X694" s="2">
        <v>66.599999999999994</v>
      </c>
      <c r="Y694" s="2">
        <v>0.55000000000000004</v>
      </c>
      <c r="Z694" s="2">
        <v>14</v>
      </c>
      <c r="AA694" s="2">
        <v>527</v>
      </c>
      <c r="AB694">
        <v>1</v>
      </c>
      <c r="AC694">
        <v>2012</v>
      </c>
      <c r="AE694" s="2">
        <v>55.000000000000007</v>
      </c>
    </row>
    <row r="695" spans="2:31" ht="14.5">
      <c r="B695" s="2">
        <v>66371</v>
      </c>
      <c r="C695" s="2" t="s">
        <v>774</v>
      </c>
      <c r="D695" s="2" t="s">
        <v>1333</v>
      </c>
      <c r="E695" s="2" t="s">
        <v>28</v>
      </c>
      <c r="F695" s="2" t="s">
        <v>29</v>
      </c>
      <c r="G695" s="2" t="s">
        <v>30</v>
      </c>
      <c r="H695" s="2" t="s">
        <v>31</v>
      </c>
      <c r="I695" s="2" t="s">
        <v>32</v>
      </c>
      <c r="J695" s="2" t="s">
        <v>33</v>
      </c>
      <c r="K695" s="2" t="s">
        <v>34</v>
      </c>
      <c r="L695" s="3">
        <v>41471</v>
      </c>
      <c r="M695" s="3">
        <v>41541</v>
      </c>
      <c r="N695" s="3">
        <v>41541</v>
      </c>
      <c r="O695" s="3">
        <v>41541</v>
      </c>
      <c r="P695" s="2" t="s">
        <v>112</v>
      </c>
      <c r="Q695" s="2" t="s">
        <v>113</v>
      </c>
      <c r="R695" s="2" t="s">
        <v>37</v>
      </c>
      <c r="S695" s="2" t="s">
        <v>114</v>
      </c>
      <c r="T695" s="2" t="s">
        <v>47</v>
      </c>
      <c r="U695" s="2">
        <v>60</v>
      </c>
      <c r="V695" s="2">
        <v>37012</v>
      </c>
      <c r="W695" s="2">
        <v>300907.56</v>
      </c>
      <c r="X695" s="2">
        <v>8.1300000000000008</v>
      </c>
      <c r="Y695" s="2">
        <v>0.14000000000000001</v>
      </c>
      <c r="Z695" s="2">
        <v>4699</v>
      </c>
      <c r="AA695" s="2">
        <v>17907.7</v>
      </c>
      <c r="AB695">
        <v>1</v>
      </c>
      <c r="AC695">
        <v>2013</v>
      </c>
      <c r="AE695" s="2">
        <v>5181.68</v>
      </c>
    </row>
    <row r="696" spans="2:31" ht="14.5">
      <c r="B696" s="2">
        <v>66383</v>
      </c>
      <c r="C696" s="2" t="s">
        <v>1334</v>
      </c>
      <c r="D696" s="2" t="s">
        <v>1335</v>
      </c>
      <c r="E696" s="2" t="s">
        <v>118</v>
      </c>
      <c r="F696" s="2" t="s">
        <v>29</v>
      </c>
      <c r="G696" s="2" t="s">
        <v>50</v>
      </c>
      <c r="H696" s="2" t="s">
        <v>31</v>
      </c>
      <c r="I696" s="2" t="s">
        <v>32</v>
      </c>
      <c r="J696" s="2" t="s">
        <v>33</v>
      </c>
      <c r="K696" s="2" t="s">
        <v>34</v>
      </c>
      <c r="L696" s="3">
        <v>41310</v>
      </c>
      <c r="M696" s="3">
        <v>41386</v>
      </c>
      <c r="N696" s="3">
        <v>41386</v>
      </c>
      <c r="O696" s="3">
        <v>41386</v>
      </c>
      <c r="P696" s="2" t="s">
        <v>717</v>
      </c>
      <c r="Q696" s="2" t="s">
        <v>36</v>
      </c>
      <c r="R696" s="2" t="s">
        <v>37</v>
      </c>
      <c r="S696" s="2" t="s">
        <v>179</v>
      </c>
      <c r="T696" s="2" t="s">
        <v>180</v>
      </c>
      <c r="U696" s="2">
        <v>30</v>
      </c>
      <c r="V696" s="2">
        <v>961</v>
      </c>
      <c r="W696" s="2">
        <v>1201.25</v>
      </c>
      <c r="X696" s="2">
        <v>1.25</v>
      </c>
      <c r="Y696" s="2">
        <v>0.04</v>
      </c>
      <c r="Z696" s="2">
        <v>53</v>
      </c>
      <c r="AA696" s="2">
        <v>1203.4000000000001</v>
      </c>
      <c r="AB696">
        <v>1</v>
      </c>
      <c r="AC696">
        <v>2013</v>
      </c>
      <c r="AE696" s="2">
        <v>38.44</v>
      </c>
    </row>
    <row r="697" spans="2:31" ht="14.5">
      <c r="B697" s="2">
        <v>66431</v>
      </c>
      <c r="C697" s="2" t="s">
        <v>1336</v>
      </c>
      <c r="D697" s="2" t="s">
        <v>1337</v>
      </c>
      <c r="E697" s="2" t="s">
        <v>118</v>
      </c>
      <c r="F697" s="2" t="s">
        <v>29</v>
      </c>
      <c r="G697" s="2" t="s">
        <v>30</v>
      </c>
      <c r="H697" s="2" t="s">
        <v>157</v>
      </c>
      <c r="I697" s="2" t="s">
        <v>32</v>
      </c>
      <c r="J697" s="2" t="s">
        <v>82</v>
      </c>
      <c r="K697" s="2" t="s">
        <v>34</v>
      </c>
      <c r="L697" s="3">
        <v>40070</v>
      </c>
      <c r="M697" s="3">
        <v>40150</v>
      </c>
      <c r="N697" s="3">
        <v>40150</v>
      </c>
      <c r="O697" s="3">
        <v>40150</v>
      </c>
      <c r="P697" s="2" t="s">
        <v>1105</v>
      </c>
      <c r="Q697" s="2" t="s">
        <v>159</v>
      </c>
      <c r="R697" s="2" t="s">
        <v>160</v>
      </c>
      <c r="S697" s="2" t="s">
        <v>1106</v>
      </c>
      <c r="T697" s="2" t="s">
        <v>39</v>
      </c>
      <c r="U697" s="2">
        <v>120</v>
      </c>
      <c r="V697" s="2">
        <v>161</v>
      </c>
      <c r="W697" s="2">
        <v>16125.1</v>
      </c>
      <c r="X697" s="2">
        <v>100.16</v>
      </c>
      <c r="Y697" s="2">
        <v>0.83</v>
      </c>
      <c r="Z697" s="2">
        <v>30</v>
      </c>
      <c r="AA697" s="2">
        <v>1072.3499999999999</v>
      </c>
      <c r="AB697">
        <v>1</v>
      </c>
      <c r="AC697">
        <v>2009</v>
      </c>
      <c r="AE697" s="2">
        <v>133.63</v>
      </c>
    </row>
    <row r="698" spans="2:31" ht="14.5">
      <c r="B698" s="2">
        <v>66768</v>
      </c>
      <c r="C698" s="2" t="s">
        <v>1338</v>
      </c>
      <c r="D698" s="2" t="s">
        <v>1339</v>
      </c>
      <c r="E698" s="2" t="s">
        <v>118</v>
      </c>
      <c r="F698" s="2" t="s">
        <v>29</v>
      </c>
      <c r="G698" s="2" t="s">
        <v>30</v>
      </c>
      <c r="H698" s="2" t="s">
        <v>103</v>
      </c>
      <c r="I698" s="2" t="s">
        <v>32</v>
      </c>
      <c r="J698" s="2" t="s">
        <v>891</v>
      </c>
      <c r="K698" s="2" t="s">
        <v>34</v>
      </c>
      <c r="L698" s="3">
        <v>41207</v>
      </c>
      <c r="M698" s="3">
        <v>41318</v>
      </c>
      <c r="N698" s="3">
        <v>41318</v>
      </c>
      <c r="O698" s="3">
        <v>41318</v>
      </c>
      <c r="P698" s="2" t="s">
        <v>712</v>
      </c>
      <c r="Q698" s="2" t="s">
        <v>713</v>
      </c>
      <c r="R698" s="2" t="s">
        <v>714</v>
      </c>
      <c r="S698" s="2" t="s">
        <v>330</v>
      </c>
      <c r="T698" s="2" t="s">
        <v>39</v>
      </c>
      <c r="U698" s="2">
        <v>120</v>
      </c>
      <c r="V698" s="2">
        <v>178</v>
      </c>
      <c r="W698" s="2">
        <v>6408</v>
      </c>
      <c r="X698" s="2">
        <v>36</v>
      </c>
      <c r="Y698" s="2">
        <v>0.3</v>
      </c>
      <c r="Z698" s="2">
        <v>90</v>
      </c>
      <c r="AA698" s="2">
        <v>989</v>
      </c>
      <c r="AB698">
        <v>1</v>
      </c>
      <c r="AC698">
        <v>2013</v>
      </c>
      <c r="AE698" s="2">
        <v>53.4</v>
      </c>
    </row>
    <row r="699" spans="2:31" ht="14.5">
      <c r="B699" s="2">
        <v>67153</v>
      </c>
      <c r="C699" s="2" t="s">
        <v>1162</v>
      </c>
      <c r="D699" s="2" t="s">
        <v>1163</v>
      </c>
      <c r="E699" s="2" t="s">
        <v>118</v>
      </c>
      <c r="F699" s="2" t="s">
        <v>29</v>
      </c>
      <c r="G699" s="2" t="s">
        <v>30</v>
      </c>
      <c r="H699" s="2" t="s">
        <v>109</v>
      </c>
      <c r="I699" s="2" t="s">
        <v>32</v>
      </c>
      <c r="J699" s="2" t="s">
        <v>33</v>
      </c>
      <c r="K699" s="2" t="s">
        <v>646</v>
      </c>
      <c r="L699" s="3">
        <v>41486</v>
      </c>
      <c r="M699" s="3">
        <v>41584</v>
      </c>
      <c r="N699" s="3">
        <v>41584</v>
      </c>
      <c r="O699" s="3">
        <v>41591</v>
      </c>
      <c r="P699" s="2" t="s">
        <v>112</v>
      </c>
      <c r="Q699" s="2" t="s">
        <v>113</v>
      </c>
      <c r="R699" s="2" t="s">
        <v>37</v>
      </c>
      <c r="S699" s="2" t="s">
        <v>114</v>
      </c>
      <c r="T699" s="2" t="s">
        <v>47</v>
      </c>
      <c r="U699" s="2">
        <v>60</v>
      </c>
      <c r="V699" s="2">
        <v>165374</v>
      </c>
      <c r="W699" s="2">
        <v>1339529.3999999999</v>
      </c>
      <c r="X699" s="2">
        <v>8.1</v>
      </c>
      <c r="Y699" s="2">
        <v>0.13</v>
      </c>
      <c r="AB699">
        <v>1</v>
      </c>
      <c r="AC699">
        <v>2013</v>
      </c>
      <c r="AE699" s="2">
        <v>21498.62</v>
      </c>
    </row>
    <row r="700" spans="2:31" ht="14.5">
      <c r="B700" s="2">
        <v>67191</v>
      </c>
      <c r="C700" s="2" t="s">
        <v>1340</v>
      </c>
      <c r="D700" s="2" t="s">
        <v>1341</v>
      </c>
      <c r="E700" s="2" t="s">
        <v>118</v>
      </c>
      <c r="F700" s="2" t="s">
        <v>29</v>
      </c>
      <c r="G700" s="2" t="s">
        <v>30</v>
      </c>
      <c r="H700" s="2" t="s">
        <v>81</v>
      </c>
      <c r="I700" s="2" t="s">
        <v>32</v>
      </c>
      <c r="J700" s="2" t="s">
        <v>82</v>
      </c>
      <c r="K700" s="2" t="s">
        <v>34</v>
      </c>
      <c r="L700" s="3">
        <v>40143</v>
      </c>
      <c r="M700" s="3">
        <v>40247</v>
      </c>
      <c r="N700" s="3">
        <v>40247</v>
      </c>
      <c r="O700" s="3">
        <v>40247</v>
      </c>
      <c r="P700" s="2" t="s">
        <v>384</v>
      </c>
      <c r="Q700" s="2" t="s">
        <v>385</v>
      </c>
      <c r="R700" s="2" t="s">
        <v>386</v>
      </c>
      <c r="S700" s="2" t="s">
        <v>330</v>
      </c>
      <c r="T700" s="2" t="s">
        <v>64</v>
      </c>
      <c r="U700" s="2">
        <v>336</v>
      </c>
      <c r="V700" s="2">
        <v>44</v>
      </c>
      <c r="W700" s="2">
        <v>1687.84</v>
      </c>
      <c r="X700" s="2">
        <v>38.36</v>
      </c>
      <c r="Y700" s="2">
        <v>0.11</v>
      </c>
      <c r="Z700" s="2">
        <v>116</v>
      </c>
      <c r="AA700" s="2">
        <v>985.78</v>
      </c>
      <c r="AB700">
        <v>1</v>
      </c>
      <c r="AC700">
        <v>2010</v>
      </c>
      <c r="AE700" s="2">
        <v>4.84</v>
      </c>
    </row>
    <row r="701" spans="2:31" ht="14.5">
      <c r="B701" s="2">
        <v>67308</v>
      </c>
      <c r="C701" s="2" t="s">
        <v>1342</v>
      </c>
      <c r="D701" s="2" t="s">
        <v>1343</v>
      </c>
      <c r="E701" s="2" t="s">
        <v>42</v>
      </c>
      <c r="F701" s="2" t="s">
        <v>29</v>
      </c>
      <c r="G701" s="2" t="s">
        <v>50</v>
      </c>
      <c r="H701" s="2" t="s">
        <v>81</v>
      </c>
      <c r="I701" s="2" t="s">
        <v>32</v>
      </c>
      <c r="J701" s="2" t="s">
        <v>82</v>
      </c>
      <c r="K701" s="2" t="s">
        <v>34</v>
      </c>
      <c r="L701" s="3">
        <v>42058</v>
      </c>
      <c r="M701" s="3">
        <v>42135</v>
      </c>
      <c r="N701" s="3">
        <v>42135</v>
      </c>
      <c r="O701" s="3">
        <v>42135</v>
      </c>
      <c r="P701" s="2" t="s">
        <v>90</v>
      </c>
      <c r="Q701" s="2" t="s">
        <v>84</v>
      </c>
      <c r="R701" s="2" t="s">
        <v>37</v>
      </c>
      <c r="S701" s="2" t="s">
        <v>91</v>
      </c>
      <c r="T701" s="2" t="s">
        <v>39</v>
      </c>
      <c r="U701" s="2">
        <v>60</v>
      </c>
      <c r="V701" s="2">
        <v>642</v>
      </c>
      <c r="W701" s="2">
        <v>3813.48</v>
      </c>
      <c r="X701" s="2">
        <v>5.94</v>
      </c>
      <c r="Y701" s="2">
        <v>0.1</v>
      </c>
      <c r="Z701" s="2">
        <v>83</v>
      </c>
      <c r="AA701" s="2">
        <v>929.85</v>
      </c>
      <c r="AB701">
        <v>1</v>
      </c>
      <c r="AC701">
        <v>2015</v>
      </c>
      <c r="AE701" s="2">
        <v>64.2</v>
      </c>
    </row>
    <row r="702" spans="2:31" ht="14.5">
      <c r="B702" s="2">
        <v>67501</v>
      </c>
      <c r="C702" s="2" t="s">
        <v>1344</v>
      </c>
      <c r="D702" s="2" t="s">
        <v>1345</v>
      </c>
      <c r="E702" s="2" t="s">
        <v>60</v>
      </c>
      <c r="F702" s="2" t="s">
        <v>29</v>
      </c>
      <c r="G702" s="2" t="s">
        <v>30</v>
      </c>
      <c r="H702" s="2" t="s">
        <v>31</v>
      </c>
      <c r="I702" s="2" t="s">
        <v>32</v>
      </c>
      <c r="J702" s="2" t="s">
        <v>33</v>
      </c>
      <c r="K702" s="2" t="s">
        <v>34</v>
      </c>
      <c r="L702" s="3">
        <v>40589</v>
      </c>
      <c r="M702" s="3">
        <v>40722</v>
      </c>
      <c r="N702" s="3">
        <v>40722</v>
      </c>
      <c r="O702" s="3">
        <v>40722</v>
      </c>
      <c r="P702" s="2" t="s">
        <v>759</v>
      </c>
      <c r="Q702" s="2" t="s">
        <v>84</v>
      </c>
      <c r="R702" s="2" t="s">
        <v>37</v>
      </c>
      <c r="S702" s="2" t="s">
        <v>152</v>
      </c>
      <c r="T702" s="2" t="s">
        <v>39</v>
      </c>
      <c r="U702" s="2">
        <v>120</v>
      </c>
      <c r="V702" s="2">
        <v>14498</v>
      </c>
      <c r="W702" s="2">
        <v>487132.8</v>
      </c>
      <c r="X702" s="2">
        <v>33.6</v>
      </c>
      <c r="Y702" s="2">
        <v>0.28000000000000003</v>
      </c>
      <c r="Z702" s="2">
        <v>3685</v>
      </c>
      <c r="AA702" s="2">
        <v>16359.2</v>
      </c>
      <c r="AB702">
        <v>1</v>
      </c>
      <c r="AC702">
        <v>2011</v>
      </c>
      <c r="AE702" s="2">
        <v>4059.4400000000005</v>
      </c>
    </row>
    <row r="703" spans="2:31" ht="14.5">
      <c r="B703" s="2">
        <v>67509</v>
      </c>
      <c r="C703" s="2" t="s">
        <v>1346</v>
      </c>
      <c r="D703" s="2" t="s">
        <v>1347</v>
      </c>
      <c r="E703" s="2" t="s">
        <v>28</v>
      </c>
      <c r="F703" s="2" t="s">
        <v>29</v>
      </c>
      <c r="G703" s="2" t="s">
        <v>30</v>
      </c>
      <c r="H703" s="2" t="s">
        <v>31</v>
      </c>
      <c r="I703" s="2" t="s">
        <v>32</v>
      </c>
      <c r="J703" s="2" t="s">
        <v>33</v>
      </c>
      <c r="K703" s="2" t="s">
        <v>34</v>
      </c>
      <c r="L703" s="3">
        <v>41436</v>
      </c>
      <c r="M703" s="3">
        <v>41510</v>
      </c>
      <c r="N703" s="3">
        <v>41510</v>
      </c>
      <c r="O703" s="3">
        <v>41510</v>
      </c>
      <c r="P703" s="2" t="s">
        <v>112</v>
      </c>
      <c r="Q703" s="2" t="s">
        <v>113</v>
      </c>
      <c r="R703" s="2" t="s">
        <v>37</v>
      </c>
      <c r="S703" s="2" t="s">
        <v>114</v>
      </c>
      <c r="T703" s="2" t="s">
        <v>47</v>
      </c>
      <c r="U703" s="2">
        <v>60</v>
      </c>
      <c r="V703" s="2">
        <v>32002</v>
      </c>
      <c r="W703" s="2">
        <v>260816.3</v>
      </c>
      <c r="X703" s="2">
        <v>8.15</v>
      </c>
      <c r="Y703" s="2">
        <v>0.14000000000000001</v>
      </c>
      <c r="Z703" s="2">
        <v>4059</v>
      </c>
      <c r="AA703" s="2">
        <v>17997.84</v>
      </c>
      <c r="AB703">
        <v>1</v>
      </c>
      <c r="AC703">
        <v>2013</v>
      </c>
      <c r="AE703" s="2">
        <v>4480.2800000000007</v>
      </c>
    </row>
    <row r="704" spans="2:31" ht="14.5">
      <c r="B704" s="2">
        <v>67562</v>
      </c>
      <c r="C704" s="2" t="s">
        <v>1348</v>
      </c>
      <c r="D704" s="2" t="s">
        <v>1349</v>
      </c>
      <c r="E704" s="2" t="s">
        <v>28</v>
      </c>
      <c r="F704" s="2" t="s">
        <v>29</v>
      </c>
      <c r="G704" s="2" t="s">
        <v>30</v>
      </c>
      <c r="H704" s="2" t="s">
        <v>31</v>
      </c>
      <c r="I704" s="2" t="s">
        <v>32</v>
      </c>
      <c r="J704" s="2" t="s">
        <v>33</v>
      </c>
      <c r="K704" s="2" t="s">
        <v>34</v>
      </c>
      <c r="L704" s="3">
        <v>41130</v>
      </c>
      <c r="M704" s="3">
        <v>41179</v>
      </c>
      <c r="N704" s="3">
        <v>41179</v>
      </c>
      <c r="O704" s="3">
        <v>41179</v>
      </c>
      <c r="P704" s="2" t="s">
        <v>44</v>
      </c>
      <c r="Q704" s="2" t="s">
        <v>45</v>
      </c>
      <c r="R704" s="2" t="s">
        <v>37</v>
      </c>
      <c r="S704" s="2" t="s">
        <v>46</v>
      </c>
      <c r="T704" s="2" t="s">
        <v>47</v>
      </c>
      <c r="U704" s="2">
        <v>60</v>
      </c>
      <c r="V704" s="2">
        <v>37589</v>
      </c>
      <c r="W704" s="2">
        <v>268761.34999999998</v>
      </c>
      <c r="X704" s="2">
        <v>7.15</v>
      </c>
      <c r="Y704" s="2">
        <v>0.12</v>
      </c>
      <c r="Z704" s="2">
        <v>3267</v>
      </c>
      <c r="AA704" s="2">
        <v>13180.76</v>
      </c>
      <c r="AB704">
        <v>1</v>
      </c>
      <c r="AC704">
        <v>2012</v>
      </c>
      <c r="AE704" s="2">
        <v>4510.6799999999994</v>
      </c>
    </row>
    <row r="705" spans="2:31" ht="14.5">
      <c r="B705" s="2">
        <v>67753</v>
      </c>
      <c r="C705" s="2" t="s">
        <v>1350</v>
      </c>
      <c r="D705" s="2" t="s">
        <v>1351</v>
      </c>
      <c r="E705" s="2" t="s">
        <v>28</v>
      </c>
      <c r="F705" s="2" t="s">
        <v>29</v>
      </c>
      <c r="G705" s="2" t="s">
        <v>50</v>
      </c>
      <c r="H705" s="2" t="s">
        <v>807</v>
      </c>
      <c r="I705" s="2" t="s">
        <v>32</v>
      </c>
      <c r="J705" s="2" t="s">
        <v>33</v>
      </c>
      <c r="K705" s="2" t="s">
        <v>34</v>
      </c>
      <c r="L705" s="3">
        <v>40716</v>
      </c>
      <c r="M705" s="3">
        <v>40815</v>
      </c>
      <c r="N705" s="3">
        <v>40815</v>
      </c>
      <c r="O705" s="3">
        <v>40815</v>
      </c>
      <c r="P705" s="2" t="s">
        <v>808</v>
      </c>
      <c r="Q705" s="2" t="s">
        <v>745</v>
      </c>
      <c r="R705" s="2" t="s">
        <v>37</v>
      </c>
      <c r="S705" s="2" t="s">
        <v>166</v>
      </c>
      <c r="T705" s="2" t="s">
        <v>64</v>
      </c>
      <c r="U705" s="2">
        <v>60</v>
      </c>
      <c r="V705" s="2">
        <v>1028</v>
      </c>
      <c r="W705" s="2">
        <v>22616</v>
      </c>
      <c r="X705" s="2">
        <v>22</v>
      </c>
      <c r="Y705" s="2">
        <v>0.37</v>
      </c>
      <c r="Z705" s="2">
        <v>107</v>
      </c>
      <c r="AA705" s="2">
        <v>1794.89</v>
      </c>
      <c r="AB705">
        <v>1</v>
      </c>
      <c r="AC705">
        <v>2011</v>
      </c>
      <c r="AE705" s="2">
        <v>380.36</v>
      </c>
    </row>
    <row r="706" spans="2:31" ht="14.5">
      <c r="B706" s="2">
        <v>67806</v>
      </c>
      <c r="C706" s="2" t="s">
        <v>1352</v>
      </c>
      <c r="D706" s="2" t="s">
        <v>1353</v>
      </c>
      <c r="E706" s="2" t="s">
        <v>42</v>
      </c>
      <c r="F706" s="2" t="s">
        <v>29</v>
      </c>
      <c r="G706" s="2" t="s">
        <v>30</v>
      </c>
      <c r="H706" s="2" t="s">
        <v>94</v>
      </c>
      <c r="I706" s="2" t="s">
        <v>32</v>
      </c>
      <c r="J706" s="2" t="s">
        <v>33</v>
      </c>
      <c r="K706" s="2" t="s">
        <v>34</v>
      </c>
      <c r="L706" s="3">
        <v>41047</v>
      </c>
      <c r="M706" s="3">
        <v>41110</v>
      </c>
      <c r="N706" s="3">
        <v>41110</v>
      </c>
      <c r="O706" s="3">
        <v>41110</v>
      </c>
      <c r="P706" s="2" t="s">
        <v>95</v>
      </c>
      <c r="Q706" s="2" t="s">
        <v>96</v>
      </c>
      <c r="R706" s="2" t="s">
        <v>37</v>
      </c>
      <c r="S706" s="2" t="s">
        <v>97</v>
      </c>
      <c r="T706" s="2" t="s">
        <v>39</v>
      </c>
      <c r="U706" s="2">
        <v>30</v>
      </c>
      <c r="V706" s="2">
        <v>3007</v>
      </c>
      <c r="W706" s="2">
        <v>10734.99</v>
      </c>
      <c r="X706" s="2">
        <v>3.57</v>
      </c>
      <c r="Y706" s="2">
        <v>0.12</v>
      </c>
      <c r="Z706" s="2">
        <v>262</v>
      </c>
      <c r="AA706" s="2">
        <v>3840.85</v>
      </c>
      <c r="AB706">
        <v>1</v>
      </c>
      <c r="AC706">
        <v>2012</v>
      </c>
      <c r="AE706" s="2">
        <v>360.84</v>
      </c>
    </row>
    <row r="707" spans="2:31" ht="14.5">
      <c r="B707" s="2">
        <v>68186</v>
      </c>
      <c r="C707" s="2" t="s">
        <v>1354</v>
      </c>
      <c r="D707" s="2" t="s">
        <v>1355</v>
      </c>
      <c r="E707" s="2" t="s">
        <v>28</v>
      </c>
      <c r="F707" s="2" t="s">
        <v>29</v>
      </c>
      <c r="G707" s="2" t="s">
        <v>50</v>
      </c>
      <c r="H707" s="2" t="s">
        <v>31</v>
      </c>
      <c r="I707" s="2" t="s">
        <v>32</v>
      </c>
      <c r="J707" s="2" t="s">
        <v>33</v>
      </c>
      <c r="K707" s="2" t="s">
        <v>34</v>
      </c>
      <c r="L707" s="3">
        <v>41488</v>
      </c>
      <c r="M707" s="3">
        <v>41591</v>
      </c>
      <c r="N707" s="3">
        <v>41591</v>
      </c>
      <c r="O707" s="3">
        <v>41592</v>
      </c>
      <c r="P707" s="2" t="s">
        <v>722</v>
      </c>
      <c r="Q707" s="2" t="s">
        <v>96</v>
      </c>
      <c r="R707" s="2" t="s">
        <v>37</v>
      </c>
      <c r="S707" s="2" t="s">
        <v>179</v>
      </c>
      <c r="T707" s="2" t="s">
        <v>64</v>
      </c>
      <c r="U707" s="2">
        <v>30</v>
      </c>
      <c r="V707" s="2">
        <v>3550</v>
      </c>
      <c r="W707" s="2">
        <v>5538</v>
      </c>
      <c r="X707" s="2">
        <v>1.56</v>
      </c>
      <c r="Y707" s="2">
        <v>0.05</v>
      </c>
      <c r="Z707" s="2">
        <v>255</v>
      </c>
      <c r="AA707" s="2">
        <v>2454.46</v>
      </c>
      <c r="AB707">
        <v>1</v>
      </c>
      <c r="AC707">
        <v>2013</v>
      </c>
      <c r="AE707" s="2">
        <v>177.5</v>
      </c>
    </row>
    <row r="708" spans="2:31" ht="14.5">
      <c r="B708" s="2">
        <v>68241</v>
      </c>
      <c r="C708" s="2" t="s">
        <v>766</v>
      </c>
      <c r="D708" s="2" t="s">
        <v>1356</v>
      </c>
      <c r="E708" s="2" t="s">
        <v>42</v>
      </c>
      <c r="F708" s="2" t="s">
        <v>29</v>
      </c>
      <c r="G708" s="2" t="s">
        <v>30</v>
      </c>
      <c r="H708" s="2" t="s">
        <v>31</v>
      </c>
      <c r="I708" s="2" t="s">
        <v>32</v>
      </c>
      <c r="J708" s="2" t="s">
        <v>33</v>
      </c>
      <c r="K708" s="2" t="s">
        <v>34</v>
      </c>
      <c r="L708" s="3">
        <v>40890</v>
      </c>
      <c r="M708" s="3">
        <v>40932</v>
      </c>
      <c r="N708" s="3">
        <v>40933</v>
      </c>
      <c r="O708" s="3">
        <v>40933</v>
      </c>
      <c r="P708" s="2" t="s">
        <v>706</v>
      </c>
      <c r="Q708" s="2" t="s">
        <v>707</v>
      </c>
      <c r="R708" s="2" t="s">
        <v>37</v>
      </c>
      <c r="S708" s="2" t="s">
        <v>708</v>
      </c>
      <c r="T708" s="2" t="s">
        <v>47</v>
      </c>
      <c r="U708" s="2">
        <v>30</v>
      </c>
      <c r="V708" s="2">
        <v>48640</v>
      </c>
      <c r="W708" s="2">
        <v>260224</v>
      </c>
      <c r="X708" s="2">
        <v>5.35</v>
      </c>
      <c r="Y708" s="2">
        <v>0.18</v>
      </c>
      <c r="Z708" s="2">
        <v>4746</v>
      </c>
      <c r="AA708" s="2">
        <v>98521.56</v>
      </c>
      <c r="AB708">
        <v>0</v>
      </c>
      <c r="AC708">
        <v>2012</v>
      </c>
      <c r="AE708" s="2">
        <v>8755.1999999999989</v>
      </c>
    </row>
    <row r="709" spans="2:31" ht="14.5">
      <c r="B709" s="2">
        <v>68268</v>
      </c>
      <c r="C709" s="2" t="s">
        <v>1357</v>
      </c>
      <c r="D709" s="2" t="s">
        <v>1358</v>
      </c>
      <c r="E709" s="2" t="s">
        <v>60</v>
      </c>
      <c r="F709" s="2" t="s">
        <v>29</v>
      </c>
      <c r="G709" s="2" t="s">
        <v>50</v>
      </c>
      <c r="H709" s="2" t="s">
        <v>81</v>
      </c>
      <c r="I709" s="2" t="s">
        <v>32</v>
      </c>
      <c r="J709" s="2" t="s">
        <v>82</v>
      </c>
      <c r="K709" s="2" t="s">
        <v>34</v>
      </c>
      <c r="L709" s="3">
        <v>40938</v>
      </c>
      <c r="M709" s="3">
        <v>40959</v>
      </c>
      <c r="N709" s="3">
        <v>40959</v>
      </c>
      <c r="O709" s="3">
        <v>40959</v>
      </c>
      <c r="P709" s="2" t="s">
        <v>83</v>
      </c>
      <c r="Q709" s="2" t="s">
        <v>84</v>
      </c>
      <c r="R709" s="2" t="s">
        <v>85</v>
      </c>
      <c r="S709" s="2" t="s">
        <v>86</v>
      </c>
      <c r="T709" s="2" t="s">
        <v>87</v>
      </c>
      <c r="U709" s="2">
        <v>300</v>
      </c>
      <c r="V709" s="2">
        <v>699</v>
      </c>
      <c r="W709" s="2">
        <v>21543.18</v>
      </c>
      <c r="X709" s="2">
        <v>30.82</v>
      </c>
      <c r="Y709" s="2">
        <v>0.1</v>
      </c>
      <c r="Z709" s="2">
        <v>728</v>
      </c>
      <c r="AA709" s="2">
        <v>6941.12</v>
      </c>
      <c r="AB709">
        <v>1</v>
      </c>
      <c r="AC709">
        <v>2012</v>
      </c>
      <c r="AE709" s="2">
        <v>69.900000000000006</v>
      </c>
    </row>
    <row r="710" spans="2:31" ht="14.5">
      <c r="B710" s="2">
        <v>68367</v>
      </c>
      <c r="C710" s="2" t="s">
        <v>1359</v>
      </c>
      <c r="D710" s="2" t="s">
        <v>1360</v>
      </c>
      <c r="E710" s="2" t="s">
        <v>42</v>
      </c>
      <c r="F710" s="2" t="s">
        <v>29</v>
      </c>
      <c r="G710" s="2" t="s">
        <v>30</v>
      </c>
      <c r="H710" s="2" t="s">
        <v>109</v>
      </c>
      <c r="I710" s="2" t="s">
        <v>32</v>
      </c>
      <c r="J710" s="2" t="s">
        <v>33</v>
      </c>
      <c r="K710" s="2" t="s">
        <v>646</v>
      </c>
      <c r="L710" s="3">
        <v>41060</v>
      </c>
      <c r="M710" s="3">
        <v>41190</v>
      </c>
      <c r="N710" s="3">
        <v>41190</v>
      </c>
      <c r="O710" s="3">
        <v>41190</v>
      </c>
      <c r="P710" s="2" t="s">
        <v>706</v>
      </c>
      <c r="Q710" s="2" t="s">
        <v>707</v>
      </c>
      <c r="R710" s="2" t="s">
        <v>37</v>
      </c>
      <c r="S710" s="2" t="s">
        <v>708</v>
      </c>
      <c r="T710" s="2" t="s">
        <v>47</v>
      </c>
      <c r="U710" s="2">
        <v>30</v>
      </c>
      <c r="V710" s="2">
        <v>131704</v>
      </c>
      <c r="W710" s="2">
        <v>683543.76</v>
      </c>
      <c r="X710" s="2">
        <v>5.19</v>
      </c>
      <c r="Y710" s="2">
        <v>0.17</v>
      </c>
      <c r="Z710" s="2">
        <v>10116</v>
      </c>
      <c r="AA710" s="2">
        <v>24250.15</v>
      </c>
      <c r="AB710">
        <v>1</v>
      </c>
      <c r="AC710">
        <v>2012</v>
      </c>
      <c r="AE710" s="2">
        <v>22389.68</v>
      </c>
    </row>
    <row r="711" spans="2:31" ht="14.5">
      <c r="B711" s="2">
        <v>68397</v>
      </c>
      <c r="C711" s="2" t="s">
        <v>1361</v>
      </c>
      <c r="D711" s="2" t="s">
        <v>1362</v>
      </c>
      <c r="E711" s="2" t="s">
        <v>118</v>
      </c>
      <c r="F711" s="2" t="s">
        <v>29</v>
      </c>
      <c r="G711" s="2" t="s">
        <v>50</v>
      </c>
      <c r="H711" s="2" t="s">
        <v>31</v>
      </c>
      <c r="I711" s="2" t="s">
        <v>32</v>
      </c>
      <c r="J711" s="2" t="s">
        <v>33</v>
      </c>
      <c r="K711" s="2" t="s">
        <v>34</v>
      </c>
      <c r="L711" s="3">
        <v>41519</v>
      </c>
      <c r="M711" s="3">
        <v>41656</v>
      </c>
      <c r="N711" s="3">
        <v>41656</v>
      </c>
      <c r="O711" s="3">
        <v>41660</v>
      </c>
      <c r="P711" s="2" t="s">
        <v>717</v>
      </c>
      <c r="Q711" s="2" t="s">
        <v>36</v>
      </c>
      <c r="R711" s="2" t="s">
        <v>37</v>
      </c>
      <c r="S711" s="2" t="s">
        <v>179</v>
      </c>
      <c r="T711" s="2" t="s">
        <v>180</v>
      </c>
      <c r="U711" s="2">
        <v>30</v>
      </c>
      <c r="V711" s="2">
        <v>9051</v>
      </c>
      <c r="W711" s="2">
        <v>11313.75</v>
      </c>
      <c r="X711" s="2">
        <v>1.25</v>
      </c>
      <c r="Y711" s="2">
        <v>0.04</v>
      </c>
      <c r="Z711" s="2">
        <v>575</v>
      </c>
      <c r="AA711" s="2">
        <v>3231.11</v>
      </c>
      <c r="AB711">
        <v>1</v>
      </c>
      <c r="AC711">
        <v>2014</v>
      </c>
      <c r="AE711" s="2">
        <v>362.04</v>
      </c>
    </row>
    <row r="712" spans="2:31" ht="14.5">
      <c r="B712" s="2">
        <v>68401</v>
      </c>
      <c r="C712" s="2" t="s">
        <v>1363</v>
      </c>
      <c r="D712" s="2" t="s">
        <v>1364</v>
      </c>
      <c r="E712" s="2" t="s">
        <v>118</v>
      </c>
      <c r="F712" s="2" t="s">
        <v>29</v>
      </c>
      <c r="G712" s="2" t="s">
        <v>30</v>
      </c>
      <c r="H712" s="2" t="s">
        <v>74</v>
      </c>
      <c r="I712" s="2" t="s">
        <v>32</v>
      </c>
      <c r="J712" s="2" t="s">
        <v>52</v>
      </c>
      <c r="K712" s="2" t="s">
        <v>34</v>
      </c>
      <c r="L712" s="3">
        <v>40142</v>
      </c>
      <c r="M712" s="3">
        <v>40227</v>
      </c>
      <c r="N712" s="3">
        <v>40227</v>
      </c>
      <c r="O712" s="3">
        <v>40227</v>
      </c>
      <c r="P712" s="2" t="s">
        <v>568</v>
      </c>
      <c r="Q712" s="2" t="s">
        <v>569</v>
      </c>
      <c r="R712" s="2" t="s">
        <v>570</v>
      </c>
      <c r="S712" s="2" t="s">
        <v>70</v>
      </c>
      <c r="T712" s="2" t="s">
        <v>64</v>
      </c>
      <c r="U712" s="2">
        <v>180</v>
      </c>
      <c r="V712" s="2">
        <v>153</v>
      </c>
      <c r="W712" s="2">
        <v>7650</v>
      </c>
      <c r="X712" s="2">
        <v>50</v>
      </c>
      <c r="Y712" s="2">
        <v>0.28000000000000003</v>
      </c>
      <c r="Z712" s="2">
        <v>34</v>
      </c>
      <c r="AA712" s="2">
        <v>395</v>
      </c>
      <c r="AB712">
        <v>1</v>
      </c>
      <c r="AC712">
        <v>2010</v>
      </c>
      <c r="AE712" s="2">
        <v>42.84</v>
      </c>
    </row>
    <row r="713" spans="2:31" ht="14.5">
      <c r="B713" s="2">
        <v>68462</v>
      </c>
      <c r="C713" s="2" t="s">
        <v>1365</v>
      </c>
      <c r="D713" s="2" t="s">
        <v>1366</v>
      </c>
      <c r="E713" s="2" t="s">
        <v>42</v>
      </c>
      <c r="F713" s="2" t="s">
        <v>29</v>
      </c>
      <c r="G713" s="2" t="s">
        <v>30</v>
      </c>
      <c r="H713" s="2" t="s">
        <v>81</v>
      </c>
      <c r="I713" s="2" t="s">
        <v>32</v>
      </c>
      <c r="J713" s="2" t="s">
        <v>82</v>
      </c>
      <c r="K713" s="2" t="s">
        <v>34</v>
      </c>
      <c r="L713" s="3">
        <v>40198</v>
      </c>
      <c r="M713" s="3">
        <v>40240</v>
      </c>
      <c r="N713" s="3">
        <v>40240</v>
      </c>
      <c r="O713" s="3">
        <v>40240</v>
      </c>
      <c r="P713" s="2" t="s">
        <v>384</v>
      </c>
      <c r="Q713" s="2" t="s">
        <v>385</v>
      </c>
      <c r="R713" s="2" t="s">
        <v>386</v>
      </c>
      <c r="S713" s="2" t="s">
        <v>330</v>
      </c>
      <c r="T713" s="2" t="s">
        <v>64</v>
      </c>
      <c r="U713" s="2">
        <v>336</v>
      </c>
      <c r="V713" s="2">
        <v>120</v>
      </c>
      <c r="W713" s="2">
        <v>4603.2</v>
      </c>
      <c r="X713" s="2">
        <v>38.36</v>
      </c>
      <c r="Y713" s="2">
        <v>0.11</v>
      </c>
      <c r="Z713" s="2">
        <v>298</v>
      </c>
      <c r="AA713" s="2">
        <v>2204.08</v>
      </c>
      <c r="AB713">
        <v>1</v>
      </c>
      <c r="AC713">
        <v>2010</v>
      </c>
      <c r="AE713" s="2">
        <v>13.2</v>
      </c>
    </row>
    <row r="714" spans="2:31" ht="14.5">
      <c r="B714" s="2">
        <v>68572</v>
      </c>
      <c r="C714" s="2" t="s">
        <v>1367</v>
      </c>
      <c r="D714" s="2" t="s">
        <v>1368</v>
      </c>
      <c r="E714" s="2" t="s">
        <v>28</v>
      </c>
      <c r="F714" s="2" t="s">
        <v>29</v>
      </c>
      <c r="G714" s="2" t="s">
        <v>30</v>
      </c>
      <c r="H714" s="2" t="s">
        <v>109</v>
      </c>
      <c r="I714" s="2" t="s">
        <v>32</v>
      </c>
      <c r="J714" s="2" t="s">
        <v>33</v>
      </c>
      <c r="K714" s="2" t="s">
        <v>34</v>
      </c>
      <c r="L714" s="3">
        <v>41684</v>
      </c>
      <c r="M714" s="3">
        <v>41786</v>
      </c>
      <c r="N714" s="3">
        <v>41786</v>
      </c>
      <c r="O714" s="3">
        <v>41787</v>
      </c>
      <c r="P714" s="2" t="s">
        <v>813</v>
      </c>
      <c r="Q714" s="2" t="s">
        <v>814</v>
      </c>
      <c r="R714" s="2" t="s">
        <v>37</v>
      </c>
      <c r="S714" s="2" t="s">
        <v>815</v>
      </c>
      <c r="T714" s="2" t="s">
        <v>39</v>
      </c>
      <c r="U714" s="2">
        <v>30</v>
      </c>
      <c r="V714" s="2">
        <v>10565</v>
      </c>
      <c r="W714" s="2">
        <v>211300</v>
      </c>
      <c r="X714" s="2">
        <v>20</v>
      </c>
      <c r="Y714" s="2">
        <v>0.67</v>
      </c>
      <c r="Z714" s="2">
        <v>1412</v>
      </c>
      <c r="AA714" s="2">
        <v>6758.01</v>
      </c>
      <c r="AB714">
        <v>1</v>
      </c>
      <c r="AC714">
        <v>2014</v>
      </c>
      <c r="AE714" s="2">
        <v>7078.55</v>
      </c>
    </row>
    <row r="715" spans="2:31" ht="14.5">
      <c r="B715" s="2">
        <v>68820</v>
      </c>
      <c r="C715" s="2" t="s">
        <v>1369</v>
      </c>
      <c r="D715" s="2" t="s">
        <v>1370</v>
      </c>
      <c r="E715" s="2" t="s">
        <v>42</v>
      </c>
      <c r="F715" s="2" t="s">
        <v>29</v>
      </c>
      <c r="G715" s="2" t="s">
        <v>30</v>
      </c>
      <c r="H715" s="2" t="s">
        <v>109</v>
      </c>
      <c r="I715" s="2" t="s">
        <v>32</v>
      </c>
      <c r="J715" s="2" t="s">
        <v>52</v>
      </c>
      <c r="K715" s="2" t="s">
        <v>34</v>
      </c>
      <c r="L715" s="3">
        <v>40449</v>
      </c>
      <c r="M715" s="3">
        <v>40524</v>
      </c>
      <c r="N715" s="3">
        <v>40524</v>
      </c>
      <c r="O715" s="3">
        <v>40524</v>
      </c>
      <c r="P715" s="2" t="s">
        <v>754</v>
      </c>
      <c r="Q715" s="2" t="s">
        <v>755</v>
      </c>
      <c r="R715" s="2" t="s">
        <v>37</v>
      </c>
      <c r="S715" s="2" t="s">
        <v>756</v>
      </c>
      <c r="T715" s="2" t="s">
        <v>47</v>
      </c>
      <c r="U715" s="2">
        <v>30</v>
      </c>
      <c r="V715" s="2">
        <v>22347</v>
      </c>
      <c r="W715" s="2">
        <v>390625.56</v>
      </c>
      <c r="X715" s="2">
        <v>17.48</v>
      </c>
      <c r="Y715" s="2">
        <v>0.57999999999999996</v>
      </c>
      <c r="AB715">
        <v>1</v>
      </c>
      <c r="AC715">
        <v>2010</v>
      </c>
      <c r="AE715" s="2">
        <v>12961.259999999998</v>
      </c>
    </row>
    <row r="716" spans="2:31" ht="14.5">
      <c r="B716" s="2">
        <v>68846</v>
      </c>
      <c r="C716" s="2" t="s">
        <v>1371</v>
      </c>
      <c r="D716" s="2" t="s">
        <v>1372</v>
      </c>
      <c r="E716" s="2" t="s">
        <v>118</v>
      </c>
      <c r="F716" s="2" t="s">
        <v>29</v>
      </c>
      <c r="G716" s="2" t="s">
        <v>30</v>
      </c>
      <c r="H716" s="2" t="s">
        <v>103</v>
      </c>
      <c r="I716" s="2" t="s">
        <v>32</v>
      </c>
      <c r="J716" s="2" t="s">
        <v>33</v>
      </c>
      <c r="K716" s="2" t="s">
        <v>34</v>
      </c>
      <c r="L716" s="3">
        <v>40070</v>
      </c>
      <c r="M716" s="3">
        <v>40112</v>
      </c>
      <c r="N716" s="3">
        <v>40112</v>
      </c>
      <c r="O716" s="3">
        <v>40112</v>
      </c>
      <c r="P716" s="2" t="s">
        <v>864</v>
      </c>
      <c r="Q716" s="2" t="s">
        <v>865</v>
      </c>
      <c r="R716" s="2" t="s">
        <v>866</v>
      </c>
      <c r="S716" s="2" t="s">
        <v>100</v>
      </c>
      <c r="T716" s="2" t="s">
        <v>39</v>
      </c>
      <c r="U716" s="2">
        <v>120</v>
      </c>
      <c r="V716" s="2">
        <v>112</v>
      </c>
      <c r="W716" s="2">
        <v>10080</v>
      </c>
      <c r="X716" s="2">
        <v>90</v>
      </c>
      <c r="Y716" s="2">
        <v>0.75</v>
      </c>
      <c r="Z716" s="2">
        <v>16</v>
      </c>
      <c r="AA716" s="2">
        <v>1000.94</v>
      </c>
      <c r="AB716">
        <v>1</v>
      </c>
      <c r="AC716">
        <v>2009</v>
      </c>
      <c r="AE716" s="2">
        <v>84</v>
      </c>
    </row>
    <row r="717" spans="2:31" ht="14.5">
      <c r="B717" s="2">
        <v>68872</v>
      </c>
      <c r="C717" s="2" t="s">
        <v>1373</v>
      </c>
      <c r="D717" s="2" t="s">
        <v>1374</v>
      </c>
      <c r="E717" s="2" t="s">
        <v>118</v>
      </c>
      <c r="F717" s="2" t="s">
        <v>29</v>
      </c>
      <c r="G717" s="2" t="s">
        <v>30</v>
      </c>
      <c r="H717" s="2" t="s">
        <v>109</v>
      </c>
      <c r="I717" s="2" t="s">
        <v>32</v>
      </c>
      <c r="J717" s="2" t="s">
        <v>33</v>
      </c>
      <c r="K717" s="2" t="s">
        <v>34</v>
      </c>
      <c r="L717" s="3">
        <v>41086</v>
      </c>
      <c r="M717" s="3">
        <v>41173</v>
      </c>
      <c r="N717" s="3">
        <v>41173</v>
      </c>
      <c r="O717" s="3">
        <v>41173</v>
      </c>
      <c r="P717" s="2" t="s">
        <v>813</v>
      </c>
      <c r="Q717" s="2" t="s">
        <v>814</v>
      </c>
      <c r="R717" s="2" t="s">
        <v>37</v>
      </c>
      <c r="S717" s="2" t="s">
        <v>815</v>
      </c>
      <c r="T717" s="2" t="s">
        <v>39</v>
      </c>
      <c r="U717" s="2">
        <v>30</v>
      </c>
      <c r="V717" s="2">
        <v>1262</v>
      </c>
      <c r="W717" s="2">
        <v>28395</v>
      </c>
      <c r="X717" s="2">
        <v>22.5</v>
      </c>
      <c r="Y717" s="2">
        <v>0.75</v>
      </c>
      <c r="Z717" s="2">
        <v>173</v>
      </c>
      <c r="AA717" s="2">
        <v>935.89</v>
      </c>
      <c r="AB717">
        <v>1</v>
      </c>
      <c r="AC717">
        <v>2012</v>
      </c>
      <c r="AE717" s="2">
        <v>946.5</v>
      </c>
    </row>
    <row r="718" spans="2:31" ht="14.5">
      <c r="B718" s="2">
        <v>68937</v>
      </c>
      <c r="C718" s="2" t="s">
        <v>1375</v>
      </c>
      <c r="D718" s="2" t="s">
        <v>1376</v>
      </c>
      <c r="E718" s="2" t="s">
        <v>118</v>
      </c>
      <c r="F718" s="2" t="s">
        <v>29</v>
      </c>
      <c r="G718" s="2" t="s">
        <v>30</v>
      </c>
      <c r="H718" s="2" t="s">
        <v>81</v>
      </c>
      <c r="I718" s="2" t="s">
        <v>32</v>
      </c>
      <c r="J718" s="2" t="s">
        <v>82</v>
      </c>
      <c r="K718" s="2" t="s">
        <v>34</v>
      </c>
      <c r="L718" s="3">
        <v>41207</v>
      </c>
      <c r="M718" s="3">
        <v>41313</v>
      </c>
      <c r="N718" s="3">
        <v>41313</v>
      </c>
      <c r="O718" s="3">
        <v>41313</v>
      </c>
      <c r="P718" s="2" t="s">
        <v>855</v>
      </c>
      <c r="Q718" s="2" t="s">
        <v>385</v>
      </c>
      <c r="R718" s="2" t="s">
        <v>386</v>
      </c>
      <c r="S718" s="2" t="s">
        <v>330</v>
      </c>
      <c r="T718" s="2" t="s">
        <v>39</v>
      </c>
      <c r="U718" s="2">
        <v>60</v>
      </c>
      <c r="V718" s="2">
        <v>587</v>
      </c>
      <c r="W718" s="2">
        <v>4020.95</v>
      </c>
      <c r="X718" s="2">
        <v>6.85</v>
      </c>
      <c r="Y718" s="2">
        <v>0.11</v>
      </c>
      <c r="Z718" s="2">
        <v>85</v>
      </c>
      <c r="AA718" s="2">
        <v>1253.45</v>
      </c>
      <c r="AB718">
        <v>1</v>
      </c>
      <c r="AC718">
        <v>2013</v>
      </c>
      <c r="AE718" s="2">
        <v>64.570000000000007</v>
      </c>
    </row>
    <row r="719" spans="2:31" ht="14.5">
      <c r="B719" s="2">
        <v>69148</v>
      </c>
      <c r="C719" s="2" t="s">
        <v>794</v>
      </c>
      <c r="D719" s="2" t="s">
        <v>1377</v>
      </c>
      <c r="E719" s="2" t="s">
        <v>28</v>
      </c>
      <c r="F719" s="2" t="s">
        <v>29</v>
      </c>
      <c r="G719" s="2" t="s">
        <v>30</v>
      </c>
      <c r="H719" s="2" t="s">
        <v>31</v>
      </c>
      <c r="I719" s="2" t="s">
        <v>32</v>
      </c>
      <c r="J719" s="2" t="s">
        <v>33</v>
      </c>
      <c r="K719" s="2" t="s">
        <v>34</v>
      </c>
      <c r="L719" s="3">
        <v>40353</v>
      </c>
      <c r="M719" s="3">
        <v>40397</v>
      </c>
      <c r="N719" s="3">
        <v>40397</v>
      </c>
      <c r="O719" s="3">
        <v>40397</v>
      </c>
      <c r="P719" s="2" t="s">
        <v>35</v>
      </c>
      <c r="Q719" s="2" t="s">
        <v>36</v>
      </c>
      <c r="R719" s="2" t="s">
        <v>37</v>
      </c>
      <c r="S719" s="2" t="s">
        <v>38</v>
      </c>
      <c r="T719" s="2" t="s">
        <v>39</v>
      </c>
      <c r="U719" s="2">
        <v>60</v>
      </c>
      <c r="V719" s="2">
        <v>6934</v>
      </c>
      <c r="W719" s="2">
        <v>18028.400000000001</v>
      </c>
      <c r="X719" s="2">
        <v>2.6</v>
      </c>
      <c r="Y719" s="2">
        <v>0.04</v>
      </c>
      <c r="Z719" s="2">
        <v>820</v>
      </c>
      <c r="AA719" s="2">
        <v>18044.490000000002</v>
      </c>
      <c r="AB719">
        <v>1</v>
      </c>
      <c r="AC719">
        <v>2010</v>
      </c>
      <c r="AE719" s="2">
        <v>277.36</v>
      </c>
    </row>
    <row r="720" spans="2:31" ht="14.5">
      <c r="B720" s="2">
        <v>69366</v>
      </c>
      <c r="C720" s="2" t="s">
        <v>1378</v>
      </c>
      <c r="D720" s="2" t="s">
        <v>1379</v>
      </c>
      <c r="E720" s="2" t="s">
        <v>60</v>
      </c>
      <c r="F720" s="2" t="s">
        <v>29</v>
      </c>
      <c r="G720" s="2" t="s">
        <v>30</v>
      </c>
      <c r="H720" s="2" t="s">
        <v>31</v>
      </c>
      <c r="I720" s="2" t="s">
        <v>32</v>
      </c>
      <c r="J720" s="2" t="s">
        <v>33</v>
      </c>
      <c r="K720" s="2" t="s">
        <v>34</v>
      </c>
      <c r="L720" s="3">
        <v>40297</v>
      </c>
      <c r="M720" s="3">
        <v>40319</v>
      </c>
      <c r="N720" s="3">
        <v>40319</v>
      </c>
      <c r="O720" s="3">
        <v>40319</v>
      </c>
      <c r="P720" s="2" t="s">
        <v>780</v>
      </c>
      <c r="Q720" s="2" t="s">
        <v>54</v>
      </c>
      <c r="R720" s="2" t="s">
        <v>37</v>
      </c>
      <c r="S720" s="2" t="s">
        <v>70</v>
      </c>
      <c r="T720" s="2" t="s">
        <v>773</v>
      </c>
      <c r="U720" s="2">
        <v>30</v>
      </c>
      <c r="V720" s="2">
        <v>500</v>
      </c>
      <c r="W720" s="2">
        <v>10000</v>
      </c>
      <c r="X720" s="2">
        <v>20</v>
      </c>
      <c r="Y720" s="2">
        <v>0.67</v>
      </c>
      <c r="Z720" s="2">
        <v>39</v>
      </c>
      <c r="AA720" s="2">
        <v>516.35</v>
      </c>
      <c r="AB720">
        <v>1</v>
      </c>
      <c r="AC720">
        <v>2010</v>
      </c>
      <c r="AE720" s="2">
        <v>335</v>
      </c>
    </row>
    <row r="721" spans="2:31" ht="14.5">
      <c r="B721" s="2">
        <v>69647</v>
      </c>
      <c r="C721" s="2" t="s">
        <v>1338</v>
      </c>
      <c r="D721" s="2" t="s">
        <v>1339</v>
      </c>
      <c r="E721" s="2" t="s">
        <v>118</v>
      </c>
      <c r="F721" s="2" t="s">
        <v>29</v>
      </c>
      <c r="G721" s="2" t="s">
        <v>30</v>
      </c>
      <c r="H721" s="2" t="s">
        <v>103</v>
      </c>
      <c r="I721" s="2" t="s">
        <v>32</v>
      </c>
      <c r="J721" s="2" t="s">
        <v>891</v>
      </c>
      <c r="K721" s="2" t="s">
        <v>34</v>
      </c>
      <c r="L721" s="3">
        <v>41207</v>
      </c>
      <c r="M721" s="3">
        <v>41318</v>
      </c>
      <c r="N721" s="3">
        <v>41318</v>
      </c>
      <c r="O721" s="3">
        <v>41318</v>
      </c>
      <c r="P721" s="2" t="s">
        <v>712</v>
      </c>
      <c r="Q721" s="2" t="s">
        <v>713</v>
      </c>
      <c r="R721" s="2" t="s">
        <v>714</v>
      </c>
      <c r="S721" s="2" t="s">
        <v>330</v>
      </c>
      <c r="T721" s="2" t="s">
        <v>39</v>
      </c>
      <c r="U721" s="2">
        <v>120</v>
      </c>
      <c r="V721" s="2">
        <v>194</v>
      </c>
      <c r="W721" s="2">
        <v>6984</v>
      </c>
      <c r="X721" s="2">
        <v>36</v>
      </c>
      <c r="Y721" s="2">
        <v>0.3</v>
      </c>
      <c r="AB721">
        <v>1</v>
      </c>
      <c r="AC721">
        <v>2013</v>
      </c>
      <c r="AE721" s="2">
        <v>58.199999999999996</v>
      </c>
    </row>
    <row r="722" spans="2:31" ht="14.5">
      <c r="B722" s="2">
        <v>69790</v>
      </c>
      <c r="C722" s="2" t="s">
        <v>1380</v>
      </c>
      <c r="D722" s="2" t="s">
        <v>1381</v>
      </c>
      <c r="E722" s="2" t="s">
        <v>118</v>
      </c>
      <c r="F722" s="2" t="s">
        <v>29</v>
      </c>
      <c r="G722" s="2" t="s">
        <v>30</v>
      </c>
      <c r="H722" s="2" t="s">
        <v>74</v>
      </c>
      <c r="I722" s="2" t="s">
        <v>32</v>
      </c>
      <c r="J722" s="2" t="s">
        <v>52</v>
      </c>
      <c r="K722" s="2" t="s">
        <v>34</v>
      </c>
      <c r="L722" s="3">
        <v>41207</v>
      </c>
      <c r="M722" s="3">
        <v>41255</v>
      </c>
      <c r="N722" s="3">
        <v>41255</v>
      </c>
      <c r="O722" s="3">
        <v>41255</v>
      </c>
      <c r="P722" s="2" t="s">
        <v>833</v>
      </c>
      <c r="Q722" s="2" t="s">
        <v>834</v>
      </c>
      <c r="R722" s="2" t="s">
        <v>835</v>
      </c>
      <c r="S722" s="2" t="s">
        <v>70</v>
      </c>
      <c r="T722" s="2" t="s">
        <v>39</v>
      </c>
      <c r="U722" s="2">
        <v>60</v>
      </c>
      <c r="V722" s="2">
        <v>774</v>
      </c>
      <c r="W722" s="2">
        <v>42957</v>
      </c>
      <c r="X722" s="2">
        <v>55.5</v>
      </c>
      <c r="Y722" s="2">
        <v>0.92</v>
      </c>
      <c r="Z722" s="2">
        <v>92</v>
      </c>
      <c r="AA722" s="2">
        <v>1114</v>
      </c>
      <c r="AB722">
        <v>1</v>
      </c>
      <c r="AC722">
        <v>2012</v>
      </c>
      <c r="AE722" s="2">
        <v>712.08</v>
      </c>
    </row>
    <row r="723" spans="2:31" ht="14.5">
      <c r="B723" s="2">
        <v>70041</v>
      </c>
      <c r="C723" s="2" t="s">
        <v>1382</v>
      </c>
      <c r="D723" s="2" t="s">
        <v>1383</v>
      </c>
      <c r="E723" s="2" t="s">
        <v>42</v>
      </c>
      <c r="F723" s="2" t="s">
        <v>29</v>
      </c>
      <c r="G723" s="2" t="s">
        <v>30</v>
      </c>
      <c r="H723" s="2" t="s">
        <v>807</v>
      </c>
      <c r="I723" s="2" t="s">
        <v>32</v>
      </c>
      <c r="J723" s="2" t="s">
        <v>33</v>
      </c>
      <c r="K723" s="2" t="s">
        <v>34</v>
      </c>
      <c r="L723" s="3">
        <v>41988</v>
      </c>
      <c r="M723" s="3">
        <v>42151</v>
      </c>
      <c r="N723" s="3">
        <v>42151</v>
      </c>
      <c r="O723" s="3">
        <v>42152</v>
      </c>
      <c r="P723" s="2" t="s">
        <v>813</v>
      </c>
      <c r="Q723" s="2" t="s">
        <v>814</v>
      </c>
      <c r="R723" s="2" t="s">
        <v>37</v>
      </c>
      <c r="S723" s="2" t="s">
        <v>815</v>
      </c>
      <c r="T723" s="2" t="s">
        <v>39</v>
      </c>
      <c r="U723" s="2">
        <v>30</v>
      </c>
      <c r="V723" s="2">
        <v>8000</v>
      </c>
      <c r="W723" s="2">
        <v>144000</v>
      </c>
      <c r="X723" s="2">
        <v>18</v>
      </c>
      <c r="Y723" s="2">
        <v>0.6</v>
      </c>
      <c r="Z723" s="2">
        <v>1045</v>
      </c>
      <c r="AA723" s="2">
        <v>6949.93</v>
      </c>
      <c r="AB723">
        <v>1</v>
      </c>
      <c r="AC723">
        <v>2015</v>
      </c>
      <c r="AE723" s="2">
        <v>4800</v>
      </c>
    </row>
    <row r="724" spans="2:31" ht="14.5">
      <c r="B724" s="2">
        <v>70461</v>
      </c>
      <c r="C724" s="2" t="s">
        <v>1384</v>
      </c>
      <c r="D724" s="2" t="s">
        <v>1385</v>
      </c>
      <c r="E724" s="2" t="s">
        <v>42</v>
      </c>
      <c r="F724" s="2" t="s">
        <v>29</v>
      </c>
      <c r="G724" s="2" t="s">
        <v>30</v>
      </c>
      <c r="H724" s="2" t="s">
        <v>43</v>
      </c>
      <c r="I724" s="2" t="s">
        <v>32</v>
      </c>
      <c r="J724" s="2" t="s">
        <v>52</v>
      </c>
      <c r="K724" s="2" t="s">
        <v>34</v>
      </c>
      <c r="L724" s="3">
        <v>40448</v>
      </c>
      <c r="M724" s="3">
        <v>40550</v>
      </c>
      <c r="N724" s="3">
        <v>40550</v>
      </c>
      <c r="O724" s="3">
        <v>40550</v>
      </c>
      <c r="P724" s="2" t="s">
        <v>759</v>
      </c>
      <c r="Q724" s="2" t="s">
        <v>84</v>
      </c>
      <c r="R724" s="2" t="s">
        <v>37</v>
      </c>
      <c r="S724" s="2" t="s">
        <v>152</v>
      </c>
      <c r="T724" s="2" t="s">
        <v>39</v>
      </c>
      <c r="U724" s="2">
        <v>120</v>
      </c>
      <c r="V724" s="2">
        <v>1802</v>
      </c>
      <c r="W724" s="2">
        <v>61808.6</v>
      </c>
      <c r="X724" s="2">
        <v>34.299999999999997</v>
      </c>
      <c r="Y724" s="2">
        <v>0.28999999999999998</v>
      </c>
      <c r="AB724">
        <v>1</v>
      </c>
      <c r="AC724">
        <v>2011</v>
      </c>
      <c r="AE724" s="2">
        <v>522.57999999999993</v>
      </c>
    </row>
    <row r="725" spans="2:31" ht="14.5">
      <c r="B725" s="2">
        <v>70505</v>
      </c>
      <c r="C725" s="2" t="s">
        <v>1204</v>
      </c>
      <c r="D725" s="2" t="s">
        <v>1386</v>
      </c>
      <c r="E725" s="2" t="s">
        <v>118</v>
      </c>
      <c r="F725" s="2" t="s">
        <v>29</v>
      </c>
      <c r="G725" s="2" t="s">
        <v>30</v>
      </c>
      <c r="H725" s="2" t="s">
        <v>175</v>
      </c>
      <c r="I725" s="2" t="s">
        <v>32</v>
      </c>
      <c r="J725" s="2" t="s">
        <v>33</v>
      </c>
      <c r="K725" s="2" t="s">
        <v>646</v>
      </c>
      <c r="L725" s="3">
        <v>41485</v>
      </c>
      <c r="M725" s="3">
        <v>41586</v>
      </c>
      <c r="N725" s="3">
        <v>41586</v>
      </c>
      <c r="O725" s="3">
        <v>41591</v>
      </c>
      <c r="P725" s="2" t="s">
        <v>95</v>
      </c>
      <c r="Q725" s="2" t="s">
        <v>96</v>
      </c>
      <c r="R725" s="2" t="s">
        <v>37</v>
      </c>
      <c r="S725" s="2" t="s">
        <v>97</v>
      </c>
      <c r="T725" s="2" t="s">
        <v>39</v>
      </c>
      <c r="U725" s="2">
        <v>30</v>
      </c>
      <c r="V725" s="2">
        <v>63652</v>
      </c>
      <c r="W725" s="2">
        <v>203049.88</v>
      </c>
      <c r="X725" s="2">
        <v>3.19</v>
      </c>
      <c r="Y725" s="2">
        <v>0.11</v>
      </c>
      <c r="Z725" s="2">
        <v>3914</v>
      </c>
      <c r="AA725" s="2">
        <v>7769.41</v>
      </c>
      <c r="AB725">
        <v>1</v>
      </c>
      <c r="AC725">
        <v>2013</v>
      </c>
      <c r="AE725" s="2">
        <v>7001.72</v>
      </c>
    </row>
    <row r="726" spans="2:31" ht="14.5">
      <c r="B726" s="2">
        <v>70795</v>
      </c>
      <c r="C726" s="2" t="s">
        <v>1348</v>
      </c>
      <c r="D726" s="2" t="s">
        <v>1387</v>
      </c>
      <c r="E726" s="2" t="s">
        <v>28</v>
      </c>
      <c r="F726" s="2" t="s">
        <v>29</v>
      </c>
      <c r="G726" s="2" t="s">
        <v>30</v>
      </c>
      <c r="H726" s="2" t="s">
        <v>31</v>
      </c>
      <c r="I726" s="2" t="s">
        <v>32</v>
      </c>
      <c r="J726" s="2" t="s">
        <v>33</v>
      </c>
      <c r="K726" s="2" t="s">
        <v>34</v>
      </c>
      <c r="L726" s="3">
        <v>41130</v>
      </c>
      <c r="M726" s="3">
        <v>41179</v>
      </c>
      <c r="N726" s="3">
        <v>41186</v>
      </c>
      <c r="O726" s="3">
        <v>41186</v>
      </c>
      <c r="P726" s="2" t="s">
        <v>44</v>
      </c>
      <c r="Q726" s="2" t="s">
        <v>45</v>
      </c>
      <c r="R726" s="2" t="s">
        <v>37</v>
      </c>
      <c r="S726" s="2" t="s">
        <v>46</v>
      </c>
      <c r="T726" s="2" t="s">
        <v>47</v>
      </c>
      <c r="U726" s="2">
        <v>60</v>
      </c>
      <c r="V726" s="2">
        <v>53051</v>
      </c>
      <c r="W726" s="2">
        <v>379314.65</v>
      </c>
      <c r="X726" s="2">
        <v>7.15</v>
      </c>
      <c r="Y726" s="2">
        <v>0.12</v>
      </c>
      <c r="Z726" s="2">
        <v>4611</v>
      </c>
      <c r="AA726" s="2">
        <v>21225.33</v>
      </c>
      <c r="AB726">
        <v>0</v>
      </c>
      <c r="AC726">
        <v>2012</v>
      </c>
      <c r="AE726" s="2">
        <v>6366.12</v>
      </c>
    </row>
    <row r="727" spans="2:31" ht="14.5">
      <c r="B727" s="2">
        <v>70812</v>
      </c>
      <c r="C727" s="2" t="s">
        <v>1388</v>
      </c>
      <c r="D727" s="2" t="s">
        <v>1389</v>
      </c>
      <c r="E727" s="2" t="s">
        <v>28</v>
      </c>
      <c r="F727" s="2" t="s">
        <v>29</v>
      </c>
      <c r="G727" s="2" t="s">
        <v>50</v>
      </c>
      <c r="H727" s="2" t="s">
        <v>81</v>
      </c>
      <c r="I727" s="2" t="s">
        <v>32</v>
      </c>
      <c r="J727" s="2" t="s">
        <v>82</v>
      </c>
      <c r="K727" s="2" t="s">
        <v>34</v>
      </c>
      <c r="L727" s="3">
        <v>41164</v>
      </c>
      <c r="M727" s="3">
        <v>41348</v>
      </c>
      <c r="N727" s="3">
        <v>41348</v>
      </c>
      <c r="O727" s="3">
        <v>41348</v>
      </c>
      <c r="P727" s="2" t="s">
        <v>90</v>
      </c>
      <c r="Q727" s="2" t="s">
        <v>84</v>
      </c>
      <c r="R727" s="2" t="s">
        <v>37</v>
      </c>
      <c r="S727" s="2" t="s">
        <v>91</v>
      </c>
      <c r="T727" s="2" t="s">
        <v>39</v>
      </c>
      <c r="U727" s="2">
        <v>60</v>
      </c>
      <c r="V727" s="2">
        <v>407</v>
      </c>
      <c r="W727" s="2">
        <v>2592.59</v>
      </c>
      <c r="X727" s="2">
        <v>6.37</v>
      </c>
      <c r="Y727" s="2">
        <v>0.11</v>
      </c>
      <c r="Z727" s="2">
        <v>68</v>
      </c>
      <c r="AA727" s="2">
        <v>1264.1600000000001</v>
      </c>
      <c r="AB727">
        <v>1</v>
      </c>
      <c r="AC727">
        <v>2013</v>
      </c>
      <c r="AE727" s="2">
        <v>44.77</v>
      </c>
    </row>
    <row r="728" spans="2:31" ht="14.5">
      <c r="B728" s="2">
        <v>70823</v>
      </c>
      <c r="C728" s="2" t="s">
        <v>1390</v>
      </c>
      <c r="D728" s="2" t="s">
        <v>1391</v>
      </c>
      <c r="E728" s="2" t="s">
        <v>118</v>
      </c>
      <c r="F728" s="2" t="s">
        <v>29</v>
      </c>
      <c r="G728" s="2" t="s">
        <v>30</v>
      </c>
      <c r="H728" s="2" t="s">
        <v>81</v>
      </c>
      <c r="I728" s="2" t="s">
        <v>32</v>
      </c>
      <c r="J728" s="2" t="s">
        <v>82</v>
      </c>
      <c r="K728" s="2" t="s">
        <v>34</v>
      </c>
      <c r="L728" s="3">
        <v>41285</v>
      </c>
      <c r="M728" s="3">
        <v>41460</v>
      </c>
      <c r="N728" s="3">
        <v>41460</v>
      </c>
      <c r="O728" s="3">
        <v>41460</v>
      </c>
      <c r="P728" s="2" t="s">
        <v>855</v>
      </c>
      <c r="Q728" s="2" t="s">
        <v>385</v>
      </c>
      <c r="R728" s="2" t="s">
        <v>386</v>
      </c>
      <c r="S728" s="2" t="s">
        <v>330</v>
      </c>
      <c r="T728" s="2" t="s">
        <v>39</v>
      </c>
      <c r="U728" s="2">
        <v>60</v>
      </c>
      <c r="V728" s="2">
        <v>337</v>
      </c>
      <c r="W728" s="2">
        <v>2308.4499999999998</v>
      </c>
      <c r="X728" s="2">
        <v>6.85</v>
      </c>
      <c r="Y728" s="2">
        <v>0.11</v>
      </c>
      <c r="Z728" s="2">
        <v>55</v>
      </c>
      <c r="AA728" s="2">
        <v>1013.7</v>
      </c>
      <c r="AB728">
        <v>1</v>
      </c>
      <c r="AC728">
        <v>2013</v>
      </c>
      <c r="AE728" s="2">
        <v>37.07</v>
      </c>
    </row>
    <row r="729" spans="2:31" ht="14.5">
      <c r="B729" s="2">
        <v>70978</v>
      </c>
      <c r="C729" s="2" t="s">
        <v>1392</v>
      </c>
      <c r="D729" s="2" t="s">
        <v>1393</v>
      </c>
      <c r="E729" s="2" t="s">
        <v>118</v>
      </c>
      <c r="F729" s="2" t="s">
        <v>29</v>
      </c>
      <c r="G729" s="2" t="s">
        <v>50</v>
      </c>
      <c r="H729" s="2" t="s">
        <v>965</v>
      </c>
      <c r="I729" s="2" t="s">
        <v>32</v>
      </c>
      <c r="J729" s="2" t="s">
        <v>33</v>
      </c>
      <c r="K729" s="2" t="s">
        <v>34</v>
      </c>
      <c r="L729" s="3">
        <v>41432</v>
      </c>
      <c r="M729" s="3">
        <v>41505</v>
      </c>
      <c r="N729" s="3">
        <v>41505</v>
      </c>
      <c r="O729" s="3">
        <v>41505</v>
      </c>
      <c r="P729" s="2" t="s">
        <v>722</v>
      </c>
      <c r="Q729" s="2" t="s">
        <v>96</v>
      </c>
      <c r="R729" s="2" t="s">
        <v>37</v>
      </c>
      <c r="S729" s="2" t="s">
        <v>179</v>
      </c>
      <c r="T729" s="2" t="s">
        <v>64</v>
      </c>
      <c r="U729" s="2">
        <v>30</v>
      </c>
      <c r="V729" s="2">
        <v>252</v>
      </c>
      <c r="W729" s="2">
        <v>509.04</v>
      </c>
      <c r="X729" s="2">
        <v>2.02</v>
      </c>
      <c r="Y729" s="2">
        <v>7.0000000000000007E-2</v>
      </c>
      <c r="Z729" s="2">
        <v>9</v>
      </c>
      <c r="AA729" s="2">
        <v>1678.53</v>
      </c>
      <c r="AB729">
        <v>1</v>
      </c>
      <c r="AC729">
        <v>2013</v>
      </c>
      <c r="AE729" s="2">
        <v>17.64</v>
      </c>
    </row>
    <row r="730" spans="2:31" ht="14.5">
      <c r="B730" s="2">
        <v>70979</v>
      </c>
      <c r="C730" s="2" t="s">
        <v>912</v>
      </c>
      <c r="D730" s="2" t="s">
        <v>1394</v>
      </c>
      <c r="E730" s="2" t="s">
        <v>42</v>
      </c>
      <c r="F730" s="2" t="s">
        <v>29</v>
      </c>
      <c r="G730" s="2" t="s">
        <v>30</v>
      </c>
      <c r="H730" s="2" t="s">
        <v>31</v>
      </c>
      <c r="I730" s="2" t="s">
        <v>32</v>
      </c>
      <c r="J730" s="2" t="s">
        <v>33</v>
      </c>
      <c r="K730" s="2" t="s">
        <v>34</v>
      </c>
      <c r="L730" s="3">
        <v>41106</v>
      </c>
      <c r="M730" s="3">
        <v>41161</v>
      </c>
      <c r="N730" s="3">
        <v>41161</v>
      </c>
      <c r="O730" s="3">
        <v>41161</v>
      </c>
      <c r="P730" s="2" t="s">
        <v>35</v>
      </c>
      <c r="Q730" s="2" t="s">
        <v>36</v>
      </c>
      <c r="R730" s="2" t="s">
        <v>37</v>
      </c>
      <c r="S730" s="2" t="s">
        <v>38</v>
      </c>
      <c r="T730" s="2" t="s">
        <v>39</v>
      </c>
      <c r="U730" s="2">
        <v>60</v>
      </c>
      <c r="V730" s="2">
        <v>58234</v>
      </c>
      <c r="W730" s="2">
        <v>131026.5</v>
      </c>
      <c r="X730" s="2">
        <v>2.25</v>
      </c>
      <c r="Y730" s="2">
        <v>0.04</v>
      </c>
      <c r="Z730" s="2">
        <v>5551</v>
      </c>
      <c r="AA730" s="2">
        <v>49069.74</v>
      </c>
      <c r="AB730">
        <v>1</v>
      </c>
      <c r="AC730">
        <v>2012</v>
      </c>
      <c r="AE730" s="2">
        <v>2329.36</v>
      </c>
    </row>
    <row r="731" spans="2:31" ht="14.5">
      <c r="B731" s="2">
        <v>71064</v>
      </c>
      <c r="C731" s="2" t="s">
        <v>1395</v>
      </c>
      <c r="D731" s="2" t="s">
        <v>1396</v>
      </c>
      <c r="E731" s="2" t="s">
        <v>42</v>
      </c>
      <c r="F731" s="2" t="s">
        <v>29</v>
      </c>
      <c r="G731" s="2" t="s">
        <v>30</v>
      </c>
      <c r="H731" s="2" t="s">
        <v>94</v>
      </c>
      <c r="I731" s="2" t="s">
        <v>32</v>
      </c>
      <c r="J731" s="2" t="s">
        <v>33</v>
      </c>
      <c r="K731" s="2" t="s">
        <v>34</v>
      </c>
      <c r="L731" s="3">
        <v>41072</v>
      </c>
      <c r="M731" s="3">
        <v>41125</v>
      </c>
      <c r="N731" s="3">
        <v>41125</v>
      </c>
      <c r="O731" s="3">
        <v>41125</v>
      </c>
      <c r="P731" s="2" t="s">
        <v>706</v>
      </c>
      <c r="Q731" s="2" t="s">
        <v>707</v>
      </c>
      <c r="R731" s="2" t="s">
        <v>37</v>
      </c>
      <c r="S731" s="2" t="s">
        <v>708</v>
      </c>
      <c r="T731" s="2" t="s">
        <v>47</v>
      </c>
      <c r="U731" s="2">
        <v>30</v>
      </c>
      <c r="V731" s="2">
        <v>40805</v>
      </c>
      <c r="W731" s="2">
        <v>195455.95</v>
      </c>
      <c r="X731" s="2">
        <v>4.79</v>
      </c>
      <c r="Y731" s="2">
        <v>0.16</v>
      </c>
      <c r="Z731" s="2">
        <v>4574</v>
      </c>
      <c r="AA731" s="2">
        <v>45060.6</v>
      </c>
      <c r="AB731">
        <v>1</v>
      </c>
      <c r="AC731">
        <v>2012</v>
      </c>
      <c r="AE731" s="2">
        <v>6528.8</v>
      </c>
    </row>
    <row r="732" spans="2:31" ht="14.5">
      <c r="B732" s="2">
        <v>71150</v>
      </c>
      <c r="C732" s="2" t="s">
        <v>1397</v>
      </c>
      <c r="D732" s="2" t="s">
        <v>1398</v>
      </c>
      <c r="E732" s="2" t="s">
        <v>28</v>
      </c>
      <c r="F732" s="2" t="s">
        <v>29</v>
      </c>
      <c r="G732" s="2" t="s">
        <v>50</v>
      </c>
      <c r="H732" s="2" t="s">
        <v>81</v>
      </c>
      <c r="I732" s="2" t="s">
        <v>32</v>
      </c>
      <c r="J732" s="2" t="s">
        <v>82</v>
      </c>
      <c r="K732" s="2" t="s">
        <v>34</v>
      </c>
      <c r="L732" s="3">
        <v>41578</v>
      </c>
      <c r="M732" s="3">
        <v>41814</v>
      </c>
      <c r="N732" s="3">
        <v>41814</v>
      </c>
      <c r="O732" s="3">
        <v>41814</v>
      </c>
      <c r="P732" s="2" t="s">
        <v>90</v>
      </c>
      <c r="Q732" s="2" t="s">
        <v>84</v>
      </c>
      <c r="R732" s="2" t="s">
        <v>37</v>
      </c>
      <c r="S732" s="2" t="s">
        <v>91</v>
      </c>
      <c r="T732" s="2" t="s">
        <v>39</v>
      </c>
      <c r="U732" s="2">
        <v>60</v>
      </c>
      <c r="V732" s="2">
        <v>1956</v>
      </c>
      <c r="W732" s="2">
        <v>11618.64</v>
      </c>
      <c r="X732" s="2">
        <v>5.94</v>
      </c>
      <c r="Y732" s="2">
        <v>0.1</v>
      </c>
      <c r="Z732" s="2">
        <v>230</v>
      </c>
      <c r="AA732" s="2">
        <v>2215.81</v>
      </c>
      <c r="AB732">
        <v>1</v>
      </c>
      <c r="AC732">
        <v>2014</v>
      </c>
      <c r="AE732" s="2">
        <v>195.60000000000002</v>
      </c>
    </row>
    <row r="733" spans="2:31" ht="14.5">
      <c r="B733" s="2">
        <v>71293</v>
      </c>
      <c r="C733" s="2" t="s">
        <v>1399</v>
      </c>
      <c r="D733" s="2" t="s">
        <v>1400</v>
      </c>
      <c r="E733" s="2" t="s">
        <v>42</v>
      </c>
      <c r="F733" s="2" t="s">
        <v>29</v>
      </c>
      <c r="G733" s="2" t="s">
        <v>50</v>
      </c>
      <c r="H733" s="2" t="s">
        <v>783</v>
      </c>
      <c r="I733" s="2" t="s">
        <v>32</v>
      </c>
      <c r="J733" s="2" t="s">
        <v>82</v>
      </c>
      <c r="K733" s="2" t="s">
        <v>34</v>
      </c>
      <c r="L733" s="3">
        <v>41820</v>
      </c>
      <c r="M733" s="3">
        <v>41873</v>
      </c>
      <c r="N733" s="3">
        <v>41873</v>
      </c>
      <c r="O733" s="3">
        <v>41877</v>
      </c>
      <c r="P733" s="2" t="s">
        <v>1401</v>
      </c>
      <c r="Q733" s="2" t="s">
        <v>745</v>
      </c>
      <c r="R733" s="2" t="s">
        <v>746</v>
      </c>
      <c r="S733" s="2" t="s">
        <v>166</v>
      </c>
      <c r="T733" s="2" t="s">
        <v>64</v>
      </c>
      <c r="U733" s="2">
        <v>60</v>
      </c>
      <c r="V733" s="2">
        <v>216</v>
      </c>
      <c r="W733" s="2">
        <v>7311.6</v>
      </c>
      <c r="X733" s="2">
        <v>33.85</v>
      </c>
      <c r="Y733" s="2">
        <v>0.56000000000000005</v>
      </c>
      <c r="Z733" s="2">
        <v>17</v>
      </c>
      <c r="AA733" s="2">
        <v>733.64</v>
      </c>
      <c r="AB733">
        <v>1</v>
      </c>
      <c r="AC733">
        <v>2014</v>
      </c>
      <c r="AE733" s="2">
        <v>120.96000000000001</v>
      </c>
    </row>
    <row r="734" spans="2:31" ht="14.5">
      <c r="B734" s="2">
        <v>71469</v>
      </c>
      <c r="C734" s="2" t="s">
        <v>1125</v>
      </c>
      <c r="D734" s="2" t="s">
        <v>1402</v>
      </c>
      <c r="E734" s="2" t="s">
        <v>42</v>
      </c>
      <c r="F734" s="2" t="s">
        <v>29</v>
      </c>
      <c r="G734" s="2" t="s">
        <v>50</v>
      </c>
      <c r="H734" s="2" t="s">
        <v>43</v>
      </c>
      <c r="I734" s="2" t="s">
        <v>32</v>
      </c>
      <c r="J734" s="2" t="s">
        <v>52</v>
      </c>
      <c r="K734" s="2" t="s">
        <v>34</v>
      </c>
      <c r="L734" s="3">
        <v>40977</v>
      </c>
      <c r="M734" s="3">
        <v>41088</v>
      </c>
      <c r="N734" s="3">
        <v>41088</v>
      </c>
      <c r="O734" s="3">
        <v>41088</v>
      </c>
      <c r="P734" s="2" t="s">
        <v>1136</v>
      </c>
      <c r="Q734" s="2" t="s">
        <v>408</v>
      </c>
      <c r="R734" s="2" t="s">
        <v>37</v>
      </c>
      <c r="S734" s="2" t="s">
        <v>1137</v>
      </c>
      <c r="T734" s="2" t="s">
        <v>729</v>
      </c>
      <c r="U734" s="2">
        <v>60</v>
      </c>
      <c r="V734" s="2">
        <v>672</v>
      </c>
      <c r="W734" s="2">
        <v>2466.2399999999998</v>
      </c>
      <c r="X734" s="2">
        <v>3.67</v>
      </c>
      <c r="Y734" s="2">
        <v>0.06</v>
      </c>
      <c r="Z734" s="2">
        <v>50</v>
      </c>
      <c r="AA734" s="2">
        <v>3011.72</v>
      </c>
      <c r="AB734">
        <v>1</v>
      </c>
      <c r="AC734">
        <v>2012</v>
      </c>
      <c r="AE734" s="2">
        <v>40.32</v>
      </c>
    </row>
    <row r="735" spans="2:31" ht="14.5">
      <c r="B735" s="2">
        <v>72049</v>
      </c>
      <c r="C735" s="2" t="s">
        <v>1075</v>
      </c>
      <c r="D735" s="2" t="s">
        <v>1403</v>
      </c>
      <c r="E735" s="2" t="s">
        <v>118</v>
      </c>
      <c r="F735" s="2" t="s">
        <v>29</v>
      </c>
      <c r="G735" s="2" t="s">
        <v>30</v>
      </c>
      <c r="H735" s="2" t="s">
        <v>31</v>
      </c>
      <c r="I735" s="2" t="s">
        <v>32</v>
      </c>
      <c r="J735" s="2" t="s">
        <v>33</v>
      </c>
      <c r="K735" s="2" t="s">
        <v>34</v>
      </c>
      <c r="L735" s="3">
        <v>41072</v>
      </c>
      <c r="M735" s="3">
        <v>41102</v>
      </c>
      <c r="N735" s="3">
        <v>41102</v>
      </c>
      <c r="O735" s="3">
        <v>41102</v>
      </c>
      <c r="P735" s="2" t="s">
        <v>35</v>
      </c>
      <c r="Q735" s="2" t="s">
        <v>36</v>
      </c>
      <c r="R735" s="2" t="s">
        <v>37</v>
      </c>
      <c r="S735" s="2" t="s">
        <v>38</v>
      </c>
      <c r="T735" s="2" t="s">
        <v>39</v>
      </c>
      <c r="U735" s="2">
        <v>60</v>
      </c>
      <c r="V735" s="2">
        <v>22500</v>
      </c>
      <c r="W735" s="2">
        <v>52875</v>
      </c>
      <c r="X735" s="2">
        <v>2.35</v>
      </c>
      <c r="Y735" s="2">
        <v>0.04</v>
      </c>
      <c r="Z735" s="2">
        <v>2145</v>
      </c>
      <c r="AA735" s="2">
        <v>8143.97</v>
      </c>
      <c r="AB735">
        <v>1</v>
      </c>
      <c r="AC735">
        <v>2012</v>
      </c>
      <c r="AE735" s="2">
        <v>900</v>
      </c>
    </row>
    <row r="736" spans="2:31" ht="14.5">
      <c r="B736" s="2">
        <v>72085</v>
      </c>
      <c r="C736" s="2" t="s">
        <v>1404</v>
      </c>
      <c r="D736" s="2" t="s">
        <v>1405</v>
      </c>
      <c r="E736" s="2" t="s">
        <v>42</v>
      </c>
      <c r="F736" s="2" t="s">
        <v>29</v>
      </c>
      <c r="G736" s="2" t="s">
        <v>30</v>
      </c>
      <c r="H736" s="2" t="s">
        <v>94</v>
      </c>
      <c r="I736" s="2" t="s">
        <v>32</v>
      </c>
      <c r="J736" s="2" t="s">
        <v>33</v>
      </c>
      <c r="K736" s="2" t="s">
        <v>646</v>
      </c>
      <c r="L736" s="3">
        <v>41047</v>
      </c>
      <c r="M736" s="3">
        <v>41123</v>
      </c>
      <c r="N736" s="3">
        <v>41123</v>
      </c>
      <c r="O736" s="3">
        <v>41123</v>
      </c>
      <c r="P736" s="2" t="s">
        <v>95</v>
      </c>
      <c r="Q736" s="2" t="s">
        <v>96</v>
      </c>
      <c r="R736" s="2" t="s">
        <v>37</v>
      </c>
      <c r="S736" s="2" t="s">
        <v>97</v>
      </c>
      <c r="T736" s="2" t="s">
        <v>39</v>
      </c>
      <c r="U736" s="2">
        <v>30</v>
      </c>
      <c r="V736" s="2">
        <v>20370</v>
      </c>
      <c r="W736" s="2">
        <v>72720.899999999994</v>
      </c>
      <c r="X736" s="2">
        <v>3.57</v>
      </c>
      <c r="Y736" s="2">
        <v>0.12</v>
      </c>
      <c r="Z736" s="2">
        <v>1619</v>
      </c>
      <c r="AA736" s="2">
        <v>9054.61</v>
      </c>
      <c r="AB736">
        <v>1</v>
      </c>
      <c r="AC736">
        <v>2012</v>
      </c>
      <c r="AE736" s="2">
        <v>2444.4</v>
      </c>
    </row>
    <row r="737" spans="2:31" ht="14.5">
      <c r="B737" s="2">
        <v>72142</v>
      </c>
      <c r="C737" s="2" t="s">
        <v>1406</v>
      </c>
      <c r="D737" s="2" t="s">
        <v>1407</v>
      </c>
      <c r="E737" s="2" t="s">
        <v>42</v>
      </c>
      <c r="F737" s="2" t="s">
        <v>29</v>
      </c>
      <c r="G737" s="2" t="s">
        <v>50</v>
      </c>
      <c r="H737" s="2" t="s">
        <v>81</v>
      </c>
      <c r="I737" s="2" t="s">
        <v>32</v>
      </c>
      <c r="J737" s="2" t="s">
        <v>82</v>
      </c>
      <c r="K737" s="2" t="s">
        <v>34</v>
      </c>
      <c r="L737" s="3">
        <v>40858</v>
      </c>
      <c r="M737" s="3">
        <v>41089</v>
      </c>
      <c r="N737" s="3">
        <v>41089</v>
      </c>
      <c r="O737" s="3">
        <v>41089</v>
      </c>
      <c r="P737" s="2" t="s">
        <v>90</v>
      </c>
      <c r="Q737" s="2" t="s">
        <v>84</v>
      </c>
      <c r="R737" s="2" t="s">
        <v>37</v>
      </c>
      <c r="S737" s="2" t="s">
        <v>91</v>
      </c>
      <c r="T737" s="2" t="s">
        <v>39</v>
      </c>
      <c r="U737" s="2">
        <v>60</v>
      </c>
      <c r="V737" s="2">
        <v>1575</v>
      </c>
      <c r="W737" s="2">
        <v>12143.25</v>
      </c>
      <c r="X737" s="2">
        <v>7.71</v>
      </c>
      <c r="Y737" s="2">
        <v>0.13</v>
      </c>
      <c r="Z737" s="2">
        <v>186</v>
      </c>
      <c r="AA737" s="2">
        <v>2874.03</v>
      </c>
      <c r="AB737">
        <v>1</v>
      </c>
      <c r="AC737">
        <v>2012</v>
      </c>
      <c r="AE737" s="2">
        <v>204.75</v>
      </c>
    </row>
    <row r="738" spans="2:31" ht="14.5">
      <c r="B738" s="2">
        <v>72158</v>
      </c>
      <c r="C738" s="2" t="s">
        <v>1071</v>
      </c>
      <c r="D738" s="2" t="s">
        <v>1408</v>
      </c>
      <c r="E738" s="2" t="s">
        <v>28</v>
      </c>
      <c r="F738" s="2" t="s">
        <v>29</v>
      </c>
      <c r="G738" s="2" t="s">
        <v>30</v>
      </c>
      <c r="H738" s="2" t="s">
        <v>81</v>
      </c>
      <c r="I738" s="2" t="s">
        <v>32</v>
      </c>
      <c r="J738" s="2" t="s">
        <v>82</v>
      </c>
      <c r="K738" s="2" t="s">
        <v>34</v>
      </c>
      <c r="L738" s="3">
        <v>40249</v>
      </c>
      <c r="M738" s="3">
        <v>40340</v>
      </c>
      <c r="N738" s="3">
        <v>40340</v>
      </c>
      <c r="O738" s="3">
        <v>40340</v>
      </c>
      <c r="P738" s="2" t="s">
        <v>150</v>
      </c>
      <c r="Q738" s="2" t="s">
        <v>84</v>
      </c>
      <c r="R738" s="2" t="s">
        <v>151</v>
      </c>
      <c r="S738" s="2" t="s">
        <v>152</v>
      </c>
      <c r="T738" s="2" t="s">
        <v>39</v>
      </c>
      <c r="U738" s="2">
        <v>120</v>
      </c>
      <c r="V738" s="2">
        <v>7145</v>
      </c>
      <c r="W738" s="2">
        <v>258363.2</v>
      </c>
      <c r="X738" s="2">
        <v>36.159999999999997</v>
      </c>
      <c r="Y738" s="2">
        <v>0.3</v>
      </c>
      <c r="Z738" s="2">
        <v>1604</v>
      </c>
      <c r="AA738" s="2">
        <v>9915.56</v>
      </c>
      <c r="AB738">
        <v>1</v>
      </c>
      <c r="AC738">
        <v>2010</v>
      </c>
      <c r="AE738" s="2">
        <v>2143.5</v>
      </c>
    </row>
    <row r="739" spans="2:31" ht="14.5">
      <c r="B739" s="2">
        <v>72291</v>
      </c>
      <c r="C739" s="2" t="s">
        <v>1409</v>
      </c>
      <c r="D739" s="2" t="s">
        <v>1410</v>
      </c>
      <c r="E739" s="2" t="s">
        <v>42</v>
      </c>
      <c r="F739" s="2" t="s">
        <v>29</v>
      </c>
      <c r="G739" s="2" t="s">
        <v>30</v>
      </c>
      <c r="H739" s="2" t="s">
        <v>94</v>
      </c>
      <c r="I739" s="2" t="s">
        <v>32</v>
      </c>
      <c r="J739" s="2" t="s">
        <v>52</v>
      </c>
      <c r="K739" s="2" t="s">
        <v>34</v>
      </c>
      <c r="L739" s="3">
        <v>40043</v>
      </c>
      <c r="M739" s="3">
        <v>40342</v>
      </c>
      <c r="N739" s="3">
        <v>40342</v>
      </c>
      <c r="O739" s="3">
        <v>40342</v>
      </c>
      <c r="P739" s="2" t="s">
        <v>164</v>
      </c>
      <c r="Q739" s="2" t="s">
        <v>165</v>
      </c>
      <c r="R739" s="2" t="s">
        <v>37</v>
      </c>
      <c r="S739" s="2" t="s">
        <v>166</v>
      </c>
      <c r="T739" s="2" t="s">
        <v>39</v>
      </c>
      <c r="U739" s="2">
        <v>60</v>
      </c>
      <c r="V739" s="2">
        <v>15750</v>
      </c>
      <c r="W739" s="2">
        <v>40792.5</v>
      </c>
      <c r="X739" s="2">
        <v>2.59</v>
      </c>
      <c r="Y739" s="2">
        <v>0.04</v>
      </c>
      <c r="Z739" s="2">
        <v>986</v>
      </c>
      <c r="AA739" s="2">
        <v>4015.82</v>
      </c>
      <c r="AB739">
        <v>1</v>
      </c>
      <c r="AC739">
        <v>2010</v>
      </c>
      <c r="AE739" s="2">
        <v>630</v>
      </c>
    </row>
    <row r="740" spans="2:31" ht="14.5">
      <c r="B740" s="2">
        <v>72695</v>
      </c>
      <c r="C740" s="2" t="s">
        <v>989</v>
      </c>
      <c r="D740" s="2" t="s">
        <v>990</v>
      </c>
      <c r="E740" s="2" t="s">
        <v>42</v>
      </c>
      <c r="F740" s="2" t="s">
        <v>29</v>
      </c>
      <c r="G740" s="2" t="s">
        <v>30</v>
      </c>
      <c r="H740" s="2" t="s">
        <v>31</v>
      </c>
      <c r="I740" s="2" t="s">
        <v>32</v>
      </c>
      <c r="J740" s="2" t="s">
        <v>52</v>
      </c>
      <c r="K740" s="2" t="s">
        <v>34</v>
      </c>
      <c r="L740" s="3">
        <v>40448</v>
      </c>
      <c r="M740" s="3">
        <v>40658</v>
      </c>
      <c r="N740" s="3">
        <v>40658</v>
      </c>
      <c r="O740" s="3">
        <v>40658</v>
      </c>
      <c r="P740" s="2" t="s">
        <v>772</v>
      </c>
      <c r="Q740" s="2" t="s">
        <v>54</v>
      </c>
      <c r="R740" s="2" t="s">
        <v>37</v>
      </c>
      <c r="S740" s="2" t="s">
        <v>120</v>
      </c>
      <c r="T740" s="2" t="s">
        <v>773</v>
      </c>
      <c r="U740" s="2">
        <v>30</v>
      </c>
      <c r="V740" s="2">
        <v>570</v>
      </c>
      <c r="W740" s="2">
        <v>7552.5</v>
      </c>
      <c r="X740" s="2">
        <v>13.25</v>
      </c>
      <c r="Y740" s="2">
        <v>0.44</v>
      </c>
      <c r="AB740">
        <v>1</v>
      </c>
      <c r="AC740">
        <v>2011</v>
      </c>
      <c r="AE740" s="2">
        <v>250.8</v>
      </c>
    </row>
    <row r="741" spans="2:31" ht="14.5">
      <c r="B741" s="2">
        <v>73079</v>
      </c>
      <c r="C741" s="2" t="s">
        <v>1348</v>
      </c>
      <c r="D741" s="2" t="s">
        <v>1411</v>
      </c>
      <c r="E741" s="2" t="s">
        <v>28</v>
      </c>
      <c r="F741" s="2" t="s">
        <v>29</v>
      </c>
      <c r="G741" s="2" t="s">
        <v>30</v>
      </c>
      <c r="H741" s="2" t="s">
        <v>31</v>
      </c>
      <c r="I741" s="2" t="s">
        <v>32</v>
      </c>
      <c r="J741" s="2" t="s">
        <v>33</v>
      </c>
      <c r="K741" s="2" t="s">
        <v>34</v>
      </c>
      <c r="L741" s="3">
        <v>41130</v>
      </c>
      <c r="M741" s="3">
        <v>41179</v>
      </c>
      <c r="N741" s="3">
        <v>41186</v>
      </c>
      <c r="O741" s="3">
        <v>41186</v>
      </c>
      <c r="P741" s="2" t="s">
        <v>44</v>
      </c>
      <c r="Q741" s="2" t="s">
        <v>45</v>
      </c>
      <c r="R741" s="2" t="s">
        <v>37</v>
      </c>
      <c r="S741" s="2" t="s">
        <v>46</v>
      </c>
      <c r="T741" s="2" t="s">
        <v>47</v>
      </c>
      <c r="U741" s="2">
        <v>60</v>
      </c>
      <c r="V741" s="2">
        <v>39360</v>
      </c>
      <c r="W741" s="2">
        <v>281424</v>
      </c>
      <c r="X741" s="2">
        <v>7.15</v>
      </c>
      <c r="Y741" s="2">
        <v>0.12</v>
      </c>
      <c r="Z741" s="2">
        <v>3421</v>
      </c>
      <c r="AA741" s="2">
        <v>15241.75</v>
      </c>
      <c r="AB741">
        <v>0</v>
      </c>
      <c r="AC741">
        <v>2012</v>
      </c>
      <c r="AE741" s="2">
        <v>4723.2</v>
      </c>
    </row>
    <row r="742" spans="2:31" ht="14.5">
      <c r="B742" s="2">
        <v>73211</v>
      </c>
      <c r="C742" s="2" t="s">
        <v>1412</v>
      </c>
      <c r="D742" s="2" t="s">
        <v>1413</v>
      </c>
      <c r="E742" s="2" t="s">
        <v>118</v>
      </c>
      <c r="F742" s="2" t="s">
        <v>29</v>
      </c>
      <c r="G742" s="2" t="s">
        <v>30</v>
      </c>
      <c r="H742" s="2" t="s">
        <v>81</v>
      </c>
      <c r="I742" s="2" t="s">
        <v>32</v>
      </c>
      <c r="J742" s="2" t="s">
        <v>82</v>
      </c>
      <c r="K742" s="2" t="s">
        <v>34</v>
      </c>
      <c r="L742" s="3">
        <v>41438</v>
      </c>
      <c r="M742" s="3">
        <v>41540</v>
      </c>
      <c r="N742" s="3">
        <v>41540</v>
      </c>
      <c r="O742" s="3">
        <v>41540</v>
      </c>
      <c r="P742" s="2" t="s">
        <v>855</v>
      </c>
      <c r="Q742" s="2" t="s">
        <v>385</v>
      </c>
      <c r="R742" s="2" t="s">
        <v>386</v>
      </c>
      <c r="S742" s="2" t="s">
        <v>330</v>
      </c>
      <c r="T742" s="2" t="s">
        <v>39</v>
      </c>
      <c r="U742" s="2">
        <v>60</v>
      </c>
      <c r="V742" s="2">
        <v>210</v>
      </c>
      <c r="W742" s="2">
        <v>1438.5</v>
      </c>
      <c r="X742" s="2">
        <v>6.85</v>
      </c>
      <c r="Y742" s="2">
        <v>0.11</v>
      </c>
      <c r="Z742" s="2">
        <v>32</v>
      </c>
      <c r="AA742" s="2">
        <v>852.02</v>
      </c>
      <c r="AB742">
        <v>1</v>
      </c>
      <c r="AC742">
        <v>2013</v>
      </c>
      <c r="AE742" s="2">
        <v>23.1</v>
      </c>
    </row>
    <row r="743" spans="2:31" ht="14.5">
      <c r="B743" s="2">
        <v>73301</v>
      </c>
      <c r="C743" s="2" t="s">
        <v>1414</v>
      </c>
      <c r="D743" s="2" t="s">
        <v>1415</v>
      </c>
      <c r="E743" s="2" t="s">
        <v>118</v>
      </c>
      <c r="F743" s="2" t="s">
        <v>29</v>
      </c>
      <c r="G743" s="2" t="s">
        <v>30</v>
      </c>
      <c r="H743" s="2" t="s">
        <v>157</v>
      </c>
      <c r="I743" s="2" t="s">
        <v>32</v>
      </c>
      <c r="J743" s="2" t="s">
        <v>82</v>
      </c>
      <c r="K743" s="2" t="s">
        <v>34</v>
      </c>
      <c r="L743" s="3">
        <v>40499</v>
      </c>
      <c r="M743" s="3">
        <v>40533</v>
      </c>
      <c r="N743" s="3">
        <v>40533</v>
      </c>
      <c r="O743" s="3">
        <v>40533</v>
      </c>
      <c r="P743" s="2" t="s">
        <v>1105</v>
      </c>
      <c r="Q743" s="2" t="s">
        <v>159</v>
      </c>
      <c r="R743" s="2" t="s">
        <v>160</v>
      </c>
      <c r="S743" s="2" t="s">
        <v>1106</v>
      </c>
      <c r="T743" s="2" t="s">
        <v>39</v>
      </c>
      <c r="U743" s="2">
        <v>120</v>
      </c>
      <c r="V743" s="2">
        <v>98</v>
      </c>
      <c r="W743" s="2">
        <v>10150.19</v>
      </c>
      <c r="X743" s="2">
        <v>103.57</v>
      </c>
      <c r="Y743" s="2">
        <v>0.86</v>
      </c>
      <c r="Z743" s="2">
        <v>18</v>
      </c>
      <c r="AA743" s="2">
        <v>968.25</v>
      </c>
      <c r="AB743">
        <v>1</v>
      </c>
      <c r="AC743">
        <v>2010</v>
      </c>
      <c r="AE743" s="2">
        <v>84.28</v>
      </c>
    </row>
    <row r="744" spans="2:31" ht="14.5">
      <c r="B744" s="2">
        <v>73727</v>
      </c>
      <c r="C744" s="2" t="s">
        <v>1416</v>
      </c>
      <c r="D744" s="2" t="s">
        <v>1417</v>
      </c>
      <c r="E744" s="2" t="s">
        <v>118</v>
      </c>
      <c r="F744" s="2" t="s">
        <v>29</v>
      </c>
      <c r="G744" s="2" t="s">
        <v>30</v>
      </c>
      <c r="H744" s="2" t="s">
        <v>807</v>
      </c>
      <c r="I744" s="2" t="s">
        <v>32</v>
      </c>
      <c r="J744" s="2" t="s">
        <v>33</v>
      </c>
      <c r="K744" s="2" t="s">
        <v>34</v>
      </c>
      <c r="L744" s="3">
        <v>41968</v>
      </c>
      <c r="M744" s="3">
        <v>42102</v>
      </c>
      <c r="N744" s="3">
        <v>42102</v>
      </c>
      <c r="O744" s="3">
        <v>42102</v>
      </c>
      <c r="P744" s="2" t="s">
        <v>813</v>
      </c>
      <c r="Q744" s="2" t="s">
        <v>814</v>
      </c>
      <c r="R744" s="2" t="s">
        <v>37</v>
      </c>
      <c r="S744" s="2" t="s">
        <v>815</v>
      </c>
      <c r="T744" s="2" t="s">
        <v>39</v>
      </c>
      <c r="U744" s="2">
        <v>30</v>
      </c>
      <c r="V744" s="2">
        <v>1776</v>
      </c>
      <c r="W744" s="2">
        <v>31968</v>
      </c>
      <c r="X744" s="2">
        <v>18</v>
      </c>
      <c r="Y744" s="2">
        <v>0.6</v>
      </c>
      <c r="Z744" s="2">
        <v>237</v>
      </c>
      <c r="AA744" s="2">
        <v>1794.89</v>
      </c>
      <c r="AB744">
        <v>1</v>
      </c>
      <c r="AC744">
        <v>2015</v>
      </c>
      <c r="AE744" s="2">
        <v>1065.5999999999999</v>
      </c>
    </row>
    <row r="745" spans="2:31" ht="14.5">
      <c r="B745" s="2">
        <v>73748</v>
      </c>
      <c r="C745" s="2" t="s">
        <v>1346</v>
      </c>
      <c r="D745" s="2" t="s">
        <v>1418</v>
      </c>
      <c r="E745" s="2" t="s">
        <v>28</v>
      </c>
      <c r="F745" s="2" t="s">
        <v>29</v>
      </c>
      <c r="G745" s="2" t="s">
        <v>30</v>
      </c>
      <c r="H745" s="2" t="s">
        <v>31</v>
      </c>
      <c r="I745" s="2" t="s">
        <v>32</v>
      </c>
      <c r="J745" s="2" t="s">
        <v>33</v>
      </c>
      <c r="K745" s="2" t="s">
        <v>34</v>
      </c>
      <c r="L745" s="3">
        <v>41436</v>
      </c>
      <c r="M745" s="3">
        <v>41510</v>
      </c>
      <c r="N745" s="3">
        <v>41510</v>
      </c>
      <c r="O745" s="3">
        <v>41510</v>
      </c>
      <c r="P745" s="2" t="s">
        <v>112</v>
      </c>
      <c r="Q745" s="2" t="s">
        <v>113</v>
      </c>
      <c r="R745" s="2" t="s">
        <v>37</v>
      </c>
      <c r="S745" s="2" t="s">
        <v>114</v>
      </c>
      <c r="T745" s="2" t="s">
        <v>47</v>
      </c>
      <c r="U745" s="2">
        <v>60</v>
      </c>
      <c r="V745" s="2">
        <v>36451</v>
      </c>
      <c r="W745" s="2">
        <v>297075.65000000002</v>
      </c>
      <c r="X745" s="2">
        <v>8.15</v>
      </c>
      <c r="Y745" s="2">
        <v>0.14000000000000001</v>
      </c>
      <c r="Z745" s="2">
        <v>4611</v>
      </c>
      <c r="AA745" s="2">
        <v>20618.55</v>
      </c>
      <c r="AB745">
        <v>1</v>
      </c>
      <c r="AC745">
        <v>2013</v>
      </c>
      <c r="AE745" s="2">
        <v>5103.1400000000003</v>
      </c>
    </row>
    <row r="746" spans="2:31" ht="14.5">
      <c r="B746" s="2">
        <v>73961</v>
      </c>
      <c r="C746" s="2" t="s">
        <v>1419</v>
      </c>
      <c r="D746" s="2" t="s">
        <v>1420</v>
      </c>
      <c r="E746" s="2" t="s">
        <v>118</v>
      </c>
      <c r="F746" s="2" t="s">
        <v>29</v>
      </c>
      <c r="G746" s="2" t="s">
        <v>30</v>
      </c>
      <c r="H746" s="2" t="s">
        <v>81</v>
      </c>
      <c r="I746" s="2" t="s">
        <v>32</v>
      </c>
      <c r="J746" s="2" t="s">
        <v>82</v>
      </c>
      <c r="K746" s="2" t="s">
        <v>34</v>
      </c>
      <c r="L746" s="3">
        <v>40066</v>
      </c>
      <c r="M746" s="3">
        <v>40106</v>
      </c>
      <c r="N746" s="3">
        <v>40106</v>
      </c>
      <c r="O746" s="3">
        <v>40106</v>
      </c>
      <c r="P746" s="2" t="s">
        <v>150</v>
      </c>
      <c r="Q746" s="2" t="s">
        <v>84</v>
      </c>
      <c r="R746" s="2" t="s">
        <v>151</v>
      </c>
      <c r="S746" s="2" t="s">
        <v>152</v>
      </c>
      <c r="T746" s="2" t="s">
        <v>39</v>
      </c>
      <c r="U746" s="2">
        <v>120</v>
      </c>
      <c r="V746" s="2">
        <v>480</v>
      </c>
      <c r="W746" s="2">
        <v>17356.8</v>
      </c>
      <c r="X746" s="2">
        <v>36.159999999999997</v>
      </c>
      <c r="Y746" s="2">
        <v>0.3</v>
      </c>
      <c r="Z746" s="2">
        <v>126</v>
      </c>
      <c r="AA746" s="2">
        <v>1360.34</v>
      </c>
      <c r="AB746">
        <v>1</v>
      </c>
      <c r="AC746">
        <v>2009</v>
      </c>
      <c r="AE746" s="2">
        <v>144</v>
      </c>
    </row>
    <row r="747" spans="2:31" ht="14.5">
      <c r="B747" s="2">
        <v>74178</v>
      </c>
      <c r="C747" s="2" t="s">
        <v>1421</v>
      </c>
      <c r="D747" s="2" t="s">
        <v>1422</v>
      </c>
      <c r="E747" s="2" t="s">
        <v>118</v>
      </c>
      <c r="F747" s="2" t="s">
        <v>29</v>
      </c>
      <c r="G747" s="2" t="s">
        <v>50</v>
      </c>
      <c r="H747" s="2" t="s">
        <v>109</v>
      </c>
      <c r="I747" s="2" t="s">
        <v>32</v>
      </c>
      <c r="J747" s="2" t="s">
        <v>33</v>
      </c>
      <c r="K747" s="2" t="s">
        <v>34</v>
      </c>
      <c r="L747" s="3">
        <v>41439</v>
      </c>
      <c r="M747" s="3">
        <v>41575</v>
      </c>
      <c r="N747" s="3">
        <v>41575</v>
      </c>
      <c r="O747" s="3">
        <v>41577</v>
      </c>
      <c r="P747" s="2" t="s">
        <v>1423</v>
      </c>
      <c r="Q747" s="2" t="s">
        <v>96</v>
      </c>
      <c r="R747" s="2" t="s">
        <v>37</v>
      </c>
      <c r="S747" s="2" t="s">
        <v>38</v>
      </c>
      <c r="T747" s="2" t="s">
        <v>39</v>
      </c>
      <c r="U747" s="2">
        <v>30</v>
      </c>
      <c r="V747" s="2">
        <v>61386</v>
      </c>
      <c r="W747" s="2">
        <v>92079</v>
      </c>
      <c r="X747" s="2">
        <v>1.5</v>
      </c>
      <c r="Y747" s="2">
        <v>0.05</v>
      </c>
      <c r="Z747" s="2">
        <v>3262</v>
      </c>
      <c r="AA747" s="2">
        <v>12034.96</v>
      </c>
      <c r="AB747">
        <v>1</v>
      </c>
      <c r="AC747">
        <v>2013</v>
      </c>
      <c r="AE747" s="2">
        <v>3069.3</v>
      </c>
    </row>
    <row r="748" spans="2:31" ht="14.5">
      <c r="B748" s="2">
        <v>74260</v>
      </c>
      <c r="C748" s="2" t="s">
        <v>1424</v>
      </c>
      <c r="D748" s="2" t="s">
        <v>1425</v>
      </c>
      <c r="E748" s="2" t="s">
        <v>118</v>
      </c>
      <c r="F748" s="2" t="s">
        <v>29</v>
      </c>
      <c r="G748" s="2" t="s">
        <v>30</v>
      </c>
      <c r="H748" s="2" t="s">
        <v>74</v>
      </c>
      <c r="I748" s="2" t="s">
        <v>32</v>
      </c>
      <c r="J748" s="2" t="s">
        <v>52</v>
      </c>
      <c r="K748" s="2" t="s">
        <v>34</v>
      </c>
      <c r="L748" s="3">
        <v>40708</v>
      </c>
      <c r="M748" s="3">
        <v>40912</v>
      </c>
      <c r="N748" s="3">
        <v>40912</v>
      </c>
      <c r="O748" s="3">
        <v>40912</v>
      </c>
      <c r="P748" s="2" t="s">
        <v>568</v>
      </c>
      <c r="Q748" s="2" t="s">
        <v>569</v>
      </c>
      <c r="R748" s="2" t="s">
        <v>570</v>
      </c>
      <c r="S748" s="2" t="s">
        <v>70</v>
      </c>
      <c r="T748" s="2" t="s">
        <v>64</v>
      </c>
      <c r="U748" s="2">
        <v>180</v>
      </c>
      <c r="V748" s="2">
        <v>36</v>
      </c>
      <c r="W748" s="2">
        <v>1800</v>
      </c>
      <c r="X748" s="2">
        <v>50</v>
      </c>
      <c r="Y748" s="2">
        <v>0.28000000000000003</v>
      </c>
      <c r="Z748" s="2">
        <v>9</v>
      </c>
      <c r="AA748" s="2">
        <v>286</v>
      </c>
      <c r="AB748">
        <v>1</v>
      </c>
      <c r="AC748">
        <v>2012</v>
      </c>
      <c r="AE748" s="2">
        <v>10.080000000000002</v>
      </c>
    </row>
    <row r="749" spans="2:31" ht="14.5">
      <c r="B749" s="2">
        <v>74492</v>
      </c>
      <c r="C749" s="2" t="s">
        <v>1426</v>
      </c>
      <c r="D749" s="2" t="s">
        <v>1427</v>
      </c>
      <c r="E749" s="2" t="s">
        <v>42</v>
      </c>
      <c r="F749" s="2" t="s">
        <v>29</v>
      </c>
      <c r="G749" s="2" t="s">
        <v>30</v>
      </c>
      <c r="H749" s="2" t="s">
        <v>109</v>
      </c>
      <c r="I749" s="2" t="s">
        <v>32</v>
      </c>
      <c r="J749" s="2" t="s">
        <v>33</v>
      </c>
      <c r="K749" s="2" t="s">
        <v>646</v>
      </c>
      <c r="L749" s="3">
        <v>41002</v>
      </c>
      <c r="M749" s="3">
        <v>41106</v>
      </c>
      <c r="N749" s="3">
        <v>41106</v>
      </c>
      <c r="O749" s="3">
        <v>41106</v>
      </c>
      <c r="P749" s="2" t="s">
        <v>754</v>
      </c>
      <c r="Q749" s="2" t="s">
        <v>755</v>
      </c>
      <c r="R749" s="2" t="s">
        <v>37</v>
      </c>
      <c r="S749" s="2" t="s">
        <v>756</v>
      </c>
      <c r="T749" s="2" t="s">
        <v>47</v>
      </c>
      <c r="U749" s="2">
        <v>30</v>
      </c>
      <c r="V749" s="2">
        <v>39330</v>
      </c>
      <c r="W749" s="2">
        <v>511290</v>
      </c>
      <c r="X749" s="2">
        <v>13</v>
      </c>
      <c r="Y749" s="2">
        <v>0.43</v>
      </c>
      <c r="Z749" s="2">
        <v>4426</v>
      </c>
      <c r="AA749" s="2">
        <v>66916.5</v>
      </c>
      <c r="AB749">
        <v>1</v>
      </c>
      <c r="AC749">
        <v>2012</v>
      </c>
      <c r="AE749" s="2">
        <v>16911.900000000001</v>
      </c>
    </row>
    <row r="750" spans="2:31" ht="14.5">
      <c r="B750" s="2">
        <v>74660</v>
      </c>
      <c r="C750" s="2" t="s">
        <v>1428</v>
      </c>
      <c r="D750" s="2" t="s">
        <v>1429</v>
      </c>
      <c r="E750" s="2" t="s">
        <v>42</v>
      </c>
      <c r="F750" s="2" t="s">
        <v>29</v>
      </c>
      <c r="G750" s="2" t="s">
        <v>30</v>
      </c>
      <c r="H750" s="2" t="s">
        <v>94</v>
      </c>
      <c r="I750" s="2" t="s">
        <v>32</v>
      </c>
      <c r="J750" s="2" t="s">
        <v>52</v>
      </c>
      <c r="K750" s="2" t="s">
        <v>34</v>
      </c>
      <c r="L750" s="3">
        <v>40448</v>
      </c>
      <c r="M750" s="3">
        <v>40554</v>
      </c>
      <c r="N750" s="3">
        <v>40554</v>
      </c>
      <c r="O750" s="3">
        <v>40554</v>
      </c>
      <c r="P750" s="2" t="s">
        <v>95</v>
      </c>
      <c r="Q750" s="2" t="s">
        <v>96</v>
      </c>
      <c r="R750" s="2" t="s">
        <v>37</v>
      </c>
      <c r="S750" s="2" t="s">
        <v>97</v>
      </c>
      <c r="T750" s="2" t="s">
        <v>39</v>
      </c>
      <c r="U750" s="2">
        <v>30</v>
      </c>
      <c r="V750" s="2">
        <v>1396</v>
      </c>
      <c r="W750" s="2">
        <v>6044.68</v>
      </c>
      <c r="X750" s="2">
        <v>4.33</v>
      </c>
      <c r="Y750" s="2">
        <v>0.14000000000000001</v>
      </c>
      <c r="AB750">
        <v>1</v>
      </c>
      <c r="AC750">
        <v>2011</v>
      </c>
      <c r="AE750" s="2">
        <v>195.44000000000003</v>
      </c>
    </row>
    <row r="751" spans="2:31" ht="14.5">
      <c r="B751" s="2">
        <v>74965</v>
      </c>
      <c r="C751" s="2" t="s">
        <v>1430</v>
      </c>
      <c r="D751" s="2" t="s">
        <v>1431</v>
      </c>
      <c r="E751" s="2" t="s">
        <v>28</v>
      </c>
      <c r="F751" s="2" t="s">
        <v>29</v>
      </c>
      <c r="G751" s="2" t="s">
        <v>30</v>
      </c>
      <c r="H751" s="2" t="s">
        <v>81</v>
      </c>
      <c r="I751" s="2" t="s">
        <v>32</v>
      </c>
      <c r="J751" s="2" t="s">
        <v>82</v>
      </c>
      <c r="K751" s="2" t="s">
        <v>34</v>
      </c>
      <c r="L751" s="3">
        <v>40249</v>
      </c>
      <c r="M751" s="3">
        <v>40633</v>
      </c>
      <c r="N751" s="3">
        <v>40633</v>
      </c>
      <c r="O751" s="3">
        <v>40633</v>
      </c>
      <c r="P751" s="2" t="s">
        <v>384</v>
      </c>
      <c r="Q751" s="2" t="s">
        <v>385</v>
      </c>
      <c r="R751" s="2" t="s">
        <v>386</v>
      </c>
      <c r="S751" s="2" t="s">
        <v>330</v>
      </c>
      <c r="T751" s="2" t="s">
        <v>64</v>
      </c>
      <c r="U751" s="2">
        <v>336</v>
      </c>
      <c r="V751" s="2">
        <v>335</v>
      </c>
      <c r="W751" s="2">
        <v>12850.6</v>
      </c>
      <c r="X751" s="2">
        <v>38.36</v>
      </c>
      <c r="Y751" s="2">
        <v>0.11</v>
      </c>
      <c r="Z751" s="2">
        <v>146</v>
      </c>
      <c r="AA751" s="2">
        <v>4701.1000000000004</v>
      </c>
      <c r="AB751">
        <v>1</v>
      </c>
      <c r="AC751">
        <v>2011</v>
      </c>
      <c r="AE751" s="2">
        <v>36.85</v>
      </c>
    </row>
    <row r="752" spans="2:31" ht="14.5">
      <c r="B752" s="2">
        <v>75043</v>
      </c>
      <c r="C752" s="2" t="s">
        <v>1432</v>
      </c>
      <c r="D752" s="2" t="s">
        <v>1433</v>
      </c>
      <c r="E752" s="2" t="s">
        <v>42</v>
      </c>
      <c r="F752" s="2" t="s">
        <v>29</v>
      </c>
      <c r="G752" s="2" t="s">
        <v>50</v>
      </c>
      <c r="H752" s="2" t="s">
        <v>743</v>
      </c>
      <c r="I752" s="2" t="s">
        <v>32</v>
      </c>
      <c r="J752" s="2" t="s">
        <v>82</v>
      </c>
      <c r="K752" s="2" t="s">
        <v>34</v>
      </c>
      <c r="L752" s="3">
        <v>41985</v>
      </c>
      <c r="M752" s="3">
        <v>42121</v>
      </c>
      <c r="N752" s="3">
        <v>42121</v>
      </c>
      <c r="O752" s="3">
        <v>42121</v>
      </c>
      <c r="P752" s="2" t="s">
        <v>1401</v>
      </c>
      <c r="Q752" s="2" t="s">
        <v>745</v>
      </c>
      <c r="R752" s="2" t="s">
        <v>746</v>
      </c>
      <c r="S752" s="2" t="s">
        <v>166</v>
      </c>
      <c r="T752" s="2" t="s">
        <v>64</v>
      </c>
      <c r="U752" s="2">
        <v>60</v>
      </c>
      <c r="V752" s="2">
        <v>132</v>
      </c>
      <c r="W752" s="2">
        <v>4468.2</v>
      </c>
      <c r="X752" s="2">
        <v>33.85</v>
      </c>
      <c r="Y752" s="2">
        <v>0.56000000000000005</v>
      </c>
      <c r="Z752" s="2">
        <v>11</v>
      </c>
      <c r="AA752" s="2">
        <v>663.77</v>
      </c>
      <c r="AB752">
        <v>1</v>
      </c>
      <c r="AC752">
        <v>2015</v>
      </c>
      <c r="AE752" s="2">
        <v>73.92</v>
      </c>
    </row>
    <row r="753" spans="2:31" ht="14.5">
      <c r="B753" s="2">
        <v>75502</v>
      </c>
      <c r="C753" s="2" t="s">
        <v>1434</v>
      </c>
      <c r="D753" s="2" t="s">
        <v>1435</v>
      </c>
      <c r="E753" s="2" t="s">
        <v>28</v>
      </c>
      <c r="F753" s="2" t="s">
        <v>29</v>
      </c>
      <c r="G753" s="2" t="s">
        <v>50</v>
      </c>
      <c r="H753" s="2" t="s">
        <v>31</v>
      </c>
      <c r="I753" s="2" t="s">
        <v>32</v>
      </c>
      <c r="J753" s="2" t="s">
        <v>33</v>
      </c>
      <c r="K753" s="2" t="s">
        <v>34</v>
      </c>
      <c r="L753" s="3">
        <v>41575</v>
      </c>
      <c r="M753" s="3">
        <v>41667</v>
      </c>
      <c r="N753" s="3">
        <v>41667</v>
      </c>
      <c r="O753" s="3">
        <v>41667</v>
      </c>
      <c r="P753" s="2" t="s">
        <v>722</v>
      </c>
      <c r="Q753" s="2" t="s">
        <v>96</v>
      </c>
      <c r="R753" s="2" t="s">
        <v>37</v>
      </c>
      <c r="S753" s="2" t="s">
        <v>179</v>
      </c>
      <c r="T753" s="2" t="s">
        <v>64</v>
      </c>
      <c r="U753" s="2">
        <v>30</v>
      </c>
      <c r="V753" s="2">
        <v>11912</v>
      </c>
      <c r="W753" s="2">
        <v>18582.72</v>
      </c>
      <c r="X753" s="2">
        <v>1.56</v>
      </c>
      <c r="Y753" s="2">
        <v>0.05</v>
      </c>
      <c r="Z753" s="2">
        <v>802</v>
      </c>
      <c r="AA753" s="2">
        <v>5740.54</v>
      </c>
      <c r="AB753">
        <v>1</v>
      </c>
      <c r="AC753">
        <v>2014</v>
      </c>
      <c r="AE753" s="2">
        <v>595.6</v>
      </c>
    </row>
    <row r="754" spans="2:31" ht="14.5">
      <c r="B754" s="2">
        <v>75534</v>
      </c>
      <c r="C754" s="2" t="s">
        <v>1436</v>
      </c>
      <c r="D754" s="2" t="s">
        <v>1437</v>
      </c>
      <c r="E754" s="2" t="s">
        <v>42</v>
      </c>
      <c r="F754" s="2" t="s">
        <v>29</v>
      </c>
      <c r="G754" s="2" t="s">
        <v>30</v>
      </c>
      <c r="H754" s="2" t="s">
        <v>109</v>
      </c>
      <c r="I754" s="2" t="s">
        <v>32</v>
      </c>
      <c r="J754" s="2" t="s">
        <v>52</v>
      </c>
      <c r="K754" s="2" t="s">
        <v>34</v>
      </c>
      <c r="L754" s="3">
        <v>41775</v>
      </c>
      <c r="M754" s="3">
        <v>41844</v>
      </c>
      <c r="N754" s="3">
        <v>41844</v>
      </c>
      <c r="O754" s="3">
        <v>41845</v>
      </c>
      <c r="P754" s="2" t="s">
        <v>813</v>
      </c>
      <c r="Q754" s="2" t="s">
        <v>814</v>
      </c>
      <c r="R754" s="2" t="s">
        <v>37</v>
      </c>
      <c r="S754" s="2" t="s">
        <v>815</v>
      </c>
      <c r="T754" s="2" t="s">
        <v>39</v>
      </c>
      <c r="U754" s="2">
        <v>30</v>
      </c>
      <c r="V754" s="2">
        <v>18000</v>
      </c>
      <c r="W754" s="2">
        <v>360000</v>
      </c>
      <c r="X754" s="2">
        <v>20</v>
      </c>
      <c r="Y754" s="2">
        <v>0.67</v>
      </c>
      <c r="Z754" s="2">
        <v>2402</v>
      </c>
      <c r="AA754" s="2">
        <v>1832.54</v>
      </c>
      <c r="AB754">
        <v>1</v>
      </c>
      <c r="AC754">
        <v>2014</v>
      </c>
      <c r="AE754" s="2">
        <v>12060</v>
      </c>
    </row>
    <row r="755" spans="2:31" ht="14.5">
      <c r="B755" s="2">
        <v>75641</v>
      </c>
      <c r="C755" s="2" t="s">
        <v>939</v>
      </c>
      <c r="D755" s="2" t="s">
        <v>1438</v>
      </c>
      <c r="E755" s="2" t="s">
        <v>28</v>
      </c>
      <c r="F755" s="2" t="s">
        <v>29</v>
      </c>
      <c r="G755" s="2" t="s">
        <v>30</v>
      </c>
      <c r="H755" s="2" t="s">
        <v>31</v>
      </c>
      <c r="I755" s="2" t="s">
        <v>32</v>
      </c>
      <c r="J755" s="2" t="s">
        <v>33</v>
      </c>
      <c r="K755" s="2" t="s">
        <v>34</v>
      </c>
      <c r="L755" s="3">
        <v>41130</v>
      </c>
      <c r="M755" s="3">
        <v>41191</v>
      </c>
      <c r="N755" s="3">
        <v>41191</v>
      </c>
      <c r="O755" s="3">
        <v>41191</v>
      </c>
      <c r="P755" s="2" t="s">
        <v>95</v>
      </c>
      <c r="Q755" s="2" t="s">
        <v>96</v>
      </c>
      <c r="R755" s="2" t="s">
        <v>37</v>
      </c>
      <c r="S755" s="2" t="s">
        <v>97</v>
      </c>
      <c r="T755" s="2" t="s">
        <v>39</v>
      </c>
      <c r="U755" s="2">
        <v>30</v>
      </c>
      <c r="V755" s="2">
        <v>60757</v>
      </c>
      <c r="W755" s="2">
        <v>200498.1</v>
      </c>
      <c r="X755" s="2">
        <v>3.3</v>
      </c>
      <c r="Y755" s="2">
        <v>0.11</v>
      </c>
      <c r="Z755" s="2">
        <v>5215</v>
      </c>
      <c r="AA755" s="2">
        <v>20136.28</v>
      </c>
      <c r="AB755">
        <v>1</v>
      </c>
      <c r="AC755">
        <v>2012</v>
      </c>
      <c r="AE755" s="2">
        <v>6683.27</v>
      </c>
    </row>
    <row r="756" spans="2:31" ht="14.5">
      <c r="B756" s="2">
        <v>75682</v>
      </c>
      <c r="C756" s="2" t="s">
        <v>901</v>
      </c>
      <c r="D756" s="2" t="s">
        <v>902</v>
      </c>
      <c r="E756" s="2" t="s">
        <v>118</v>
      </c>
      <c r="F756" s="2" t="s">
        <v>29</v>
      </c>
      <c r="G756" s="2" t="s">
        <v>30</v>
      </c>
      <c r="H756" s="2" t="s">
        <v>103</v>
      </c>
      <c r="I756" s="2" t="s">
        <v>32</v>
      </c>
      <c r="J756" s="2" t="s">
        <v>711</v>
      </c>
      <c r="K756" s="2" t="s">
        <v>34</v>
      </c>
      <c r="L756" s="3">
        <v>41016</v>
      </c>
      <c r="M756" s="3">
        <v>41047</v>
      </c>
      <c r="N756" s="3">
        <v>41047</v>
      </c>
      <c r="O756" s="3">
        <v>41047</v>
      </c>
      <c r="P756" s="2" t="s">
        <v>864</v>
      </c>
      <c r="Q756" s="2" t="s">
        <v>865</v>
      </c>
      <c r="R756" s="2" t="s">
        <v>866</v>
      </c>
      <c r="S756" s="2" t="s">
        <v>100</v>
      </c>
      <c r="T756" s="2" t="s">
        <v>39</v>
      </c>
      <c r="U756" s="2">
        <v>120</v>
      </c>
      <c r="V756" s="2">
        <v>252</v>
      </c>
      <c r="W756" s="2">
        <v>16783.2</v>
      </c>
      <c r="X756" s="2">
        <v>66.599999999999994</v>
      </c>
      <c r="Y756" s="2">
        <v>0.55000000000000004</v>
      </c>
      <c r="AB756">
        <v>1</v>
      </c>
      <c r="AC756">
        <v>2012</v>
      </c>
      <c r="AE756" s="2">
        <v>138.60000000000002</v>
      </c>
    </row>
    <row r="757" spans="2:31" ht="14.5">
      <c r="B757" s="2">
        <v>75733</v>
      </c>
      <c r="C757" s="2" t="s">
        <v>2818</v>
      </c>
      <c r="D757" s="2" t="s">
        <v>2819</v>
      </c>
      <c r="E757" s="2" t="s">
        <v>2817</v>
      </c>
      <c r="F757" s="2" t="s">
        <v>29</v>
      </c>
      <c r="G757" s="2" t="s">
        <v>50</v>
      </c>
      <c r="H757" s="2" t="s">
        <v>43</v>
      </c>
      <c r="I757" s="2" t="s">
        <v>32</v>
      </c>
      <c r="J757" s="2" t="s">
        <v>33</v>
      </c>
      <c r="K757" s="2" t="s">
        <v>34</v>
      </c>
      <c r="L757" s="3">
        <v>41851</v>
      </c>
      <c r="M757" s="3">
        <v>41984</v>
      </c>
      <c r="N757" s="3">
        <v>41984</v>
      </c>
      <c r="O757" s="3">
        <v>41989</v>
      </c>
      <c r="P757" s="2" t="s">
        <v>727</v>
      </c>
      <c r="Q757" s="2" t="s">
        <v>45</v>
      </c>
      <c r="R757" s="2" t="s">
        <v>37</v>
      </c>
      <c r="S757" s="2" t="s">
        <v>728</v>
      </c>
      <c r="T757" s="2" t="s">
        <v>729</v>
      </c>
      <c r="U757" s="2">
        <v>60</v>
      </c>
      <c r="V757" s="2">
        <v>635</v>
      </c>
      <c r="W757" s="2">
        <v>1206.5</v>
      </c>
      <c r="X757" s="2">
        <v>1.9</v>
      </c>
      <c r="Y757" s="2">
        <v>0.03</v>
      </c>
      <c r="Z757" s="2">
        <v>59</v>
      </c>
      <c r="AA757" s="2">
        <v>1944.99</v>
      </c>
      <c r="AB757">
        <v>1</v>
      </c>
      <c r="AC757">
        <v>2014</v>
      </c>
      <c r="AE757" s="2">
        <v>19.05</v>
      </c>
    </row>
    <row r="758" spans="2:31" ht="14.5">
      <c r="B758" s="2">
        <v>76112</v>
      </c>
      <c r="C758" s="2" t="s">
        <v>1439</v>
      </c>
      <c r="D758" s="2" t="s">
        <v>1440</v>
      </c>
      <c r="E758" s="2" t="s">
        <v>42</v>
      </c>
      <c r="F758" s="2" t="s">
        <v>29</v>
      </c>
      <c r="G758" s="2" t="s">
        <v>30</v>
      </c>
      <c r="H758" s="2" t="s">
        <v>109</v>
      </c>
      <c r="I758" s="2" t="s">
        <v>32</v>
      </c>
      <c r="J758" s="2" t="s">
        <v>52</v>
      </c>
      <c r="K758" s="2" t="s">
        <v>34</v>
      </c>
      <c r="L758" s="3">
        <v>40056</v>
      </c>
      <c r="M758" s="3">
        <v>40330</v>
      </c>
      <c r="N758" s="3">
        <v>40330</v>
      </c>
      <c r="O758" s="3">
        <v>40330</v>
      </c>
      <c r="P758" s="2" t="s">
        <v>706</v>
      </c>
      <c r="Q758" s="2" t="s">
        <v>707</v>
      </c>
      <c r="R758" s="2" t="s">
        <v>37</v>
      </c>
      <c r="S758" s="2" t="s">
        <v>708</v>
      </c>
      <c r="T758" s="2" t="s">
        <v>47</v>
      </c>
      <c r="U758" s="2">
        <v>30</v>
      </c>
      <c r="V758" s="2">
        <v>20700</v>
      </c>
      <c r="W758" s="2">
        <v>226665</v>
      </c>
      <c r="X758" s="2">
        <v>10.95</v>
      </c>
      <c r="Y758" s="2">
        <v>0.36</v>
      </c>
      <c r="Z758" s="2">
        <v>1795</v>
      </c>
      <c r="AA758" s="2">
        <v>21340.35</v>
      </c>
      <c r="AB758">
        <v>1</v>
      </c>
      <c r="AC758">
        <v>2010</v>
      </c>
      <c r="AE758" s="2">
        <v>7452</v>
      </c>
    </row>
    <row r="759" spans="2:31" ht="14.5">
      <c r="B759" s="2">
        <v>76142</v>
      </c>
      <c r="C759" s="2" t="s">
        <v>1441</v>
      </c>
      <c r="D759" s="2" t="s">
        <v>1442</v>
      </c>
      <c r="E759" s="2" t="s">
        <v>28</v>
      </c>
      <c r="F759" s="2" t="s">
        <v>29</v>
      </c>
      <c r="G759" s="2" t="s">
        <v>50</v>
      </c>
      <c r="H759" s="2" t="s">
        <v>81</v>
      </c>
      <c r="I759" s="2" t="s">
        <v>32</v>
      </c>
      <c r="J759" s="2" t="s">
        <v>82</v>
      </c>
      <c r="K759" s="2" t="s">
        <v>34</v>
      </c>
      <c r="L759" s="3">
        <v>41309</v>
      </c>
      <c r="M759" s="3">
        <v>41431</v>
      </c>
      <c r="N759" s="3">
        <v>41431</v>
      </c>
      <c r="O759" s="3">
        <v>41431</v>
      </c>
      <c r="P759" s="2" t="s">
        <v>83</v>
      </c>
      <c r="Q759" s="2" t="s">
        <v>84</v>
      </c>
      <c r="R759" s="2" t="s">
        <v>85</v>
      </c>
      <c r="S759" s="2" t="s">
        <v>86</v>
      </c>
      <c r="T759" s="2" t="s">
        <v>87</v>
      </c>
      <c r="U759" s="2">
        <v>300</v>
      </c>
      <c r="V759" s="2">
        <v>237</v>
      </c>
      <c r="W759" s="2">
        <v>7304.34</v>
      </c>
      <c r="X759" s="2">
        <v>30.82</v>
      </c>
      <c r="Y759" s="2">
        <v>0.1</v>
      </c>
      <c r="Z759" s="2">
        <v>244</v>
      </c>
      <c r="AA759" s="2">
        <v>3269.9</v>
      </c>
      <c r="AB759">
        <v>1</v>
      </c>
      <c r="AC759">
        <v>2013</v>
      </c>
      <c r="AE759" s="2">
        <v>23.700000000000003</v>
      </c>
    </row>
    <row r="760" spans="2:31" ht="14.5">
      <c r="B760" s="2">
        <v>76325</v>
      </c>
      <c r="C760" s="2" t="s">
        <v>1109</v>
      </c>
      <c r="D760" s="2" t="s">
        <v>1110</v>
      </c>
      <c r="E760" s="2" t="s">
        <v>28</v>
      </c>
      <c r="F760" s="2" t="s">
        <v>29</v>
      </c>
      <c r="G760" s="2" t="s">
        <v>30</v>
      </c>
      <c r="H760" s="2" t="s">
        <v>51</v>
      </c>
      <c r="I760" s="2" t="s">
        <v>32</v>
      </c>
      <c r="J760" s="2" t="s">
        <v>52</v>
      </c>
      <c r="K760" s="2" t="s">
        <v>34</v>
      </c>
      <c r="L760" s="3">
        <v>39993</v>
      </c>
      <c r="M760" s="3">
        <v>40036</v>
      </c>
      <c r="N760" s="3">
        <v>40036</v>
      </c>
      <c r="O760" s="3">
        <v>40036</v>
      </c>
      <c r="P760" s="2" t="s">
        <v>119</v>
      </c>
      <c r="Q760" s="2" t="s">
        <v>68</v>
      </c>
      <c r="R760" s="2" t="s">
        <v>69</v>
      </c>
      <c r="S760" s="2" t="s">
        <v>120</v>
      </c>
      <c r="T760" s="2" t="s">
        <v>71</v>
      </c>
      <c r="U760" s="2">
        <v>30</v>
      </c>
      <c r="V760" s="2">
        <v>7000</v>
      </c>
      <c r="W760" s="2">
        <v>128380</v>
      </c>
      <c r="X760" s="2">
        <v>18.34</v>
      </c>
      <c r="Y760" s="2">
        <v>0.61</v>
      </c>
      <c r="AB760">
        <v>1</v>
      </c>
      <c r="AC760">
        <v>2009</v>
      </c>
      <c r="AE760" s="2">
        <v>4270</v>
      </c>
    </row>
    <row r="761" spans="2:31" ht="14.5">
      <c r="B761" s="2">
        <v>76712</v>
      </c>
      <c r="C761" s="2" t="s">
        <v>1443</v>
      </c>
      <c r="D761" s="2" t="s">
        <v>1444</v>
      </c>
      <c r="E761" s="2" t="s">
        <v>118</v>
      </c>
      <c r="F761" s="2" t="s">
        <v>29</v>
      </c>
      <c r="G761" s="2" t="s">
        <v>30</v>
      </c>
      <c r="H761" s="2" t="s">
        <v>81</v>
      </c>
      <c r="I761" s="2" t="s">
        <v>32</v>
      </c>
      <c r="J761" s="2" t="s">
        <v>82</v>
      </c>
      <c r="K761" s="2" t="s">
        <v>34</v>
      </c>
      <c r="L761" s="3">
        <v>40120</v>
      </c>
      <c r="M761" s="3">
        <v>40166</v>
      </c>
      <c r="N761" s="3">
        <v>40166</v>
      </c>
      <c r="O761" s="3">
        <v>40166</v>
      </c>
      <c r="P761" s="2" t="s">
        <v>150</v>
      </c>
      <c r="Q761" s="2" t="s">
        <v>84</v>
      </c>
      <c r="R761" s="2" t="s">
        <v>151</v>
      </c>
      <c r="S761" s="2" t="s">
        <v>152</v>
      </c>
      <c r="T761" s="2" t="s">
        <v>39</v>
      </c>
      <c r="U761" s="2">
        <v>120</v>
      </c>
      <c r="V761" s="2">
        <v>110</v>
      </c>
      <c r="W761" s="2">
        <v>3977.6</v>
      </c>
      <c r="X761" s="2">
        <v>36.159999999999997</v>
      </c>
      <c r="Y761" s="2">
        <v>0.3</v>
      </c>
      <c r="Z761" s="2">
        <v>33</v>
      </c>
      <c r="AA761" s="2">
        <v>995.22</v>
      </c>
      <c r="AB761">
        <v>1</v>
      </c>
      <c r="AC761">
        <v>2009</v>
      </c>
      <c r="AE761" s="2">
        <v>33</v>
      </c>
    </row>
    <row r="762" spans="2:31" ht="14.5">
      <c r="B762" s="2">
        <v>77136</v>
      </c>
      <c r="C762" s="2" t="s">
        <v>1445</v>
      </c>
      <c r="D762" s="2" t="s">
        <v>1446</v>
      </c>
      <c r="E762" s="2" t="s">
        <v>28</v>
      </c>
      <c r="F762" s="2" t="s">
        <v>29</v>
      </c>
      <c r="G762" s="2" t="s">
        <v>50</v>
      </c>
      <c r="H762" s="2" t="s">
        <v>81</v>
      </c>
      <c r="I762" s="2" t="s">
        <v>32</v>
      </c>
      <c r="J762" s="2" t="s">
        <v>82</v>
      </c>
      <c r="K762" s="2" t="s">
        <v>34</v>
      </c>
      <c r="L762" s="3">
        <v>41402</v>
      </c>
      <c r="M762" s="3">
        <v>41487</v>
      </c>
      <c r="N762" s="3">
        <v>41487</v>
      </c>
      <c r="O762" s="3">
        <v>41487</v>
      </c>
      <c r="P762" s="2" t="s">
        <v>83</v>
      </c>
      <c r="Q762" s="2" t="s">
        <v>84</v>
      </c>
      <c r="R762" s="2" t="s">
        <v>85</v>
      </c>
      <c r="S762" s="2" t="s">
        <v>86</v>
      </c>
      <c r="T762" s="2" t="s">
        <v>87</v>
      </c>
      <c r="U762" s="2">
        <v>300</v>
      </c>
      <c r="V762" s="2">
        <v>435</v>
      </c>
      <c r="W762" s="2">
        <v>13406.7</v>
      </c>
      <c r="X762" s="2">
        <v>30.82</v>
      </c>
      <c r="Y762" s="2">
        <v>0.1</v>
      </c>
      <c r="Z762" s="2">
        <v>470</v>
      </c>
      <c r="AA762" s="2">
        <v>4267.13</v>
      </c>
      <c r="AB762">
        <v>1</v>
      </c>
      <c r="AC762">
        <v>2013</v>
      </c>
      <c r="AE762" s="2">
        <v>43.5</v>
      </c>
    </row>
    <row r="763" spans="2:31" ht="14.5">
      <c r="B763" s="2">
        <v>77181</v>
      </c>
      <c r="C763" s="2" t="s">
        <v>1447</v>
      </c>
      <c r="D763" s="2" t="s">
        <v>1448</v>
      </c>
      <c r="E763" s="2" t="s">
        <v>118</v>
      </c>
      <c r="F763" s="2" t="s">
        <v>29</v>
      </c>
      <c r="G763" s="2" t="s">
        <v>50</v>
      </c>
      <c r="H763" s="2" t="s">
        <v>31</v>
      </c>
      <c r="I763" s="2" t="s">
        <v>32</v>
      </c>
      <c r="J763" s="2" t="s">
        <v>33</v>
      </c>
      <c r="K763" s="2" t="s">
        <v>34</v>
      </c>
      <c r="L763" s="3">
        <v>41285</v>
      </c>
      <c r="M763" s="3">
        <v>41338</v>
      </c>
      <c r="N763" s="3">
        <v>41338</v>
      </c>
      <c r="O763" s="3">
        <v>41338</v>
      </c>
      <c r="P763" s="2" t="s">
        <v>722</v>
      </c>
      <c r="Q763" s="2" t="s">
        <v>96</v>
      </c>
      <c r="R763" s="2" t="s">
        <v>37</v>
      </c>
      <c r="S763" s="2" t="s">
        <v>179</v>
      </c>
      <c r="T763" s="2" t="s">
        <v>64</v>
      </c>
      <c r="U763" s="2">
        <v>30</v>
      </c>
      <c r="V763" s="2">
        <v>196</v>
      </c>
      <c r="W763" s="2">
        <v>439.04</v>
      </c>
      <c r="X763" s="2">
        <v>2.2400000000000002</v>
      </c>
      <c r="Y763" s="2">
        <v>7.0000000000000007E-2</v>
      </c>
      <c r="Z763" s="2">
        <v>12</v>
      </c>
      <c r="AA763" s="2">
        <v>917.35</v>
      </c>
      <c r="AB763">
        <v>1</v>
      </c>
      <c r="AC763">
        <v>2013</v>
      </c>
      <c r="AE763" s="2">
        <v>13.72</v>
      </c>
    </row>
    <row r="764" spans="2:31" ht="14.5">
      <c r="B764" s="2">
        <v>77296</v>
      </c>
      <c r="C764" s="2" t="s">
        <v>1449</v>
      </c>
      <c r="D764" s="2" t="s">
        <v>1450</v>
      </c>
      <c r="E764" s="2" t="s">
        <v>42</v>
      </c>
      <c r="F764" s="2" t="s">
        <v>29</v>
      </c>
      <c r="G764" s="2" t="s">
        <v>30</v>
      </c>
      <c r="H764" s="2" t="s">
        <v>31</v>
      </c>
      <c r="I764" s="2" t="s">
        <v>32</v>
      </c>
      <c r="J764" s="2" t="s">
        <v>52</v>
      </c>
      <c r="K764" s="2" t="s">
        <v>34</v>
      </c>
      <c r="L764" s="3">
        <v>40244</v>
      </c>
      <c r="M764" s="3">
        <v>40297</v>
      </c>
      <c r="N764" s="3">
        <v>40297</v>
      </c>
      <c r="O764" s="3">
        <v>40297</v>
      </c>
      <c r="P764" s="2" t="s">
        <v>759</v>
      </c>
      <c r="Q764" s="2" t="s">
        <v>84</v>
      </c>
      <c r="R764" s="2" t="s">
        <v>37</v>
      </c>
      <c r="S764" s="2" t="s">
        <v>152</v>
      </c>
      <c r="T764" s="2" t="s">
        <v>39</v>
      </c>
      <c r="U764" s="2">
        <v>120</v>
      </c>
      <c r="V764" s="2">
        <v>4240</v>
      </c>
      <c r="W764" s="2">
        <v>158406.39999999999</v>
      </c>
      <c r="X764" s="2">
        <v>37.36</v>
      </c>
      <c r="Y764" s="2">
        <v>0.31</v>
      </c>
      <c r="Z764" s="2">
        <v>1048</v>
      </c>
      <c r="AA764" s="2">
        <v>14256.58</v>
      </c>
      <c r="AB764">
        <v>1</v>
      </c>
      <c r="AC764">
        <v>2010</v>
      </c>
      <c r="AE764" s="2">
        <v>1314.4</v>
      </c>
    </row>
    <row r="765" spans="2:31" ht="14.5">
      <c r="B765" s="2">
        <v>77324</v>
      </c>
      <c r="C765" s="2" t="s">
        <v>1451</v>
      </c>
      <c r="D765" s="2" t="s">
        <v>1452</v>
      </c>
      <c r="E765" s="2" t="s">
        <v>42</v>
      </c>
      <c r="F765" s="2" t="s">
        <v>29</v>
      </c>
      <c r="G765" s="2" t="s">
        <v>30</v>
      </c>
      <c r="H765" s="2" t="s">
        <v>94</v>
      </c>
      <c r="I765" s="2" t="s">
        <v>32</v>
      </c>
      <c r="J765" s="2" t="s">
        <v>52</v>
      </c>
      <c r="K765" s="2" t="s">
        <v>34</v>
      </c>
      <c r="L765" s="3">
        <v>40043</v>
      </c>
      <c r="M765" s="3">
        <v>40182</v>
      </c>
      <c r="N765" s="3">
        <v>40182</v>
      </c>
      <c r="O765" s="3">
        <v>40182</v>
      </c>
      <c r="P765" s="2" t="s">
        <v>164</v>
      </c>
      <c r="Q765" s="2" t="s">
        <v>165</v>
      </c>
      <c r="R765" s="2" t="s">
        <v>37</v>
      </c>
      <c r="S765" s="2" t="s">
        <v>166</v>
      </c>
      <c r="T765" s="2" t="s">
        <v>39</v>
      </c>
      <c r="U765" s="2">
        <v>60</v>
      </c>
      <c r="V765" s="2">
        <v>10350</v>
      </c>
      <c r="W765" s="2">
        <v>26806.5</v>
      </c>
      <c r="X765" s="2">
        <v>2.59</v>
      </c>
      <c r="Y765" s="2">
        <v>0.04</v>
      </c>
      <c r="Z765" s="2">
        <v>582</v>
      </c>
      <c r="AA765" s="2">
        <v>2990.64</v>
      </c>
      <c r="AB765">
        <v>1</v>
      </c>
      <c r="AC765">
        <v>2010</v>
      </c>
      <c r="AE765" s="2">
        <v>414</v>
      </c>
    </row>
    <row r="766" spans="2:31" ht="14.5">
      <c r="B766" s="2">
        <v>77494</v>
      </c>
      <c r="C766" s="2" t="s">
        <v>1453</v>
      </c>
      <c r="D766" s="2" t="s">
        <v>1454</v>
      </c>
      <c r="E766" s="2" t="s">
        <v>118</v>
      </c>
      <c r="F766" s="2" t="s">
        <v>29</v>
      </c>
      <c r="G766" s="2" t="s">
        <v>30</v>
      </c>
      <c r="H766" s="2" t="s">
        <v>109</v>
      </c>
      <c r="I766" s="2" t="s">
        <v>32</v>
      </c>
      <c r="J766" s="2" t="s">
        <v>33</v>
      </c>
      <c r="K766" s="2" t="s">
        <v>646</v>
      </c>
      <c r="L766" s="3">
        <v>41513</v>
      </c>
      <c r="M766" s="3">
        <v>41626</v>
      </c>
      <c r="N766" s="3">
        <v>41626</v>
      </c>
      <c r="O766" s="3">
        <v>41628</v>
      </c>
      <c r="P766" s="2" t="s">
        <v>44</v>
      </c>
      <c r="Q766" s="2" t="s">
        <v>45</v>
      </c>
      <c r="R766" s="2" t="s">
        <v>37</v>
      </c>
      <c r="S766" s="2" t="s">
        <v>46</v>
      </c>
      <c r="T766" s="2" t="s">
        <v>47</v>
      </c>
      <c r="U766" s="2">
        <v>60</v>
      </c>
      <c r="V766" s="2">
        <v>9888</v>
      </c>
      <c r="W766" s="2">
        <v>64173.120000000003</v>
      </c>
      <c r="X766" s="2">
        <v>6.49</v>
      </c>
      <c r="Y766" s="2">
        <v>0.11</v>
      </c>
      <c r="Z766" s="2">
        <v>858</v>
      </c>
      <c r="AA766" s="2">
        <v>10833.06</v>
      </c>
      <c r="AB766">
        <v>1</v>
      </c>
      <c r="AC766">
        <v>2013</v>
      </c>
      <c r="AE766" s="2">
        <v>1087.68</v>
      </c>
    </row>
    <row r="767" spans="2:31" ht="14.5">
      <c r="B767" s="2">
        <v>77677</v>
      </c>
      <c r="C767" s="2" t="s">
        <v>1455</v>
      </c>
      <c r="D767" s="2" t="s">
        <v>1456</v>
      </c>
      <c r="E767" s="2" t="s">
        <v>28</v>
      </c>
      <c r="F767" s="2" t="s">
        <v>29</v>
      </c>
      <c r="G767" s="2" t="s">
        <v>30</v>
      </c>
      <c r="H767" s="2" t="s">
        <v>109</v>
      </c>
      <c r="I767" s="2" t="s">
        <v>32</v>
      </c>
      <c r="J767" s="2" t="s">
        <v>33</v>
      </c>
      <c r="K767" s="2" t="s">
        <v>34</v>
      </c>
      <c r="L767" s="3">
        <v>41705</v>
      </c>
      <c r="M767" s="3">
        <v>41814</v>
      </c>
      <c r="N767" s="3">
        <v>41814</v>
      </c>
      <c r="O767" s="3">
        <v>41814</v>
      </c>
      <c r="P767" s="2" t="s">
        <v>1457</v>
      </c>
      <c r="Q767" s="2" t="s">
        <v>236</v>
      </c>
      <c r="R767" s="2" t="s">
        <v>37</v>
      </c>
      <c r="S767" s="2" t="s">
        <v>1458</v>
      </c>
      <c r="T767" s="2" t="s">
        <v>47</v>
      </c>
      <c r="U767" s="2">
        <v>30</v>
      </c>
      <c r="V767" s="2">
        <v>5000</v>
      </c>
      <c r="W767" s="2">
        <v>28700</v>
      </c>
      <c r="X767" s="2">
        <v>5.74</v>
      </c>
      <c r="Y767" s="2">
        <v>0.19</v>
      </c>
      <c r="Z767" s="2">
        <v>449</v>
      </c>
      <c r="AA767" s="2">
        <v>2865.22</v>
      </c>
      <c r="AB767">
        <v>1</v>
      </c>
      <c r="AC767">
        <v>2014</v>
      </c>
      <c r="AE767" s="2">
        <v>950</v>
      </c>
    </row>
    <row r="768" spans="2:31" ht="14.5">
      <c r="B768" s="2">
        <v>77751</v>
      </c>
      <c r="C768" s="2" t="s">
        <v>2820</v>
      </c>
      <c r="D768" s="2" t="s">
        <v>2821</v>
      </c>
      <c r="E768" s="2" t="s">
        <v>2817</v>
      </c>
      <c r="F768" s="2" t="s">
        <v>29</v>
      </c>
      <c r="G768" s="2" t="s">
        <v>50</v>
      </c>
      <c r="H768" s="2" t="s">
        <v>31</v>
      </c>
      <c r="I768" s="2" t="s">
        <v>32</v>
      </c>
      <c r="J768" s="2" t="s">
        <v>33</v>
      </c>
      <c r="K768" s="2" t="s">
        <v>34</v>
      </c>
      <c r="L768" s="3">
        <v>41809</v>
      </c>
      <c r="M768" s="3">
        <v>41911</v>
      </c>
      <c r="N768" s="3">
        <v>41911</v>
      </c>
      <c r="O768" s="3">
        <v>41915</v>
      </c>
      <c r="P768" s="2" t="s">
        <v>717</v>
      </c>
      <c r="Q768" s="2" t="s">
        <v>36</v>
      </c>
      <c r="R768" s="2" t="s">
        <v>37</v>
      </c>
      <c r="S768" s="2" t="s">
        <v>179</v>
      </c>
      <c r="T768" s="2" t="s">
        <v>180</v>
      </c>
      <c r="U768" s="2">
        <v>30</v>
      </c>
      <c r="V768" s="2">
        <v>2538</v>
      </c>
      <c r="W768" s="2">
        <v>3172.5</v>
      </c>
      <c r="X768" s="2">
        <v>1.25</v>
      </c>
      <c r="Y768" s="2">
        <v>0.04</v>
      </c>
      <c r="Z768" s="2">
        <v>165</v>
      </c>
      <c r="AA768" s="2">
        <v>1960.89</v>
      </c>
      <c r="AB768">
        <v>1</v>
      </c>
      <c r="AC768">
        <v>2014</v>
      </c>
      <c r="AE768" s="2">
        <v>101.52</v>
      </c>
    </row>
    <row r="769" spans="2:31" ht="14.5">
      <c r="B769" s="2">
        <v>77772</v>
      </c>
      <c r="C769" s="2" t="s">
        <v>1459</v>
      </c>
      <c r="D769" s="2" t="s">
        <v>1460</v>
      </c>
      <c r="E769" s="2" t="s">
        <v>118</v>
      </c>
      <c r="F769" s="2" t="s">
        <v>29</v>
      </c>
      <c r="G769" s="2" t="s">
        <v>30</v>
      </c>
      <c r="H769" s="2" t="s">
        <v>81</v>
      </c>
      <c r="I769" s="2" t="s">
        <v>32</v>
      </c>
      <c r="J769" s="2" t="s">
        <v>82</v>
      </c>
      <c r="K769" s="2" t="s">
        <v>34</v>
      </c>
      <c r="L769" s="3">
        <v>40255</v>
      </c>
      <c r="M769" s="3">
        <v>40310</v>
      </c>
      <c r="N769" s="3">
        <v>40310</v>
      </c>
      <c r="O769" s="3">
        <v>40310</v>
      </c>
      <c r="P769" s="2" t="s">
        <v>150</v>
      </c>
      <c r="Q769" s="2" t="s">
        <v>84</v>
      </c>
      <c r="R769" s="2" t="s">
        <v>151</v>
      </c>
      <c r="S769" s="2" t="s">
        <v>152</v>
      </c>
      <c r="T769" s="2" t="s">
        <v>39</v>
      </c>
      <c r="U769" s="2">
        <v>120</v>
      </c>
      <c r="V769" s="2">
        <v>160</v>
      </c>
      <c r="W769" s="2">
        <v>5785.6</v>
      </c>
      <c r="X769" s="2">
        <v>36.159999999999997</v>
      </c>
      <c r="Y769" s="2">
        <v>0.3</v>
      </c>
      <c r="Z769" s="2">
        <v>47</v>
      </c>
      <c r="AA769" s="2">
        <v>1238.94</v>
      </c>
      <c r="AB769">
        <v>1</v>
      </c>
      <c r="AC769">
        <v>2010</v>
      </c>
      <c r="AE769" s="2">
        <v>48</v>
      </c>
    </row>
    <row r="770" spans="2:31" ht="14.5">
      <c r="B770" s="2">
        <v>77780</v>
      </c>
      <c r="C770" s="2" t="s">
        <v>1461</v>
      </c>
      <c r="D770" s="2" t="s">
        <v>1462</v>
      </c>
      <c r="E770" s="2" t="s">
        <v>118</v>
      </c>
      <c r="F770" s="2" t="s">
        <v>29</v>
      </c>
      <c r="G770" s="2" t="s">
        <v>30</v>
      </c>
      <c r="H770" s="2" t="s">
        <v>74</v>
      </c>
      <c r="I770" s="2" t="s">
        <v>32</v>
      </c>
      <c r="J770" s="2" t="s">
        <v>52</v>
      </c>
      <c r="K770" s="2" t="s">
        <v>34</v>
      </c>
      <c r="L770" s="3">
        <v>41003</v>
      </c>
      <c r="M770" s="3">
        <v>41050</v>
      </c>
      <c r="N770" s="3">
        <v>41050</v>
      </c>
      <c r="O770" s="3">
        <v>41050</v>
      </c>
      <c r="P770" s="2" t="s">
        <v>833</v>
      </c>
      <c r="Q770" s="2" t="s">
        <v>834</v>
      </c>
      <c r="R770" s="2" t="s">
        <v>835</v>
      </c>
      <c r="S770" s="2" t="s">
        <v>70</v>
      </c>
      <c r="T770" s="2" t="s">
        <v>39</v>
      </c>
      <c r="U770" s="2">
        <v>60</v>
      </c>
      <c r="V770" s="2">
        <v>168</v>
      </c>
      <c r="W770" s="2">
        <v>9324</v>
      </c>
      <c r="X770" s="2">
        <v>55.5</v>
      </c>
      <c r="Y770" s="2">
        <v>0.92</v>
      </c>
      <c r="Z770" s="2">
        <v>35</v>
      </c>
      <c r="AA770" s="2">
        <v>886</v>
      </c>
      <c r="AB770">
        <v>1</v>
      </c>
      <c r="AC770">
        <v>2012</v>
      </c>
      <c r="AE770" s="2">
        <v>154.56</v>
      </c>
    </row>
    <row r="771" spans="2:31" ht="14.5">
      <c r="B771" s="2">
        <v>78261</v>
      </c>
      <c r="C771" s="2" t="s">
        <v>1075</v>
      </c>
      <c r="D771" s="2" t="s">
        <v>1463</v>
      </c>
      <c r="E771" s="2" t="s">
        <v>118</v>
      </c>
      <c r="F771" s="2" t="s">
        <v>29</v>
      </c>
      <c r="G771" s="2" t="s">
        <v>30</v>
      </c>
      <c r="H771" s="2" t="s">
        <v>31</v>
      </c>
      <c r="I771" s="2" t="s">
        <v>32</v>
      </c>
      <c r="J771" s="2" t="s">
        <v>33</v>
      </c>
      <c r="K771" s="2" t="s">
        <v>34</v>
      </c>
      <c r="L771" s="3">
        <v>41072</v>
      </c>
      <c r="M771" s="3">
        <v>41108</v>
      </c>
      <c r="N771" s="3">
        <v>41108</v>
      </c>
      <c r="O771" s="3">
        <v>41108</v>
      </c>
      <c r="P771" s="2" t="s">
        <v>759</v>
      </c>
      <c r="Q771" s="2" t="s">
        <v>84</v>
      </c>
      <c r="R771" s="2" t="s">
        <v>37</v>
      </c>
      <c r="S771" s="2" t="s">
        <v>152</v>
      </c>
      <c r="T771" s="2" t="s">
        <v>39</v>
      </c>
      <c r="U771" s="2">
        <v>120</v>
      </c>
      <c r="V771" s="2">
        <v>15321</v>
      </c>
      <c r="W771" s="2">
        <v>390685.5</v>
      </c>
      <c r="X771" s="2">
        <v>25.5</v>
      </c>
      <c r="Y771" s="2">
        <v>0.21</v>
      </c>
      <c r="Z771" s="2">
        <v>3888</v>
      </c>
      <c r="AA771" s="2">
        <v>17405.650000000001</v>
      </c>
      <c r="AB771">
        <v>1</v>
      </c>
      <c r="AC771">
        <v>2012</v>
      </c>
      <c r="AE771" s="2">
        <v>3217.41</v>
      </c>
    </row>
    <row r="772" spans="2:31" ht="14.5">
      <c r="B772" s="2">
        <v>78311</v>
      </c>
      <c r="C772" s="2" t="s">
        <v>1464</v>
      </c>
      <c r="D772" s="2" t="s">
        <v>1465</v>
      </c>
      <c r="E772" s="2" t="s">
        <v>42</v>
      </c>
      <c r="F772" s="2" t="s">
        <v>29</v>
      </c>
      <c r="G772" s="2" t="s">
        <v>30</v>
      </c>
      <c r="H772" s="2" t="s">
        <v>94</v>
      </c>
      <c r="I772" s="2" t="s">
        <v>32</v>
      </c>
      <c r="J772" s="2" t="s">
        <v>33</v>
      </c>
      <c r="K772" s="2" t="s">
        <v>34</v>
      </c>
      <c r="L772" s="3">
        <v>41106</v>
      </c>
      <c r="M772" s="3">
        <v>41204</v>
      </c>
      <c r="N772" s="3">
        <v>41204</v>
      </c>
      <c r="O772" s="3">
        <v>41204</v>
      </c>
      <c r="P772" s="2" t="s">
        <v>139</v>
      </c>
      <c r="Q772" s="2" t="s">
        <v>140</v>
      </c>
      <c r="R772" s="2" t="s">
        <v>37</v>
      </c>
      <c r="S772" s="2" t="s">
        <v>141</v>
      </c>
      <c r="T772" s="2" t="s">
        <v>47</v>
      </c>
      <c r="U772" s="2">
        <v>60</v>
      </c>
      <c r="V772" s="2">
        <v>40000</v>
      </c>
      <c r="W772" s="2">
        <v>175600</v>
      </c>
      <c r="X772" s="2">
        <v>4.3899999999999997</v>
      </c>
      <c r="Y772" s="2">
        <v>7.0000000000000007E-2</v>
      </c>
      <c r="Z772" s="2">
        <v>4479</v>
      </c>
      <c r="AA772" s="2">
        <v>36677.08</v>
      </c>
      <c r="AB772">
        <v>1</v>
      </c>
      <c r="AC772">
        <v>2012</v>
      </c>
      <c r="AE772" s="2">
        <v>2800.0000000000005</v>
      </c>
    </row>
    <row r="773" spans="2:31" ht="14.5">
      <c r="B773" s="2">
        <v>78387</v>
      </c>
      <c r="C773" s="2" t="s">
        <v>1466</v>
      </c>
      <c r="D773" s="2" t="s">
        <v>1467</v>
      </c>
      <c r="E773" s="2" t="s">
        <v>118</v>
      </c>
      <c r="F773" s="2" t="s">
        <v>29</v>
      </c>
      <c r="G773" s="2" t="s">
        <v>30</v>
      </c>
      <c r="H773" s="2" t="s">
        <v>103</v>
      </c>
      <c r="I773" s="2" t="s">
        <v>32</v>
      </c>
      <c r="J773" s="2" t="s">
        <v>1468</v>
      </c>
      <c r="K773" s="2" t="s">
        <v>34</v>
      </c>
      <c r="L773" s="3">
        <v>40401</v>
      </c>
      <c r="M773" s="3">
        <v>40422</v>
      </c>
      <c r="N773" s="3">
        <v>40422</v>
      </c>
      <c r="O773" s="3">
        <v>40422</v>
      </c>
      <c r="P773" s="2" t="s">
        <v>712</v>
      </c>
      <c r="Q773" s="2" t="s">
        <v>713</v>
      </c>
      <c r="R773" s="2" t="s">
        <v>714</v>
      </c>
      <c r="S773" s="2" t="s">
        <v>330</v>
      </c>
      <c r="T773" s="2" t="s">
        <v>39</v>
      </c>
      <c r="U773" s="2">
        <v>120</v>
      </c>
      <c r="V773" s="2">
        <v>50</v>
      </c>
      <c r="W773" s="2">
        <v>4199.01</v>
      </c>
      <c r="X773" s="2">
        <v>83.98</v>
      </c>
      <c r="Y773" s="2">
        <v>0.7</v>
      </c>
      <c r="Z773" s="2">
        <v>10</v>
      </c>
      <c r="AA773" s="2">
        <v>435</v>
      </c>
      <c r="AB773">
        <v>1</v>
      </c>
      <c r="AC773">
        <v>2010</v>
      </c>
      <c r="AE773" s="2">
        <v>35</v>
      </c>
    </row>
    <row r="774" spans="2:31" ht="14.5">
      <c r="B774" s="2">
        <v>78727</v>
      </c>
      <c r="C774" s="2" t="s">
        <v>1469</v>
      </c>
      <c r="D774" s="2" t="s">
        <v>1470</v>
      </c>
      <c r="E774" s="2" t="s">
        <v>42</v>
      </c>
      <c r="F774" s="2" t="s">
        <v>29</v>
      </c>
      <c r="G774" s="2" t="s">
        <v>50</v>
      </c>
      <c r="H774" s="2" t="s">
        <v>157</v>
      </c>
      <c r="I774" s="2" t="s">
        <v>32</v>
      </c>
      <c r="J774" s="2" t="s">
        <v>82</v>
      </c>
      <c r="K774" s="2" t="s">
        <v>34</v>
      </c>
      <c r="L774" s="3">
        <v>40198</v>
      </c>
      <c r="M774" s="3">
        <v>40298</v>
      </c>
      <c r="N774" s="3">
        <v>40298</v>
      </c>
      <c r="O774" s="3">
        <v>40298</v>
      </c>
      <c r="P774" s="2" t="s">
        <v>1471</v>
      </c>
      <c r="Q774" s="2" t="s">
        <v>1472</v>
      </c>
      <c r="R774" s="2" t="s">
        <v>288</v>
      </c>
      <c r="S774" s="2" t="s">
        <v>1473</v>
      </c>
      <c r="T774" s="2" t="s">
        <v>1474</v>
      </c>
      <c r="U774" s="2">
        <v>144</v>
      </c>
      <c r="V774" s="2">
        <v>148</v>
      </c>
      <c r="W774" s="2">
        <v>5429.5</v>
      </c>
      <c r="X774" s="2">
        <v>36.69</v>
      </c>
      <c r="Y774" s="2">
        <v>0.25</v>
      </c>
      <c r="Z774" s="2">
        <v>27</v>
      </c>
      <c r="AA774" s="2">
        <v>1253.71</v>
      </c>
      <c r="AB774">
        <v>1</v>
      </c>
      <c r="AC774">
        <v>2010</v>
      </c>
      <c r="AE774" s="2">
        <v>37</v>
      </c>
    </row>
    <row r="775" spans="2:31" ht="14.5">
      <c r="B775" s="2">
        <v>78789</v>
      </c>
      <c r="C775" s="2" t="s">
        <v>1475</v>
      </c>
      <c r="D775" s="2" t="s">
        <v>1476</v>
      </c>
      <c r="E775" s="2" t="s">
        <v>60</v>
      </c>
      <c r="F775" s="2" t="s">
        <v>29</v>
      </c>
      <c r="G775" s="2" t="s">
        <v>30</v>
      </c>
      <c r="H775" s="2" t="s">
        <v>109</v>
      </c>
      <c r="I775" s="2" t="s">
        <v>32</v>
      </c>
      <c r="J775" s="2" t="s">
        <v>33</v>
      </c>
      <c r="K775" s="2" t="s">
        <v>34</v>
      </c>
      <c r="L775" s="3">
        <v>40689</v>
      </c>
      <c r="M775" s="3">
        <v>40725</v>
      </c>
      <c r="N775" s="3">
        <v>40725</v>
      </c>
      <c r="O775" s="3">
        <v>40725</v>
      </c>
      <c r="P775" s="2" t="s">
        <v>706</v>
      </c>
      <c r="Q775" s="2" t="s">
        <v>707</v>
      </c>
      <c r="R775" s="2" t="s">
        <v>37</v>
      </c>
      <c r="S775" s="2" t="s">
        <v>708</v>
      </c>
      <c r="T775" s="2" t="s">
        <v>47</v>
      </c>
      <c r="U775" s="2">
        <v>30</v>
      </c>
      <c r="V775" s="2">
        <v>100000</v>
      </c>
      <c r="W775" s="2">
        <v>624000</v>
      </c>
      <c r="X775" s="2">
        <v>6.24</v>
      </c>
      <c r="Y775" s="2">
        <v>0.21</v>
      </c>
      <c r="Z775" s="2">
        <v>9565</v>
      </c>
      <c r="AA775" s="2">
        <v>60713.120000000003</v>
      </c>
      <c r="AB775">
        <v>1</v>
      </c>
      <c r="AC775">
        <v>2011</v>
      </c>
      <c r="AE775" s="2">
        <v>21000</v>
      </c>
    </row>
    <row r="776" spans="2:31" ht="14.5">
      <c r="B776" s="2">
        <v>79128</v>
      </c>
      <c r="C776" s="2" t="s">
        <v>1461</v>
      </c>
      <c r="D776" s="2" t="s">
        <v>1462</v>
      </c>
      <c r="E776" s="2" t="s">
        <v>118</v>
      </c>
      <c r="F776" s="2" t="s">
        <v>29</v>
      </c>
      <c r="G776" s="2" t="s">
        <v>30</v>
      </c>
      <c r="H776" s="2" t="s">
        <v>74</v>
      </c>
      <c r="I776" s="2" t="s">
        <v>32</v>
      </c>
      <c r="J776" s="2" t="s">
        <v>52</v>
      </c>
      <c r="K776" s="2" t="s">
        <v>34</v>
      </c>
      <c r="L776" s="3">
        <v>41003</v>
      </c>
      <c r="M776" s="3">
        <v>41050</v>
      </c>
      <c r="N776" s="3">
        <v>41050</v>
      </c>
      <c r="O776" s="3">
        <v>41050</v>
      </c>
      <c r="P776" s="2" t="s">
        <v>833</v>
      </c>
      <c r="Q776" s="2" t="s">
        <v>834</v>
      </c>
      <c r="R776" s="2" t="s">
        <v>835</v>
      </c>
      <c r="S776" s="2" t="s">
        <v>70</v>
      </c>
      <c r="T776" s="2" t="s">
        <v>39</v>
      </c>
      <c r="U776" s="2">
        <v>60</v>
      </c>
      <c r="V776" s="2">
        <v>180</v>
      </c>
      <c r="W776" s="2">
        <v>9990</v>
      </c>
      <c r="X776" s="2">
        <v>55.5</v>
      </c>
      <c r="Y776" s="2">
        <v>0.92</v>
      </c>
      <c r="AB776">
        <v>1</v>
      </c>
      <c r="AC776">
        <v>2012</v>
      </c>
      <c r="AE776" s="2">
        <v>165.6</v>
      </c>
    </row>
    <row r="777" spans="2:31" ht="14.5">
      <c r="B777" s="2">
        <v>79232</v>
      </c>
      <c r="C777" s="2" t="s">
        <v>1477</v>
      </c>
      <c r="D777" s="2" t="s">
        <v>1478</v>
      </c>
      <c r="E777" s="2" t="s">
        <v>42</v>
      </c>
      <c r="F777" s="2" t="s">
        <v>29</v>
      </c>
      <c r="G777" s="2" t="s">
        <v>30</v>
      </c>
      <c r="H777" s="2" t="s">
        <v>109</v>
      </c>
      <c r="I777" s="2" t="s">
        <v>32</v>
      </c>
      <c r="J777" s="2" t="s">
        <v>52</v>
      </c>
      <c r="K777" s="2" t="s">
        <v>34</v>
      </c>
      <c r="L777" s="3">
        <v>40056</v>
      </c>
      <c r="M777" s="3">
        <v>40354</v>
      </c>
      <c r="N777" s="3">
        <v>40354</v>
      </c>
      <c r="O777" s="3">
        <v>40354</v>
      </c>
      <c r="P777" s="2" t="s">
        <v>706</v>
      </c>
      <c r="Q777" s="2" t="s">
        <v>707</v>
      </c>
      <c r="R777" s="2" t="s">
        <v>37</v>
      </c>
      <c r="S777" s="2" t="s">
        <v>708</v>
      </c>
      <c r="T777" s="2" t="s">
        <v>47</v>
      </c>
      <c r="U777" s="2">
        <v>30</v>
      </c>
      <c r="V777" s="2">
        <v>72091</v>
      </c>
      <c r="W777" s="2">
        <v>789396.45</v>
      </c>
      <c r="X777" s="2">
        <v>10.95</v>
      </c>
      <c r="Y777" s="2">
        <v>0.36</v>
      </c>
      <c r="Z777" s="2">
        <v>6842</v>
      </c>
      <c r="AA777" s="2">
        <v>73790.429999999993</v>
      </c>
      <c r="AB777">
        <v>1</v>
      </c>
      <c r="AC777">
        <v>2010</v>
      </c>
      <c r="AE777" s="2">
        <v>25952.76</v>
      </c>
    </row>
    <row r="778" spans="2:31" ht="14.5">
      <c r="B778" s="2">
        <v>79646</v>
      </c>
      <c r="C778" s="2" t="s">
        <v>1479</v>
      </c>
      <c r="D778" s="2" t="s">
        <v>1480</v>
      </c>
      <c r="E778" s="2" t="s">
        <v>28</v>
      </c>
      <c r="F778" s="2" t="s">
        <v>29</v>
      </c>
      <c r="G778" s="2" t="s">
        <v>30</v>
      </c>
      <c r="H778" s="2" t="s">
        <v>109</v>
      </c>
      <c r="I778" s="2" t="s">
        <v>32</v>
      </c>
      <c r="J778" s="2" t="s">
        <v>33</v>
      </c>
      <c r="K778" s="2" t="s">
        <v>34</v>
      </c>
      <c r="L778" s="3">
        <v>41325</v>
      </c>
      <c r="M778" s="3">
        <v>41387</v>
      </c>
      <c r="N778" s="3">
        <v>41387</v>
      </c>
      <c r="O778" s="3">
        <v>41387</v>
      </c>
      <c r="P778" s="2" t="s">
        <v>813</v>
      </c>
      <c r="Q778" s="2" t="s">
        <v>814</v>
      </c>
      <c r="R778" s="2" t="s">
        <v>37</v>
      </c>
      <c r="S778" s="2" t="s">
        <v>815</v>
      </c>
      <c r="T778" s="2" t="s">
        <v>39</v>
      </c>
      <c r="U778" s="2">
        <v>30</v>
      </c>
      <c r="V778" s="2">
        <v>12830</v>
      </c>
      <c r="W778" s="2">
        <v>288675</v>
      </c>
      <c r="X778" s="2">
        <v>22.5</v>
      </c>
      <c r="Y778" s="2">
        <v>0.75</v>
      </c>
      <c r="Z778" s="2">
        <v>1710</v>
      </c>
      <c r="AA778" s="2">
        <v>8344.86</v>
      </c>
      <c r="AB778">
        <v>1</v>
      </c>
      <c r="AC778">
        <v>2013</v>
      </c>
      <c r="AE778" s="2">
        <v>9622.5</v>
      </c>
    </row>
    <row r="779" spans="2:31" ht="14.5">
      <c r="B779" s="2">
        <v>79701</v>
      </c>
      <c r="C779" s="2" t="s">
        <v>774</v>
      </c>
      <c r="D779" s="2" t="s">
        <v>1481</v>
      </c>
      <c r="E779" s="2" t="s">
        <v>28</v>
      </c>
      <c r="F779" s="2" t="s">
        <v>29</v>
      </c>
      <c r="G779" s="2" t="s">
        <v>30</v>
      </c>
      <c r="H779" s="2" t="s">
        <v>31</v>
      </c>
      <c r="I779" s="2" t="s">
        <v>32</v>
      </c>
      <c r="J779" s="2" t="s">
        <v>33</v>
      </c>
      <c r="K779" s="2" t="s">
        <v>34</v>
      </c>
      <c r="L779" s="3">
        <v>41471</v>
      </c>
      <c r="M779" s="3">
        <v>41541</v>
      </c>
      <c r="N779" s="3">
        <v>41544</v>
      </c>
      <c r="O779" s="3">
        <v>41544</v>
      </c>
      <c r="P779" s="2" t="s">
        <v>112</v>
      </c>
      <c r="Q779" s="2" t="s">
        <v>113</v>
      </c>
      <c r="R779" s="2" t="s">
        <v>37</v>
      </c>
      <c r="S779" s="2" t="s">
        <v>114</v>
      </c>
      <c r="T779" s="2" t="s">
        <v>47</v>
      </c>
      <c r="U779" s="2">
        <v>60</v>
      </c>
      <c r="V779" s="2">
        <v>7255</v>
      </c>
      <c r="W779" s="2">
        <v>58983.15</v>
      </c>
      <c r="X779" s="2">
        <v>8.1300000000000008</v>
      </c>
      <c r="Y779" s="2">
        <v>0.14000000000000001</v>
      </c>
      <c r="Z779" s="2">
        <v>917</v>
      </c>
      <c r="AA779" s="2">
        <v>4676.6099999999997</v>
      </c>
      <c r="AB779">
        <v>0</v>
      </c>
      <c r="AC779">
        <v>2013</v>
      </c>
      <c r="AE779" s="2">
        <v>1015.7</v>
      </c>
    </row>
    <row r="780" spans="2:31" ht="14.5">
      <c r="B780" s="2">
        <v>79841</v>
      </c>
      <c r="C780" s="2" t="s">
        <v>1125</v>
      </c>
      <c r="D780" s="2" t="s">
        <v>1126</v>
      </c>
      <c r="E780" s="2" t="s">
        <v>42</v>
      </c>
      <c r="F780" s="2" t="s">
        <v>29</v>
      </c>
      <c r="G780" s="2" t="s">
        <v>50</v>
      </c>
      <c r="H780" s="2" t="s">
        <v>43</v>
      </c>
      <c r="I780" s="2" t="s">
        <v>32</v>
      </c>
      <c r="J780" s="2" t="s">
        <v>52</v>
      </c>
      <c r="K780" s="2" t="s">
        <v>34</v>
      </c>
      <c r="L780" s="3">
        <v>40977</v>
      </c>
      <c r="M780" s="3">
        <v>41088</v>
      </c>
      <c r="N780" s="3">
        <v>41088</v>
      </c>
      <c r="O780" s="3">
        <v>41088</v>
      </c>
      <c r="P780" s="2" t="s">
        <v>302</v>
      </c>
      <c r="Q780" s="2" t="s">
        <v>165</v>
      </c>
      <c r="R780" s="2" t="s">
        <v>37</v>
      </c>
      <c r="S780" s="2" t="s">
        <v>226</v>
      </c>
      <c r="T780" s="2" t="s">
        <v>87</v>
      </c>
      <c r="U780" s="2">
        <v>240</v>
      </c>
      <c r="V780" s="2">
        <v>7420</v>
      </c>
      <c r="W780" s="2">
        <v>14469</v>
      </c>
      <c r="X780" s="2">
        <v>1.95</v>
      </c>
      <c r="Y780" s="2">
        <v>0.01</v>
      </c>
      <c r="AB780">
        <v>1</v>
      </c>
      <c r="AC780">
        <v>2012</v>
      </c>
      <c r="AE780" s="2">
        <v>74.2</v>
      </c>
    </row>
    <row r="781" spans="2:31" ht="14.5">
      <c r="B781" s="2">
        <v>80105</v>
      </c>
      <c r="C781" s="2" t="s">
        <v>1482</v>
      </c>
      <c r="D781" s="2" t="s">
        <v>1483</v>
      </c>
      <c r="E781" s="2" t="s">
        <v>118</v>
      </c>
      <c r="F781" s="2" t="s">
        <v>29</v>
      </c>
      <c r="G781" s="2" t="s">
        <v>50</v>
      </c>
      <c r="H781" s="2" t="s">
        <v>43</v>
      </c>
      <c r="I781" s="2" t="s">
        <v>32</v>
      </c>
      <c r="J781" s="2" t="s">
        <v>33</v>
      </c>
      <c r="K781" s="2" t="s">
        <v>34</v>
      </c>
      <c r="L781" s="3">
        <v>41577</v>
      </c>
      <c r="M781" s="3">
        <v>41656</v>
      </c>
      <c r="N781" s="3">
        <v>41656</v>
      </c>
      <c r="O781" s="3">
        <v>41661</v>
      </c>
      <c r="P781" s="2" t="s">
        <v>842</v>
      </c>
      <c r="Q781" s="2" t="s">
        <v>113</v>
      </c>
      <c r="R781" s="2" t="s">
        <v>37</v>
      </c>
      <c r="S781" s="2" t="s">
        <v>843</v>
      </c>
      <c r="T781" s="2" t="s">
        <v>729</v>
      </c>
      <c r="U781" s="2">
        <v>60</v>
      </c>
      <c r="V781" s="2">
        <v>6200</v>
      </c>
      <c r="W781" s="2">
        <v>24800</v>
      </c>
      <c r="X781" s="2">
        <v>4</v>
      </c>
      <c r="Y781" s="2">
        <v>7.0000000000000007E-2</v>
      </c>
      <c r="Z781" s="2">
        <v>597</v>
      </c>
      <c r="AA781" s="2">
        <v>2905.49</v>
      </c>
      <c r="AB781">
        <v>1</v>
      </c>
      <c r="AC781">
        <v>2014</v>
      </c>
      <c r="AE781" s="2">
        <v>434.00000000000006</v>
      </c>
    </row>
    <row r="782" spans="2:31" ht="14.5">
      <c r="B782" s="2">
        <v>80141</v>
      </c>
      <c r="C782" s="2" t="s">
        <v>803</v>
      </c>
      <c r="D782" s="2" t="s">
        <v>804</v>
      </c>
      <c r="E782" s="2" t="s">
        <v>28</v>
      </c>
      <c r="F782" s="2" t="s">
        <v>29</v>
      </c>
      <c r="G782" s="2" t="s">
        <v>30</v>
      </c>
      <c r="H782" s="2" t="s">
        <v>51</v>
      </c>
      <c r="I782" s="2" t="s">
        <v>32</v>
      </c>
      <c r="J782" s="2" t="s">
        <v>52</v>
      </c>
      <c r="K782" s="2" t="s">
        <v>34</v>
      </c>
      <c r="L782" s="3">
        <v>39993</v>
      </c>
      <c r="M782" s="3">
        <v>40107</v>
      </c>
      <c r="N782" s="3">
        <v>40107</v>
      </c>
      <c r="O782" s="3">
        <v>40107</v>
      </c>
      <c r="P782" s="2" t="s">
        <v>67</v>
      </c>
      <c r="Q782" s="2" t="s">
        <v>68</v>
      </c>
      <c r="R782" s="2" t="s">
        <v>69</v>
      </c>
      <c r="S782" s="2" t="s">
        <v>70</v>
      </c>
      <c r="T782" s="2" t="s">
        <v>71</v>
      </c>
      <c r="U782" s="2">
        <v>30</v>
      </c>
      <c r="V782" s="2">
        <v>6900</v>
      </c>
      <c r="W782" s="2">
        <v>163323</v>
      </c>
      <c r="X782" s="2">
        <v>23.67</v>
      </c>
      <c r="Y782" s="2">
        <v>0.79</v>
      </c>
      <c r="AB782">
        <v>1</v>
      </c>
      <c r="AC782">
        <v>2009</v>
      </c>
      <c r="AE782" s="2">
        <v>5451</v>
      </c>
    </row>
    <row r="783" spans="2:31" ht="14.5">
      <c r="B783" s="2">
        <v>80363</v>
      </c>
      <c r="C783" s="2" t="s">
        <v>1484</v>
      </c>
      <c r="D783" s="2" t="s">
        <v>1485</v>
      </c>
      <c r="E783" s="2" t="s">
        <v>118</v>
      </c>
      <c r="F783" s="2" t="s">
        <v>29</v>
      </c>
      <c r="G783" s="2" t="s">
        <v>50</v>
      </c>
      <c r="H783" s="2" t="s">
        <v>31</v>
      </c>
      <c r="I783" s="2" t="s">
        <v>32</v>
      </c>
      <c r="J783" s="2" t="s">
        <v>33</v>
      </c>
      <c r="K783" s="2" t="s">
        <v>34</v>
      </c>
      <c r="L783" s="3">
        <v>41635</v>
      </c>
      <c r="M783" s="3">
        <v>41697</v>
      </c>
      <c r="N783" s="3">
        <v>41697</v>
      </c>
      <c r="O783" s="3">
        <v>41708</v>
      </c>
      <c r="P783" s="2" t="s">
        <v>717</v>
      </c>
      <c r="Q783" s="2" t="s">
        <v>36</v>
      </c>
      <c r="R783" s="2" t="s">
        <v>37</v>
      </c>
      <c r="S783" s="2" t="s">
        <v>179</v>
      </c>
      <c r="T783" s="2" t="s">
        <v>180</v>
      </c>
      <c r="U783" s="2">
        <v>30</v>
      </c>
      <c r="V783" s="2">
        <v>1200</v>
      </c>
      <c r="W783" s="2">
        <v>1500</v>
      </c>
      <c r="X783" s="2">
        <v>1.25</v>
      </c>
      <c r="Y783" s="2">
        <v>0.04</v>
      </c>
      <c r="Z783" s="2">
        <v>64</v>
      </c>
      <c r="AA783" s="2">
        <v>896.35</v>
      </c>
      <c r="AB783">
        <v>1</v>
      </c>
      <c r="AC783">
        <v>2014</v>
      </c>
      <c r="AE783" s="2">
        <v>48</v>
      </c>
    </row>
    <row r="784" spans="2:31" ht="14.5">
      <c r="B784" s="2">
        <v>80423</v>
      </c>
      <c r="C784" s="2" t="s">
        <v>1486</v>
      </c>
      <c r="D784" s="2" t="s">
        <v>1487</v>
      </c>
      <c r="E784" s="2" t="s">
        <v>118</v>
      </c>
      <c r="F784" s="2" t="s">
        <v>29</v>
      </c>
      <c r="G784" s="2" t="s">
        <v>30</v>
      </c>
      <c r="H784" s="2" t="s">
        <v>103</v>
      </c>
      <c r="I784" s="2" t="s">
        <v>32</v>
      </c>
      <c r="J784" s="2" t="s">
        <v>33</v>
      </c>
      <c r="K784" s="2" t="s">
        <v>34</v>
      </c>
      <c r="L784" s="3">
        <v>40500</v>
      </c>
      <c r="M784" s="3">
        <v>40543</v>
      </c>
      <c r="N784" s="3">
        <v>40543</v>
      </c>
      <c r="O784" s="3">
        <v>40543</v>
      </c>
      <c r="P784" s="2" t="s">
        <v>864</v>
      </c>
      <c r="Q784" s="2" t="s">
        <v>865</v>
      </c>
      <c r="R784" s="2" t="s">
        <v>866</v>
      </c>
      <c r="S784" s="2" t="s">
        <v>100</v>
      </c>
      <c r="T784" s="2" t="s">
        <v>39</v>
      </c>
      <c r="U784" s="2">
        <v>120</v>
      </c>
      <c r="V784" s="2">
        <v>175</v>
      </c>
      <c r="W784" s="2">
        <v>15750</v>
      </c>
      <c r="X784" s="2">
        <v>90</v>
      </c>
      <c r="Y784" s="2">
        <v>0.75</v>
      </c>
      <c r="Z784" s="2">
        <v>37</v>
      </c>
      <c r="AA784" s="2">
        <v>1333.01</v>
      </c>
      <c r="AB784">
        <v>1</v>
      </c>
      <c r="AC784">
        <v>2010</v>
      </c>
      <c r="AE784" s="2">
        <v>131.25</v>
      </c>
    </row>
    <row r="785" spans="2:31" ht="14.5">
      <c r="B785" s="2">
        <v>80526</v>
      </c>
      <c r="C785" s="2" t="s">
        <v>1488</v>
      </c>
      <c r="D785" s="2" t="s">
        <v>1489</v>
      </c>
      <c r="E785" s="2" t="s">
        <v>42</v>
      </c>
      <c r="F785" s="2" t="s">
        <v>29</v>
      </c>
      <c r="G785" s="2" t="s">
        <v>50</v>
      </c>
      <c r="H785" s="2" t="s">
        <v>783</v>
      </c>
      <c r="I785" s="2" t="s">
        <v>32</v>
      </c>
      <c r="J785" s="2" t="s">
        <v>82</v>
      </c>
      <c r="K785" s="2" t="s">
        <v>34</v>
      </c>
      <c r="L785" s="3">
        <v>41758</v>
      </c>
      <c r="M785" s="3">
        <v>41836</v>
      </c>
      <c r="N785" s="3">
        <v>41836</v>
      </c>
      <c r="O785" s="3">
        <v>41842</v>
      </c>
      <c r="P785" s="2" t="s">
        <v>1401</v>
      </c>
      <c r="Q785" s="2" t="s">
        <v>745</v>
      </c>
      <c r="R785" s="2" t="s">
        <v>746</v>
      </c>
      <c r="S785" s="2" t="s">
        <v>166</v>
      </c>
      <c r="T785" s="2" t="s">
        <v>64</v>
      </c>
      <c r="U785" s="2">
        <v>60</v>
      </c>
      <c r="V785" s="2">
        <v>208</v>
      </c>
      <c r="W785" s="2">
        <v>7040.8</v>
      </c>
      <c r="X785" s="2">
        <v>33.85</v>
      </c>
      <c r="Y785" s="2">
        <v>0.56000000000000005</v>
      </c>
      <c r="Z785" s="2">
        <v>16</v>
      </c>
      <c r="AA785" s="2">
        <v>957.88</v>
      </c>
      <c r="AB785">
        <v>1</v>
      </c>
      <c r="AC785">
        <v>2014</v>
      </c>
      <c r="AE785" s="2">
        <v>116.48000000000002</v>
      </c>
    </row>
    <row r="786" spans="2:31" ht="14.5">
      <c r="B786" s="2">
        <v>80559</v>
      </c>
      <c r="C786" s="2" t="s">
        <v>1490</v>
      </c>
      <c r="D786" s="2" t="s">
        <v>1491</v>
      </c>
      <c r="E786" s="2" t="s">
        <v>118</v>
      </c>
      <c r="F786" s="2" t="s">
        <v>29</v>
      </c>
      <c r="G786" s="2" t="s">
        <v>30</v>
      </c>
      <c r="H786" s="2" t="s">
        <v>109</v>
      </c>
      <c r="I786" s="2" t="s">
        <v>32</v>
      </c>
      <c r="J786" s="2" t="s">
        <v>33</v>
      </c>
      <c r="K786" s="2" t="s">
        <v>34</v>
      </c>
      <c r="L786" s="3">
        <v>41178</v>
      </c>
      <c r="M786" s="3">
        <v>41222</v>
      </c>
      <c r="N786" s="3">
        <v>41222</v>
      </c>
      <c r="O786" s="3">
        <v>41222</v>
      </c>
      <c r="P786" s="2" t="s">
        <v>813</v>
      </c>
      <c r="Q786" s="2" t="s">
        <v>814</v>
      </c>
      <c r="R786" s="2" t="s">
        <v>37</v>
      </c>
      <c r="S786" s="2" t="s">
        <v>815</v>
      </c>
      <c r="T786" s="2" t="s">
        <v>39</v>
      </c>
      <c r="U786" s="2">
        <v>30</v>
      </c>
      <c r="V786" s="2">
        <v>170</v>
      </c>
      <c r="W786" s="2">
        <v>3825</v>
      </c>
      <c r="X786" s="2">
        <v>22.5</v>
      </c>
      <c r="Y786" s="2">
        <v>0.75</v>
      </c>
      <c r="Z786" s="2">
        <v>22</v>
      </c>
      <c r="AA786" s="2">
        <v>1051.5</v>
      </c>
      <c r="AB786">
        <v>1</v>
      </c>
      <c r="AC786">
        <v>2012</v>
      </c>
      <c r="AE786" s="2">
        <v>127.5</v>
      </c>
    </row>
    <row r="787" spans="2:31" ht="14.5">
      <c r="B787" s="2">
        <v>80668</v>
      </c>
      <c r="C787" s="2" t="s">
        <v>1492</v>
      </c>
      <c r="D787" s="2" t="s">
        <v>1493</v>
      </c>
      <c r="E787" s="2" t="s">
        <v>28</v>
      </c>
      <c r="F787" s="2" t="s">
        <v>29</v>
      </c>
      <c r="G787" s="2" t="s">
        <v>50</v>
      </c>
      <c r="H787" s="2" t="s">
        <v>81</v>
      </c>
      <c r="I787" s="2" t="s">
        <v>32</v>
      </c>
      <c r="J787" s="2" t="s">
        <v>82</v>
      </c>
      <c r="K787" s="2" t="s">
        <v>34</v>
      </c>
      <c r="L787" s="3">
        <v>41402</v>
      </c>
      <c r="M787" s="3">
        <v>41473</v>
      </c>
      <c r="N787" s="3">
        <v>41473</v>
      </c>
      <c r="O787" s="3">
        <v>41473</v>
      </c>
      <c r="P787" s="2" t="s">
        <v>90</v>
      </c>
      <c r="Q787" s="2" t="s">
        <v>84</v>
      </c>
      <c r="R787" s="2" t="s">
        <v>37</v>
      </c>
      <c r="S787" s="2" t="s">
        <v>91</v>
      </c>
      <c r="T787" s="2" t="s">
        <v>39</v>
      </c>
      <c r="U787" s="2">
        <v>60</v>
      </c>
      <c r="V787" s="2">
        <v>765</v>
      </c>
      <c r="W787" s="2">
        <v>4544.1000000000004</v>
      </c>
      <c r="X787" s="2">
        <v>5.94</v>
      </c>
      <c r="Y787" s="2">
        <v>0.1</v>
      </c>
      <c r="Z787" s="2">
        <v>84</v>
      </c>
      <c r="AA787" s="2">
        <v>1396.04</v>
      </c>
      <c r="AB787">
        <v>1</v>
      </c>
      <c r="AC787">
        <v>2013</v>
      </c>
      <c r="AE787" s="2">
        <v>76.5</v>
      </c>
    </row>
    <row r="788" spans="2:31" ht="14.5">
      <c r="B788" s="2">
        <v>81031</v>
      </c>
      <c r="C788" s="2" t="s">
        <v>1494</v>
      </c>
      <c r="D788" s="2" t="s">
        <v>1495</v>
      </c>
      <c r="E788" s="2" t="s">
        <v>42</v>
      </c>
      <c r="F788" s="2" t="s">
        <v>29</v>
      </c>
      <c r="G788" s="2" t="s">
        <v>50</v>
      </c>
      <c r="H788" s="2" t="s">
        <v>81</v>
      </c>
      <c r="I788" s="2" t="s">
        <v>32</v>
      </c>
      <c r="J788" s="2" t="s">
        <v>82</v>
      </c>
      <c r="K788" s="2" t="s">
        <v>34</v>
      </c>
      <c r="L788" s="3">
        <v>41988</v>
      </c>
      <c r="M788" s="3">
        <v>42089</v>
      </c>
      <c r="N788" s="3">
        <v>42089</v>
      </c>
      <c r="O788" s="3">
        <v>42089</v>
      </c>
      <c r="P788" s="2" t="s">
        <v>83</v>
      </c>
      <c r="Q788" s="2" t="s">
        <v>84</v>
      </c>
      <c r="R788" s="2" t="s">
        <v>85</v>
      </c>
      <c r="S788" s="2" t="s">
        <v>86</v>
      </c>
      <c r="T788" s="2" t="s">
        <v>87</v>
      </c>
      <c r="U788" s="2">
        <v>300</v>
      </c>
      <c r="V788" s="2">
        <v>86</v>
      </c>
      <c r="W788" s="2">
        <v>2650.52</v>
      </c>
      <c r="X788" s="2">
        <v>30.82</v>
      </c>
      <c r="Y788" s="2">
        <v>0.1</v>
      </c>
      <c r="Z788" s="2">
        <v>100</v>
      </c>
      <c r="AA788" s="2">
        <v>1952.77</v>
      </c>
      <c r="AB788">
        <v>1</v>
      </c>
      <c r="AC788">
        <v>2015</v>
      </c>
      <c r="AE788" s="2">
        <v>8.6</v>
      </c>
    </row>
    <row r="789" spans="2:31" ht="14.5">
      <c r="B789" s="2">
        <v>81050</v>
      </c>
      <c r="C789" s="2" t="s">
        <v>1496</v>
      </c>
      <c r="D789" s="2" t="s">
        <v>1497</v>
      </c>
      <c r="E789" s="2" t="s">
        <v>118</v>
      </c>
      <c r="F789" s="2" t="s">
        <v>29</v>
      </c>
      <c r="G789" s="2" t="s">
        <v>30</v>
      </c>
      <c r="H789" s="2" t="s">
        <v>175</v>
      </c>
      <c r="I789" s="2" t="s">
        <v>32</v>
      </c>
      <c r="J789" s="2" t="s">
        <v>33</v>
      </c>
      <c r="K789" s="2" t="s">
        <v>646</v>
      </c>
      <c r="L789" s="3">
        <v>41527</v>
      </c>
      <c r="M789" s="3">
        <v>41585</v>
      </c>
      <c r="N789" s="3">
        <v>41585</v>
      </c>
      <c r="O789" s="3">
        <v>41591</v>
      </c>
      <c r="P789" s="2" t="s">
        <v>95</v>
      </c>
      <c r="Q789" s="2" t="s">
        <v>96</v>
      </c>
      <c r="R789" s="2" t="s">
        <v>37</v>
      </c>
      <c r="S789" s="2" t="s">
        <v>97</v>
      </c>
      <c r="T789" s="2" t="s">
        <v>39</v>
      </c>
      <c r="U789" s="2">
        <v>30</v>
      </c>
      <c r="V789" s="2">
        <v>63652</v>
      </c>
      <c r="W789" s="2">
        <v>203049.88</v>
      </c>
      <c r="X789" s="2">
        <v>3.19</v>
      </c>
      <c r="Y789" s="2">
        <v>0.11</v>
      </c>
      <c r="Z789" s="2">
        <v>3963</v>
      </c>
      <c r="AA789" s="2">
        <v>12961.76</v>
      </c>
      <c r="AB789">
        <v>1</v>
      </c>
      <c r="AC789">
        <v>2013</v>
      </c>
      <c r="AE789" s="2">
        <v>7001.72</v>
      </c>
    </row>
    <row r="790" spans="2:31" ht="14.5">
      <c r="B790" s="2">
        <v>81396</v>
      </c>
      <c r="C790" s="2" t="s">
        <v>1035</v>
      </c>
      <c r="D790" s="2" t="s">
        <v>1036</v>
      </c>
      <c r="E790" s="2" t="s">
        <v>42</v>
      </c>
      <c r="F790" s="2" t="s">
        <v>29</v>
      </c>
      <c r="G790" s="2" t="s">
        <v>30</v>
      </c>
      <c r="H790" s="2" t="s">
        <v>807</v>
      </c>
      <c r="I790" s="2" t="s">
        <v>32</v>
      </c>
      <c r="J790" s="2" t="s">
        <v>33</v>
      </c>
      <c r="K790" s="2" t="s">
        <v>34</v>
      </c>
      <c r="L790" s="3">
        <v>41988</v>
      </c>
      <c r="M790" s="3">
        <v>42243</v>
      </c>
      <c r="N790" s="3">
        <v>42243</v>
      </c>
      <c r="O790" s="3">
        <v>42243</v>
      </c>
      <c r="P790" s="2" t="s">
        <v>813</v>
      </c>
      <c r="Q790" s="2" t="s">
        <v>814</v>
      </c>
      <c r="R790" s="2" t="s">
        <v>37</v>
      </c>
      <c r="S790" s="2" t="s">
        <v>815</v>
      </c>
      <c r="T790" s="2" t="s">
        <v>39</v>
      </c>
      <c r="U790" s="2">
        <v>30</v>
      </c>
      <c r="V790" s="2">
        <v>24666</v>
      </c>
      <c r="W790" s="2">
        <v>443988</v>
      </c>
      <c r="X790" s="2">
        <v>18</v>
      </c>
      <c r="Y790" s="2">
        <v>0.6</v>
      </c>
      <c r="AB790">
        <v>1</v>
      </c>
      <c r="AC790">
        <v>2015</v>
      </c>
      <c r="AE790" s="2">
        <v>14799.599999999999</v>
      </c>
    </row>
    <row r="791" spans="2:31" ht="14.5">
      <c r="B791" s="2">
        <v>81855</v>
      </c>
      <c r="C791" s="2" t="s">
        <v>1498</v>
      </c>
      <c r="D791" s="2" t="s">
        <v>1499</v>
      </c>
      <c r="E791" s="2" t="s">
        <v>60</v>
      </c>
      <c r="F791" s="2" t="s">
        <v>29</v>
      </c>
      <c r="G791" s="2" t="s">
        <v>30</v>
      </c>
      <c r="H791" s="2" t="s">
        <v>31</v>
      </c>
      <c r="I791" s="2" t="s">
        <v>32</v>
      </c>
      <c r="J791" s="2" t="s">
        <v>33</v>
      </c>
      <c r="K791" s="2" t="s">
        <v>34</v>
      </c>
      <c r="L791" s="3">
        <v>40575</v>
      </c>
      <c r="M791" s="3">
        <v>40780</v>
      </c>
      <c r="N791" s="3">
        <v>40780</v>
      </c>
      <c r="O791" s="3">
        <v>40780</v>
      </c>
      <c r="P791" s="2" t="s">
        <v>772</v>
      </c>
      <c r="Q791" s="2" t="s">
        <v>54</v>
      </c>
      <c r="R791" s="2" t="s">
        <v>37</v>
      </c>
      <c r="S791" s="2" t="s">
        <v>120</v>
      </c>
      <c r="T791" s="2" t="s">
        <v>773</v>
      </c>
      <c r="U791" s="2">
        <v>30</v>
      </c>
      <c r="V791" s="2">
        <v>3775</v>
      </c>
      <c r="W791" s="2">
        <v>49075</v>
      </c>
      <c r="X791" s="2">
        <v>13</v>
      </c>
      <c r="Y791" s="2">
        <v>0.43</v>
      </c>
      <c r="Z791" s="2">
        <v>257</v>
      </c>
      <c r="AA791" s="2">
        <v>2325.62</v>
      </c>
      <c r="AB791">
        <v>1</v>
      </c>
      <c r="AC791">
        <v>2011</v>
      </c>
      <c r="AE791" s="2">
        <v>1623.25</v>
      </c>
    </row>
    <row r="792" spans="2:31" ht="14.5">
      <c r="B792" s="2">
        <v>82271</v>
      </c>
      <c r="C792" s="2" t="s">
        <v>1500</v>
      </c>
      <c r="D792" s="2" t="s">
        <v>1501</v>
      </c>
      <c r="E792" s="2" t="s">
        <v>118</v>
      </c>
      <c r="F792" s="2" t="s">
        <v>29</v>
      </c>
      <c r="G792" s="2" t="s">
        <v>30</v>
      </c>
      <c r="H792" s="2" t="s">
        <v>218</v>
      </c>
      <c r="I792" s="2" t="s">
        <v>219</v>
      </c>
      <c r="J792" s="2" t="s">
        <v>220</v>
      </c>
      <c r="K792" s="2" t="s">
        <v>34</v>
      </c>
      <c r="L792" s="3"/>
      <c r="M792" s="3">
        <v>40094</v>
      </c>
      <c r="N792" s="3">
        <v>40094</v>
      </c>
      <c r="O792" s="3">
        <v>40094</v>
      </c>
      <c r="P792" s="2" t="s">
        <v>44</v>
      </c>
      <c r="Q792" s="2" t="s">
        <v>45</v>
      </c>
      <c r="R792" s="2" t="s">
        <v>37</v>
      </c>
      <c r="S792" s="2" t="s">
        <v>46</v>
      </c>
      <c r="T792" s="2" t="s">
        <v>47</v>
      </c>
      <c r="U792" s="2">
        <v>60</v>
      </c>
      <c r="V792" s="2">
        <v>400</v>
      </c>
      <c r="W792" s="2">
        <v>3504</v>
      </c>
      <c r="X792" s="2">
        <v>8.76</v>
      </c>
      <c r="Y792" s="2">
        <v>0.15</v>
      </c>
      <c r="Z792" s="2">
        <v>70</v>
      </c>
      <c r="AA792" s="2">
        <v>1764.84</v>
      </c>
      <c r="AB792">
        <v>1</v>
      </c>
      <c r="AC792">
        <v>2009</v>
      </c>
      <c r="AE792" s="2">
        <v>60</v>
      </c>
    </row>
    <row r="793" spans="2:31" ht="14.5">
      <c r="B793" s="2">
        <v>82280</v>
      </c>
      <c r="C793" s="2" t="s">
        <v>1502</v>
      </c>
      <c r="D793" s="2" t="s">
        <v>1503</v>
      </c>
      <c r="E793" s="2" t="s">
        <v>118</v>
      </c>
      <c r="F793" s="2" t="s">
        <v>29</v>
      </c>
      <c r="G793" s="2" t="s">
        <v>30</v>
      </c>
      <c r="H793" s="2" t="s">
        <v>218</v>
      </c>
      <c r="I793" s="2" t="s">
        <v>219</v>
      </c>
      <c r="J793" s="2" t="s">
        <v>220</v>
      </c>
      <c r="K793" s="2" t="s">
        <v>34</v>
      </c>
      <c r="L793" s="3"/>
      <c r="M793" s="3">
        <v>40193</v>
      </c>
      <c r="N793" s="3">
        <v>40157</v>
      </c>
      <c r="O793" s="3">
        <v>40157</v>
      </c>
      <c r="P793" s="2" t="s">
        <v>333</v>
      </c>
      <c r="Q793" s="2" t="s">
        <v>225</v>
      </c>
      <c r="R793" s="2" t="s">
        <v>37</v>
      </c>
      <c r="S793" s="2" t="s">
        <v>100</v>
      </c>
      <c r="T793" s="2" t="s">
        <v>39</v>
      </c>
      <c r="U793" s="2">
        <v>60</v>
      </c>
      <c r="V793" s="2">
        <v>4730</v>
      </c>
      <c r="W793" s="2">
        <v>35616.9</v>
      </c>
      <c r="X793" s="2">
        <v>7.53</v>
      </c>
      <c r="Y793" s="2">
        <v>0.13</v>
      </c>
      <c r="Z793" s="2">
        <v>260</v>
      </c>
      <c r="AA793" s="2">
        <v>1898.84</v>
      </c>
      <c r="AB793">
        <v>1</v>
      </c>
      <c r="AC793">
        <v>2009</v>
      </c>
      <c r="AE793" s="2">
        <v>614.9</v>
      </c>
    </row>
    <row r="794" spans="2:31" ht="14.5">
      <c r="B794" s="2">
        <v>82283</v>
      </c>
      <c r="C794" s="2" t="s">
        <v>1504</v>
      </c>
      <c r="D794" s="2" t="s">
        <v>1505</v>
      </c>
      <c r="E794" s="2" t="s">
        <v>118</v>
      </c>
      <c r="F794" s="2" t="s">
        <v>29</v>
      </c>
      <c r="G794" s="2" t="s">
        <v>30</v>
      </c>
      <c r="H794" s="2" t="s">
        <v>218</v>
      </c>
      <c r="I794" s="2" t="s">
        <v>219</v>
      </c>
      <c r="J794" s="2" t="s">
        <v>220</v>
      </c>
      <c r="K794" s="2" t="s">
        <v>34</v>
      </c>
      <c r="L794" s="3"/>
      <c r="M794" s="3">
        <v>40193</v>
      </c>
      <c r="N794" s="3">
        <v>40200</v>
      </c>
      <c r="O794" s="3">
        <v>40200</v>
      </c>
      <c r="P794" s="2" t="s">
        <v>112</v>
      </c>
      <c r="Q794" s="2" t="s">
        <v>113</v>
      </c>
      <c r="R794" s="2" t="s">
        <v>37</v>
      </c>
      <c r="S794" s="2" t="s">
        <v>114</v>
      </c>
      <c r="T794" s="2" t="s">
        <v>47</v>
      </c>
      <c r="U794" s="2">
        <v>60</v>
      </c>
      <c r="V794" s="2">
        <v>59</v>
      </c>
      <c r="W794" s="2">
        <v>661.98</v>
      </c>
      <c r="X794" s="2">
        <v>11.22</v>
      </c>
      <c r="Y794" s="2">
        <v>0.19</v>
      </c>
      <c r="Z794" s="2">
        <v>12</v>
      </c>
      <c r="AA794" s="2">
        <v>1311</v>
      </c>
      <c r="AB794">
        <v>0</v>
      </c>
      <c r="AC794">
        <v>2010</v>
      </c>
      <c r="AE794" s="2">
        <v>11.21</v>
      </c>
    </row>
    <row r="795" spans="2:31" ht="14.5">
      <c r="B795" s="2">
        <v>82295</v>
      </c>
      <c r="C795" s="2" t="s">
        <v>1506</v>
      </c>
      <c r="D795" s="2" t="s">
        <v>1507</v>
      </c>
      <c r="E795" s="2" t="s">
        <v>118</v>
      </c>
      <c r="F795" s="2" t="s">
        <v>29</v>
      </c>
      <c r="G795" s="2" t="s">
        <v>30</v>
      </c>
      <c r="H795" s="2" t="s">
        <v>218</v>
      </c>
      <c r="I795" s="2" t="s">
        <v>219</v>
      </c>
      <c r="J795" s="2" t="s">
        <v>220</v>
      </c>
      <c r="K795" s="2" t="s">
        <v>34</v>
      </c>
      <c r="L795" s="3"/>
      <c r="M795" s="3">
        <v>40255</v>
      </c>
      <c r="N795" s="3">
        <v>40254</v>
      </c>
      <c r="O795" s="3">
        <v>40254</v>
      </c>
      <c r="P795" s="2" t="s">
        <v>35</v>
      </c>
      <c r="Q795" s="2" t="s">
        <v>36</v>
      </c>
      <c r="R795" s="2" t="s">
        <v>37</v>
      </c>
      <c r="S795" s="2" t="s">
        <v>38</v>
      </c>
      <c r="T795" s="2" t="s">
        <v>39</v>
      </c>
      <c r="U795" s="2">
        <v>60</v>
      </c>
      <c r="V795" s="2">
        <v>600</v>
      </c>
      <c r="W795" s="2">
        <v>1638</v>
      </c>
      <c r="X795" s="2">
        <v>2.73</v>
      </c>
      <c r="Y795" s="2">
        <v>0.05</v>
      </c>
      <c r="Z795" s="2">
        <v>306</v>
      </c>
      <c r="AA795" s="2">
        <v>3945.33</v>
      </c>
      <c r="AB795">
        <v>1</v>
      </c>
      <c r="AC795">
        <v>2010</v>
      </c>
      <c r="AE795" s="2">
        <v>30</v>
      </c>
    </row>
    <row r="796" spans="2:31" ht="14.5">
      <c r="B796" s="2">
        <v>82297</v>
      </c>
      <c r="C796" s="2" t="s">
        <v>1508</v>
      </c>
      <c r="D796" s="2" t="s">
        <v>1509</v>
      </c>
      <c r="E796" s="2" t="s">
        <v>118</v>
      </c>
      <c r="F796" s="2" t="s">
        <v>29</v>
      </c>
      <c r="G796" s="2" t="s">
        <v>30</v>
      </c>
      <c r="H796" s="2" t="s">
        <v>218</v>
      </c>
      <c r="I796" s="2" t="s">
        <v>219</v>
      </c>
      <c r="J796" s="2" t="s">
        <v>220</v>
      </c>
      <c r="K796" s="2" t="s">
        <v>34</v>
      </c>
      <c r="L796" s="3"/>
      <c r="M796" s="3">
        <v>40256</v>
      </c>
      <c r="N796" s="3">
        <v>40254</v>
      </c>
      <c r="O796" s="3">
        <v>40254</v>
      </c>
      <c r="P796" s="2" t="s">
        <v>164</v>
      </c>
      <c r="Q796" s="2" t="s">
        <v>165</v>
      </c>
      <c r="R796" s="2" t="s">
        <v>37</v>
      </c>
      <c r="S796" s="2" t="s">
        <v>166</v>
      </c>
      <c r="T796" s="2" t="s">
        <v>39</v>
      </c>
      <c r="U796" s="2">
        <v>60</v>
      </c>
      <c r="V796" s="2">
        <v>3519</v>
      </c>
      <c r="W796" s="2">
        <v>8586.36</v>
      </c>
      <c r="X796" s="2">
        <v>2.44</v>
      </c>
      <c r="Y796" s="2">
        <v>0.04</v>
      </c>
      <c r="Z796" s="2">
        <v>2538</v>
      </c>
      <c r="AA796" s="2">
        <v>6298.34</v>
      </c>
      <c r="AB796">
        <v>1</v>
      </c>
      <c r="AC796">
        <v>2010</v>
      </c>
      <c r="AE796" s="2">
        <v>140.76</v>
      </c>
    </row>
    <row r="797" spans="2:31" ht="14.5">
      <c r="B797" s="2">
        <v>82311</v>
      </c>
      <c r="C797" s="2" t="s">
        <v>1510</v>
      </c>
      <c r="D797" s="2" t="s">
        <v>1511</v>
      </c>
      <c r="E797" s="2" t="s">
        <v>118</v>
      </c>
      <c r="F797" s="2" t="s">
        <v>29</v>
      </c>
      <c r="G797" s="2" t="s">
        <v>30</v>
      </c>
      <c r="H797" s="2" t="s">
        <v>218</v>
      </c>
      <c r="I797" s="2" t="s">
        <v>219</v>
      </c>
      <c r="J797" s="2" t="s">
        <v>220</v>
      </c>
      <c r="K797" s="2" t="s">
        <v>267</v>
      </c>
      <c r="L797" s="3"/>
      <c r="M797" s="3">
        <v>40269</v>
      </c>
      <c r="N797" s="3">
        <v>40262</v>
      </c>
      <c r="O797" s="3">
        <v>40262</v>
      </c>
      <c r="P797" s="2" t="s">
        <v>44</v>
      </c>
      <c r="Q797" s="2" t="s">
        <v>45</v>
      </c>
      <c r="R797" s="2" t="s">
        <v>37</v>
      </c>
      <c r="S797" s="2" t="s">
        <v>46</v>
      </c>
      <c r="T797" s="2" t="s">
        <v>47</v>
      </c>
      <c r="U797" s="2">
        <v>60</v>
      </c>
      <c r="V797" s="2">
        <v>17896</v>
      </c>
      <c r="W797" s="2">
        <v>156768.95999999999</v>
      </c>
      <c r="X797" s="2">
        <v>8.76</v>
      </c>
      <c r="Y797" s="2">
        <v>0.15</v>
      </c>
      <c r="Z797" s="2">
        <v>1188</v>
      </c>
      <c r="AA797" s="2">
        <v>4097</v>
      </c>
      <c r="AB797">
        <v>1</v>
      </c>
      <c r="AC797">
        <v>2010</v>
      </c>
      <c r="AE797" s="2">
        <v>2684.4</v>
      </c>
    </row>
    <row r="798" spans="2:31" ht="14.5">
      <c r="B798" s="2">
        <v>82312</v>
      </c>
      <c r="C798" s="2" t="s">
        <v>1512</v>
      </c>
      <c r="D798" s="2" t="s">
        <v>1513</v>
      </c>
      <c r="E798" s="2" t="s">
        <v>118</v>
      </c>
      <c r="F798" s="2" t="s">
        <v>29</v>
      </c>
      <c r="G798" s="2" t="s">
        <v>30</v>
      </c>
      <c r="H798" s="2" t="s">
        <v>218</v>
      </c>
      <c r="I798" s="2" t="s">
        <v>219</v>
      </c>
      <c r="J798" s="2" t="s">
        <v>220</v>
      </c>
      <c r="K798" s="2" t="s">
        <v>34</v>
      </c>
      <c r="L798" s="3"/>
      <c r="M798" s="3">
        <v>40352</v>
      </c>
      <c r="N798" s="3">
        <v>40276</v>
      </c>
      <c r="O798" s="3">
        <v>40276</v>
      </c>
      <c r="P798" s="2" t="s">
        <v>407</v>
      </c>
      <c r="Q798" s="2" t="s">
        <v>408</v>
      </c>
      <c r="R798" s="2" t="s">
        <v>37</v>
      </c>
      <c r="S798" s="2" t="s">
        <v>409</v>
      </c>
      <c r="T798" s="2" t="s">
        <v>47</v>
      </c>
      <c r="U798" s="2">
        <v>60</v>
      </c>
      <c r="V798" s="2">
        <v>140</v>
      </c>
      <c r="W798" s="2">
        <v>476</v>
      </c>
      <c r="X798" s="2">
        <v>3.4</v>
      </c>
      <c r="Y798" s="2">
        <v>0.06</v>
      </c>
      <c r="Z798" s="2">
        <v>17</v>
      </c>
      <c r="AA798" s="2">
        <v>1073.46</v>
      </c>
      <c r="AB798">
        <v>1</v>
      </c>
      <c r="AC798">
        <v>2010</v>
      </c>
      <c r="AE798" s="2">
        <v>8.4</v>
      </c>
    </row>
    <row r="799" spans="2:31" ht="14.5">
      <c r="B799" s="2">
        <v>82316</v>
      </c>
      <c r="C799" s="2" t="s">
        <v>1514</v>
      </c>
      <c r="D799" s="2" t="s">
        <v>1515</v>
      </c>
      <c r="E799" s="2" t="s">
        <v>118</v>
      </c>
      <c r="F799" s="2" t="s">
        <v>29</v>
      </c>
      <c r="G799" s="2" t="s">
        <v>30</v>
      </c>
      <c r="H799" s="2" t="s">
        <v>218</v>
      </c>
      <c r="I799" s="2" t="s">
        <v>219</v>
      </c>
      <c r="J799" s="2" t="s">
        <v>220</v>
      </c>
      <c r="K799" s="2" t="s">
        <v>34</v>
      </c>
      <c r="L799" s="3"/>
      <c r="M799" s="3">
        <v>40338</v>
      </c>
      <c r="N799" s="3">
        <v>40301</v>
      </c>
      <c r="O799" s="3">
        <v>40301</v>
      </c>
      <c r="P799" s="2" t="s">
        <v>112</v>
      </c>
      <c r="Q799" s="2" t="s">
        <v>113</v>
      </c>
      <c r="R799" s="2" t="s">
        <v>37</v>
      </c>
      <c r="S799" s="2" t="s">
        <v>114</v>
      </c>
      <c r="T799" s="2" t="s">
        <v>47</v>
      </c>
      <c r="U799" s="2">
        <v>60</v>
      </c>
      <c r="V799" s="2">
        <v>5218</v>
      </c>
      <c r="W799" s="2">
        <v>58545.96</v>
      </c>
      <c r="X799" s="2">
        <v>11.22</v>
      </c>
      <c r="Y799" s="2">
        <v>0.19</v>
      </c>
      <c r="Z799" s="2">
        <v>617</v>
      </c>
      <c r="AA799" s="2">
        <v>5194.22</v>
      </c>
      <c r="AB799">
        <v>1</v>
      </c>
      <c r="AC799">
        <v>2010</v>
      </c>
      <c r="AE799" s="2">
        <v>991.42</v>
      </c>
    </row>
    <row r="800" spans="2:31" ht="14.5">
      <c r="B800" s="2">
        <v>82318</v>
      </c>
      <c r="C800" s="2" t="s">
        <v>1516</v>
      </c>
      <c r="D800" s="2" t="s">
        <v>1517</v>
      </c>
      <c r="E800" s="2" t="s">
        <v>118</v>
      </c>
      <c r="F800" s="2" t="s">
        <v>29</v>
      </c>
      <c r="G800" s="2" t="s">
        <v>30</v>
      </c>
      <c r="H800" s="2" t="s">
        <v>218</v>
      </c>
      <c r="I800" s="2" t="s">
        <v>219</v>
      </c>
      <c r="J800" s="2" t="s">
        <v>220</v>
      </c>
      <c r="K800" s="2" t="s">
        <v>34</v>
      </c>
      <c r="L800" s="3"/>
      <c r="M800" s="3">
        <v>40301</v>
      </c>
      <c r="N800" s="3">
        <v>40301</v>
      </c>
      <c r="O800" s="3">
        <v>40301</v>
      </c>
      <c r="P800" s="2" t="s">
        <v>112</v>
      </c>
      <c r="Q800" s="2" t="s">
        <v>113</v>
      </c>
      <c r="R800" s="2" t="s">
        <v>37</v>
      </c>
      <c r="S800" s="2" t="s">
        <v>114</v>
      </c>
      <c r="T800" s="2" t="s">
        <v>47</v>
      </c>
      <c r="U800" s="2">
        <v>60</v>
      </c>
      <c r="V800" s="2">
        <v>18000</v>
      </c>
      <c r="W800" s="2">
        <v>201960</v>
      </c>
      <c r="X800" s="2">
        <v>11.22</v>
      </c>
      <c r="Y800" s="2">
        <v>0.19</v>
      </c>
      <c r="Z800" s="2">
        <v>2281</v>
      </c>
      <c r="AA800" s="2">
        <v>15254.43</v>
      </c>
      <c r="AB800">
        <v>1</v>
      </c>
      <c r="AC800">
        <v>2010</v>
      </c>
      <c r="AE800" s="2">
        <v>3420</v>
      </c>
    </row>
    <row r="801" spans="2:31" ht="14.5">
      <c r="B801" s="2">
        <v>82319</v>
      </c>
      <c r="C801" s="2" t="s">
        <v>1518</v>
      </c>
      <c r="D801" s="2" t="s">
        <v>1519</v>
      </c>
      <c r="E801" s="2" t="s">
        <v>118</v>
      </c>
      <c r="F801" s="2" t="s">
        <v>29</v>
      </c>
      <c r="G801" s="2" t="s">
        <v>30</v>
      </c>
      <c r="H801" s="2" t="s">
        <v>218</v>
      </c>
      <c r="I801" s="2" t="s">
        <v>219</v>
      </c>
      <c r="J801" s="2" t="s">
        <v>220</v>
      </c>
      <c r="K801" s="2" t="s">
        <v>34</v>
      </c>
      <c r="L801" s="3"/>
      <c r="M801" s="3">
        <v>40301</v>
      </c>
      <c r="N801" s="3">
        <v>40301</v>
      </c>
      <c r="O801" s="3">
        <v>40301</v>
      </c>
      <c r="P801" s="2" t="s">
        <v>112</v>
      </c>
      <c r="Q801" s="2" t="s">
        <v>113</v>
      </c>
      <c r="R801" s="2" t="s">
        <v>37</v>
      </c>
      <c r="S801" s="2" t="s">
        <v>114</v>
      </c>
      <c r="T801" s="2" t="s">
        <v>47</v>
      </c>
      <c r="U801" s="2">
        <v>60</v>
      </c>
      <c r="V801" s="2">
        <v>4400</v>
      </c>
      <c r="W801" s="2">
        <v>49368</v>
      </c>
      <c r="X801" s="2">
        <v>11.22</v>
      </c>
      <c r="Y801" s="2">
        <v>0.19</v>
      </c>
      <c r="Z801" s="2">
        <v>527</v>
      </c>
      <c r="AA801" s="2">
        <v>4549.95</v>
      </c>
      <c r="AB801">
        <v>1</v>
      </c>
      <c r="AC801">
        <v>2010</v>
      </c>
      <c r="AE801" s="2">
        <v>836</v>
      </c>
    </row>
    <row r="802" spans="2:31" ht="14.5">
      <c r="B802" s="2">
        <v>82322</v>
      </c>
      <c r="C802" s="2" t="s">
        <v>1520</v>
      </c>
      <c r="D802" s="2" t="s">
        <v>1521</v>
      </c>
      <c r="E802" s="2" t="s">
        <v>60</v>
      </c>
      <c r="F802" s="2" t="s">
        <v>29</v>
      </c>
      <c r="G802" s="2" t="s">
        <v>30</v>
      </c>
      <c r="H802" s="2" t="s">
        <v>218</v>
      </c>
      <c r="I802" s="2" t="s">
        <v>219</v>
      </c>
      <c r="J802" s="2" t="s">
        <v>220</v>
      </c>
      <c r="K802" s="2" t="s">
        <v>34</v>
      </c>
      <c r="L802" s="3"/>
      <c r="M802" s="3">
        <v>40330</v>
      </c>
      <c r="N802" s="3">
        <v>40329</v>
      </c>
      <c r="O802" s="3">
        <v>40329</v>
      </c>
      <c r="P802" s="2" t="s">
        <v>35</v>
      </c>
      <c r="Q802" s="2" t="s">
        <v>36</v>
      </c>
      <c r="R802" s="2" t="s">
        <v>37</v>
      </c>
      <c r="S802" s="2" t="s">
        <v>38</v>
      </c>
      <c r="T802" s="2" t="s">
        <v>39</v>
      </c>
      <c r="U802" s="2">
        <v>60</v>
      </c>
      <c r="V802" s="2">
        <v>11000</v>
      </c>
      <c r="W802" s="2">
        <v>29260</v>
      </c>
      <c r="X802" s="2">
        <v>2.66</v>
      </c>
      <c r="Y802" s="2">
        <v>0.04</v>
      </c>
      <c r="Z802" s="2">
        <v>1070</v>
      </c>
      <c r="AA802" s="2">
        <v>6153.8</v>
      </c>
      <c r="AB802">
        <v>1</v>
      </c>
      <c r="AC802">
        <v>2010</v>
      </c>
      <c r="AE802" s="2">
        <v>440</v>
      </c>
    </row>
    <row r="803" spans="2:31" ht="14.5">
      <c r="B803" s="2">
        <v>82335</v>
      </c>
      <c r="C803" s="2" t="s">
        <v>1522</v>
      </c>
      <c r="D803" s="2" t="s">
        <v>1523</v>
      </c>
      <c r="E803" s="2" t="s">
        <v>60</v>
      </c>
      <c r="F803" s="2" t="s">
        <v>29</v>
      </c>
      <c r="G803" s="2" t="s">
        <v>30</v>
      </c>
      <c r="H803" s="2" t="s">
        <v>218</v>
      </c>
      <c r="I803" s="2" t="s">
        <v>219</v>
      </c>
      <c r="J803" s="2" t="s">
        <v>220</v>
      </c>
      <c r="K803" s="2" t="s">
        <v>34</v>
      </c>
      <c r="L803" s="3"/>
      <c r="M803" s="3">
        <v>40374</v>
      </c>
      <c r="N803" s="3">
        <v>40367</v>
      </c>
      <c r="O803" s="3">
        <v>40367</v>
      </c>
      <c r="P803" s="2" t="s">
        <v>333</v>
      </c>
      <c r="Q803" s="2" t="s">
        <v>225</v>
      </c>
      <c r="R803" s="2" t="s">
        <v>37</v>
      </c>
      <c r="S803" s="2" t="s">
        <v>100</v>
      </c>
      <c r="T803" s="2" t="s">
        <v>39</v>
      </c>
      <c r="U803" s="2">
        <v>60</v>
      </c>
      <c r="V803" s="2">
        <v>2000</v>
      </c>
      <c r="W803" s="2">
        <v>14420</v>
      </c>
      <c r="X803" s="2">
        <v>7.21</v>
      </c>
      <c r="Y803" s="2">
        <v>0.12</v>
      </c>
      <c r="Z803" s="2">
        <v>88</v>
      </c>
      <c r="AA803" s="2">
        <v>755.64</v>
      </c>
      <c r="AB803">
        <v>1</v>
      </c>
      <c r="AC803">
        <v>2010</v>
      </c>
      <c r="AE803" s="2">
        <v>240</v>
      </c>
    </row>
    <row r="804" spans="2:31" ht="14.5">
      <c r="B804" s="2">
        <v>82341</v>
      </c>
      <c r="C804" s="2" t="s">
        <v>1524</v>
      </c>
      <c r="D804" s="2" t="s">
        <v>1525</v>
      </c>
      <c r="E804" s="2" t="s">
        <v>42</v>
      </c>
      <c r="F804" s="2" t="s">
        <v>29</v>
      </c>
      <c r="G804" s="2" t="s">
        <v>30</v>
      </c>
      <c r="H804" s="2" t="s">
        <v>218</v>
      </c>
      <c r="I804" s="2" t="s">
        <v>219</v>
      </c>
      <c r="J804" s="2" t="s">
        <v>220</v>
      </c>
      <c r="K804" s="2" t="s">
        <v>34</v>
      </c>
      <c r="L804" s="3"/>
      <c r="M804" s="3">
        <v>40420</v>
      </c>
      <c r="N804" s="3">
        <v>40393</v>
      </c>
      <c r="O804" s="3">
        <v>40393</v>
      </c>
      <c r="P804" s="2" t="s">
        <v>112</v>
      </c>
      <c r="Q804" s="2" t="s">
        <v>113</v>
      </c>
      <c r="R804" s="2" t="s">
        <v>37</v>
      </c>
      <c r="S804" s="2" t="s">
        <v>114</v>
      </c>
      <c r="T804" s="2" t="s">
        <v>47</v>
      </c>
      <c r="U804" s="2">
        <v>60</v>
      </c>
      <c r="V804" s="2">
        <v>44131</v>
      </c>
      <c r="W804" s="2">
        <v>495149.82</v>
      </c>
      <c r="X804" s="2">
        <v>11.22</v>
      </c>
      <c r="Y804" s="2">
        <v>0.19</v>
      </c>
      <c r="Z804" s="2">
        <v>5364</v>
      </c>
      <c r="AA804" s="2">
        <v>81670.570000000007</v>
      </c>
      <c r="AB804">
        <v>1</v>
      </c>
      <c r="AC804">
        <v>2010</v>
      </c>
      <c r="AE804" s="2">
        <v>8384.89</v>
      </c>
    </row>
    <row r="805" spans="2:31" ht="14.5">
      <c r="B805" s="2">
        <v>82342</v>
      </c>
      <c r="C805" s="2" t="s">
        <v>1526</v>
      </c>
      <c r="D805" s="2" t="s">
        <v>1527</v>
      </c>
      <c r="E805" s="2" t="s">
        <v>28</v>
      </c>
      <c r="F805" s="2" t="s">
        <v>29</v>
      </c>
      <c r="G805" s="2" t="s">
        <v>30</v>
      </c>
      <c r="H805" s="2" t="s">
        <v>218</v>
      </c>
      <c r="I805" s="2" t="s">
        <v>219</v>
      </c>
      <c r="J805" s="2" t="s">
        <v>220</v>
      </c>
      <c r="K805" s="2" t="s">
        <v>34</v>
      </c>
      <c r="L805" s="3"/>
      <c r="M805" s="3">
        <v>40416</v>
      </c>
      <c r="N805" s="3">
        <v>40413</v>
      </c>
      <c r="O805" s="3">
        <v>40413</v>
      </c>
      <c r="P805" s="2" t="s">
        <v>484</v>
      </c>
      <c r="Q805" s="2" t="s">
        <v>105</v>
      </c>
      <c r="R805" s="2" t="s">
        <v>37</v>
      </c>
      <c r="S805" s="2" t="s">
        <v>100</v>
      </c>
      <c r="T805" s="2" t="s">
        <v>39</v>
      </c>
      <c r="U805" s="2">
        <v>30</v>
      </c>
      <c r="V805" s="2">
        <v>3000</v>
      </c>
      <c r="W805" s="2">
        <v>21900</v>
      </c>
      <c r="X805" s="2">
        <v>7.3</v>
      </c>
      <c r="Y805" s="2">
        <v>0.24</v>
      </c>
      <c r="Z805" s="2">
        <v>269</v>
      </c>
      <c r="AA805" s="2">
        <v>1647.25</v>
      </c>
      <c r="AB805">
        <v>1</v>
      </c>
      <c r="AC805">
        <v>2010</v>
      </c>
      <c r="AE805" s="2">
        <v>720</v>
      </c>
    </row>
    <row r="806" spans="2:31" ht="14.5">
      <c r="B806" s="2">
        <v>82343</v>
      </c>
      <c r="C806" s="2" t="s">
        <v>1528</v>
      </c>
      <c r="D806" s="2" t="s">
        <v>1529</v>
      </c>
      <c r="E806" s="2" t="s">
        <v>28</v>
      </c>
      <c r="F806" s="2" t="s">
        <v>29</v>
      </c>
      <c r="G806" s="2" t="s">
        <v>30</v>
      </c>
      <c r="H806" s="2" t="s">
        <v>218</v>
      </c>
      <c r="I806" s="2" t="s">
        <v>219</v>
      </c>
      <c r="J806" s="2" t="s">
        <v>220</v>
      </c>
      <c r="K806" s="2" t="s">
        <v>34</v>
      </c>
      <c r="L806" s="3"/>
      <c r="M806" s="3">
        <v>40421</v>
      </c>
      <c r="N806" s="3">
        <v>40413</v>
      </c>
      <c r="O806" s="3">
        <v>40413</v>
      </c>
      <c r="P806" s="2" t="s">
        <v>98</v>
      </c>
      <c r="Q806" s="2" t="s">
        <v>99</v>
      </c>
      <c r="R806" s="2" t="s">
        <v>37</v>
      </c>
      <c r="S806" s="2" t="s">
        <v>100</v>
      </c>
      <c r="T806" s="2" t="s">
        <v>39</v>
      </c>
      <c r="U806" s="2">
        <v>60</v>
      </c>
      <c r="V806" s="2">
        <v>23340</v>
      </c>
      <c r="W806" s="2">
        <v>383709.6</v>
      </c>
      <c r="X806" s="2">
        <v>16.440000000000001</v>
      </c>
      <c r="Y806" s="2">
        <v>0.27</v>
      </c>
      <c r="Z806" s="2">
        <v>2344</v>
      </c>
      <c r="AA806" s="2">
        <v>1647.25</v>
      </c>
      <c r="AB806">
        <v>1</v>
      </c>
      <c r="AC806">
        <v>2010</v>
      </c>
      <c r="AE806" s="2">
        <v>6301.8</v>
      </c>
    </row>
    <row r="807" spans="2:31" ht="14.5">
      <c r="B807" s="2">
        <v>82349</v>
      </c>
      <c r="C807" s="2" t="s">
        <v>1530</v>
      </c>
      <c r="D807" s="2" t="s">
        <v>1531</v>
      </c>
      <c r="E807" s="2" t="s">
        <v>60</v>
      </c>
      <c r="F807" s="2" t="s">
        <v>29</v>
      </c>
      <c r="G807" s="2" t="s">
        <v>30</v>
      </c>
      <c r="H807" s="2" t="s">
        <v>218</v>
      </c>
      <c r="I807" s="2" t="s">
        <v>219</v>
      </c>
      <c r="J807" s="2" t="s">
        <v>220</v>
      </c>
      <c r="K807" s="2" t="s">
        <v>34</v>
      </c>
      <c r="L807" s="3"/>
      <c r="M807" s="3">
        <v>40420</v>
      </c>
      <c r="N807" s="3">
        <v>40434</v>
      </c>
      <c r="O807" s="3">
        <v>40434</v>
      </c>
      <c r="P807" s="2" t="s">
        <v>164</v>
      </c>
      <c r="Q807" s="2" t="s">
        <v>165</v>
      </c>
      <c r="R807" s="2" t="s">
        <v>37</v>
      </c>
      <c r="S807" s="2" t="s">
        <v>166</v>
      </c>
      <c r="T807" s="2" t="s">
        <v>39</v>
      </c>
      <c r="U807" s="2">
        <v>60</v>
      </c>
      <c r="V807" s="2">
        <v>2000</v>
      </c>
      <c r="W807" s="2">
        <v>4660</v>
      </c>
      <c r="X807" s="2">
        <v>2.33</v>
      </c>
      <c r="Y807" s="2">
        <v>0.04</v>
      </c>
      <c r="Z807" s="2">
        <v>84</v>
      </c>
      <c r="AA807" s="2">
        <v>530.36</v>
      </c>
      <c r="AB807">
        <v>0</v>
      </c>
      <c r="AC807">
        <v>2010</v>
      </c>
      <c r="AE807" s="2">
        <v>80</v>
      </c>
    </row>
    <row r="808" spans="2:31" ht="14.5">
      <c r="B808" s="2">
        <v>82364</v>
      </c>
      <c r="C808" s="2" t="s">
        <v>1532</v>
      </c>
      <c r="D808" s="2" t="s">
        <v>1533</v>
      </c>
      <c r="E808" s="2" t="s">
        <v>118</v>
      </c>
      <c r="F808" s="2" t="s">
        <v>29</v>
      </c>
      <c r="G808" s="2" t="s">
        <v>30</v>
      </c>
      <c r="H808" s="2" t="s">
        <v>218</v>
      </c>
      <c r="I808" s="2" t="s">
        <v>219</v>
      </c>
      <c r="J808" s="2" t="s">
        <v>220</v>
      </c>
      <c r="K808" s="2" t="s">
        <v>34</v>
      </c>
      <c r="L808" s="3"/>
      <c r="M808" s="3">
        <v>40582</v>
      </c>
      <c r="N808" s="3">
        <v>40560</v>
      </c>
      <c r="O808" s="3">
        <v>40560</v>
      </c>
      <c r="P808" s="2" t="s">
        <v>112</v>
      </c>
      <c r="Q808" s="2" t="s">
        <v>113</v>
      </c>
      <c r="R808" s="2" t="s">
        <v>37</v>
      </c>
      <c r="S808" s="2" t="s">
        <v>114</v>
      </c>
      <c r="T808" s="2" t="s">
        <v>47</v>
      </c>
      <c r="U808" s="2">
        <v>60</v>
      </c>
      <c r="V808" s="2">
        <v>4176</v>
      </c>
      <c r="W808" s="2">
        <v>46854.720000000001</v>
      </c>
      <c r="X808" s="2">
        <v>11.22</v>
      </c>
      <c r="Y808" s="2">
        <v>0.19</v>
      </c>
      <c r="Z808" s="2">
        <v>567</v>
      </c>
      <c r="AA808" s="2">
        <v>2768.96</v>
      </c>
      <c r="AB808">
        <v>1</v>
      </c>
      <c r="AC808">
        <v>2011</v>
      </c>
      <c r="AE808" s="2">
        <v>793.44</v>
      </c>
    </row>
    <row r="809" spans="2:31" ht="14.5">
      <c r="B809" s="2">
        <v>82365</v>
      </c>
      <c r="C809" s="2" t="s">
        <v>1534</v>
      </c>
      <c r="D809" s="2" t="s">
        <v>1535</v>
      </c>
      <c r="E809" s="2" t="s">
        <v>60</v>
      </c>
      <c r="F809" s="2" t="s">
        <v>29</v>
      </c>
      <c r="G809" s="2" t="s">
        <v>50</v>
      </c>
      <c r="H809" s="2" t="s">
        <v>218</v>
      </c>
      <c r="I809" s="2" t="s">
        <v>219</v>
      </c>
      <c r="J809" s="2" t="s">
        <v>220</v>
      </c>
      <c r="K809" s="2" t="s">
        <v>34</v>
      </c>
      <c r="L809" s="3"/>
      <c r="M809" s="3">
        <v>40564</v>
      </c>
      <c r="N809" s="3">
        <v>40555</v>
      </c>
      <c r="O809" s="3">
        <v>40555</v>
      </c>
      <c r="P809" s="2" t="s">
        <v>224</v>
      </c>
      <c r="Q809" s="2" t="s">
        <v>225</v>
      </c>
      <c r="R809" s="2" t="s">
        <v>37</v>
      </c>
      <c r="S809" s="2" t="s">
        <v>226</v>
      </c>
      <c r="T809" s="2" t="s">
        <v>87</v>
      </c>
      <c r="U809" s="2">
        <v>240</v>
      </c>
      <c r="V809" s="2">
        <v>3000</v>
      </c>
      <c r="W809" s="2">
        <v>6060</v>
      </c>
      <c r="X809" s="2">
        <v>2.02</v>
      </c>
      <c r="Y809" s="2">
        <v>0.01</v>
      </c>
      <c r="Z809" s="2">
        <v>1190</v>
      </c>
      <c r="AA809" s="2">
        <v>6770.6</v>
      </c>
      <c r="AB809">
        <v>1</v>
      </c>
      <c r="AC809">
        <v>2011</v>
      </c>
      <c r="AE809" s="2">
        <v>30</v>
      </c>
    </row>
    <row r="810" spans="2:31" ht="14.5">
      <c r="B810" s="2">
        <v>82367</v>
      </c>
      <c r="C810" s="2" t="s">
        <v>1536</v>
      </c>
      <c r="D810" s="2" t="s">
        <v>1537</v>
      </c>
      <c r="E810" s="2" t="s">
        <v>60</v>
      </c>
      <c r="F810" s="2" t="s">
        <v>29</v>
      </c>
      <c r="G810" s="2" t="s">
        <v>30</v>
      </c>
      <c r="H810" s="2" t="s">
        <v>218</v>
      </c>
      <c r="I810" s="2" t="s">
        <v>219</v>
      </c>
      <c r="J810" s="2" t="s">
        <v>220</v>
      </c>
      <c r="K810" s="2" t="s">
        <v>34</v>
      </c>
      <c r="L810" s="3"/>
      <c r="M810" s="3">
        <v>40588</v>
      </c>
      <c r="N810" s="3">
        <v>40571</v>
      </c>
      <c r="O810" s="3">
        <v>40571</v>
      </c>
      <c r="P810" s="2" t="s">
        <v>484</v>
      </c>
      <c r="Q810" s="2" t="s">
        <v>105</v>
      </c>
      <c r="R810" s="2" t="s">
        <v>37</v>
      </c>
      <c r="S810" s="2" t="s">
        <v>100</v>
      </c>
      <c r="T810" s="2" t="s">
        <v>39</v>
      </c>
      <c r="U810" s="2">
        <v>30</v>
      </c>
      <c r="V810" s="2">
        <v>1467</v>
      </c>
      <c r="W810" s="2">
        <v>9638.19</v>
      </c>
      <c r="X810" s="2">
        <v>6.57</v>
      </c>
      <c r="Y810" s="2">
        <v>0.22</v>
      </c>
      <c r="Z810" s="2">
        <v>9</v>
      </c>
      <c r="AA810" s="2">
        <v>1401.76</v>
      </c>
      <c r="AB810">
        <v>1</v>
      </c>
      <c r="AC810">
        <v>2011</v>
      </c>
      <c r="AE810" s="2">
        <v>322.74</v>
      </c>
    </row>
    <row r="811" spans="2:31" ht="14.5">
      <c r="B811" s="2">
        <v>82369</v>
      </c>
      <c r="C811" s="2" t="s">
        <v>1538</v>
      </c>
      <c r="D811" s="2" t="s">
        <v>1539</v>
      </c>
      <c r="E811" s="2" t="s">
        <v>118</v>
      </c>
      <c r="F811" s="2" t="s">
        <v>29</v>
      </c>
      <c r="G811" s="2" t="s">
        <v>30</v>
      </c>
      <c r="H811" s="2" t="s">
        <v>218</v>
      </c>
      <c r="I811" s="2" t="s">
        <v>219</v>
      </c>
      <c r="J811" s="2" t="s">
        <v>220</v>
      </c>
      <c r="K811" s="2" t="s">
        <v>34</v>
      </c>
      <c r="L811" s="3"/>
      <c r="M811" s="3">
        <v>40582</v>
      </c>
      <c r="N811" s="3">
        <v>40535</v>
      </c>
      <c r="O811" s="3">
        <v>40535</v>
      </c>
      <c r="P811" s="2" t="s">
        <v>44</v>
      </c>
      <c r="Q811" s="2" t="s">
        <v>45</v>
      </c>
      <c r="R811" s="2" t="s">
        <v>37</v>
      </c>
      <c r="S811" s="2" t="s">
        <v>46</v>
      </c>
      <c r="T811" s="2" t="s">
        <v>47</v>
      </c>
      <c r="U811" s="2">
        <v>60</v>
      </c>
      <c r="V811" s="2">
        <v>2316</v>
      </c>
      <c r="W811" s="2">
        <v>19801.8</v>
      </c>
      <c r="X811" s="2">
        <v>8.5500000000000007</v>
      </c>
      <c r="Y811" s="2">
        <v>0.14000000000000001</v>
      </c>
      <c r="Z811" s="2">
        <v>386</v>
      </c>
      <c r="AA811" s="2">
        <v>2294.85</v>
      </c>
      <c r="AB811">
        <v>1</v>
      </c>
      <c r="AC811">
        <v>2010</v>
      </c>
      <c r="AE811" s="2">
        <v>324.24</v>
      </c>
    </row>
    <row r="812" spans="2:31" ht="14.5">
      <c r="B812" s="2">
        <v>82370</v>
      </c>
      <c r="C812" s="2" t="s">
        <v>1540</v>
      </c>
      <c r="D812" s="2" t="s">
        <v>1541</v>
      </c>
      <c r="E812" s="2" t="s">
        <v>118</v>
      </c>
      <c r="F812" s="2" t="s">
        <v>29</v>
      </c>
      <c r="G812" s="2" t="s">
        <v>30</v>
      </c>
      <c r="H812" s="2" t="s">
        <v>218</v>
      </c>
      <c r="I812" s="2" t="s">
        <v>219</v>
      </c>
      <c r="J812" s="2" t="s">
        <v>220</v>
      </c>
      <c r="K812" s="2" t="s">
        <v>267</v>
      </c>
      <c r="L812" s="3"/>
      <c r="M812" s="3">
        <v>40602</v>
      </c>
      <c r="N812" s="3">
        <v>40624</v>
      </c>
      <c r="O812" s="3">
        <v>40624</v>
      </c>
      <c r="P812" s="2" t="s">
        <v>112</v>
      </c>
      <c r="Q812" s="2" t="s">
        <v>113</v>
      </c>
      <c r="R812" s="2" t="s">
        <v>37</v>
      </c>
      <c r="S812" s="2" t="s">
        <v>114</v>
      </c>
      <c r="T812" s="2" t="s">
        <v>47</v>
      </c>
      <c r="U812" s="2">
        <v>60</v>
      </c>
      <c r="V812" s="2">
        <v>117367</v>
      </c>
      <c r="W812" s="2">
        <v>1316857.74</v>
      </c>
      <c r="X812" s="2">
        <v>11.22</v>
      </c>
      <c r="Y812" s="2">
        <v>0.19</v>
      </c>
      <c r="Z812" s="2">
        <v>17496</v>
      </c>
      <c r="AA812" s="2">
        <v>104604.06</v>
      </c>
      <c r="AB812">
        <v>0</v>
      </c>
      <c r="AC812">
        <v>2011</v>
      </c>
      <c r="AE812" s="2">
        <v>22299.73</v>
      </c>
    </row>
    <row r="813" spans="2:31" ht="14.5">
      <c r="B813" s="2">
        <v>82372</v>
      </c>
      <c r="C813" s="2" t="s">
        <v>1542</v>
      </c>
      <c r="D813" s="2" t="s">
        <v>1543</v>
      </c>
      <c r="E813" s="2" t="s">
        <v>118</v>
      </c>
      <c r="F813" s="2" t="s">
        <v>29</v>
      </c>
      <c r="G813" s="2" t="s">
        <v>50</v>
      </c>
      <c r="H813" s="2" t="s">
        <v>218</v>
      </c>
      <c r="I813" s="2" t="s">
        <v>219</v>
      </c>
      <c r="J813" s="2" t="s">
        <v>220</v>
      </c>
      <c r="K813" s="2" t="s">
        <v>34</v>
      </c>
      <c r="L813" s="3"/>
      <c r="M813" s="3">
        <v>40611</v>
      </c>
      <c r="N813" s="3">
        <v>40617</v>
      </c>
      <c r="O813" s="3">
        <v>40617</v>
      </c>
      <c r="P813" s="2" t="s">
        <v>740</v>
      </c>
      <c r="Q813" s="2" t="s">
        <v>36</v>
      </c>
      <c r="R813" s="2" t="s">
        <v>37</v>
      </c>
      <c r="S813" s="2" t="s">
        <v>226</v>
      </c>
      <c r="T813" s="2" t="s">
        <v>526</v>
      </c>
      <c r="U813" s="2">
        <v>240</v>
      </c>
      <c r="V813" s="2">
        <v>1000</v>
      </c>
      <c r="W813" s="2">
        <v>1950</v>
      </c>
      <c r="X813" s="2">
        <v>1.95</v>
      </c>
      <c r="Y813" s="2">
        <v>0.01</v>
      </c>
      <c r="Z813" s="2">
        <v>369</v>
      </c>
      <c r="AA813" s="2">
        <v>6218.58</v>
      </c>
      <c r="AB813">
        <v>0</v>
      </c>
      <c r="AC813">
        <v>2011</v>
      </c>
      <c r="AE813" s="2">
        <v>10</v>
      </c>
    </row>
    <row r="814" spans="2:31" ht="14.5">
      <c r="B814" s="2">
        <v>82373</v>
      </c>
      <c r="C814" s="2" t="s">
        <v>1544</v>
      </c>
      <c r="D814" s="2" t="s">
        <v>1545</v>
      </c>
      <c r="E814" s="2" t="s">
        <v>60</v>
      </c>
      <c r="F814" s="2" t="s">
        <v>29</v>
      </c>
      <c r="G814" s="2" t="s">
        <v>30</v>
      </c>
      <c r="H814" s="2" t="s">
        <v>218</v>
      </c>
      <c r="I814" s="2" t="s">
        <v>219</v>
      </c>
      <c r="J814" s="2" t="s">
        <v>220</v>
      </c>
      <c r="K814" s="2" t="s">
        <v>34</v>
      </c>
      <c r="L814" s="3"/>
      <c r="M814" s="3">
        <v>40663</v>
      </c>
      <c r="N814" s="3">
        <v>40620</v>
      </c>
      <c r="O814" s="3">
        <v>40620</v>
      </c>
      <c r="P814" s="2" t="s">
        <v>484</v>
      </c>
      <c r="Q814" s="2" t="s">
        <v>105</v>
      </c>
      <c r="R814" s="2" t="s">
        <v>37</v>
      </c>
      <c r="S814" s="2" t="s">
        <v>100</v>
      </c>
      <c r="T814" s="2" t="s">
        <v>39</v>
      </c>
      <c r="U814" s="2">
        <v>30</v>
      </c>
      <c r="V814" s="2">
        <v>6993</v>
      </c>
      <c r="W814" s="2">
        <v>45944.01</v>
      </c>
      <c r="X814" s="2">
        <v>6.57</v>
      </c>
      <c r="Y814" s="2">
        <v>0.22</v>
      </c>
      <c r="Z814" s="2">
        <v>629</v>
      </c>
      <c r="AA814" s="2">
        <v>4277.04</v>
      </c>
      <c r="AB814">
        <v>1</v>
      </c>
      <c r="AC814">
        <v>2011</v>
      </c>
      <c r="AE814" s="2">
        <v>1538.46</v>
      </c>
    </row>
    <row r="815" spans="2:31" ht="14.5">
      <c r="B815" s="2">
        <v>82381</v>
      </c>
      <c r="C815" s="2" t="s">
        <v>1546</v>
      </c>
      <c r="D815" s="2" t="s">
        <v>1547</v>
      </c>
      <c r="E815" s="2" t="s">
        <v>118</v>
      </c>
      <c r="F815" s="2" t="s">
        <v>29</v>
      </c>
      <c r="G815" s="2" t="s">
        <v>30</v>
      </c>
      <c r="H815" s="2" t="s">
        <v>218</v>
      </c>
      <c r="I815" s="2" t="s">
        <v>219</v>
      </c>
      <c r="J815" s="2" t="s">
        <v>220</v>
      </c>
      <c r="K815" s="2" t="s">
        <v>267</v>
      </c>
      <c r="L815" s="3"/>
      <c r="M815" s="3">
        <v>40674</v>
      </c>
      <c r="N815" s="3">
        <v>40687</v>
      </c>
      <c r="O815" s="3">
        <v>40687</v>
      </c>
      <c r="P815" s="2" t="s">
        <v>112</v>
      </c>
      <c r="Q815" s="2" t="s">
        <v>113</v>
      </c>
      <c r="R815" s="2" t="s">
        <v>37</v>
      </c>
      <c r="S815" s="2" t="s">
        <v>114</v>
      </c>
      <c r="T815" s="2" t="s">
        <v>47</v>
      </c>
      <c r="U815" s="2">
        <v>60</v>
      </c>
      <c r="V815" s="2">
        <v>100000</v>
      </c>
      <c r="W815" s="2">
        <v>1122000</v>
      </c>
      <c r="X815" s="2">
        <v>11.22</v>
      </c>
      <c r="Y815" s="2">
        <v>0.19</v>
      </c>
      <c r="Z815" s="2">
        <v>14983</v>
      </c>
      <c r="AA815" s="2">
        <v>78442.210000000006</v>
      </c>
      <c r="AB815">
        <v>0</v>
      </c>
      <c r="AC815">
        <v>2011</v>
      </c>
      <c r="AE815" s="2">
        <v>19000</v>
      </c>
    </row>
    <row r="816" spans="2:31" ht="14.5">
      <c r="B816" s="2">
        <v>82386</v>
      </c>
      <c r="C816" s="2" t="s">
        <v>1548</v>
      </c>
      <c r="D816" s="2" t="s">
        <v>1549</v>
      </c>
      <c r="E816" s="2" t="s">
        <v>60</v>
      </c>
      <c r="F816" s="2" t="s">
        <v>29</v>
      </c>
      <c r="G816" s="2" t="s">
        <v>30</v>
      </c>
      <c r="H816" s="2" t="s">
        <v>218</v>
      </c>
      <c r="I816" s="2" t="s">
        <v>219</v>
      </c>
      <c r="J816" s="2" t="s">
        <v>220</v>
      </c>
      <c r="K816" s="2" t="s">
        <v>34</v>
      </c>
      <c r="L816" s="3"/>
      <c r="M816" s="3">
        <v>40715</v>
      </c>
      <c r="N816" s="3">
        <v>40695</v>
      </c>
      <c r="O816" s="3">
        <v>40695</v>
      </c>
      <c r="P816" s="2" t="s">
        <v>706</v>
      </c>
      <c r="Q816" s="2" t="s">
        <v>707</v>
      </c>
      <c r="R816" s="2" t="s">
        <v>37</v>
      </c>
      <c r="S816" s="2" t="s">
        <v>708</v>
      </c>
      <c r="T816" s="2" t="s">
        <v>47</v>
      </c>
      <c r="U816" s="2">
        <v>30</v>
      </c>
      <c r="V816" s="2">
        <v>27558</v>
      </c>
      <c r="W816" s="2">
        <v>237825.54</v>
      </c>
      <c r="X816" s="2">
        <v>8.6300000000000008</v>
      </c>
      <c r="Y816" s="2">
        <v>0.28999999999999998</v>
      </c>
      <c r="AB816">
        <v>1</v>
      </c>
      <c r="AC816">
        <v>2011</v>
      </c>
      <c r="AE816" s="2">
        <v>7991.82</v>
      </c>
    </row>
    <row r="817" spans="2:31" ht="14.5">
      <c r="B817" s="2">
        <v>82392</v>
      </c>
      <c r="C817" s="2" t="s">
        <v>1550</v>
      </c>
      <c r="D817" s="2" t="s">
        <v>1551</v>
      </c>
      <c r="E817" s="2" t="s">
        <v>118</v>
      </c>
      <c r="F817" s="2" t="s">
        <v>29</v>
      </c>
      <c r="G817" s="2" t="s">
        <v>30</v>
      </c>
      <c r="H817" s="2" t="s">
        <v>218</v>
      </c>
      <c r="I817" s="2" t="s">
        <v>219</v>
      </c>
      <c r="J817" s="2" t="s">
        <v>220</v>
      </c>
      <c r="K817" s="2" t="s">
        <v>267</v>
      </c>
      <c r="L817" s="3"/>
      <c r="M817" s="3">
        <v>40760</v>
      </c>
      <c r="N817" s="3">
        <v>40760</v>
      </c>
      <c r="O817" s="3">
        <v>40760</v>
      </c>
      <c r="P817" s="2" t="s">
        <v>35</v>
      </c>
      <c r="Q817" s="2" t="s">
        <v>36</v>
      </c>
      <c r="R817" s="2" t="s">
        <v>37</v>
      </c>
      <c r="S817" s="2" t="s">
        <v>38</v>
      </c>
      <c r="T817" s="2" t="s">
        <v>39</v>
      </c>
      <c r="U817" s="2">
        <v>60</v>
      </c>
      <c r="V817" s="2">
        <v>451</v>
      </c>
      <c r="W817" s="2">
        <v>1132.01</v>
      </c>
      <c r="X817" s="2">
        <v>2.5099999999999998</v>
      </c>
      <c r="Y817" s="2">
        <v>0.04</v>
      </c>
      <c r="Z817" s="2">
        <v>698</v>
      </c>
      <c r="AA817" s="2">
        <v>3865.63</v>
      </c>
      <c r="AB817">
        <v>1</v>
      </c>
      <c r="AC817">
        <v>2011</v>
      </c>
      <c r="AE817" s="2">
        <v>18.04</v>
      </c>
    </row>
    <row r="818" spans="2:31" ht="14.5">
      <c r="B818" s="2">
        <v>82393</v>
      </c>
      <c r="C818" s="2" t="s">
        <v>1552</v>
      </c>
      <c r="D818" s="2" t="s">
        <v>1553</v>
      </c>
      <c r="E818" s="2" t="s">
        <v>118</v>
      </c>
      <c r="F818" s="2" t="s">
        <v>29</v>
      </c>
      <c r="G818" s="2" t="s">
        <v>30</v>
      </c>
      <c r="H818" s="2" t="s">
        <v>218</v>
      </c>
      <c r="I818" s="2" t="s">
        <v>219</v>
      </c>
      <c r="J818" s="2" t="s">
        <v>220</v>
      </c>
      <c r="K818" s="2" t="s">
        <v>267</v>
      </c>
      <c r="L818" s="3"/>
      <c r="M818" s="3">
        <v>40753</v>
      </c>
      <c r="N818" s="3">
        <v>40757</v>
      </c>
      <c r="O818" s="3">
        <v>40757</v>
      </c>
      <c r="P818" s="2" t="s">
        <v>44</v>
      </c>
      <c r="Q818" s="2" t="s">
        <v>45</v>
      </c>
      <c r="R818" s="2" t="s">
        <v>37</v>
      </c>
      <c r="S818" s="2" t="s">
        <v>46</v>
      </c>
      <c r="T818" s="2" t="s">
        <v>47</v>
      </c>
      <c r="U818" s="2">
        <v>60</v>
      </c>
      <c r="V818" s="2">
        <v>15107</v>
      </c>
      <c r="W818" s="2">
        <v>124783.82</v>
      </c>
      <c r="X818" s="2">
        <v>8.26</v>
      </c>
      <c r="Y818" s="2">
        <v>0.14000000000000001</v>
      </c>
      <c r="Z818" s="2">
        <v>1409</v>
      </c>
      <c r="AA818" s="2">
        <v>10928.52</v>
      </c>
      <c r="AB818">
        <v>0</v>
      </c>
      <c r="AC818">
        <v>2011</v>
      </c>
      <c r="AE818" s="2">
        <v>2114.98</v>
      </c>
    </row>
    <row r="819" spans="2:31" ht="14.5">
      <c r="B819" s="2">
        <v>82398</v>
      </c>
      <c r="C819" s="2" t="s">
        <v>1554</v>
      </c>
      <c r="D819" s="2" t="s">
        <v>1555</v>
      </c>
      <c r="E819" s="2" t="s">
        <v>118</v>
      </c>
      <c r="F819" s="2" t="s">
        <v>29</v>
      </c>
      <c r="G819" s="2" t="s">
        <v>30</v>
      </c>
      <c r="H819" s="2" t="s">
        <v>218</v>
      </c>
      <c r="I819" s="2" t="s">
        <v>219</v>
      </c>
      <c r="J819" s="2" t="s">
        <v>220</v>
      </c>
      <c r="K819" s="2" t="s">
        <v>34</v>
      </c>
      <c r="L819" s="3"/>
      <c r="M819" s="3">
        <v>40850</v>
      </c>
      <c r="N819" s="3">
        <v>40776</v>
      </c>
      <c r="O819" s="3">
        <v>40776</v>
      </c>
      <c r="P819" s="2" t="s">
        <v>484</v>
      </c>
      <c r="Q819" s="2" t="s">
        <v>105</v>
      </c>
      <c r="R819" s="2" t="s">
        <v>37</v>
      </c>
      <c r="S819" s="2" t="s">
        <v>100</v>
      </c>
      <c r="T819" s="2" t="s">
        <v>39</v>
      </c>
      <c r="U819" s="2">
        <v>30</v>
      </c>
      <c r="V819" s="2">
        <v>2447</v>
      </c>
      <c r="W819" s="2">
        <v>15709.74</v>
      </c>
      <c r="X819" s="2">
        <v>6.42</v>
      </c>
      <c r="Y819" s="2">
        <v>0.21</v>
      </c>
      <c r="Z819" s="2">
        <v>138</v>
      </c>
      <c r="AA819" s="2">
        <v>1812.94</v>
      </c>
      <c r="AB819">
        <v>1</v>
      </c>
      <c r="AC819">
        <v>2011</v>
      </c>
      <c r="AE819" s="2">
        <v>513.87</v>
      </c>
    </row>
    <row r="820" spans="2:31" ht="14.5">
      <c r="B820" s="2">
        <v>82399</v>
      </c>
      <c r="C820" s="2" t="s">
        <v>1556</v>
      </c>
      <c r="D820" s="2" t="s">
        <v>1557</v>
      </c>
      <c r="E820" s="2" t="s">
        <v>118</v>
      </c>
      <c r="F820" s="2" t="s">
        <v>29</v>
      </c>
      <c r="G820" s="2" t="s">
        <v>50</v>
      </c>
      <c r="H820" s="2" t="s">
        <v>218</v>
      </c>
      <c r="I820" s="2" t="s">
        <v>219</v>
      </c>
      <c r="J820" s="2" t="s">
        <v>220</v>
      </c>
      <c r="K820" s="2" t="s">
        <v>34</v>
      </c>
      <c r="L820" s="3"/>
      <c r="M820" s="3">
        <v>40786</v>
      </c>
      <c r="N820" s="3">
        <v>40800</v>
      </c>
      <c r="O820" s="3">
        <v>40800</v>
      </c>
      <c r="P820" s="2" t="s">
        <v>740</v>
      </c>
      <c r="Q820" s="2" t="s">
        <v>36</v>
      </c>
      <c r="R820" s="2" t="s">
        <v>37</v>
      </c>
      <c r="S820" s="2" t="s">
        <v>226</v>
      </c>
      <c r="T820" s="2" t="s">
        <v>526</v>
      </c>
      <c r="U820" s="2">
        <v>240</v>
      </c>
      <c r="V820" s="2">
        <v>11326</v>
      </c>
      <c r="W820" s="2">
        <v>22085.7</v>
      </c>
      <c r="X820" s="2">
        <v>1.95</v>
      </c>
      <c r="Y820" s="2">
        <v>0.01</v>
      </c>
      <c r="Z820" s="2">
        <v>4274</v>
      </c>
      <c r="AA820" s="2">
        <v>24213.81</v>
      </c>
      <c r="AB820">
        <v>0</v>
      </c>
      <c r="AC820">
        <v>2011</v>
      </c>
      <c r="AE820" s="2">
        <v>113.26</v>
      </c>
    </row>
    <row r="821" spans="2:31" ht="14.5">
      <c r="B821" s="2">
        <v>82411</v>
      </c>
      <c r="C821" s="2" t="s">
        <v>1558</v>
      </c>
      <c r="D821" s="2" t="s">
        <v>1559</v>
      </c>
      <c r="E821" s="2" t="s">
        <v>118</v>
      </c>
      <c r="F821" s="2" t="s">
        <v>29</v>
      </c>
      <c r="G821" s="2" t="s">
        <v>50</v>
      </c>
      <c r="H821" s="2" t="s">
        <v>218</v>
      </c>
      <c r="I821" s="2" t="s">
        <v>219</v>
      </c>
      <c r="J821" s="2" t="s">
        <v>220</v>
      </c>
      <c r="K821" s="2" t="s">
        <v>34</v>
      </c>
      <c r="L821" s="3"/>
      <c r="M821" s="3">
        <v>40846</v>
      </c>
      <c r="N821" s="3">
        <v>40848</v>
      </c>
      <c r="O821" s="3">
        <v>40848</v>
      </c>
      <c r="P821" s="2" t="s">
        <v>740</v>
      </c>
      <c r="Q821" s="2" t="s">
        <v>36</v>
      </c>
      <c r="R821" s="2" t="s">
        <v>37</v>
      </c>
      <c r="S821" s="2" t="s">
        <v>226</v>
      </c>
      <c r="T821" s="2" t="s">
        <v>526</v>
      </c>
      <c r="U821" s="2">
        <v>240</v>
      </c>
      <c r="V821" s="2">
        <v>13993</v>
      </c>
      <c r="W821" s="2">
        <v>27286.35</v>
      </c>
      <c r="X821" s="2">
        <v>1.95</v>
      </c>
      <c r="Y821" s="2">
        <v>0.01</v>
      </c>
      <c r="Z821" s="2">
        <v>5262</v>
      </c>
      <c r="AA821" s="2">
        <v>27823.07</v>
      </c>
      <c r="AB821">
        <v>0</v>
      </c>
      <c r="AC821">
        <v>2011</v>
      </c>
      <c r="AE821" s="2">
        <v>139.93</v>
      </c>
    </row>
    <row r="822" spans="2:31" ht="14.5">
      <c r="B822" s="2">
        <v>82412</v>
      </c>
      <c r="C822" s="2" t="s">
        <v>1560</v>
      </c>
      <c r="D822" s="2" t="s">
        <v>1561</v>
      </c>
      <c r="E822" s="2" t="s">
        <v>28</v>
      </c>
      <c r="F822" s="2" t="s">
        <v>29</v>
      </c>
      <c r="G822" s="2" t="s">
        <v>30</v>
      </c>
      <c r="H822" s="2" t="s">
        <v>218</v>
      </c>
      <c r="I822" s="2" t="s">
        <v>219</v>
      </c>
      <c r="J822" s="2" t="s">
        <v>220</v>
      </c>
      <c r="K822" s="2" t="s">
        <v>34</v>
      </c>
      <c r="L822" s="3"/>
      <c r="M822" s="3">
        <v>40876</v>
      </c>
      <c r="N822" s="3">
        <v>40876</v>
      </c>
      <c r="O822" s="3">
        <v>40876</v>
      </c>
      <c r="P822" s="2" t="s">
        <v>749</v>
      </c>
      <c r="Q822" s="2" t="s">
        <v>76</v>
      </c>
      <c r="R822" s="2" t="s">
        <v>37</v>
      </c>
      <c r="S822" s="2" t="s">
        <v>78</v>
      </c>
      <c r="T822" s="2" t="s">
        <v>47</v>
      </c>
      <c r="U822" s="2">
        <v>30</v>
      </c>
      <c r="V822" s="2">
        <v>4163</v>
      </c>
      <c r="W822" s="2">
        <v>82926.960000000006</v>
      </c>
      <c r="X822" s="2">
        <v>19.920000000000002</v>
      </c>
      <c r="Y822" s="2">
        <v>0.66</v>
      </c>
      <c r="Z822" s="2">
        <v>483</v>
      </c>
      <c r="AA822" s="2">
        <v>2367.4</v>
      </c>
      <c r="AB822">
        <v>1</v>
      </c>
      <c r="AC822">
        <v>2011</v>
      </c>
      <c r="AE822" s="2">
        <v>2747.58</v>
      </c>
    </row>
    <row r="823" spans="2:31" ht="14.5">
      <c r="B823" s="2">
        <v>82420</v>
      </c>
      <c r="C823" s="2" t="s">
        <v>1562</v>
      </c>
      <c r="D823" s="2" t="s">
        <v>1563</v>
      </c>
      <c r="E823" s="2" t="s">
        <v>28</v>
      </c>
      <c r="F823" s="2" t="s">
        <v>29</v>
      </c>
      <c r="G823" s="2" t="s">
        <v>50</v>
      </c>
      <c r="H823" s="2" t="s">
        <v>218</v>
      </c>
      <c r="I823" s="2" t="s">
        <v>219</v>
      </c>
      <c r="J823" s="2" t="s">
        <v>220</v>
      </c>
      <c r="K823" s="2" t="s">
        <v>34</v>
      </c>
      <c r="L823" s="3"/>
      <c r="M823" s="3">
        <v>40938</v>
      </c>
      <c r="N823" s="3">
        <v>40899</v>
      </c>
      <c r="O823" s="3">
        <v>40899</v>
      </c>
      <c r="P823" s="2" t="s">
        <v>1564</v>
      </c>
      <c r="Q823" s="2" t="s">
        <v>99</v>
      </c>
      <c r="R823" s="2" t="s">
        <v>37</v>
      </c>
      <c r="S823" s="2" t="s">
        <v>172</v>
      </c>
      <c r="T823" s="2" t="s">
        <v>87</v>
      </c>
      <c r="U823" s="2">
        <v>240</v>
      </c>
      <c r="V823" s="2">
        <v>2335</v>
      </c>
      <c r="W823" s="2">
        <v>29187.5</v>
      </c>
      <c r="X823" s="2">
        <v>12.5</v>
      </c>
      <c r="Y823" s="2">
        <v>0.05</v>
      </c>
      <c r="Z823" s="2">
        <v>9523</v>
      </c>
      <c r="AB823">
        <v>1</v>
      </c>
      <c r="AC823">
        <v>2011</v>
      </c>
      <c r="AE823" s="2">
        <v>116.75</v>
      </c>
    </row>
    <row r="824" spans="2:31" ht="14.5">
      <c r="B824" s="2">
        <v>82421</v>
      </c>
      <c r="C824" s="2" t="s">
        <v>1565</v>
      </c>
      <c r="D824" s="2" t="s">
        <v>1566</v>
      </c>
      <c r="E824" s="2" t="s">
        <v>28</v>
      </c>
      <c r="F824" s="2" t="s">
        <v>29</v>
      </c>
      <c r="G824" s="2" t="s">
        <v>30</v>
      </c>
      <c r="H824" s="2" t="s">
        <v>218</v>
      </c>
      <c r="I824" s="2" t="s">
        <v>219</v>
      </c>
      <c r="J824" s="2" t="s">
        <v>220</v>
      </c>
      <c r="K824" s="2" t="s">
        <v>34</v>
      </c>
      <c r="L824" s="3"/>
      <c r="M824" s="3">
        <v>40939</v>
      </c>
      <c r="N824" s="3">
        <v>40899</v>
      </c>
      <c r="O824" s="3">
        <v>40899</v>
      </c>
      <c r="P824" s="2" t="s">
        <v>749</v>
      </c>
      <c r="Q824" s="2" t="s">
        <v>76</v>
      </c>
      <c r="R824" s="2" t="s">
        <v>37</v>
      </c>
      <c r="S824" s="2" t="s">
        <v>78</v>
      </c>
      <c r="T824" s="2" t="s">
        <v>47</v>
      </c>
      <c r="U824" s="2">
        <v>30</v>
      </c>
      <c r="V824" s="2">
        <v>11723</v>
      </c>
      <c r="W824" s="2">
        <v>233522.16</v>
      </c>
      <c r="X824" s="2">
        <v>19.920000000000002</v>
      </c>
      <c r="Y824" s="2">
        <v>0.66</v>
      </c>
      <c r="Z824" s="2">
        <v>1305</v>
      </c>
      <c r="AB824">
        <v>1</v>
      </c>
      <c r="AC824">
        <v>2011</v>
      </c>
      <c r="AE824" s="2">
        <v>7737.18</v>
      </c>
    </row>
    <row r="825" spans="2:31" ht="14.5">
      <c r="B825" s="2">
        <v>82430</v>
      </c>
      <c r="C825" s="2" t="s">
        <v>1567</v>
      </c>
      <c r="D825" s="2" t="s">
        <v>1568</v>
      </c>
      <c r="E825" s="2" t="s">
        <v>28</v>
      </c>
      <c r="F825" s="2" t="s">
        <v>29</v>
      </c>
      <c r="G825" s="2" t="s">
        <v>30</v>
      </c>
      <c r="H825" s="2" t="s">
        <v>218</v>
      </c>
      <c r="I825" s="2" t="s">
        <v>219</v>
      </c>
      <c r="J825" s="2" t="s">
        <v>220</v>
      </c>
      <c r="K825" s="2" t="s">
        <v>267</v>
      </c>
      <c r="L825" s="3"/>
      <c r="M825" s="3">
        <v>40968</v>
      </c>
      <c r="N825" s="3">
        <v>40944</v>
      </c>
      <c r="O825" s="3">
        <v>40944</v>
      </c>
      <c r="P825" s="2" t="s">
        <v>95</v>
      </c>
      <c r="Q825" s="2" t="s">
        <v>96</v>
      </c>
      <c r="R825" s="2" t="s">
        <v>37</v>
      </c>
      <c r="S825" s="2" t="s">
        <v>97</v>
      </c>
      <c r="T825" s="2" t="s">
        <v>39</v>
      </c>
      <c r="U825" s="2">
        <v>30</v>
      </c>
      <c r="V825" s="2">
        <v>200693</v>
      </c>
      <c r="W825" s="2">
        <v>846924.46</v>
      </c>
      <c r="X825" s="2">
        <v>4.22</v>
      </c>
      <c r="Y825" s="2">
        <v>0.14000000000000001</v>
      </c>
      <c r="Z825" s="2">
        <v>17947</v>
      </c>
      <c r="AB825">
        <v>1</v>
      </c>
      <c r="AC825">
        <v>2012</v>
      </c>
      <c r="AE825" s="2">
        <v>28097.020000000004</v>
      </c>
    </row>
    <row r="826" spans="2:31" ht="14.5">
      <c r="B826" s="2">
        <v>82449</v>
      </c>
      <c r="C826" s="2" t="s">
        <v>1569</v>
      </c>
      <c r="D826" s="2" t="s">
        <v>1570</v>
      </c>
      <c r="E826" s="2" t="s">
        <v>28</v>
      </c>
      <c r="F826" s="2" t="s">
        <v>29</v>
      </c>
      <c r="G826" s="2" t="s">
        <v>50</v>
      </c>
      <c r="H826" s="2" t="s">
        <v>218</v>
      </c>
      <c r="I826" s="2" t="s">
        <v>219</v>
      </c>
      <c r="J826" s="2" t="s">
        <v>220</v>
      </c>
      <c r="K826" s="2" t="s">
        <v>267</v>
      </c>
      <c r="L826" s="3"/>
      <c r="M826" s="3">
        <v>40983</v>
      </c>
      <c r="N826" s="3">
        <v>40980</v>
      </c>
      <c r="O826" s="3">
        <v>40980</v>
      </c>
      <c r="P826" s="2" t="s">
        <v>722</v>
      </c>
      <c r="Q826" s="2" t="s">
        <v>96</v>
      </c>
      <c r="R826" s="2" t="s">
        <v>37</v>
      </c>
      <c r="S826" s="2" t="s">
        <v>179</v>
      </c>
      <c r="T826" s="2" t="s">
        <v>64</v>
      </c>
      <c r="U826" s="2">
        <v>30</v>
      </c>
      <c r="V826" s="2">
        <v>18732</v>
      </c>
      <c r="W826" s="2">
        <v>41959.68</v>
      </c>
      <c r="X826" s="2">
        <v>2.2400000000000002</v>
      </c>
      <c r="Y826" s="2">
        <v>7.0000000000000007E-2</v>
      </c>
      <c r="Z826" s="2">
        <v>1090</v>
      </c>
      <c r="AA826" s="2">
        <v>1698.83</v>
      </c>
      <c r="AB826">
        <v>1</v>
      </c>
      <c r="AC826">
        <v>2012</v>
      </c>
      <c r="AE826" s="2">
        <v>1311.2400000000002</v>
      </c>
    </row>
    <row r="827" spans="2:31" ht="14.5">
      <c r="B827" s="2">
        <v>82451</v>
      </c>
      <c r="C827" s="2" t="s">
        <v>1571</v>
      </c>
      <c r="D827" s="2" t="s">
        <v>1572</v>
      </c>
      <c r="E827" s="2" t="s">
        <v>28</v>
      </c>
      <c r="F827" s="2" t="s">
        <v>29</v>
      </c>
      <c r="G827" s="2" t="s">
        <v>50</v>
      </c>
      <c r="H827" s="2" t="s">
        <v>218</v>
      </c>
      <c r="I827" s="2" t="s">
        <v>219</v>
      </c>
      <c r="J827" s="2" t="s">
        <v>220</v>
      </c>
      <c r="K827" s="2" t="s">
        <v>267</v>
      </c>
      <c r="L827" s="3"/>
      <c r="M827" s="3">
        <v>40983</v>
      </c>
      <c r="N827" s="3">
        <v>40980</v>
      </c>
      <c r="O827" s="3">
        <v>40980</v>
      </c>
      <c r="P827" s="2" t="s">
        <v>1564</v>
      </c>
      <c r="Q827" s="2" t="s">
        <v>99</v>
      </c>
      <c r="R827" s="2" t="s">
        <v>37</v>
      </c>
      <c r="S827" s="2" t="s">
        <v>172</v>
      </c>
      <c r="T827" s="2" t="s">
        <v>87</v>
      </c>
      <c r="U827" s="2">
        <v>240</v>
      </c>
      <c r="V827" s="2">
        <v>2176</v>
      </c>
      <c r="W827" s="2">
        <v>27200</v>
      </c>
      <c r="X827" s="2">
        <v>12.5</v>
      </c>
      <c r="Y827" s="2">
        <v>0.05</v>
      </c>
      <c r="Z827" s="2">
        <v>821</v>
      </c>
      <c r="AA827" s="2">
        <v>1698.83</v>
      </c>
      <c r="AB827">
        <v>1</v>
      </c>
      <c r="AC827">
        <v>2012</v>
      </c>
      <c r="AE827" s="2">
        <v>108.80000000000001</v>
      </c>
    </row>
    <row r="828" spans="2:31" ht="14.5">
      <c r="B828" s="2">
        <v>82453</v>
      </c>
      <c r="C828" s="2" t="s">
        <v>1573</v>
      </c>
      <c r="D828" s="2" t="s">
        <v>1574</v>
      </c>
      <c r="E828" s="2" t="s">
        <v>28</v>
      </c>
      <c r="F828" s="2" t="s">
        <v>29</v>
      </c>
      <c r="G828" s="2" t="s">
        <v>30</v>
      </c>
      <c r="H828" s="2" t="s">
        <v>218</v>
      </c>
      <c r="I828" s="2" t="s">
        <v>219</v>
      </c>
      <c r="J828" s="2" t="s">
        <v>220</v>
      </c>
      <c r="K828" s="2" t="s">
        <v>267</v>
      </c>
      <c r="L828" s="3"/>
      <c r="M828" s="3">
        <v>41005</v>
      </c>
      <c r="N828" s="3">
        <v>40953</v>
      </c>
      <c r="O828" s="3">
        <v>40953</v>
      </c>
      <c r="P828" s="2" t="s">
        <v>333</v>
      </c>
      <c r="Q828" s="2" t="s">
        <v>225</v>
      </c>
      <c r="R828" s="2" t="s">
        <v>37</v>
      </c>
      <c r="S828" s="2" t="s">
        <v>100</v>
      </c>
      <c r="T828" s="2" t="s">
        <v>39</v>
      </c>
      <c r="U828" s="2">
        <v>60</v>
      </c>
      <c r="V828" s="2">
        <v>150000</v>
      </c>
      <c r="W828" s="2">
        <v>1053000</v>
      </c>
      <c r="X828" s="2">
        <v>7.02</v>
      </c>
      <c r="Y828" s="2">
        <v>0.12</v>
      </c>
      <c r="Z828" s="2">
        <v>10142</v>
      </c>
      <c r="AA828" s="2">
        <v>7651.59</v>
      </c>
      <c r="AB828">
        <v>1</v>
      </c>
      <c r="AC828">
        <v>2012</v>
      </c>
      <c r="AE828" s="2">
        <v>18000</v>
      </c>
    </row>
    <row r="829" spans="2:31" ht="14.5">
      <c r="B829" s="2">
        <v>82457</v>
      </c>
      <c r="C829" s="2" t="s">
        <v>2822</v>
      </c>
      <c r="D829" s="2" t="s">
        <v>2823</v>
      </c>
      <c r="E829" s="2" t="s">
        <v>2817</v>
      </c>
      <c r="F829" s="2" t="s">
        <v>29</v>
      </c>
      <c r="G829" s="2" t="s">
        <v>30</v>
      </c>
      <c r="H829" s="2" t="s">
        <v>218</v>
      </c>
      <c r="I829" s="2" t="s">
        <v>219</v>
      </c>
      <c r="J829" s="2" t="s">
        <v>220</v>
      </c>
      <c r="K829" s="2" t="s">
        <v>34</v>
      </c>
      <c r="L829" s="3"/>
      <c r="M829" s="3">
        <v>40989</v>
      </c>
      <c r="N829" s="3">
        <v>40976</v>
      </c>
      <c r="O829" s="3">
        <v>40976</v>
      </c>
      <c r="P829" s="2" t="s">
        <v>333</v>
      </c>
      <c r="Q829" s="2" t="s">
        <v>225</v>
      </c>
      <c r="R829" s="2" t="s">
        <v>37</v>
      </c>
      <c r="S829" s="2" t="s">
        <v>100</v>
      </c>
      <c r="T829" s="2" t="s">
        <v>39</v>
      </c>
      <c r="U829" s="2">
        <v>60</v>
      </c>
      <c r="V829" s="2">
        <v>6200</v>
      </c>
      <c r="W829" s="2">
        <v>43524</v>
      </c>
      <c r="X829" s="2">
        <v>7.02</v>
      </c>
      <c r="Y829" s="2">
        <v>0.12</v>
      </c>
      <c r="Z829" s="2">
        <v>2652</v>
      </c>
      <c r="AA829" s="2">
        <v>22788.95</v>
      </c>
      <c r="AB829">
        <v>1</v>
      </c>
      <c r="AC829">
        <v>2012</v>
      </c>
      <c r="AE829" s="2">
        <v>744</v>
      </c>
    </row>
    <row r="830" spans="2:31" ht="14.5">
      <c r="B830" s="2">
        <v>82458</v>
      </c>
      <c r="C830" s="2" t="s">
        <v>2822</v>
      </c>
      <c r="D830" s="2" t="s">
        <v>2823</v>
      </c>
      <c r="E830" s="2" t="s">
        <v>2817</v>
      </c>
      <c r="F830" s="2" t="s">
        <v>29</v>
      </c>
      <c r="G830" s="2" t="s">
        <v>30</v>
      </c>
      <c r="H830" s="2" t="s">
        <v>218</v>
      </c>
      <c r="I830" s="2" t="s">
        <v>219</v>
      </c>
      <c r="J830" s="2" t="s">
        <v>220</v>
      </c>
      <c r="K830" s="2" t="s">
        <v>34</v>
      </c>
      <c r="L830" s="3"/>
      <c r="M830" s="3">
        <v>40989</v>
      </c>
      <c r="N830" s="3">
        <v>40976</v>
      </c>
      <c r="O830" s="3">
        <v>40976</v>
      </c>
      <c r="P830" s="2" t="s">
        <v>44</v>
      </c>
      <c r="Q830" s="2" t="s">
        <v>45</v>
      </c>
      <c r="R830" s="2" t="s">
        <v>37</v>
      </c>
      <c r="S830" s="2" t="s">
        <v>46</v>
      </c>
      <c r="T830" s="2" t="s">
        <v>47</v>
      </c>
      <c r="U830" s="2">
        <v>60</v>
      </c>
      <c r="V830" s="2">
        <v>250</v>
      </c>
      <c r="W830" s="2">
        <v>2065</v>
      </c>
      <c r="X830" s="2">
        <v>8.26</v>
      </c>
      <c r="Y830" s="2">
        <v>0.14000000000000001</v>
      </c>
      <c r="AB830">
        <v>1</v>
      </c>
      <c r="AC830">
        <v>2012</v>
      </c>
      <c r="AE830" s="2">
        <v>35</v>
      </c>
    </row>
    <row r="831" spans="2:31" ht="14.5">
      <c r="B831" s="2">
        <v>82462</v>
      </c>
      <c r="C831" s="2" t="s">
        <v>1575</v>
      </c>
      <c r="D831" s="2" t="s">
        <v>1576</v>
      </c>
      <c r="E831" s="2" t="s">
        <v>118</v>
      </c>
      <c r="F831" s="2" t="s">
        <v>29</v>
      </c>
      <c r="G831" s="2" t="s">
        <v>30</v>
      </c>
      <c r="H831" s="2" t="s">
        <v>218</v>
      </c>
      <c r="I831" s="2" t="s">
        <v>219</v>
      </c>
      <c r="J831" s="2" t="s">
        <v>220</v>
      </c>
      <c r="K831" s="2" t="s">
        <v>267</v>
      </c>
      <c r="L831" s="3"/>
      <c r="M831" s="3">
        <v>41023</v>
      </c>
      <c r="N831" s="3">
        <v>40966</v>
      </c>
      <c r="O831" s="3">
        <v>40966</v>
      </c>
      <c r="P831" s="2" t="s">
        <v>112</v>
      </c>
      <c r="Q831" s="2" t="s">
        <v>113</v>
      </c>
      <c r="R831" s="2" t="s">
        <v>37</v>
      </c>
      <c r="S831" s="2" t="s">
        <v>114</v>
      </c>
      <c r="T831" s="2" t="s">
        <v>47</v>
      </c>
      <c r="U831" s="2">
        <v>60</v>
      </c>
      <c r="V831" s="2">
        <v>5525</v>
      </c>
      <c r="W831" s="2">
        <v>60775</v>
      </c>
      <c r="X831" s="2">
        <v>11</v>
      </c>
      <c r="Y831" s="2">
        <v>0.18</v>
      </c>
      <c r="Z831" s="2">
        <v>1414</v>
      </c>
      <c r="AA831" s="2">
        <v>4054.19</v>
      </c>
      <c r="AB831">
        <v>1</v>
      </c>
      <c r="AC831">
        <v>2012</v>
      </c>
      <c r="AE831" s="2">
        <v>994.5</v>
      </c>
    </row>
    <row r="832" spans="2:31" ht="14.5">
      <c r="B832" s="2">
        <v>82463</v>
      </c>
      <c r="C832" s="2" t="s">
        <v>1575</v>
      </c>
      <c r="D832" s="2" t="s">
        <v>1576</v>
      </c>
      <c r="E832" s="2" t="s">
        <v>118</v>
      </c>
      <c r="F832" s="2" t="s">
        <v>29</v>
      </c>
      <c r="G832" s="2" t="s">
        <v>30</v>
      </c>
      <c r="H832" s="2" t="s">
        <v>218</v>
      </c>
      <c r="I832" s="2" t="s">
        <v>219</v>
      </c>
      <c r="J832" s="2" t="s">
        <v>220</v>
      </c>
      <c r="K832" s="2" t="s">
        <v>267</v>
      </c>
      <c r="L832" s="3"/>
      <c r="M832" s="3">
        <v>41023</v>
      </c>
      <c r="N832" s="3">
        <v>40966</v>
      </c>
      <c r="O832" s="3">
        <v>40966</v>
      </c>
      <c r="P832" s="2" t="s">
        <v>706</v>
      </c>
      <c r="Q832" s="2" t="s">
        <v>707</v>
      </c>
      <c r="R832" s="2" t="s">
        <v>37</v>
      </c>
      <c r="S832" s="2" t="s">
        <v>708</v>
      </c>
      <c r="T832" s="2" t="s">
        <v>47</v>
      </c>
      <c r="U832" s="2">
        <v>30</v>
      </c>
      <c r="V832" s="2">
        <v>3900</v>
      </c>
      <c r="W832" s="2">
        <v>23712</v>
      </c>
      <c r="X832" s="2">
        <v>6.08</v>
      </c>
      <c r="Y832" s="2">
        <v>0.2</v>
      </c>
      <c r="AB832">
        <v>1</v>
      </c>
      <c r="AC832">
        <v>2012</v>
      </c>
      <c r="AE832" s="2">
        <v>780</v>
      </c>
    </row>
    <row r="833" spans="2:31" ht="14.5">
      <c r="B833" s="2">
        <v>82464</v>
      </c>
      <c r="C833" s="2" t="s">
        <v>1575</v>
      </c>
      <c r="D833" s="2" t="s">
        <v>1576</v>
      </c>
      <c r="E833" s="2" t="s">
        <v>118</v>
      </c>
      <c r="F833" s="2" t="s">
        <v>29</v>
      </c>
      <c r="G833" s="2" t="s">
        <v>30</v>
      </c>
      <c r="H833" s="2" t="s">
        <v>218</v>
      </c>
      <c r="I833" s="2" t="s">
        <v>219</v>
      </c>
      <c r="J833" s="2" t="s">
        <v>220</v>
      </c>
      <c r="K833" s="2" t="s">
        <v>267</v>
      </c>
      <c r="L833" s="3"/>
      <c r="M833" s="3">
        <v>41023</v>
      </c>
      <c r="N833" s="3">
        <v>40966</v>
      </c>
      <c r="O833" s="3">
        <v>40966</v>
      </c>
      <c r="P833" s="2" t="s">
        <v>35</v>
      </c>
      <c r="Q833" s="2" t="s">
        <v>36</v>
      </c>
      <c r="R833" s="2" t="s">
        <v>37</v>
      </c>
      <c r="S833" s="2" t="s">
        <v>38</v>
      </c>
      <c r="T833" s="2" t="s">
        <v>39</v>
      </c>
      <c r="U833" s="2">
        <v>60</v>
      </c>
      <c r="V833" s="2">
        <v>1700</v>
      </c>
      <c r="W833" s="2">
        <v>4267</v>
      </c>
      <c r="X833" s="2">
        <v>2.5099999999999998</v>
      </c>
      <c r="Y833" s="2">
        <v>0.04</v>
      </c>
      <c r="AB833">
        <v>1</v>
      </c>
      <c r="AC833">
        <v>2012</v>
      </c>
      <c r="AE833" s="2">
        <v>68</v>
      </c>
    </row>
    <row r="834" spans="2:31" ht="14.5">
      <c r="B834" s="2">
        <v>82465</v>
      </c>
      <c r="C834" s="2" t="s">
        <v>1577</v>
      </c>
      <c r="D834" s="2" t="s">
        <v>1578</v>
      </c>
      <c r="E834" s="2" t="s">
        <v>28</v>
      </c>
      <c r="F834" s="2" t="s">
        <v>29</v>
      </c>
      <c r="G834" s="2" t="s">
        <v>30</v>
      </c>
      <c r="H834" s="2" t="s">
        <v>218</v>
      </c>
      <c r="I834" s="2" t="s">
        <v>219</v>
      </c>
      <c r="J834" s="2" t="s">
        <v>220</v>
      </c>
      <c r="K834" s="2" t="s">
        <v>267</v>
      </c>
      <c r="L834" s="3"/>
      <c r="M834" s="3">
        <v>41033</v>
      </c>
      <c r="N834" s="3">
        <v>41010</v>
      </c>
      <c r="O834" s="3">
        <v>41010</v>
      </c>
      <c r="P834" s="2" t="s">
        <v>44</v>
      </c>
      <c r="Q834" s="2" t="s">
        <v>45</v>
      </c>
      <c r="R834" s="2" t="s">
        <v>37</v>
      </c>
      <c r="S834" s="2" t="s">
        <v>46</v>
      </c>
      <c r="T834" s="2" t="s">
        <v>47</v>
      </c>
      <c r="U834" s="2">
        <v>60</v>
      </c>
      <c r="V834" s="2">
        <v>22340</v>
      </c>
      <c r="W834" s="2">
        <v>184528.4</v>
      </c>
      <c r="X834" s="2">
        <v>8.26</v>
      </c>
      <c r="Y834" s="2">
        <v>0.14000000000000001</v>
      </c>
      <c r="Z834" s="2">
        <v>20975</v>
      </c>
      <c r="AA834" s="2">
        <v>3279.25</v>
      </c>
      <c r="AB834">
        <v>1</v>
      </c>
      <c r="AC834">
        <v>2012</v>
      </c>
      <c r="AE834" s="2">
        <v>3127.6000000000004</v>
      </c>
    </row>
    <row r="835" spans="2:31" ht="14.5">
      <c r="B835" s="2">
        <v>82468</v>
      </c>
      <c r="C835" s="2" t="s">
        <v>1579</v>
      </c>
      <c r="D835" s="2" t="s">
        <v>1580</v>
      </c>
      <c r="E835" s="2" t="s">
        <v>1581</v>
      </c>
      <c r="F835" s="2" t="s">
        <v>29</v>
      </c>
      <c r="G835" s="2" t="s">
        <v>30</v>
      </c>
      <c r="H835" s="2" t="s">
        <v>218</v>
      </c>
      <c r="I835" s="2" t="s">
        <v>219</v>
      </c>
      <c r="J835" s="2" t="s">
        <v>220</v>
      </c>
      <c r="K835" s="2" t="s">
        <v>34</v>
      </c>
      <c r="L835" s="3"/>
      <c r="M835" s="3">
        <v>41025</v>
      </c>
      <c r="N835" s="3">
        <v>41029</v>
      </c>
      <c r="O835" s="3">
        <v>41029</v>
      </c>
      <c r="P835" s="2" t="s">
        <v>98</v>
      </c>
      <c r="Q835" s="2" t="s">
        <v>99</v>
      </c>
      <c r="R835" s="2" t="s">
        <v>37</v>
      </c>
      <c r="S835" s="2" t="s">
        <v>100</v>
      </c>
      <c r="T835" s="2" t="s">
        <v>39</v>
      </c>
      <c r="U835" s="2">
        <v>60</v>
      </c>
      <c r="V835" s="2">
        <v>350</v>
      </c>
      <c r="W835" s="2">
        <v>4602.5</v>
      </c>
      <c r="X835" s="2">
        <v>13.15</v>
      </c>
      <c r="Y835" s="2">
        <v>0.22</v>
      </c>
      <c r="Z835" s="2">
        <v>36</v>
      </c>
      <c r="AA835" s="2">
        <v>1188.75</v>
      </c>
      <c r="AB835">
        <v>0</v>
      </c>
      <c r="AC835">
        <v>2012</v>
      </c>
      <c r="AE835" s="2">
        <v>77</v>
      </c>
    </row>
    <row r="836" spans="2:31" ht="14.5">
      <c r="B836" s="2">
        <v>82471</v>
      </c>
      <c r="C836" s="2" t="s">
        <v>1582</v>
      </c>
      <c r="D836" s="2" t="s">
        <v>1583</v>
      </c>
      <c r="E836" s="2" t="s">
        <v>118</v>
      </c>
      <c r="F836" s="2" t="s">
        <v>29</v>
      </c>
      <c r="G836" s="2" t="s">
        <v>30</v>
      </c>
      <c r="H836" s="2" t="s">
        <v>218</v>
      </c>
      <c r="I836" s="2" t="s">
        <v>219</v>
      </c>
      <c r="J836" s="2" t="s">
        <v>220</v>
      </c>
      <c r="K836" s="2" t="s">
        <v>267</v>
      </c>
      <c r="L836" s="3"/>
      <c r="M836" s="3">
        <v>41093</v>
      </c>
      <c r="N836" s="3">
        <v>41047</v>
      </c>
      <c r="O836" s="3">
        <v>41047</v>
      </c>
      <c r="P836" s="2" t="s">
        <v>706</v>
      </c>
      <c r="Q836" s="2" t="s">
        <v>707</v>
      </c>
      <c r="R836" s="2" t="s">
        <v>37</v>
      </c>
      <c r="S836" s="2" t="s">
        <v>708</v>
      </c>
      <c r="T836" s="2" t="s">
        <v>47</v>
      </c>
      <c r="U836" s="2">
        <v>30</v>
      </c>
      <c r="V836" s="2">
        <v>1500</v>
      </c>
      <c r="W836" s="2">
        <v>8310</v>
      </c>
      <c r="X836" s="2">
        <v>5.54</v>
      </c>
      <c r="Y836" s="2">
        <v>0.18</v>
      </c>
      <c r="Z836" s="2">
        <v>729</v>
      </c>
      <c r="AA836" s="2">
        <v>3758.4</v>
      </c>
      <c r="AB836">
        <v>1</v>
      </c>
      <c r="AC836">
        <v>2012</v>
      </c>
      <c r="AE836" s="2">
        <v>270</v>
      </c>
    </row>
    <row r="837" spans="2:31" ht="14.5">
      <c r="B837" s="2">
        <v>82472</v>
      </c>
      <c r="C837" s="2" t="s">
        <v>1582</v>
      </c>
      <c r="D837" s="2" t="s">
        <v>1583</v>
      </c>
      <c r="E837" s="2" t="s">
        <v>118</v>
      </c>
      <c r="F837" s="2" t="s">
        <v>29</v>
      </c>
      <c r="G837" s="2" t="s">
        <v>30</v>
      </c>
      <c r="H837" s="2" t="s">
        <v>218</v>
      </c>
      <c r="I837" s="2" t="s">
        <v>219</v>
      </c>
      <c r="J837" s="2" t="s">
        <v>220</v>
      </c>
      <c r="K837" s="2" t="s">
        <v>267</v>
      </c>
      <c r="L837" s="3"/>
      <c r="M837" s="3">
        <v>41093</v>
      </c>
      <c r="N837" s="3">
        <v>41047</v>
      </c>
      <c r="O837" s="3">
        <v>41047</v>
      </c>
      <c r="P837" s="2" t="s">
        <v>35</v>
      </c>
      <c r="Q837" s="2" t="s">
        <v>36</v>
      </c>
      <c r="R837" s="2" t="s">
        <v>37</v>
      </c>
      <c r="S837" s="2" t="s">
        <v>38</v>
      </c>
      <c r="T837" s="2" t="s">
        <v>39</v>
      </c>
      <c r="U837" s="2">
        <v>60</v>
      </c>
      <c r="V837" s="2">
        <v>750</v>
      </c>
      <c r="W837" s="2">
        <v>1830</v>
      </c>
      <c r="X837" s="2">
        <v>2.44</v>
      </c>
      <c r="Y837" s="2">
        <v>0.04</v>
      </c>
      <c r="AB837">
        <v>1</v>
      </c>
      <c r="AC837">
        <v>2012</v>
      </c>
      <c r="AE837" s="2">
        <v>30</v>
      </c>
    </row>
    <row r="838" spans="2:31" ht="14.5">
      <c r="B838" s="2">
        <v>82473</v>
      </c>
      <c r="C838" s="2" t="s">
        <v>1584</v>
      </c>
      <c r="D838" s="2" t="s">
        <v>1585</v>
      </c>
      <c r="E838" s="2" t="s">
        <v>118</v>
      </c>
      <c r="F838" s="2" t="s">
        <v>29</v>
      </c>
      <c r="G838" s="2" t="s">
        <v>30</v>
      </c>
      <c r="H838" s="2" t="s">
        <v>218</v>
      </c>
      <c r="I838" s="2" t="s">
        <v>219</v>
      </c>
      <c r="J838" s="2" t="s">
        <v>220</v>
      </c>
      <c r="K838" s="2" t="s">
        <v>267</v>
      </c>
      <c r="L838" s="3"/>
      <c r="M838" s="3">
        <v>41089</v>
      </c>
      <c r="N838" s="3">
        <v>41051</v>
      </c>
      <c r="O838" s="3">
        <v>41051</v>
      </c>
      <c r="P838" s="2" t="s">
        <v>759</v>
      </c>
      <c r="Q838" s="2" t="s">
        <v>84</v>
      </c>
      <c r="R838" s="2" t="s">
        <v>37</v>
      </c>
      <c r="S838" s="2" t="s">
        <v>152</v>
      </c>
      <c r="T838" s="2" t="s">
        <v>39</v>
      </c>
      <c r="U838" s="2">
        <v>120</v>
      </c>
      <c r="V838" s="2">
        <v>6899</v>
      </c>
      <c r="W838" s="2">
        <v>204762.32</v>
      </c>
      <c r="X838" s="2">
        <v>29.68</v>
      </c>
      <c r="Y838" s="2">
        <v>0.25</v>
      </c>
      <c r="Z838" s="2">
        <v>1859</v>
      </c>
      <c r="AA838" s="2">
        <v>10611</v>
      </c>
      <c r="AB838">
        <v>1</v>
      </c>
      <c r="AC838">
        <v>2012</v>
      </c>
      <c r="AE838" s="2">
        <v>1724.75</v>
      </c>
    </row>
    <row r="839" spans="2:31" ht="14.5">
      <c r="B839" s="2">
        <v>82485</v>
      </c>
      <c r="C839" s="2" t="s">
        <v>1586</v>
      </c>
      <c r="D839" s="2" t="s">
        <v>1587</v>
      </c>
      <c r="E839" s="2" t="s">
        <v>42</v>
      </c>
      <c r="F839" s="2" t="s">
        <v>29</v>
      </c>
      <c r="G839" s="2" t="s">
        <v>30</v>
      </c>
      <c r="H839" s="2" t="s">
        <v>218</v>
      </c>
      <c r="I839" s="2" t="s">
        <v>219</v>
      </c>
      <c r="J839" s="2" t="s">
        <v>220</v>
      </c>
      <c r="K839" s="2" t="s">
        <v>34</v>
      </c>
      <c r="L839" s="3"/>
      <c r="M839" s="3">
        <v>41093</v>
      </c>
      <c r="N839" s="3">
        <v>41080</v>
      </c>
      <c r="O839" s="3">
        <v>41080</v>
      </c>
      <c r="P839" s="2" t="s">
        <v>35</v>
      </c>
      <c r="Q839" s="2" t="s">
        <v>36</v>
      </c>
      <c r="R839" s="2" t="s">
        <v>37</v>
      </c>
      <c r="S839" s="2" t="s">
        <v>38</v>
      </c>
      <c r="T839" s="2" t="s">
        <v>39</v>
      </c>
      <c r="U839" s="2">
        <v>60</v>
      </c>
      <c r="V839" s="2">
        <v>40000</v>
      </c>
      <c r="W839" s="2">
        <v>97600</v>
      </c>
      <c r="X839" s="2">
        <v>2.44</v>
      </c>
      <c r="Y839" s="2">
        <v>0.04</v>
      </c>
      <c r="Z839" s="2">
        <v>3771</v>
      </c>
      <c r="AA839" s="2">
        <v>31029.99</v>
      </c>
      <c r="AB839">
        <v>1</v>
      </c>
      <c r="AC839">
        <v>2012</v>
      </c>
      <c r="AE839" s="2">
        <v>1600</v>
      </c>
    </row>
    <row r="840" spans="2:31" ht="14.5">
      <c r="B840" s="2">
        <v>82486</v>
      </c>
      <c r="C840" s="2" t="s">
        <v>1588</v>
      </c>
      <c r="D840" s="2" t="s">
        <v>1589</v>
      </c>
      <c r="E840" s="2" t="s">
        <v>118</v>
      </c>
      <c r="F840" s="2" t="s">
        <v>29</v>
      </c>
      <c r="G840" s="2" t="s">
        <v>30</v>
      </c>
      <c r="H840" s="2" t="s">
        <v>218</v>
      </c>
      <c r="I840" s="2" t="s">
        <v>219</v>
      </c>
      <c r="J840" s="2" t="s">
        <v>220</v>
      </c>
      <c r="K840" s="2" t="s">
        <v>34</v>
      </c>
      <c r="L840" s="3"/>
      <c r="M840" s="3">
        <v>41095</v>
      </c>
      <c r="N840" s="3">
        <v>41106</v>
      </c>
      <c r="O840" s="3">
        <v>41106</v>
      </c>
      <c r="P840" s="2" t="s">
        <v>95</v>
      </c>
      <c r="Q840" s="2" t="s">
        <v>96</v>
      </c>
      <c r="R840" s="2" t="s">
        <v>37</v>
      </c>
      <c r="S840" s="2" t="s">
        <v>97</v>
      </c>
      <c r="T840" s="2" t="s">
        <v>39</v>
      </c>
      <c r="U840" s="2">
        <v>30</v>
      </c>
      <c r="V840" s="2">
        <v>45840</v>
      </c>
      <c r="W840" s="2">
        <v>179234.4</v>
      </c>
      <c r="X840" s="2">
        <v>3.91</v>
      </c>
      <c r="Y840" s="2">
        <v>0.13</v>
      </c>
      <c r="Z840" s="2">
        <v>5486</v>
      </c>
      <c r="AA840" s="2">
        <v>27321.52</v>
      </c>
      <c r="AB840">
        <v>0</v>
      </c>
      <c r="AC840">
        <v>2012</v>
      </c>
      <c r="AE840" s="2">
        <v>5959.2</v>
      </c>
    </row>
    <row r="841" spans="2:31" ht="14.5">
      <c r="B841" s="2">
        <v>82489</v>
      </c>
      <c r="C841" s="2" t="s">
        <v>1590</v>
      </c>
      <c r="D841" s="2" t="s">
        <v>1591</v>
      </c>
      <c r="E841" s="2" t="s">
        <v>118</v>
      </c>
      <c r="F841" s="2" t="s">
        <v>29</v>
      </c>
      <c r="G841" s="2" t="s">
        <v>30</v>
      </c>
      <c r="H841" s="2" t="s">
        <v>218</v>
      </c>
      <c r="I841" s="2" t="s">
        <v>219</v>
      </c>
      <c r="J841" s="2" t="s">
        <v>220</v>
      </c>
      <c r="K841" s="2" t="s">
        <v>34</v>
      </c>
      <c r="L841" s="3"/>
      <c r="M841" s="3">
        <v>41138</v>
      </c>
      <c r="N841" s="3">
        <v>41122</v>
      </c>
      <c r="O841" s="3">
        <v>41122</v>
      </c>
      <c r="P841" s="2" t="s">
        <v>706</v>
      </c>
      <c r="Q841" s="2" t="s">
        <v>707</v>
      </c>
      <c r="R841" s="2" t="s">
        <v>37</v>
      </c>
      <c r="S841" s="2" t="s">
        <v>708</v>
      </c>
      <c r="T841" s="2" t="s">
        <v>47</v>
      </c>
      <c r="U841" s="2">
        <v>30</v>
      </c>
      <c r="V841" s="2">
        <v>60000</v>
      </c>
      <c r="W841" s="2">
        <v>332400</v>
      </c>
      <c r="X841" s="2">
        <v>5.54</v>
      </c>
      <c r="Y841" s="2">
        <v>0.18</v>
      </c>
      <c r="Z841" s="2">
        <v>4547</v>
      </c>
      <c r="AA841" s="2">
        <v>30482.799999999999</v>
      </c>
      <c r="AB841">
        <v>1</v>
      </c>
      <c r="AC841">
        <v>2012</v>
      </c>
      <c r="AE841" s="2">
        <v>10800</v>
      </c>
    </row>
    <row r="842" spans="2:31" ht="14.5">
      <c r="B842" s="2">
        <v>82490</v>
      </c>
      <c r="C842" s="2" t="s">
        <v>1592</v>
      </c>
      <c r="D842" s="2" t="s">
        <v>1593</v>
      </c>
      <c r="E842" s="2" t="s">
        <v>118</v>
      </c>
      <c r="F842" s="2" t="s">
        <v>29</v>
      </c>
      <c r="G842" s="2" t="s">
        <v>30</v>
      </c>
      <c r="H842" s="2" t="s">
        <v>218</v>
      </c>
      <c r="I842" s="2" t="s">
        <v>219</v>
      </c>
      <c r="J842" s="2" t="s">
        <v>220</v>
      </c>
      <c r="K842" s="2" t="s">
        <v>267</v>
      </c>
      <c r="L842" s="3"/>
      <c r="M842" s="3">
        <v>41157</v>
      </c>
      <c r="N842" s="3">
        <v>41116</v>
      </c>
      <c r="O842" s="3">
        <v>41116</v>
      </c>
      <c r="P842" s="2" t="s">
        <v>112</v>
      </c>
      <c r="Q842" s="2" t="s">
        <v>113</v>
      </c>
      <c r="R842" s="2" t="s">
        <v>37</v>
      </c>
      <c r="S842" s="2" t="s">
        <v>114</v>
      </c>
      <c r="T842" s="2" t="s">
        <v>47</v>
      </c>
      <c r="U842" s="2">
        <v>60</v>
      </c>
      <c r="V842" s="2">
        <v>157</v>
      </c>
      <c r="W842" s="2">
        <v>1540.17</v>
      </c>
      <c r="X842" s="2">
        <v>9.81</v>
      </c>
      <c r="Y842" s="2">
        <v>0.16</v>
      </c>
      <c r="Z842" s="2">
        <v>836</v>
      </c>
      <c r="AA842" s="2">
        <v>4911</v>
      </c>
      <c r="AB842">
        <v>1</v>
      </c>
      <c r="AC842">
        <v>2012</v>
      </c>
      <c r="AE842" s="2">
        <v>25.12</v>
      </c>
    </row>
    <row r="843" spans="2:31" ht="14.5">
      <c r="B843" s="2">
        <v>82495</v>
      </c>
      <c r="C843" s="2" t="s">
        <v>1594</v>
      </c>
      <c r="D843" s="2" t="s">
        <v>1595</v>
      </c>
      <c r="E843" s="2" t="s">
        <v>118</v>
      </c>
      <c r="F843" s="2" t="s">
        <v>29</v>
      </c>
      <c r="G843" s="2" t="s">
        <v>30</v>
      </c>
      <c r="H843" s="2" t="s">
        <v>218</v>
      </c>
      <c r="I843" s="2" t="s">
        <v>219</v>
      </c>
      <c r="J843" s="2" t="s">
        <v>220</v>
      </c>
      <c r="K843" s="2" t="s">
        <v>34</v>
      </c>
      <c r="L843" s="3"/>
      <c r="M843" s="3">
        <v>41169</v>
      </c>
      <c r="N843" s="3">
        <v>41135</v>
      </c>
      <c r="O843" s="3">
        <v>41135</v>
      </c>
      <c r="P843" s="2" t="s">
        <v>112</v>
      </c>
      <c r="Q843" s="2" t="s">
        <v>113</v>
      </c>
      <c r="R843" s="2" t="s">
        <v>37</v>
      </c>
      <c r="S843" s="2" t="s">
        <v>114</v>
      </c>
      <c r="T843" s="2" t="s">
        <v>47</v>
      </c>
      <c r="U843" s="2">
        <v>60</v>
      </c>
      <c r="V843" s="2">
        <v>72107</v>
      </c>
      <c r="W843" s="2">
        <v>707369.67</v>
      </c>
      <c r="X843" s="2">
        <v>9.81</v>
      </c>
      <c r="Y843" s="2">
        <v>0.16</v>
      </c>
      <c r="Z843" s="2">
        <v>9348</v>
      </c>
      <c r="AA843" s="2">
        <v>81100.77</v>
      </c>
      <c r="AB843">
        <v>1</v>
      </c>
      <c r="AC843">
        <v>2012</v>
      </c>
      <c r="AE843" s="2">
        <v>11537.12</v>
      </c>
    </row>
    <row r="844" spans="2:31" ht="14.5">
      <c r="B844" s="2">
        <v>82503</v>
      </c>
      <c r="C844" s="2" t="s">
        <v>1596</v>
      </c>
      <c r="D844" s="2" t="s">
        <v>1597</v>
      </c>
      <c r="E844" s="2" t="s">
        <v>28</v>
      </c>
      <c r="F844" s="2" t="s">
        <v>29</v>
      </c>
      <c r="G844" s="2" t="s">
        <v>30</v>
      </c>
      <c r="H844" s="2" t="s">
        <v>218</v>
      </c>
      <c r="I844" s="2" t="s">
        <v>219</v>
      </c>
      <c r="J844" s="2" t="s">
        <v>220</v>
      </c>
      <c r="K844" s="2" t="s">
        <v>34</v>
      </c>
      <c r="L844" s="3"/>
      <c r="M844" s="3">
        <v>41208</v>
      </c>
      <c r="N844" s="3">
        <v>41208</v>
      </c>
      <c r="O844" s="3">
        <v>41208</v>
      </c>
      <c r="P844" s="2" t="s">
        <v>44</v>
      </c>
      <c r="Q844" s="2" t="s">
        <v>45</v>
      </c>
      <c r="R844" s="2" t="s">
        <v>37</v>
      </c>
      <c r="S844" s="2" t="s">
        <v>46</v>
      </c>
      <c r="T844" s="2" t="s">
        <v>47</v>
      </c>
      <c r="U844" s="2">
        <v>60</v>
      </c>
      <c r="V844" s="2">
        <v>52770</v>
      </c>
      <c r="W844" s="2">
        <v>407384.4</v>
      </c>
      <c r="X844" s="2">
        <v>7.72</v>
      </c>
      <c r="Y844" s="2">
        <v>0.13</v>
      </c>
      <c r="Z844" s="2">
        <v>16510</v>
      </c>
      <c r="AA844" s="2">
        <v>82283.899999999994</v>
      </c>
      <c r="AB844">
        <v>1</v>
      </c>
      <c r="AC844">
        <v>2012</v>
      </c>
      <c r="AE844" s="2">
        <v>6860.1</v>
      </c>
    </row>
    <row r="845" spans="2:31" ht="14.5">
      <c r="B845" s="2">
        <v>82504</v>
      </c>
      <c r="C845" s="2" t="s">
        <v>1598</v>
      </c>
      <c r="D845" s="2" t="s">
        <v>1599</v>
      </c>
      <c r="E845" s="2" t="s">
        <v>118</v>
      </c>
      <c r="F845" s="2" t="s">
        <v>29</v>
      </c>
      <c r="G845" s="2" t="s">
        <v>30</v>
      </c>
      <c r="H845" s="2" t="s">
        <v>218</v>
      </c>
      <c r="I845" s="2" t="s">
        <v>219</v>
      </c>
      <c r="J845" s="2" t="s">
        <v>220</v>
      </c>
      <c r="K845" s="2" t="s">
        <v>34</v>
      </c>
      <c r="L845" s="3"/>
      <c r="M845" s="3">
        <v>41211</v>
      </c>
      <c r="N845" s="3">
        <v>41211</v>
      </c>
      <c r="O845" s="3">
        <v>41211</v>
      </c>
      <c r="P845" s="2" t="s">
        <v>706</v>
      </c>
      <c r="Q845" s="2" t="s">
        <v>707</v>
      </c>
      <c r="R845" s="2" t="s">
        <v>37</v>
      </c>
      <c r="S845" s="2" t="s">
        <v>708</v>
      </c>
      <c r="T845" s="2" t="s">
        <v>47</v>
      </c>
      <c r="U845" s="2">
        <v>30</v>
      </c>
      <c r="V845" s="2">
        <v>20201</v>
      </c>
      <c r="W845" s="2">
        <v>111913.54</v>
      </c>
      <c r="X845" s="2">
        <v>5.54</v>
      </c>
      <c r="Y845" s="2">
        <v>0.18</v>
      </c>
      <c r="Z845" s="2">
        <v>3865</v>
      </c>
      <c r="AA845" s="2">
        <v>19667.939999999999</v>
      </c>
      <c r="AB845">
        <v>1</v>
      </c>
      <c r="AC845">
        <v>2012</v>
      </c>
      <c r="AE845" s="2">
        <v>3636.18</v>
      </c>
    </row>
    <row r="846" spans="2:31" ht="14.5">
      <c r="B846" s="2">
        <v>82509</v>
      </c>
      <c r="C846" s="2" t="s">
        <v>1600</v>
      </c>
      <c r="D846" s="2" t="s">
        <v>1601</v>
      </c>
      <c r="E846" s="2" t="s">
        <v>118</v>
      </c>
      <c r="F846" s="2" t="s">
        <v>29</v>
      </c>
      <c r="G846" s="2" t="s">
        <v>30</v>
      </c>
      <c r="H846" s="2" t="s">
        <v>218</v>
      </c>
      <c r="I846" s="2" t="s">
        <v>219</v>
      </c>
      <c r="J846" s="2" t="s">
        <v>220</v>
      </c>
      <c r="K846" s="2" t="s">
        <v>34</v>
      </c>
      <c r="L846" s="3"/>
      <c r="M846" s="3">
        <v>41212</v>
      </c>
      <c r="N846" s="3">
        <v>41212</v>
      </c>
      <c r="O846" s="3">
        <v>41212</v>
      </c>
      <c r="P846" s="2" t="s">
        <v>95</v>
      </c>
      <c r="Q846" s="2" t="s">
        <v>96</v>
      </c>
      <c r="R846" s="2" t="s">
        <v>37</v>
      </c>
      <c r="S846" s="2" t="s">
        <v>97</v>
      </c>
      <c r="T846" s="2" t="s">
        <v>39</v>
      </c>
      <c r="U846" s="2">
        <v>30</v>
      </c>
      <c r="V846" s="2">
        <v>60000</v>
      </c>
      <c r="W846" s="2">
        <v>234600</v>
      </c>
      <c r="X846" s="2">
        <v>3.91</v>
      </c>
      <c r="Y846" s="2">
        <v>0.13</v>
      </c>
      <c r="Z846" s="2">
        <v>5000</v>
      </c>
      <c r="AA846" s="2">
        <v>24889</v>
      </c>
      <c r="AB846">
        <v>1</v>
      </c>
      <c r="AC846">
        <v>2012</v>
      </c>
      <c r="AE846" s="2">
        <v>7800</v>
      </c>
    </row>
    <row r="847" spans="2:31" ht="14.5">
      <c r="B847" s="2">
        <v>82510</v>
      </c>
      <c r="C847" s="2" t="s">
        <v>1602</v>
      </c>
      <c r="D847" s="2" t="s">
        <v>1603</v>
      </c>
      <c r="E847" s="2" t="s">
        <v>42</v>
      </c>
      <c r="F847" s="2" t="s">
        <v>29</v>
      </c>
      <c r="G847" s="2" t="s">
        <v>30</v>
      </c>
      <c r="H847" s="2" t="s">
        <v>218</v>
      </c>
      <c r="I847" s="2" t="s">
        <v>219</v>
      </c>
      <c r="J847" s="2" t="s">
        <v>220</v>
      </c>
      <c r="K847" s="2" t="s">
        <v>34</v>
      </c>
      <c r="L847" s="3"/>
      <c r="M847" s="3">
        <v>41212</v>
      </c>
      <c r="N847" s="3">
        <v>41212</v>
      </c>
      <c r="O847" s="3">
        <v>41212</v>
      </c>
      <c r="P847" s="2" t="s">
        <v>98</v>
      </c>
      <c r="Q847" s="2" t="s">
        <v>99</v>
      </c>
      <c r="R847" s="2" t="s">
        <v>37</v>
      </c>
      <c r="S847" s="2" t="s">
        <v>100</v>
      </c>
      <c r="T847" s="2" t="s">
        <v>39</v>
      </c>
      <c r="U847" s="2">
        <v>60</v>
      </c>
      <c r="V847" s="2">
        <v>18620</v>
      </c>
      <c r="W847" s="2">
        <v>244853</v>
      </c>
      <c r="X847" s="2">
        <v>13.15</v>
      </c>
      <c r="Y847" s="2">
        <v>0.22</v>
      </c>
      <c r="Z847" s="2">
        <v>1928</v>
      </c>
      <c r="AA847" s="2">
        <v>5825.17</v>
      </c>
      <c r="AB847">
        <v>1</v>
      </c>
      <c r="AC847">
        <v>2012</v>
      </c>
      <c r="AE847" s="2">
        <v>4096.3999999999996</v>
      </c>
    </row>
    <row r="848" spans="2:31" ht="14.5">
      <c r="B848" s="2">
        <v>82511</v>
      </c>
      <c r="C848" s="2" t="s">
        <v>2824</v>
      </c>
      <c r="D848" s="2" t="s">
        <v>2825</v>
      </c>
      <c r="E848" s="2" t="s">
        <v>2817</v>
      </c>
      <c r="F848" s="2" t="s">
        <v>29</v>
      </c>
      <c r="G848" s="2" t="s">
        <v>30</v>
      </c>
      <c r="H848" s="2" t="s">
        <v>218</v>
      </c>
      <c r="I848" s="2" t="s">
        <v>219</v>
      </c>
      <c r="J848" s="2" t="s">
        <v>220</v>
      </c>
      <c r="K848" s="2" t="s">
        <v>34</v>
      </c>
      <c r="L848" s="3"/>
      <c r="M848" s="3">
        <v>41228</v>
      </c>
      <c r="N848" s="3">
        <v>41205</v>
      </c>
      <c r="O848" s="3">
        <v>41205</v>
      </c>
      <c r="P848" s="2" t="s">
        <v>164</v>
      </c>
      <c r="Q848" s="2" t="s">
        <v>165</v>
      </c>
      <c r="R848" s="2" t="s">
        <v>37</v>
      </c>
      <c r="S848" s="2" t="s">
        <v>166</v>
      </c>
      <c r="T848" s="2" t="s">
        <v>39</v>
      </c>
      <c r="U848" s="2">
        <v>60</v>
      </c>
      <c r="V848" s="2">
        <v>270</v>
      </c>
      <c r="W848" s="2">
        <v>599.4</v>
      </c>
      <c r="X848" s="2">
        <v>2.2200000000000002</v>
      </c>
      <c r="Y848" s="2">
        <v>0.04</v>
      </c>
      <c r="Z848" s="2">
        <v>513</v>
      </c>
      <c r="AA848" s="2">
        <v>4934.43</v>
      </c>
      <c r="AB848">
        <v>1</v>
      </c>
      <c r="AC848">
        <v>2012</v>
      </c>
      <c r="AE848" s="2">
        <v>10.8</v>
      </c>
    </row>
    <row r="849" spans="2:31" ht="14.5">
      <c r="B849" s="2">
        <v>82512</v>
      </c>
      <c r="C849" s="2" t="s">
        <v>1604</v>
      </c>
      <c r="D849" s="2" t="s">
        <v>1605</v>
      </c>
      <c r="E849" s="2" t="s">
        <v>42</v>
      </c>
      <c r="F849" s="2" t="s">
        <v>29</v>
      </c>
      <c r="G849" s="2" t="s">
        <v>30</v>
      </c>
      <c r="H849" s="2" t="s">
        <v>218</v>
      </c>
      <c r="I849" s="2" t="s">
        <v>219</v>
      </c>
      <c r="J849" s="2" t="s">
        <v>220</v>
      </c>
      <c r="K849" s="2" t="s">
        <v>34</v>
      </c>
      <c r="L849" s="3"/>
      <c r="M849" s="3">
        <v>41201</v>
      </c>
      <c r="N849" s="3">
        <v>41200</v>
      </c>
      <c r="O849" s="3">
        <v>41200</v>
      </c>
      <c r="P849" s="2" t="s">
        <v>706</v>
      </c>
      <c r="Q849" s="2" t="s">
        <v>707</v>
      </c>
      <c r="R849" s="2" t="s">
        <v>37</v>
      </c>
      <c r="S849" s="2" t="s">
        <v>708</v>
      </c>
      <c r="T849" s="2" t="s">
        <v>47</v>
      </c>
      <c r="U849" s="2">
        <v>30</v>
      </c>
      <c r="V849" s="2">
        <v>36390</v>
      </c>
      <c r="W849" s="2">
        <v>201600.6</v>
      </c>
      <c r="X849" s="2">
        <v>5.54</v>
      </c>
      <c r="Y849" s="2">
        <v>0.18</v>
      </c>
      <c r="Z849" s="2">
        <v>3863</v>
      </c>
      <c r="AA849" s="2">
        <v>23249.47</v>
      </c>
      <c r="AB849">
        <v>1</v>
      </c>
      <c r="AC849">
        <v>2012</v>
      </c>
      <c r="AE849" s="2">
        <v>6550.2</v>
      </c>
    </row>
    <row r="850" spans="2:31" ht="14.5">
      <c r="B850" s="2">
        <v>82515</v>
      </c>
      <c r="C850" s="2" t="s">
        <v>1606</v>
      </c>
      <c r="D850" s="2" t="s">
        <v>1607</v>
      </c>
      <c r="E850" s="2" t="s">
        <v>118</v>
      </c>
      <c r="F850" s="2" t="s">
        <v>29</v>
      </c>
      <c r="G850" s="2" t="s">
        <v>30</v>
      </c>
      <c r="H850" s="2" t="s">
        <v>218</v>
      </c>
      <c r="I850" s="2" t="s">
        <v>219</v>
      </c>
      <c r="J850" s="2" t="s">
        <v>220</v>
      </c>
      <c r="K850" s="2" t="s">
        <v>34</v>
      </c>
      <c r="L850" s="3"/>
      <c r="M850" s="3">
        <v>41207</v>
      </c>
      <c r="N850" s="3">
        <v>41204</v>
      </c>
      <c r="O850" s="3">
        <v>41204</v>
      </c>
      <c r="P850" s="2" t="s">
        <v>164</v>
      </c>
      <c r="Q850" s="2" t="s">
        <v>165</v>
      </c>
      <c r="R850" s="2" t="s">
        <v>37</v>
      </c>
      <c r="S850" s="2" t="s">
        <v>166</v>
      </c>
      <c r="T850" s="2" t="s">
        <v>39</v>
      </c>
      <c r="U850" s="2">
        <v>60</v>
      </c>
      <c r="V850" s="2">
        <v>1659</v>
      </c>
      <c r="W850" s="2">
        <v>3682.98</v>
      </c>
      <c r="X850" s="2">
        <v>2.2200000000000002</v>
      </c>
      <c r="Y850" s="2">
        <v>0.04</v>
      </c>
      <c r="Z850" s="2">
        <v>958</v>
      </c>
      <c r="AA850" s="2">
        <v>7659.33</v>
      </c>
      <c r="AB850">
        <v>1</v>
      </c>
      <c r="AC850">
        <v>2012</v>
      </c>
      <c r="AE850" s="2">
        <v>66.36</v>
      </c>
    </row>
    <row r="851" spans="2:31" ht="14.5">
      <c r="B851" s="2">
        <v>82518</v>
      </c>
      <c r="C851" s="2" t="s">
        <v>1608</v>
      </c>
      <c r="D851" s="2" t="s">
        <v>1609</v>
      </c>
      <c r="E851" s="2" t="s">
        <v>42</v>
      </c>
      <c r="F851" s="2" t="s">
        <v>29</v>
      </c>
      <c r="G851" s="2" t="s">
        <v>30</v>
      </c>
      <c r="H851" s="2" t="s">
        <v>218</v>
      </c>
      <c r="I851" s="2" t="s">
        <v>219</v>
      </c>
      <c r="J851" s="2" t="s">
        <v>220</v>
      </c>
      <c r="K851" s="2" t="s">
        <v>34</v>
      </c>
      <c r="L851" s="3"/>
      <c r="M851" s="3">
        <v>41213</v>
      </c>
      <c r="N851" s="3">
        <v>41212</v>
      </c>
      <c r="O851" s="3">
        <v>41212</v>
      </c>
      <c r="P851" s="2" t="s">
        <v>754</v>
      </c>
      <c r="Q851" s="2" t="s">
        <v>755</v>
      </c>
      <c r="R851" s="2" t="s">
        <v>37</v>
      </c>
      <c r="S851" s="2" t="s">
        <v>756</v>
      </c>
      <c r="T851" s="2" t="s">
        <v>47</v>
      </c>
      <c r="U851" s="2">
        <v>30</v>
      </c>
      <c r="V851" s="2">
        <v>59989</v>
      </c>
      <c r="W851" s="2">
        <v>796054.03</v>
      </c>
      <c r="X851" s="2">
        <v>13.27</v>
      </c>
      <c r="Y851" s="2">
        <v>0.44</v>
      </c>
      <c r="Z851" s="2">
        <v>7242</v>
      </c>
      <c r="AA851" s="2">
        <v>5825.18</v>
      </c>
      <c r="AB851">
        <v>1</v>
      </c>
      <c r="AC851">
        <v>2012</v>
      </c>
      <c r="AE851" s="2">
        <v>26395.16</v>
      </c>
    </row>
    <row r="852" spans="2:31" ht="14.5">
      <c r="B852" s="2">
        <v>82526</v>
      </c>
      <c r="C852" s="2" t="s">
        <v>1610</v>
      </c>
      <c r="D852" s="2" t="s">
        <v>1611</v>
      </c>
      <c r="E852" s="2" t="s">
        <v>118</v>
      </c>
      <c r="F852" s="2" t="s">
        <v>29</v>
      </c>
      <c r="G852" s="2" t="s">
        <v>30</v>
      </c>
      <c r="H852" s="2" t="s">
        <v>218</v>
      </c>
      <c r="I852" s="2" t="s">
        <v>219</v>
      </c>
      <c r="J852" s="2" t="s">
        <v>220</v>
      </c>
      <c r="K852" s="2" t="s">
        <v>267</v>
      </c>
      <c r="L852" s="3"/>
      <c r="M852" s="3">
        <v>41274</v>
      </c>
      <c r="N852" s="3">
        <v>41232</v>
      </c>
      <c r="O852" s="3">
        <v>41232</v>
      </c>
      <c r="P852" s="2" t="s">
        <v>754</v>
      </c>
      <c r="Q852" s="2" t="s">
        <v>755</v>
      </c>
      <c r="R852" s="2" t="s">
        <v>37</v>
      </c>
      <c r="S852" s="2" t="s">
        <v>756</v>
      </c>
      <c r="T852" s="2" t="s">
        <v>47</v>
      </c>
      <c r="U852" s="2">
        <v>30</v>
      </c>
      <c r="V852" s="2">
        <v>125014</v>
      </c>
      <c r="W852" s="2">
        <v>1658935.78</v>
      </c>
      <c r="X852" s="2">
        <v>13.27</v>
      </c>
      <c r="Y852" s="2">
        <v>0.44</v>
      </c>
      <c r="Z852" s="2">
        <v>14275</v>
      </c>
      <c r="AA852" s="2">
        <v>131278.81</v>
      </c>
      <c r="AB852">
        <v>1</v>
      </c>
      <c r="AC852">
        <v>2012</v>
      </c>
      <c r="AE852" s="2">
        <v>55006.16</v>
      </c>
    </row>
    <row r="853" spans="2:31" ht="14.5">
      <c r="B853" s="2">
        <v>82527</v>
      </c>
      <c r="C853" s="2" t="s">
        <v>1612</v>
      </c>
      <c r="D853" s="2" t="s">
        <v>1613</v>
      </c>
      <c r="E853" s="2" t="s">
        <v>118</v>
      </c>
      <c r="F853" s="2" t="s">
        <v>29</v>
      </c>
      <c r="G853" s="2" t="s">
        <v>30</v>
      </c>
      <c r="H853" s="2" t="s">
        <v>218</v>
      </c>
      <c r="I853" s="2" t="s">
        <v>219</v>
      </c>
      <c r="J853" s="2" t="s">
        <v>220</v>
      </c>
      <c r="K853" s="2" t="s">
        <v>267</v>
      </c>
      <c r="L853" s="3"/>
      <c r="M853" s="3">
        <v>41253</v>
      </c>
      <c r="N853" s="3">
        <v>41232</v>
      </c>
      <c r="O853" s="3">
        <v>41232</v>
      </c>
      <c r="P853" s="2" t="s">
        <v>706</v>
      </c>
      <c r="Q853" s="2" t="s">
        <v>707</v>
      </c>
      <c r="R853" s="2" t="s">
        <v>37</v>
      </c>
      <c r="S853" s="2" t="s">
        <v>708</v>
      </c>
      <c r="T853" s="2" t="s">
        <v>47</v>
      </c>
      <c r="U853" s="2">
        <v>30</v>
      </c>
      <c r="V853" s="2">
        <v>26432</v>
      </c>
      <c r="W853" s="2">
        <v>141675.51999999999</v>
      </c>
      <c r="X853" s="2">
        <v>5.36</v>
      </c>
      <c r="Y853" s="2">
        <v>0.18</v>
      </c>
      <c r="Z853" s="2">
        <v>5212</v>
      </c>
      <c r="AA853" s="2">
        <v>24772.95</v>
      </c>
      <c r="AB853">
        <v>1</v>
      </c>
      <c r="AC853">
        <v>2012</v>
      </c>
      <c r="AE853" s="2">
        <v>4757.76</v>
      </c>
    </row>
    <row r="854" spans="2:31" ht="14.5">
      <c r="B854" s="2">
        <v>82532</v>
      </c>
      <c r="C854" s="2" t="s">
        <v>1614</v>
      </c>
      <c r="D854" s="2" t="s">
        <v>1615</v>
      </c>
      <c r="E854" s="2" t="s">
        <v>118</v>
      </c>
      <c r="F854" s="2" t="s">
        <v>29</v>
      </c>
      <c r="G854" s="2" t="s">
        <v>30</v>
      </c>
      <c r="H854" s="2" t="s">
        <v>218</v>
      </c>
      <c r="I854" s="2" t="s">
        <v>219</v>
      </c>
      <c r="J854" s="2" t="s">
        <v>220</v>
      </c>
      <c r="K854" s="2" t="s">
        <v>34</v>
      </c>
      <c r="L854" s="3"/>
      <c r="M854" s="3">
        <v>41306</v>
      </c>
      <c r="N854" s="3">
        <v>41306</v>
      </c>
      <c r="O854" s="3">
        <v>41306</v>
      </c>
      <c r="P854" s="2" t="s">
        <v>112</v>
      </c>
      <c r="Q854" s="2" t="s">
        <v>113</v>
      </c>
      <c r="R854" s="2" t="s">
        <v>37</v>
      </c>
      <c r="S854" s="2" t="s">
        <v>114</v>
      </c>
      <c r="T854" s="2" t="s">
        <v>47</v>
      </c>
      <c r="U854" s="2">
        <v>60</v>
      </c>
      <c r="V854" s="2">
        <v>13830</v>
      </c>
      <c r="W854" s="2">
        <v>133044.6</v>
      </c>
      <c r="X854" s="2">
        <v>9.6199999999999992</v>
      </c>
      <c r="Y854" s="2">
        <v>0.16</v>
      </c>
      <c r="Z854" s="2">
        <v>2400</v>
      </c>
      <c r="AA854" s="2">
        <v>18337.82</v>
      </c>
      <c r="AB854">
        <v>1</v>
      </c>
      <c r="AC854">
        <v>2013</v>
      </c>
      <c r="AE854" s="2">
        <v>2212.8000000000002</v>
      </c>
    </row>
    <row r="855" spans="2:31" ht="14.5">
      <c r="B855" s="2">
        <v>82537</v>
      </c>
      <c r="C855" s="2" t="s">
        <v>1616</v>
      </c>
      <c r="D855" s="2" t="s">
        <v>1617</v>
      </c>
      <c r="E855" s="2" t="s">
        <v>118</v>
      </c>
      <c r="F855" s="2" t="s">
        <v>29</v>
      </c>
      <c r="G855" s="2" t="s">
        <v>30</v>
      </c>
      <c r="H855" s="2" t="s">
        <v>218</v>
      </c>
      <c r="I855" s="2" t="s">
        <v>219</v>
      </c>
      <c r="J855" s="2" t="s">
        <v>220</v>
      </c>
      <c r="K855" s="2" t="s">
        <v>34</v>
      </c>
      <c r="L855" s="3"/>
      <c r="M855" s="3">
        <v>41307</v>
      </c>
      <c r="N855" s="3">
        <v>41307</v>
      </c>
      <c r="O855" s="3">
        <v>41307</v>
      </c>
      <c r="P855" s="2" t="s">
        <v>706</v>
      </c>
      <c r="Q855" s="2" t="s">
        <v>707</v>
      </c>
      <c r="R855" s="2" t="s">
        <v>37</v>
      </c>
      <c r="S855" s="2" t="s">
        <v>708</v>
      </c>
      <c r="T855" s="2" t="s">
        <v>47</v>
      </c>
      <c r="U855" s="2">
        <v>30</v>
      </c>
      <c r="V855" s="2">
        <v>5580</v>
      </c>
      <c r="W855" s="2">
        <v>26839.8</v>
      </c>
      <c r="X855" s="2">
        <v>4.8099999999999996</v>
      </c>
      <c r="Y855" s="2">
        <v>0.16</v>
      </c>
      <c r="Z855" s="2">
        <v>1187</v>
      </c>
      <c r="AA855" s="2">
        <v>9609.69</v>
      </c>
      <c r="AB855">
        <v>1</v>
      </c>
      <c r="AC855">
        <v>2013</v>
      </c>
      <c r="AE855" s="2">
        <v>892.80000000000007</v>
      </c>
    </row>
    <row r="856" spans="2:31" ht="14.5">
      <c r="B856" s="2">
        <v>82542</v>
      </c>
      <c r="C856" s="2" t="s">
        <v>1618</v>
      </c>
      <c r="D856" s="2" t="s">
        <v>1619</v>
      </c>
      <c r="E856" s="2" t="s">
        <v>118</v>
      </c>
      <c r="F856" s="2" t="s">
        <v>29</v>
      </c>
      <c r="G856" s="2" t="s">
        <v>30</v>
      </c>
      <c r="H856" s="2" t="s">
        <v>218</v>
      </c>
      <c r="I856" s="2" t="s">
        <v>219</v>
      </c>
      <c r="J856" s="2" t="s">
        <v>220</v>
      </c>
      <c r="K856" s="2" t="s">
        <v>34</v>
      </c>
      <c r="L856" s="3"/>
      <c r="M856" s="3">
        <v>41316</v>
      </c>
      <c r="N856" s="3">
        <v>41340</v>
      </c>
      <c r="O856" s="3">
        <v>41340</v>
      </c>
      <c r="P856" s="2" t="s">
        <v>749</v>
      </c>
      <c r="Q856" s="2" t="s">
        <v>76</v>
      </c>
      <c r="R856" s="2" t="s">
        <v>37</v>
      </c>
      <c r="S856" s="2" t="s">
        <v>78</v>
      </c>
      <c r="T856" s="2" t="s">
        <v>47</v>
      </c>
      <c r="U856" s="2">
        <v>30</v>
      </c>
      <c r="V856" s="2">
        <v>7126</v>
      </c>
      <c r="W856" s="2">
        <v>97554.94</v>
      </c>
      <c r="X856" s="2">
        <v>13.69</v>
      </c>
      <c r="Y856" s="2">
        <v>0.46</v>
      </c>
      <c r="Z856" s="2">
        <v>2261</v>
      </c>
      <c r="AA856" s="2">
        <v>13252.2</v>
      </c>
      <c r="AB856">
        <v>0</v>
      </c>
      <c r="AC856">
        <v>2013</v>
      </c>
      <c r="AE856" s="2">
        <v>3277.96</v>
      </c>
    </row>
    <row r="857" spans="2:31" ht="14.5">
      <c r="B857" s="2">
        <v>82546</v>
      </c>
      <c r="C857" s="2" t="s">
        <v>1620</v>
      </c>
      <c r="D857" s="2" t="s">
        <v>1621</v>
      </c>
      <c r="E857" s="2" t="s">
        <v>118</v>
      </c>
      <c r="F857" s="2" t="s">
        <v>29</v>
      </c>
      <c r="G857" s="2" t="s">
        <v>30</v>
      </c>
      <c r="H857" s="2" t="s">
        <v>218</v>
      </c>
      <c r="I857" s="2" t="s">
        <v>219</v>
      </c>
      <c r="J857" s="2" t="s">
        <v>220</v>
      </c>
      <c r="K857" s="2" t="s">
        <v>34</v>
      </c>
      <c r="L857" s="3"/>
      <c r="M857" s="3">
        <v>41368</v>
      </c>
      <c r="N857" s="3">
        <v>41340</v>
      </c>
      <c r="O857" s="3">
        <v>41340</v>
      </c>
      <c r="P857" s="2" t="s">
        <v>35</v>
      </c>
      <c r="Q857" s="2" t="s">
        <v>36</v>
      </c>
      <c r="R857" s="2" t="s">
        <v>37</v>
      </c>
      <c r="S857" s="2" t="s">
        <v>38</v>
      </c>
      <c r="T857" s="2" t="s">
        <v>39</v>
      </c>
      <c r="U857" s="2">
        <v>60</v>
      </c>
      <c r="V857" s="2">
        <v>32298</v>
      </c>
      <c r="W857" s="2">
        <v>72993.48</v>
      </c>
      <c r="X857" s="2">
        <v>2.2599999999999998</v>
      </c>
      <c r="Y857" s="2">
        <v>0.04</v>
      </c>
      <c r="Z857" s="2">
        <v>6528</v>
      </c>
      <c r="AA857" s="2">
        <v>21806.84</v>
      </c>
      <c r="AB857">
        <v>1</v>
      </c>
      <c r="AC857">
        <v>2013</v>
      </c>
      <c r="AE857" s="2">
        <v>1291.92</v>
      </c>
    </row>
    <row r="858" spans="2:31" ht="14.5">
      <c r="B858" s="2">
        <v>82547</v>
      </c>
      <c r="C858" s="2" t="s">
        <v>2826</v>
      </c>
      <c r="D858" s="2" t="s">
        <v>2827</v>
      </c>
      <c r="E858" s="2" t="s">
        <v>2817</v>
      </c>
      <c r="F858" s="2" t="s">
        <v>29</v>
      </c>
      <c r="G858" s="2" t="s">
        <v>50</v>
      </c>
      <c r="H858" s="2" t="s">
        <v>218</v>
      </c>
      <c r="I858" s="2" t="s">
        <v>219</v>
      </c>
      <c r="J858" s="2" t="s">
        <v>220</v>
      </c>
      <c r="K858" s="2" t="s">
        <v>34</v>
      </c>
      <c r="L858" s="3"/>
      <c r="M858" s="3">
        <v>41364</v>
      </c>
      <c r="N858" s="3">
        <v>41355</v>
      </c>
      <c r="O858" s="3">
        <v>41355</v>
      </c>
      <c r="P858" s="2" t="s">
        <v>740</v>
      </c>
      <c r="Q858" s="2" t="s">
        <v>36</v>
      </c>
      <c r="R858" s="2" t="s">
        <v>37</v>
      </c>
      <c r="S858" s="2" t="s">
        <v>226</v>
      </c>
      <c r="T858" s="2" t="s">
        <v>526</v>
      </c>
      <c r="U858" s="2">
        <v>240</v>
      </c>
      <c r="V858" s="2">
        <v>2976</v>
      </c>
      <c r="W858" s="2">
        <v>5803.2</v>
      </c>
      <c r="X858" s="2">
        <v>1.95</v>
      </c>
      <c r="Y858" s="2">
        <v>0.01</v>
      </c>
      <c r="Z858" s="2">
        <v>1108</v>
      </c>
      <c r="AA858" s="2">
        <v>10754</v>
      </c>
      <c r="AB858">
        <v>1</v>
      </c>
      <c r="AC858">
        <v>2013</v>
      </c>
      <c r="AE858" s="2">
        <v>29.76</v>
      </c>
    </row>
    <row r="859" spans="2:31" ht="14.5">
      <c r="B859" s="2">
        <v>82553</v>
      </c>
      <c r="C859" s="2" t="s">
        <v>1622</v>
      </c>
      <c r="D859" s="2" t="s">
        <v>1623</v>
      </c>
      <c r="E859" s="2" t="s">
        <v>118</v>
      </c>
      <c r="F859" s="2" t="s">
        <v>29</v>
      </c>
      <c r="G859" s="2" t="s">
        <v>50</v>
      </c>
      <c r="H859" s="2" t="s">
        <v>218</v>
      </c>
      <c r="I859" s="2" t="s">
        <v>219</v>
      </c>
      <c r="J859" s="2" t="s">
        <v>220</v>
      </c>
      <c r="K859" s="2" t="s">
        <v>267</v>
      </c>
      <c r="L859" s="3"/>
      <c r="M859" s="3">
        <v>41362</v>
      </c>
      <c r="N859" s="3">
        <v>41339</v>
      </c>
      <c r="O859" s="3">
        <v>41339</v>
      </c>
      <c r="P859" s="2" t="s">
        <v>859</v>
      </c>
      <c r="Q859" s="2" t="s">
        <v>45</v>
      </c>
      <c r="R859" s="2" t="s">
        <v>37</v>
      </c>
      <c r="S859" s="2" t="s">
        <v>728</v>
      </c>
      <c r="T859" s="2" t="s">
        <v>47</v>
      </c>
      <c r="U859" s="2">
        <v>60</v>
      </c>
      <c r="V859" s="2">
        <v>1731</v>
      </c>
      <c r="W859" s="2">
        <v>3912.06</v>
      </c>
      <c r="X859" s="2">
        <v>2.2599999999999998</v>
      </c>
      <c r="Y859" s="2">
        <v>0.04</v>
      </c>
      <c r="Z859" s="2">
        <v>76</v>
      </c>
      <c r="AA859" s="2">
        <v>936.81</v>
      </c>
      <c r="AB859">
        <v>1</v>
      </c>
      <c r="AC859">
        <v>2013</v>
      </c>
      <c r="AE859" s="2">
        <v>69.239999999999995</v>
      </c>
    </row>
    <row r="860" spans="2:31" ht="14.5">
      <c r="B860" s="2">
        <v>82562</v>
      </c>
      <c r="C860" s="2" t="s">
        <v>2828</v>
      </c>
      <c r="D860" s="2" t="s">
        <v>2829</v>
      </c>
      <c r="E860" s="2" t="s">
        <v>2817</v>
      </c>
      <c r="F860" s="2" t="s">
        <v>29</v>
      </c>
      <c r="G860" s="2" t="s">
        <v>50</v>
      </c>
      <c r="H860" s="2" t="s">
        <v>218</v>
      </c>
      <c r="I860" s="2" t="s">
        <v>219</v>
      </c>
      <c r="J860" s="2" t="s">
        <v>220</v>
      </c>
      <c r="K860" s="2" t="s">
        <v>34</v>
      </c>
      <c r="L860" s="3"/>
      <c r="M860" s="3">
        <v>41381</v>
      </c>
      <c r="N860" s="3">
        <v>41387</v>
      </c>
      <c r="O860" s="3">
        <v>41387</v>
      </c>
      <c r="P860" s="2" t="s">
        <v>842</v>
      </c>
      <c r="Q860" s="2" t="s">
        <v>113</v>
      </c>
      <c r="R860" s="2" t="s">
        <v>37</v>
      </c>
      <c r="S860" s="2" t="s">
        <v>843</v>
      </c>
      <c r="T860" s="2" t="s">
        <v>729</v>
      </c>
      <c r="U860" s="2">
        <v>60</v>
      </c>
      <c r="V860" s="2">
        <v>549</v>
      </c>
      <c r="W860" s="2">
        <v>2278.35</v>
      </c>
      <c r="X860" s="2">
        <v>4.1500000000000004</v>
      </c>
      <c r="Y860" s="2">
        <v>7.0000000000000007E-2</v>
      </c>
      <c r="Z860" s="2">
        <v>37</v>
      </c>
      <c r="AA860" s="2">
        <v>1198.68</v>
      </c>
      <c r="AB860">
        <v>0</v>
      </c>
      <c r="AC860">
        <v>2013</v>
      </c>
      <c r="AE860" s="2">
        <v>38.430000000000007</v>
      </c>
    </row>
    <row r="861" spans="2:31" ht="14.5">
      <c r="B861" s="2">
        <v>82567</v>
      </c>
      <c r="C861" s="2" t="s">
        <v>2830</v>
      </c>
      <c r="D861" s="2" t="s">
        <v>2831</v>
      </c>
      <c r="E861" s="2" t="s">
        <v>2817</v>
      </c>
      <c r="F861" s="2" t="s">
        <v>29</v>
      </c>
      <c r="G861" s="2" t="s">
        <v>30</v>
      </c>
      <c r="H861" s="2" t="s">
        <v>218</v>
      </c>
      <c r="I861" s="2" t="s">
        <v>219</v>
      </c>
      <c r="J861" s="2" t="s">
        <v>220</v>
      </c>
      <c r="K861" s="2" t="s">
        <v>34</v>
      </c>
      <c r="L861" s="3"/>
      <c r="M861" s="3">
        <v>41394</v>
      </c>
      <c r="N861" s="3">
        <v>41390</v>
      </c>
      <c r="O861" s="3">
        <v>41390</v>
      </c>
      <c r="P861" s="2" t="s">
        <v>333</v>
      </c>
      <c r="Q861" s="2" t="s">
        <v>225</v>
      </c>
      <c r="R861" s="2" t="s">
        <v>37</v>
      </c>
      <c r="S861" s="2" t="s">
        <v>100</v>
      </c>
      <c r="T861" s="2" t="s">
        <v>39</v>
      </c>
      <c r="U861" s="2">
        <v>60</v>
      </c>
      <c r="V861" s="2">
        <v>4560</v>
      </c>
      <c r="W861" s="2">
        <v>30825.599999999999</v>
      </c>
      <c r="X861" s="2">
        <v>6.76</v>
      </c>
      <c r="Y861" s="2">
        <v>0.11</v>
      </c>
      <c r="Z861" s="2">
        <v>230</v>
      </c>
      <c r="AA861" s="2">
        <v>1740.47</v>
      </c>
      <c r="AB861">
        <v>1</v>
      </c>
      <c r="AC861">
        <v>2013</v>
      </c>
      <c r="AE861" s="2">
        <v>501.6</v>
      </c>
    </row>
    <row r="862" spans="2:31" ht="14.5">
      <c r="B862" s="2">
        <v>82569</v>
      </c>
      <c r="C862" s="2" t="s">
        <v>1624</v>
      </c>
      <c r="D862" s="2" t="s">
        <v>1625</v>
      </c>
      <c r="E862" s="2" t="s">
        <v>1581</v>
      </c>
      <c r="F862" s="2" t="s">
        <v>29</v>
      </c>
      <c r="G862" s="2" t="s">
        <v>30</v>
      </c>
      <c r="H862" s="2" t="s">
        <v>218</v>
      </c>
      <c r="I862" s="2" t="s">
        <v>219</v>
      </c>
      <c r="J862" s="2" t="s">
        <v>220</v>
      </c>
      <c r="K862" s="2" t="s">
        <v>34</v>
      </c>
      <c r="L862" s="3"/>
      <c r="M862" s="3">
        <v>41425</v>
      </c>
      <c r="N862" s="3">
        <v>41417</v>
      </c>
      <c r="O862" s="3">
        <v>41417</v>
      </c>
      <c r="P862" s="2" t="s">
        <v>112</v>
      </c>
      <c r="Q862" s="2" t="s">
        <v>113</v>
      </c>
      <c r="R862" s="2" t="s">
        <v>37</v>
      </c>
      <c r="S862" s="2" t="s">
        <v>114</v>
      </c>
      <c r="T862" s="2" t="s">
        <v>47</v>
      </c>
      <c r="U862" s="2">
        <v>60</v>
      </c>
      <c r="V862" s="2">
        <v>2208</v>
      </c>
      <c r="W862" s="2">
        <v>18944.64</v>
      </c>
      <c r="X862" s="2">
        <v>8.58</v>
      </c>
      <c r="Y862" s="2">
        <v>0.14000000000000001</v>
      </c>
      <c r="Z862" s="2">
        <v>652</v>
      </c>
      <c r="AA862" s="2">
        <v>3763.2</v>
      </c>
      <c r="AB862">
        <v>1</v>
      </c>
      <c r="AC862">
        <v>2013</v>
      </c>
      <c r="AE862" s="2">
        <v>309.12</v>
      </c>
    </row>
    <row r="863" spans="2:31" ht="14.5">
      <c r="B863" s="2">
        <v>82570</v>
      </c>
      <c r="C863" s="2" t="s">
        <v>1626</v>
      </c>
      <c r="D863" s="2" t="s">
        <v>1627</v>
      </c>
      <c r="E863" s="2" t="s">
        <v>118</v>
      </c>
      <c r="F863" s="2" t="s">
        <v>29</v>
      </c>
      <c r="G863" s="2" t="s">
        <v>30</v>
      </c>
      <c r="H863" s="2" t="s">
        <v>218</v>
      </c>
      <c r="I863" s="2" t="s">
        <v>219</v>
      </c>
      <c r="J863" s="2" t="s">
        <v>220</v>
      </c>
      <c r="K863" s="2" t="s">
        <v>267</v>
      </c>
      <c r="L863" s="3"/>
      <c r="M863" s="3">
        <v>41432</v>
      </c>
      <c r="N863" s="3">
        <v>41432</v>
      </c>
      <c r="O863" s="3">
        <v>41432</v>
      </c>
      <c r="P863" s="2" t="s">
        <v>333</v>
      </c>
      <c r="Q863" s="2" t="s">
        <v>225</v>
      </c>
      <c r="R863" s="2" t="s">
        <v>37</v>
      </c>
      <c r="S863" s="2" t="s">
        <v>100</v>
      </c>
      <c r="T863" s="2" t="s">
        <v>39</v>
      </c>
      <c r="U863" s="2">
        <v>60</v>
      </c>
      <c r="V863" s="2">
        <v>1530</v>
      </c>
      <c r="W863" s="2">
        <v>10006.200000000001</v>
      </c>
      <c r="X863" s="2">
        <v>6.54</v>
      </c>
      <c r="Y863" s="2">
        <v>0.11</v>
      </c>
      <c r="Z863" s="2">
        <v>11337</v>
      </c>
      <c r="AA863" s="2">
        <v>23809.39</v>
      </c>
      <c r="AB863">
        <v>1</v>
      </c>
      <c r="AC863">
        <v>2013</v>
      </c>
      <c r="AE863" s="2">
        <v>168.3</v>
      </c>
    </row>
    <row r="864" spans="2:31" ht="14.5">
      <c r="B864" s="2">
        <v>82571</v>
      </c>
      <c r="C864" s="2" t="s">
        <v>2832</v>
      </c>
      <c r="D864" s="2" t="s">
        <v>2833</v>
      </c>
      <c r="E864" s="2" t="s">
        <v>2817</v>
      </c>
      <c r="F864" s="2" t="s">
        <v>29</v>
      </c>
      <c r="G864" s="2" t="s">
        <v>30</v>
      </c>
      <c r="H864" s="2" t="s">
        <v>218</v>
      </c>
      <c r="I864" s="2" t="s">
        <v>219</v>
      </c>
      <c r="J864" s="2" t="s">
        <v>220</v>
      </c>
      <c r="K864" s="2" t="s">
        <v>34</v>
      </c>
      <c r="L864" s="3"/>
      <c r="M864" s="3">
        <v>41394</v>
      </c>
      <c r="N864" s="3">
        <v>41388</v>
      </c>
      <c r="O864" s="3">
        <v>41388</v>
      </c>
      <c r="P864" s="2" t="s">
        <v>706</v>
      </c>
      <c r="Q864" s="2" t="s">
        <v>707</v>
      </c>
      <c r="R864" s="2" t="s">
        <v>37</v>
      </c>
      <c r="S864" s="2" t="s">
        <v>708</v>
      </c>
      <c r="T864" s="2" t="s">
        <v>47</v>
      </c>
      <c r="U864" s="2">
        <v>30</v>
      </c>
      <c r="V864" s="2">
        <v>1447</v>
      </c>
      <c r="W864" s="2">
        <v>6800.9</v>
      </c>
      <c r="X864" s="2">
        <v>4.7</v>
      </c>
      <c r="Y864" s="2">
        <v>0.16</v>
      </c>
      <c r="Z864" s="2">
        <v>1309</v>
      </c>
      <c r="AA864" s="2">
        <v>12356</v>
      </c>
      <c r="AB864">
        <v>1</v>
      </c>
      <c r="AC864">
        <v>2013</v>
      </c>
      <c r="AE864" s="2">
        <v>231.52</v>
      </c>
    </row>
    <row r="865" spans="2:31" ht="14.5">
      <c r="B865" s="2">
        <v>82572</v>
      </c>
      <c r="C865" s="2" t="s">
        <v>1628</v>
      </c>
      <c r="D865" s="2" t="s">
        <v>1629</v>
      </c>
      <c r="E865" s="2" t="s">
        <v>118</v>
      </c>
      <c r="F865" s="2" t="s">
        <v>29</v>
      </c>
      <c r="G865" s="2" t="s">
        <v>30</v>
      </c>
      <c r="H865" s="2" t="s">
        <v>218</v>
      </c>
      <c r="I865" s="2" t="s">
        <v>219</v>
      </c>
      <c r="J865" s="2" t="s">
        <v>220</v>
      </c>
      <c r="K865" s="2" t="s">
        <v>34</v>
      </c>
      <c r="L865" s="3"/>
      <c r="M865" s="3">
        <v>41403</v>
      </c>
      <c r="N865" s="3">
        <v>41401</v>
      </c>
      <c r="O865" s="3">
        <v>41401</v>
      </c>
      <c r="P865" s="2" t="s">
        <v>754</v>
      </c>
      <c r="Q865" s="2" t="s">
        <v>755</v>
      </c>
      <c r="R865" s="2" t="s">
        <v>37</v>
      </c>
      <c r="S865" s="2" t="s">
        <v>756</v>
      </c>
      <c r="T865" s="2" t="s">
        <v>47</v>
      </c>
      <c r="U865" s="2">
        <v>30</v>
      </c>
      <c r="V865" s="2">
        <v>229285</v>
      </c>
      <c r="W865" s="2">
        <v>2412078.2000000002</v>
      </c>
      <c r="X865" s="2">
        <v>10.52</v>
      </c>
      <c r="Y865" s="2">
        <v>0.35</v>
      </c>
      <c r="Z865" s="2">
        <v>29934</v>
      </c>
      <c r="AA865" s="2">
        <v>34003.699999999997</v>
      </c>
      <c r="AB865">
        <v>1</v>
      </c>
      <c r="AC865">
        <v>2013</v>
      </c>
      <c r="AE865" s="2">
        <v>80249.75</v>
      </c>
    </row>
    <row r="866" spans="2:31" ht="14.5">
      <c r="B866" s="2">
        <v>82575</v>
      </c>
      <c r="C866" s="2" t="s">
        <v>1630</v>
      </c>
      <c r="D866" s="2" t="s">
        <v>1631</v>
      </c>
      <c r="E866" s="2" t="s">
        <v>118</v>
      </c>
      <c r="F866" s="2" t="s">
        <v>29</v>
      </c>
      <c r="G866" s="2" t="s">
        <v>50</v>
      </c>
      <c r="H866" s="2" t="s">
        <v>218</v>
      </c>
      <c r="I866" s="2" t="s">
        <v>219</v>
      </c>
      <c r="J866" s="2" t="s">
        <v>220</v>
      </c>
      <c r="K866" s="2" t="s">
        <v>267</v>
      </c>
      <c r="L866" s="3"/>
      <c r="M866" s="3">
        <v>41453</v>
      </c>
      <c r="N866" s="3">
        <v>41432</v>
      </c>
      <c r="O866" s="3">
        <v>41432</v>
      </c>
      <c r="P866" s="2" t="s">
        <v>1632</v>
      </c>
      <c r="Q866" s="2" t="s">
        <v>140</v>
      </c>
      <c r="R866" s="2" t="s">
        <v>37</v>
      </c>
      <c r="S866" s="2" t="s">
        <v>1633</v>
      </c>
      <c r="T866" s="2" t="s">
        <v>729</v>
      </c>
      <c r="U866" s="2">
        <v>60</v>
      </c>
      <c r="V866" s="2">
        <v>475</v>
      </c>
      <c r="W866" s="2">
        <v>1092.5</v>
      </c>
      <c r="X866" s="2">
        <v>2.2999999999999998</v>
      </c>
      <c r="Y866" s="2">
        <v>0.04</v>
      </c>
      <c r="Z866" s="2">
        <v>1982</v>
      </c>
      <c r="AA866" s="2">
        <v>8163.74</v>
      </c>
      <c r="AB866">
        <v>1</v>
      </c>
      <c r="AC866">
        <v>2013</v>
      </c>
      <c r="AE866" s="2">
        <v>19</v>
      </c>
    </row>
    <row r="867" spans="2:31" ht="14.5">
      <c r="B867" s="2">
        <v>82583</v>
      </c>
      <c r="C867" s="2" t="s">
        <v>1634</v>
      </c>
      <c r="D867" s="2" t="s">
        <v>1635</v>
      </c>
      <c r="E867" s="2" t="s">
        <v>28</v>
      </c>
      <c r="F867" s="2" t="s">
        <v>29</v>
      </c>
      <c r="G867" s="2" t="s">
        <v>30</v>
      </c>
      <c r="H867" s="2" t="s">
        <v>218</v>
      </c>
      <c r="I867" s="2" t="s">
        <v>219</v>
      </c>
      <c r="J867" s="2" t="s">
        <v>220</v>
      </c>
      <c r="K867" s="2" t="s">
        <v>267</v>
      </c>
      <c r="L867" s="3"/>
      <c r="M867" s="3">
        <v>41425</v>
      </c>
      <c r="N867" s="3">
        <v>41443</v>
      </c>
      <c r="O867" s="3">
        <v>41443</v>
      </c>
      <c r="P867" s="2" t="s">
        <v>749</v>
      </c>
      <c r="Q867" s="2" t="s">
        <v>76</v>
      </c>
      <c r="R867" s="2" t="s">
        <v>37</v>
      </c>
      <c r="S867" s="2" t="s">
        <v>78</v>
      </c>
      <c r="T867" s="2" t="s">
        <v>47</v>
      </c>
      <c r="U867" s="2">
        <v>30</v>
      </c>
      <c r="V867" s="2">
        <v>31000</v>
      </c>
      <c r="W867" s="2">
        <v>401760</v>
      </c>
      <c r="X867" s="2">
        <v>12.96</v>
      </c>
      <c r="Y867" s="2">
        <v>0.43</v>
      </c>
      <c r="Z867" s="2">
        <v>3674</v>
      </c>
      <c r="AA867" s="2">
        <v>22904.03</v>
      </c>
      <c r="AB867">
        <v>0</v>
      </c>
      <c r="AC867">
        <v>2013</v>
      </c>
      <c r="AE867" s="2">
        <v>13330</v>
      </c>
    </row>
    <row r="868" spans="2:31" ht="14.5">
      <c r="B868" s="2">
        <v>82590</v>
      </c>
      <c r="C868" s="2" t="s">
        <v>1636</v>
      </c>
      <c r="D868" s="2" t="s">
        <v>1637</v>
      </c>
      <c r="E868" s="2" t="s">
        <v>1581</v>
      </c>
      <c r="F868" s="2" t="s">
        <v>29</v>
      </c>
      <c r="G868" s="2" t="s">
        <v>30</v>
      </c>
      <c r="H868" s="2" t="s">
        <v>218</v>
      </c>
      <c r="I868" s="2" t="s">
        <v>219</v>
      </c>
      <c r="J868" s="2" t="s">
        <v>220</v>
      </c>
      <c r="K868" s="2" t="s">
        <v>34</v>
      </c>
      <c r="L868" s="3"/>
      <c r="M868" s="3">
        <v>41492</v>
      </c>
      <c r="N868" s="3">
        <v>41509</v>
      </c>
      <c r="O868" s="3">
        <v>41509</v>
      </c>
      <c r="P868" s="2" t="s">
        <v>95</v>
      </c>
      <c r="Q868" s="2" t="s">
        <v>96</v>
      </c>
      <c r="R868" s="2" t="s">
        <v>37</v>
      </c>
      <c r="S868" s="2" t="s">
        <v>97</v>
      </c>
      <c r="T868" s="2" t="s">
        <v>39</v>
      </c>
      <c r="U868" s="2">
        <v>30</v>
      </c>
      <c r="V868" s="2">
        <v>4032</v>
      </c>
      <c r="W868" s="2">
        <v>13426.56</v>
      </c>
      <c r="X868" s="2">
        <v>3.33</v>
      </c>
      <c r="Y868" s="2">
        <v>0.11</v>
      </c>
      <c r="Z868" s="2">
        <v>336</v>
      </c>
      <c r="AA868" s="2">
        <v>4385.4399999999996</v>
      </c>
      <c r="AB868">
        <v>0</v>
      </c>
      <c r="AC868">
        <v>2013</v>
      </c>
      <c r="AE868" s="2">
        <v>443.52</v>
      </c>
    </row>
    <row r="869" spans="2:31" ht="14.5">
      <c r="B869" s="2">
        <v>82591</v>
      </c>
      <c r="C869" s="2" t="s">
        <v>1638</v>
      </c>
      <c r="D869" s="2" t="s">
        <v>1639</v>
      </c>
      <c r="E869" s="2" t="s">
        <v>28</v>
      </c>
      <c r="F869" s="2" t="s">
        <v>29</v>
      </c>
      <c r="G869" s="2" t="s">
        <v>30</v>
      </c>
      <c r="H869" s="2" t="s">
        <v>218</v>
      </c>
      <c r="I869" s="2" t="s">
        <v>219</v>
      </c>
      <c r="J869" s="2" t="s">
        <v>220</v>
      </c>
      <c r="K869" s="2" t="s">
        <v>267</v>
      </c>
      <c r="L869" s="3"/>
      <c r="M869" s="3">
        <v>41515</v>
      </c>
      <c r="N869" s="3">
        <v>41527</v>
      </c>
      <c r="O869" s="3">
        <v>41527</v>
      </c>
      <c r="P869" s="2" t="s">
        <v>112</v>
      </c>
      <c r="Q869" s="2" t="s">
        <v>113</v>
      </c>
      <c r="R869" s="2" t="s">
        <v>37</v>
      </c>
      <c r="S869" s="2" t="s">
        <v>114</v>
      </c>
      <c r="T869" s="2" t="s">
        <v>47</v>
      </c>
      <c r="U869" s="2">
        <v>60</v>
      </c>
      <c r="V869" s="2">
        <v>58920</v>
      </c>
      <c r="W869" s="2">
        <v>505533.6</v>
      </c>
      <c r="X869" s="2">
        <v>8.58</v>
      </c>
      <c r="Y869" s="2">
        <v>0.14000000000000001</v>
      </c>
      <c r="Z869" s="2">
        <v>6560</v>
      </c>
      <c r="AA869" s="2">
        <v>8057.2</v>
      </c>
      <c r="AB869">
        <v>0</v>
      </c>
      <c r="AC869">
        <v>2013</v>
      </c>
      <c r="AE869" s="2">
        <v>8248.8000000000011</v>
      </c>
    </row>
    <row r="870" spans="2:31" ht="14.5">
      <c r="B870" s="2">
        <v>82593</v>
      </c>
      <c r="C870" s="2" t="s">
        <v>1640</v>
      </c>
      <c r="D870" s="2" t="s">
        <v>1641</v>
      </c>
      <c r="E870" s="2" t="s">
        <v>1581</v>
      </c>
      <c r="F870" s="2" t="s">
        <v>29</v>
      </c>
      <c r="G870" s="2" t="s">
        <v>30</v>
      </c>
      <c r="H870" s="2" t="s">
        <v>218</v>
      </c>
      <c r="I870" s="2" t="s">
        <v>219</v>
      </c>
      <c r="J870" s="2" t="s">
        <v>220</v>
      </c>
      <c r="K870" s="2" t="s">
        <v>34</v>
      </c>
      <c r="L870" s="3"/>
      <c r="M870" s="3">
        <v>41492</v>
      </c>
      <c r="N870" s="3">
        <v>41415</v>
      </c>
      <c r="O870" s="3">
        <v>41961</v>
      </c>
      <c r="P870" s="2" t="s">
        <v>35</v>
      </c>
      <c r="Q870" s="2" t="s">
        <v>36</v>
      </c>
      <c r="R870" s="2" t="s">
        <v>37</v>
      </c>
      <c r="S870" s="2" t="s">
        <v>38</v>
      </c>
      <c r="T870" s="2" t="s">
        <v>39</v>
      </c>
      <c r="U870" s="2">
        <v>60</v>
      </c>
      <c r="V870" s="2">
        <v>225</v>
      </c>
      <c r="W870" s="2">
        <v>508.5</v>
      </c>
      <c r="X870" s="2">
        <v>2.2599999999999998</v>
      </c>
      <c r="Y870" s="2">
        <v>0.04</v>
      </c>
      <c r="AB870">
        <v>1</v>
      </c>
      <c r="AC870">
        <v>2014</v>
      </c>
      <c r="AE870" s="2">
        <v>9</v>
      </c>
    </row>
    <row r="871" spans="2:31" ht="14.5">
      <c r="B871" s="2">
        <v>82594</v>
      </c>
      <c r="C871" s="2" t="s">
        <v>1642</v>
      </c>
      <c r="D871" s="2" t="s">
        <v>1643</v>
      </c>
      <c r="E871" s="2" t="s">
        <v>118</v>
      </c>
      <c r="F871" s="2" t="s">
        <v>29</v>
      </c>
      <c r="G871" s="2" t="s">
        <v>50</v>
      </c>
      <c r="H871" s="2" t="s">
        <v>218</v>
      </c>
      <c r="I871" s="2" t="s">
        <v>219</v>
      </c>
      <c r="J871" s="2" t="s">
        <v>220</v>
      </c>
      <c r="K871" s="2" t="s">
        <v>34</v>
      </c>
      <c r="L871" s="3"/>
      <c r="M871" s="3">
        <v>41516</v>
      </c>
      <c r="N871" s="3">
        <v>41496</v>
      </c>
      <c r="O871" s="3">
        <v>41496</v>
      </c>
      <c r="P871" s="2" t="s">
        <v>1644</v>
      </c>
      <c r="Q871" s="2" t="s">
        <v>408</v>
      </c>
      <c r="R871" s="2" t="s">
        <v>37</v>
      </c>
      <c r="S871" s="2" t="s">
        <v>1645</v>
      </c>
      <c r="T871" s="2" t="s">
        <v>729</v>
      </c>
      <c r="U871" s="2">
        <v>60</v>
      </c>
      <c r="V871" s="2">
        <v>372</v>
      </c>
      <c r="W871" s="2">
        <v>706.8</v>
      </c>
      <c r="X871" s="2">
        <v>1.9</v>
      </c>
      <c r="Y871" s="2">
        <v>0.03</v>
      </c>
      <c r="Z871" s="2">
        <v>33</v>
      </c>
      <c r="AA871" s="2">
        <v>951.75</v>
      </c>
      <c r="AB871">
        <v>1</v>
      </c>
      <c r="AC871">
        <v>2013</v>
      </c>
      <c r="AE871" s="2">
        <v>11.16</v>
      </c>
    </row>
    <row r="872" spans="2:31" ht="14.5">
      <c r="B872" s="2">
        <v>82597</v>
      </c>
      <c r="C872" s="2" t="s">
        <v>1646</v>
      </c>
      <c r="D872" s="2" t="s">
        <v>1647</v>
      </c>
      <c r="E872" s="2" t="s">
        <v>28</v>
      </c>
      <c r="F872" s="2" t="s">
        <v>29</v>
      </c>
      <c r="G872" s="2" t="s">
        <v>50</v>
      </c>
      <c r="H872" s="2" t="s">
        <v>218</v>
      </c>
      <c r="I872" s="2" t="s">
        <v>219</v>
      </c>
      <c r="J872" s="2" t="s">
        <v>220</v>
      </c>
      <c r="K872" s="2" t="s">
        <v>267</v>
      </c>
      <c r="L872" s="3"/>
      <c r="M872" s="3">
        <v>41485</v>
      </c>
      <c r="N872" s="3">
        <v>41501</v>
      </c>
      <c r="O872" s="3">
        <v>41501</v>
      </c>
      <c r="P872" s="2" t="s">
        <v>802</v>
      </c>
      <c r="Q872" s="2" t="s">
        <v>96</v>
      </c>
      <c r="R872" s="2" t="s">
        <v>37</v>
      </c>
      <c r="S872" s="2" t="s">
        <v>38</v>
      </c>
      <c r="T872" s="2" t="s">
        <v>39</v>
      </c>
      <c r="U872" s="2">
        <v>90</v>
      </c>
      <c r="V872" s="2">
        <v>6823</v>
      </c>
      <c r="W872" s="2">
        <v>49807.9</v>
      </c>
      <c r="X872" s="2">
        <v>7.3</v>
      </c>
      <c r="Y872" s="2">
        <v>0.08</v>
      </c>
      <c r="Z872" s="2">
        <v>428</v>
      </c>
      <c r="AA872" s="2">
        <v>2376</v>
      </c>
      <c r="AB872">
        <v>0</v>
      </c>
      <c r="AC872">
        <v>2013</v>
      </c>
      <c r="AE872" s="2">
        <v>545.84</v>
      </c>
    </row>
    <row r="873" spans="2:31" ht="14.5">
      <c r="B873" s="2">
        <v>82601</v>
      </c>
      <c r="C873" s="2" t="s">
        <v>1648</v>
      </c>
      <c r="D873" s="2" t="s">
        <v>1649</v>
      </c>
      <c r="E873" s="2" t="s">
        <v>28</v>
      </c>
      <c r="F873" s="2" t="s">
        <v>29</v>
      </c>
      <c r="G873" s="2" t="s">
        <v>30</v>
      </c>
      <c r="H873" s="2" t="s">
        <v>218</v>
      </c>
      <c r="I873" s="2" t="s">
        <v>219</v>
      </c>
      <c r="J873" s="2" t="s">
        <v>220</v>
      </c>
      <c r="K873" s="2" t="s">
        <v>267</v>
      </c>
      <c r="L873" s="3"/>
      <c r="M873" s="3">
        <v>41572</v>
      </c>
      <c r="N873" s="3">
        <v>41548</v>
      </c>
      <c r="O873" s="3">
        <v>41556</v>
      </c>
      <c r="P873" s="2" t="s">
        <v>749</v>
      </c>
      <c r="Q873" s="2" t="s">
        <v>76</v>
      </c>
      <c r="R873" s="2" t="s">
        <v>37</v>
      </c>
      <c r="S873" s="2" t="s">
        <v>78</v>
      </c>
      <c r="T873" s="2" t="s">
        <v>47</v>
      </c>
      <c r="U873" s="2">
        <v>30</v>
      </c>
      <c r="V873" s="2">
        <v>12567</v>
      </c>
      <c r="W873" s="2">
        <v>154574.1</v>
      </c>
      <c r="X873" s="2">
        <v>12.3</v>
      </c>
      <c r="Y873" s="2">
        <v>0.41</v>
      </c>
      <c r="Z873" s="2">
        <v>1482</v>
      </c>
      <c r="AA873" s="2">
        <v>5474</v>
      </c>
      <c r="AB873">
        <v>1</v>
      </c>
      <c r="AC873">
        <v>2013</v>
      </c>
      <c r="AE873" s="2">
        <v>5152.4699999999993</v>
      </c>
    </row>
    <row r="874" spans="2:31" ht="14.5">
      <c r="B874" s="2">
        <v>82604</v>
      </c>
      <c r="C874" s="2" t="s">
        <v>1650</v>
      </c>
      <c r="D874" s="2" t="s">
        <v>1651</v>
      </c>
      <c r="E874" s="2" t="s">
        <v>1581</v>
      </c>
      <c r="F874" s="2" t="s">
        <v>29</v>
      </c>
      <c r="G874" s="2" t="s">
        <v>30</v>
      </c>
      <c r="H874" s="2" t="s">
        <v>218</v>
      </c>
      <c r="I874" s="2" t="s">
        <v>219</v>
      </c>
      <c r="J874" s="2" t="s">
        <v>220</v>
      </c>
      <c r="K874" s="2" t="s">
        <v>34</v>
      </c>
      <c r="L874" s="3"/>
      <c r="M874" s="3">
        <v>41581</v>
      </c>
      <c r="N874" s="3">
        <v>41583</v>
      </c>
      <c r="O874" s="3">
        <v>41590</v>
      </c>
      <c r="P874" s="2" t="s">
        <v>44</v>
      </c>
      <c r="Q874" s="2" t="s">
        <v>45</v>
      </c>
      <c r="R874" s="2" t="s">
        <v>37</v>
      </c>
      <c r="S874" s="2" t="s">
        <v>46</v>
      </c>
      <c r="T874" s="2" t="s">
        <v>47</v>
      </c>
      <c r="U874" s="2">
        <v>60</v>
      </c>
      <c r="V874" s="2">
        <v>6141</v>
      </c>
      <c r="W874" s="2">
        <v>42987</v>
      </c>
      <c r="X874" s="2">
        <v>7</v>
      </c>
      <c r="Y874" s="2">
        <v>0.12</v>
      </c>
      <c r="Z874" s="2">
        <v>741</v>
      </c>
      <c r="AA874" s="2">
        <v>3810.39</v>
      </c>
      <c r="AB874">
        <v>0</v>
      </c>
      <c r="AC874">
        <v>2013</v>
      </c>
      <c r="AE874" s="2">
        <v>736.92</v>
      </c>
    </row>
    <row r="875" spans="2:31" ht="14.5">
      <c r="B875" s="2">
        <v>82605</v>
      </c>
      <c r="C875" s="2" t="s">
        <v>1650</v>
      </c>
      <c r="D875" s="2" t="s">
        <v>1651</v>
      </c>
      <c r="E875" s="2" t="s">
        <v>1581</v>
      </c>
      <c r="F875" s="2" t="s">
        <v>29</v>
      </c>
      <c r="G875" s="2" t="s">
        <v>30</v>
      </c>
      <c r="H875" s="2" t="s">
        <v>218</v>
      </c>
      <c r="I875" s="2" t="s">
        <v>219</v>
      </c>
      <c r="J875" s="2" t="s">
        <v>220</v>
      </c>
      <c r="K875" s="2" t="s">
        <v>34</v>
      </c>
      <c r="L875" s="3"/>
      <c r="M875" s="3">
        <v>41581</v>
      </c>
      <c r="N875" s="3">
        <v>41583</v>
      </c>
      <c r="O875" s="3">
        <v>41590</v>
      </c>
      <c r="P875" s="2" t="s">
        <v>112</v>
      </c>
      <c r="Q875" s="2" t="s">
        <v>113</v>
      </c>
      <c r="R875" s="2" t="s">
        <v>37</v>
      </c>
      <c r="S875" s="2" t="s">
        <v>114</v>
      </c>
      <c r="T875" s="2" t="s">
        <v>47</v>
      </c>
      <c r="U875" s="2">
        <v>60</v>
      </c>
      <c r="V875" s="2">
        <v>1344</v>
      </c>
      <c r="W875" s="2">
        <v>11101.44</v>
      </c>
      <c r="X875" s="2">
        <v>8.26</v>
      </c>
      <c r="Y875" s="2">
        <v>0.14000000000000001</v>
      </c>
      <c r="AB875">
        <v>0</v>
      </c>
      <c r="AC875">
        <v>2013</v>
      </c>
      <c r="AE875" s="2">
        <v>188.16000000000003</v>
      </c>
    </row>
    <row r="876" spans="2:31" ht="14.5">
      <c r="B876" s="2">
        <v>82611</v>
      </c>
      <c r="C876" s="2" t="s">
        <v>1652</v>
      </c>
      <c r="D876" s="2" t="s">
        <v>1653</v>
      </c>
      <c r="E876" s="2" t="s">
        <v>28</v>
      </c>
      <c r="F876" s="2" t="s">
        <v>29</v>
      </c>
      <c r="G876" s="2" t="s">
        <v>50</v>
      </c>
      <c r="H876" s="2" t="s">
        <v>218</v>
      </c>
      <c r="I876" s="2" t="s">
        <v>219</v>
      </c>
      <c r="J876" s="2" t="s">
        <v>220</v>
      </c>
      <c r="K876" s="2" t="s">
        <v>267</v>
      </c>
      <c r="L876" s="3"/>
      <c r="M876" s="3">
        <v>41578</v>
      </c>
      <c r="N876" s="3">
        <v>41582</v>
      </c>
      <c r="O876" s="3">
        <v>41584</v>
      </c>
      <c r="P876" s="2" t="s">
        <v>1632</v>
      </c>
      <c r="Q876" s="2" t="s">
        <v>140</v>
      </c>
      <c r="R876" s="2" t="s">
        <v>37</v>
      </c>
      <c r="S876" s="2" t="s">
        <v>1633</v>
      </c>
      <c r="T876" s="2" t="s">
        <v>729</v>
      </c>
      <c r="U876" s="2">
        <v>60</v>
      </c>
      <c r="V876" s="2">
        <v>6097</v>
      </c>
      <c r="W876" s="2">
        <v>14023.1</v>
      </c>
      <c r="X876" s="2">
        <v>2.2999999999999998</v>
      </c>
      <c r="Y876" s="2">
        <v>0.04</v>
      </c>
      <c r="Z876" s="2">
        <v>12213</v>
      </c>
      <c r="AA876" s="2">
        <v>7607.2</v>
      </c>
      <c r="AB876">
        <v>0</v>
      </c>
      <c r="AC876">
        <v>2013</v>
      </c>
      <c r="AE876" s="2">
        <v>243.88</v>
      </c>
    </row>
    <row r="877" spans="2:31" ht="14.5">
      <c r="B877" s="2">
        <v>82617</v>
      </c>
      <c r="C877" s="2" t="s">
        <v>1654</v>
      </c>
      <c r="D877" s="2" t="s">
        <v>1655</v>
      </c>
      <c r="E877" s="2" t="s">
        <v>42</v>
      </c>
      <c r="F877" s="2" t="s">
        <v>29</v>
      </c>
      <c r="G877" s="2" t="s">
        <v>30</v>
      </c>
      <c r="H877" s="2" t="s">
        <v>218</v>
      </c>
      <c r="I877" s="2" t="s">
        <v>219</v>
      </c>
      <c r="J877" s="2" t="s">
        <v>220</v>
      </c>
      <c r="K877" s="2" t="s">
        <v>267</v>
      </c>
      <c r="L877" s="3"/>
      <c r="M877" s="3">
        <v>41670</v>
      </c>
      <c r="N877" s="3">
        <v>41631</v>
      </c>
      <c r="O877" s="3">
        <v>41656</v>
      </c>
      <c r="P877" s="2" t="s">
        <v>35</v>
      </c>
      <c r="Q877" s="2" t="s">
        <v>36</v>
      </c>
      <c r="R877" s="2" t="s">
        <v>37</v>
      </c>
      <c r="S877" s="2" t="s">
        <v>38</v>
      </c>
      <c r="T877" s="2" t="s">
        <v>39</v>
      </c>
      <c r="U877" s="2">
        <v>60</v>
      </c>
      <c r="V877" s="2">
        <v>79999</v>
      </c>
      <c r="W877" s="2">
        <v>180797.74</v>
      </c>
      <c r="X877" s="2">
        <v>2.2599999999999998</v>
      </c>
      <c r="Y877" s="2">
        <v>0.04</v>
      </c>
      <c r="Z877" s="2">
        <v>9404</v>
      </c>
      <c r="AA877" s="2">
        <v>14088.22</v>
      </c>
      <c r="AB877">
        <v>1</v>
      </c>
      <c r="AC877">
        <v>2014</v>
      </c>
      <c r="AE877" s="2">
        <v>3199.96</v>
      </c>
    </row>
    <row r="878" spans="2:31" ht="14.5">
      <c r="B878" s="2">
        <v>82627</v>
      </c>
      <c r="C878" s="2" t="s">
        <v>1656</v>
      </c>
      <c r="D878" s="2" t="s">
        <v>1657</v>
      </c>
      <c r="E878" s="2" t="s">
        <v>28</v>
      </c>
      <c r="F878" s="2" t="s">
        <v>29</v>
      </c>
      <c r="G878" s="2" t="s">
        <v>30</v>
      </c>
      <c r="H878" s="2" t="s">
        <v>218</v>
      </c>
      <c r="I878" s="2" t="s">
        <v>219</v>
      </c>
      <c r="J878" s="2" t="s">
        <v>220</v>
      </c>
      <c r="K878" s="2" t="s">
        <v>267</v>
      </c>
      <c r="L878" s="3"/>
      <c r="M878" s="3">
        <v>41670</v>
      </c>
      <c r="N878" s="3">
        <v>41689</v>
      </c>
      <c r="O878" s="3">
        <v>41694</v>
      </c>
      <c r="P878" s="2" t="s">
        <v>150</v>
      </c>
      <c r="Q878" s="2" t="s">
        <v>84</v>
      </c>
      <c r="R878" s="2" t="s">
        <v>151</v>
      </c>
      <c r="S878" s="2" t="s">
        <v>152</v>
      </c>
      <c r="T878" s="2" t="s">
        <v>39</v>
      </c>
      <c r="U878" s="2">
        <v>120</v>
      </c>
      <c r="V878" s="2">
        <v>909</v>
      </c>
      <c r="W878" s="2">
        <v>17743.68</v>
      </c>
      <c r="X878" s="2">
        <v>19.52</v>
      </c>
      <c r="Y878" s="2">
        <v>0.16</v>
      </c>
      <c r="Z878" s="2">
        <v>8820</v>
      </c>
      <c r="AA878" s="2">
        <v>3541.59</v>
      </c>
      <c r="AB878">
        <v>0</v>
      </c>
      <c r="AC878">
        <v>2014</v>
      </c>
      <c r="AE878" s="2">
        <v>145.44</v>
      </c>
    </row>
    <row r="879" spans="2:31" ht="14.5">
      <c r="B879" s="2">
        <v>82631</v>
      </c>
      <c r="C879" s="2" t="s">
        <v>1658</v>
      </c>
      <c r="D879" s="2" t="s">
        <v>1659</v>
      </c>
      <c r="E879" s="2" t="s">
        <v>42</v>
      </c>
      <c r="F879" s="2" t="s">
        <v>29</v>
      </c>
      <c r="G879" s="2" t="s">
        <v>30</v>
      </c>
      <c r="H879" s="2" t="s">
        <v>218</v>
      </c>
      <c r="I879" s="2" t="s">
        <v>219</v>
      </c>
      <c r="J879" s="2" t="s">
        <v>220</v>
      </c>
      <c r="K879" s="2" t="s">
        <v>267</v>
      </c>
      <c r="L879" s="3"/>
      <c r="M879" s="3">
        <v>41670</v>
      </c>
      <c r="N879" s="3">
        <v>41649</v>
      </c>
      <c r="O879" s="3">
        <v>41670</v>
      </c>
      <c r="P879" s="2" t="s">
        <v>44</v>
      </c>
      <c r="Q879" s="2" t="s">
        <v>45</v>
      </c>
      <c r="R879" s="2" t="s">
        <v>37</v>
      </c>
      <c r="S879" s="2" t="s">
        <v>46</v>
      </c>
      <c r="T879" s="2" t="s">
        <v>47</v>
      </c>
      <c r="U879" s="2">
        <v>60</v>
      </c>
      <c r="V879" s="2">
        <v>16000</v>
      </c>
      <c r="W879" s="2">
        <v>112000</v>
      </c>
      <c r="X879" s="2">
        <v>7</v>
      </c>
      <c r="Y879" s="2">
        <v>0.12</v>
      </c>
      <c r="Z879" s="2">
        <v>1412</v>
      </c>
      <c r="AA879" s="2">
        <v>20049.080000000002</v>
      </c>
      <c r="AB879">
        <v>1</v>
      </c>
      <c r="AC879">
        <v>2014</v>
      </c>
      <c r="AE879" s="2">
        <v>1920</v>
      </c>
    </row>
    <row r="880" spans="2:31" ht="14.5">
      <c r="B880" s="2">
        <v>82640</v>
      </c>
      <c r="C880" s="2" t="s">
        <v>1660</v>
      </c>
      <c r="D880" s="2" t="s">
        <v>1661</v>
      </c>
      <c r="E880" s="2" t="s">
        <v>42</v>
      </c>
      <c r="F880" s="2" t="s">
        <v>29</v>
      </c>
      <c r="G880" s="2" t="s">
        <v>30</v>
      </c>
      <c r="H880" s="2" t="s">
        <v>218</v>
      </c>
      <c r="I880" s="2" t="s">
        <v>219</v>
      </c>
      <c r="J880" s="2" t="s">
        <v>220</v>
      </c>
      <c r="K880" s="2" t="s">
        <v>267</v>
      </c>
      <c r="L880" s="3"/>
      <c r="M880" s="3">
        <v>41670</v>
      </c>
      <c r="N880" s="3">
        <v>41673</v>
      </c>
      <c r="O880" s="3">
        <v>41694</v>
      </c>
      <c r="P880" s="2" t="s">
        <v>706</v>
      </c>
      <c r="Q880" s="2" t="s">
        <v>707</v>
      </c>
      <c r="R880" s="2" t="s">
        <v>37</v>
      </c>
      <c r="S880" s="2" t="s">
        <v>708</v>
      </c>
      <c r="T880" s="2" t="s">
        <v>47</v>
      </c>
      <c r="U880" s="2">
        <v>30</v>
      </c>
      <c r="V880" s="2">
        <v>29993</v>
      </c>
      <c r="W880" s="2">
        <v>140967.1</v>
      </c>
      <c r="X880" s="2">
        <v>4.7</v>
      </c>
      <c r="Y880" s="2">
        <v>0.16</v>
      </c>
      <c r="Z880" s="2">
        <v>4883</v>
      </c>
      <c r="AA880" s="2">
        <v>7708.3</v>
      </c>
      <c r="AB880">
        <v>0</v>
      </c>
      <c r="AC880">
        <v>2014</v>
      </c>
      <c r="AE880" s="2">
        <v>4798.88</v>
      </c>
    </row>
    <row r="881" spans="2:31" ht="14.5">
      <c r="B881" s="2">
        <v>82641</v>
      </c>
      <c r="C881" s="2" t="s">
        <v>1662</v>
      </c>
      <c r="D881" s="2" t="s">
        <v>1663</v>
      </c>
      <c r="E881" s="2" t="s">
        <v>28</v>
      </c>
      <c r="F881" s="2" t="s">
        <v>29</v>
      </c>
      <c r="G881" s="2" t="s">
        <v>50</v>
      </c>
      <c r="H881" s="2" t="s">
        <v>218</v>
      </c>
      <c r="I881" s="2" t="s">
        <v>219</v>
      </c>
      <c r="J881" s="2" t="s">
        <v>220</v>
      </c>
      <c r="K881" s="2" t="s">
        <v>267</v>
      </c>
      <c r="L881" s="3"/>
      <c r="M881" s="3">
        <v>41670</v>
      </c>
      <c r="N881" s="3">
        <v>41689</v>
      </c>
      <c r="O881" s="3">
        <v>41694</v>
      </c>
      <c r="P881" s="2" t="s">
        <v>1664</v>
      </c>
      <c r="Q881" s="2" t="s">
        <v>1000</v>
      </c>
      <c r="R881" s="2" t="s">
        <v>37</v>
      </c>
      <c r="S881" s="2" t="s">
        <v>1665</v>
      </c>
      <c r="T881" s="2" t="s">
        <v>47</v>
      </c>
      <c r="U881" s="2">
        <v>60</v>
      </c>
      <c r="V881" s="2">
        <v>23964</v>
      </c>
      <c r="W881" s="2">
        <v>95856</v>
      </c>
      <c r="X881" s="2">
        <v>4</v>
      </c>
      <c r="Y881" s="2">
        <v>7.0000000000000007E-2</v>
      </c>
      <c r="AB881">
        <v>0</v>
      </c>
      <c r="AC881">
        <v>2014</v>
      </c>
      <c r="AE881" s="2">
        <v>1677.4800000000002</v>
      </c>
    </row>
    <row r="882" spans="2:31" ht="14.5">
      <c r="B882" s="2">
        <v>82650</v>
      </c>
      <c r="C882" s="2" t="s">
        <v>1666</v>
      </c>
      <c r="D882" s="2" t="s">
        <v>1667</v>
      </c>
      <c r="E882" s="2" t="s">
        <v>28</v>
      </c>
      <c r="F882" s="2" t="s">
        <v>29</v>
      </c>
      <c r="G882" s="2" t="s">
        <v>30</v>
      </c>
      <c r="H882" s="2" t="s">
        <v>218</v>
      </c>
      <c r="I882" s="2" t="s">
        <v>219</v>
      </c>
      <c r="J882" s="2" t="s">
        <v>220</v>
      </c>
      <c r="K882" s="2" t="s">
        <v>267</v>
      </c>
      <c r="L882" s="3"/>
      <c r="M882" s="3">
        <v>41670</v>
      </c>
      <c r="N882" s="3">
        <v>41689</v>
      </c>
      <c r="O882" s="3">
        <v>41694</v>
      </c>
      <c r="P882" s="2" t="s">
        <v>754</v>
      </c>
      <c r="Q882" s="2" t="s">
        <v>755</v>
      </c>
      <c r="R882" s="2" t="s">
        <v>37</v>
      </c>
      <c r="S882" s="2" t="s">
        <v>756</v>
      </c>
      <c r="T882" s="2" t="s">
        <v>47</v>
      </c>
      <c r="U882" s="2">
        <v>30</v>
      </c>
      <c r="V882" s="2">
        <v>46066</v>
      </c>
      <c r="W882" s="2">
        <v>500737.42</v>
      </c>
      <c r="X882" s="2">
        <v>10.87</v>
      </c>
      <c r="Y882" s="2">
        <v>0.36</v>
      </c>
      <c r="Z882" s="2">
        <v>5175</v>
      </c>
      <c r="AA882" s="2">
        <v>3541.59</v>
      </c>
      <c r="AB882">
        <v>0</v>
      </c>
      <c r="AC882">
        <v>2014</v>
      </c>
      <c r="AE882" s="2">
        <v>16583.759999999998</v>
      </c>
    </row>
    <row r="883" spans="2:31" ht="14.5">
      <c r="B883" s="2">
        <v>82656</v>
      </c>
      <c r="C883" s="2" t="s">
        <v>1668</v>
      </c>
      <c r="D883" s="2" t="s">
        <v>1669</v>
      </c>
      <c r="E883" s="2" t="s">
        <v>28</v>
      </c>
      <c r="F883" s="2" t="s">
        <v>29</v>
      </c>
      <c r="G883" s="2" t="s">
        <v>30</v>
      </c>
      <c r="H883" s="2" t="s">
        <v>218</v>
      </c>
      <c r="I883" s="2" t="s">
        <v>219</v>
      </c>
      <c r="J883" s="2" t="s">
        <v>220</v>
      </c>
      <c r="K883" s="2" t="s">
        <v>267</v>
      </c>
      <c r="L883" s="3"/>
      <c r="M883" s="3">
        <v>41759</v>
      </c>
      <c r="N883" s="3">
        <v>41761</v>
      </c>
      <c r="O883" s="3">
        <v>41766</v>
      </c>
      <c r="P883" s="2" t="s">
        <v>1457</v>
      </c>
      <c r="Q883" s="2" t="s">
        <v>236</v>
      </c>
      <c r="R883" s="2" t="s">
        <v>37</v>
      </c>
      <c r="S883" s="2" t="s">
        <v>1458</v>
      </c>
      <c r="T883" s="2" t="s">
        <v>47</v>
      </c>
      <c r="U883" s="2">
        <v>30</v>
      </c>
      <c r="V883" s="2">
        <v>20921</v>
      </c>
      <c r="W883" s="2">
        <v>122806.27</v>
      </c>
      <c r="X883" s="2">
        <v>5.87</v>
      </c>
      <c r="Y883" s="2">
        <v>0.2</v>
      </c>
      <c r="Z883" s="2">
        <v>6692</v>
      </c>
      <c r="AA883" s="2">
        <v>6010.2</v>
      </c>
      <c r="AB883">
        <v>0</v>
      </c>
      <c r="AC883">
        <v>2014</v>
      </c>
      <c r="AE883" s="2">
        <v>4184.2</v>
      </c>
    </row>
    <row r="884" spans="2:31" ht="14.5">
      <c r="B884" s="2">
        <v>82657</v>
      </c>
      <c r="C884" s="2" t="s">
        <v>1670</v>
      </c>
      <c r="D884" s="2" t="s">
        <v>1671</v>
      </c>
      <c r="E884" s="2" t="s">
        <v>118</v>
      </c>
      <c r="F884" s="2" t="s">
        <v>29</v>
      </c>
      <c r="G884" s="2" t="s">
        <v>30</v>
      </c>
      <c r="H884" s="2" t="s">
        <v>218</v>
      </c>
      <c r="I884" s="2" t="s">
        <v>219</v>
      </c>
      <c r="J884" s="2" t="s">
        <v>220</v>
      </c>
      <c r="K884" s="2" t="s">
        <v>267</v>
      </c>
      <c r="L884" s="3"/>
      <c r="M884" s="3">
        <v>41749</v>
      </c>
      <c r="N884" s="3">
        <v>41747</v>
      </c>
      <c r="O884" s="3">
        <v>41757</v>
      </c>
      <c r="P884" s="2" t="s">
        <v>44</v>
      </c>
      <c r="Q884" s="2" t="s">
        <v>45</v>
      </c>
      <c r="R884" s="2" t="s">
        <v>37</v>
      </c>
      <c r="S884" s="2" t="s">
        <v>46</v>
      </c>
      <c r="T884" s="2" t="s">
        <v>47</v>
      </c>
      <c r="U884" s="2">
        <v>60</v>
      </c>
      <c r="V884" s="2">
        <v>7693</v>
      </c>
      <c r="W884" s="2">
        <v>51773.89</v>
      </c>
      <c r="X884" s="2">
        <v>6.73</v>
      </c>
      <c r="Y884" s="2">
        <v>0.11</v>
      </c>
      <c r="Z884" s="2">
        <v>6909</v>
      </c>
      <c r="AA884" s="2">
        <v>4947.38</v>
      </c>
      <c r="AB884">
        <v>1</v>
      </c>
      <c r="AC884">
        <v>2014</v>
      </c>
      <c r="AE884" s="2">
        <v>846.23</v>
      </c>
    </row>
    <row r="885" spans="2:31" ht="14.5">
      <c r="B885" s="2">
        <v>82662</v>
      </c>
      <c r="C885" s="2" t="s">
        <v>1672</v>
      </c>
      <c r="D885" s="2" t="s">
        <v>1673</v>
      </c>
      <c r="E885" s="2" t="s">
        <v>118</v>
      </c>
      <c r="F885" s="2" t="s">
        <v>29</v>
      </c>
      <c r="G885" s="2" t="s">
        <v>30</v>
      </c>
      <c r="H885" s="2" t="s">
        <v>218</v>
      </c>
      <c r="I885" s="2" t="s">
        <v>219</v>
      </c>
      <c r="J885" s="2" t="s">
        <v>220</v>
      </c>
      <c r="K885" s="2" t="s">
        <v>267</v>
      </c>
      <c r="L885" s="3"/>
      <c r="M885" s="3">
        <v>41729</v>
      </c>
      <c r="N885" s="3">
        <v>41747</v>
      </c>
      <c r="O885" s="3">
        <v>41766</v>
      </c>
      <c r="P885" s="2" t="s">
        <v>35</v>
      </c>
      <c r="Q885" s="2" t="s">
        <v>36</v>
      </c>
      <c r="R885" s="2" t="s">
        <v>37</v>
      </c>
      <c r="S885" s="2" t="s">
        <v>38</v>
      </c>
      <c r="T885" s="2" t="s">
        <v>39</v>
      </c>
      <c r="U885" s="2">
        <v>60</v>
      </c>
      <c r="V885" s="2">
        <v>21764</v>
      </c>
      <c r="W885" s="2">
        <v>49186.64</v>
      </c>
      <c r="X885" s="2">
        <v>2.2599999999999998</v>
      </c>
      <c r="Y885" s="2">
        <v>0.04</v>
      </c>
      <c r="Z885" s="2">
        <v>2091</v>
      </c>
      <c r="AB885">
        <v>0</v>
      </c>
      <c r="AC885">
        <v>2014</v>
      </c>
      <c r="AE885" s="2">
        <v>870.56000000000006</v>
      </c>
    </row>
    <row r="886" spans="2:31" ht="14.5">
      <c r="B886" s="2">
        <v>82668</v>
      </c>
      <c r="C886" s="2" t="s">
        <v>1674</v>
      </c>
      <c r="D886" s="2" t="s">
        <v>1675</v>
      </c>
      <c r="E886" s="2" t="s">
        <v>42</v>
      </c>
      <c r="F886" s="2" t="s">
        <v>29</v>
      </c>
      <c r="G886" s="2" t="s">
        <v>30</v>
      </c>
      <c r="H886" s="2" t="s">
        <v>218</v>
      </c>
      <c r="I886" s="2" t="s">
        <v>219</v>
      </c>
      <c r="J886" s="2" t="s">
        <v>220</v>
      </c>
      <c r="K886" s="2" t="s">
        <v>267</v>
      </c>
      <c r="L886" s="3"/>
      <c r="M886" s="3">
        <v>41764</v>
      </c>
      <c r="N886" s="3">
        <v>41796</v>
      </c>
      <c r="O886" s="3">
        <v>41810</v>
      </c>
      <c r="P886" s="2" t="s">
        <v>706</v>
      </c>
      <c r="Q886" s="2" t="s">
        <v>707</v>
      </c>
      <c r="R886" s="2" t="s">
        <v>37</v>
      </c>
      <c r="S886" s="2" t="s">
        <v>708</v>
      </c>
      <c r="T886" s="2" t="s">
        <v>47</v>
      </c>
      <c r="U886" s="2">
        <v>30</v>
      </c>
      <c r="V886" s="2">
        <v>2381</v>
      </c>
      <c r="W886" s="2">
        <v>11047.84</v>
      </c>
      <c r="X886" s="2">
        <v>4.6399999999999997</v>
      </c>
      <c r="Y886" s="2">
        <v>0.15</v>
      </c>
      <c r="Z886" s="2">
        <v>3703</v>
      </c>
      <c r="AA886" s="2">
        <v>8469.67</v>
      </c>
      <c r="AB886">
        <v>0</v>
      </c>
      <c r="AC886">
        <v>2014</v>
      </c>
      <c r="AE886" s="2">
        <v>357.15</v>
      </c>
    </row>
    <row r="887" spans="2:31" ht="14.5">
      <c r="B887" s="2">
        <v>82671</v>
      </c>
      <c r="C887" s="2" t="s">
        <v>1676</v>
      </c>
      <c r="D887" s="2" t="s">
        <v>1677</v>
      </c>
      <c r="E887" s="2" t="s">
        <v>28</v>
      </c>
      <c r="F887" s="2" t="s">
        <v>29</v>
      </c>
      <c r="G887" s="2" t="s">
        <v>30</v>
      </c>
      <c r="H887" s="2" t="s">
        <v>218</v>
      </c>
      <c r="I887" s="2" t="s">
        <v>219</v>
      </c>
      <c r="J887" s="2" t="s">
        <v>220</v>
      </c>
      <c r="K887" s="2" t="s">
        <v>267</v>
      </c>
      <c r="L887" s="3"/>
      <c r="M887" s="3">
        <v>41764</v>
      </c>
      <c r="N887" s="3">
        <v>41808</v>
      </c>
      <c r="O887" s="3">
        <v>41821</v>
      </c>
      <c r="P887" s="2" t="s">
        <v>754</v>
      </c>
      <c r="Q887" s="2" t="s">
        <v>755</v>
      </c>
      <c r="R887" s="2" t="s">
        <v>37</v>
      </c>
      <c r="S887" s="2" t="s">
        <v>756</v>
      </c>
      <c r="T887" s="2" t="s">
        <v>47</v>
      </c>
      <c r="U887" s="2">
        <v>30</v>
      </c>
      <c r="V887" s="2">
        <v>116931</v>
      </c>
      <c r="W887" s="2">
        <v>1260516.18</v>
      </c>
      <c r="X887" s="2">
        <v>10.78</v>
      </c>
      <c r="Y887" s="2">
        <v>0.36</v>
      </c>
      <c r="Z887" s="2">
        <v>13280</v>
      </c>
      <c r="AA887" s="2">
        <v>7083.18</v>
      </c>
      <c r="AB887">
        <v>0</v>
      </c>
      <c r="AC887">
        <v>2014</v>
      </c>
      <c r="AE887" s="2">
        <v>42095.159999999996</v>
      </c>
    </row>
    <row r="888" spans="2:31" ht="14.5">
      <c r="B888" s="2">
        <v>82675</v>
      </c>
      <c r="C888" s="2" t="s">
        <v>1678</v>
      </c>
      <c r="D888" s="2" t="s">
        <v>1679</v>
      </c>
      <c r="E888" s="2" t="s">
        <v>28</v>
      </c>
      <c r="F888" s="2" t="s">
        <v>29</v>
      </c>
      <c r="G888" s="2" t="s">
        <v>30</v>
      </c>
      <c r="H888" s="2" t="s">
        <v>218</v>
      </c>
      <c r="I888" s="2" t="s">
        <v>219</v>
      </c>
      <c r="J888" s="2" t="s">
        <v>220</v>
      </c>
      <c r="K888" s="2" t="s">
        <v>267</v>
      </c>
      <c r="L888" s="3"/>
      <c r="M888" s="3">
        <v>41820</v>
      </c>
      <c r="N888" s="3">
        <v>41811</v>
      </c>
      <c r="O888" s="3">
        <v>41821</v>
      </c>
      <c r="P888" s="2" t="s">
        <v>1457</v>
      </c>
      <c r="Q888" s="2" t="s">
        <v>236</v>
      </c>
      <c r="R888" s="2" t="s">
        <v>37</v>
      </c>
      <c r="S888" s="2" t="s">
        <v>1458</v>
      </c>
      <c r="T888" s="2" t="s">
        <v>47</v>
      </c>
      <c r="U888" s="2">
        <v>30</v>
      </c>
      <c r="V888" s="2">
        <v>10267</v>
      </c>
      <c r="W888" s="2">
        <v>58932.58</v>
      </c>
      <c r="X888" s="2">
        <v>5.74</v>
      </c>
      <c r="Y888" s="2">
        <v>0.19</v>
      </c>
      <c r="Z888" s="2">
        <v>816</v>
      </c>
      <c r="AA888" s="2">
        <v>3623.2</v>
      </c>
      <c r="AB888">
        <v>1</v>
      </c>
      <c r="AC888">
        <v>2014</v>
      </c>
      <c r="AE888" s="2">
        <v>1950.73</v>
      </c>
    </row>
    <row r="889" spans="2:31" ht="14.5">
      <c r="B889" s="2">
        <v>82680</v>
      </c>
      <c r="C889" s="2" t="s">
        <v>1680</v>
      </c>
      <c r="D889" s="2" t="s">
        <v>1681</v>
      </c>
      <c r="E889" s="2" t="s">
        <v>118</v>
      </c>
      <c r="F889" s="2" t="s">
        <v>29</v>
      </c>
      <c r="G889" s="2" t="s">
        <v>30</v>
      </c>
      <c r="H889" s="2" t="s">
        <v>218</v>
      </c>
      <c r="I889" s="2" t="s">
        <v>219</v>
      </c>
      <c r="J889" s="2" t="s">
        <v>220</v>
      </c>
      <c r="K889" s="2" t="s">
        <v>267</v>
      </c>
      <c r="L889" s="3"/>
      <c r="M889" s="3">
        <v>41820</v>
      </c>
      <c r="N889" s="3">
        <v>41820</v>
      </c>
      <c r="O889" s="3">
        <v>41821</v>
      </c>
      <c r="P889" s="2" t="s">
        <v>112</v>
      </c>
      <c r="Q889" s="2" t="s">
        <v>113</v>
      </c>
      <c r="R889" s="2" t="s">
        <v>37</v>
      </c>
      <c r="S889" s="2" t="s">
        <v>114</v>
      </c>
      <c r="T889" s="2" t="s">
        <v>47</v>
      </c>
      <c r="U889" s="2">
        <v>60</v>
      </c>
      <c r="V889" s="2">
        <v>100000</v>
      </c>
      <c r="W889" s="2">
        <v>811000</v>
      </c>
      <c r="X889" s="2">
        <v>8.11</v>
      </c>
      <c r="Y889" s="2">
        <v>0.14000000000000001</v>
      </c>
      <c r="Z889" s="2">
        <v>18737</v>
      </c>
      <c r="AA889" s="2">
        <v>9857.35</v>
      </c>
      <c r="AB889">
        <v>1</v>
      </c>
      <c r="AC889">
        <v>2014</v>
      </c>
      <c r="AE889" s="2">
        <v>14000.000000000002</v>
      </c>
    </row>
    <row r="890" spans="2:31" ht="14.5">
      <c r="B890" s="2">
        <v>82685</v>
      </c>
      <c r="C890" s="2" t="s">
        <v>1682</v>
      </c>
      <c r="D890" s="2" t="s">
        <v>1683</v>
      </c>
      <c r="E890" s="2" t="s">
        <v>28</v>
      </c>
      <c r="F890" s="2" t="s">
        <v>29</v>
      </c>
      <c r="G890" s="2" t="s">
        <v>30</v>
      </c>
      <c r="H890" s="2" t="s">
        <v>218</v>
      </c>
      <c r="I890" s="2" t="s">
        <v>219</v>
      </c>
      <c r="J890" s="2" t="s">
        <v>220</v>
      </c>
      <c r="K890" s="2" t="s">
        <v>34</v>
      </c>
      <c r="L890" s="3"/>
      <c r="M890" s="3">
        <v>41851</v>
      </c>
      <c r="N890" s="3">
        <v>41907</v>
      </c>
      <c r="O890" s="3">
        <v>41918</v>
      </c>
      <c r="P890" s="2" t="s">
        <v>150</v>
      </c>
      <c r="Q890" s="2" t="s">
        <v>84</v>
      </c>
      <c r="R890" s="2" t="s">
        <v>151</v>
      </c>
      <c r="S890" s="2" t="s">
        <v>152</v>
      </c>
      <c r="T890" s="2" t="s">
        <v>39</v>
      </c>
      <c r="U890" s="2">
        <v>120</v>
      </c>
      <c r="V890" s="2">
        <v>32294</v>
      </c>
      <c r="W890" s="2">
        <v>610356.6</v>
      </c>
      <c r="X890" s="2">
        <v>18.899999999999999</v>
      </c>
      <c r="Y890" s="2">
        <v>0.16</v>
      </c>
      <c r="Z890" s="2">
        <v>20132</v>
      </c>
      <c r="AA890" s="2">
        <v>97918.87</v>
      </c>
      <c r="AB890">
        <v>0</v>
      </c>
      <c r="AC890">
        <v>2014</v>
      </c>
      <c r="AE890" s="2">
        <v>5167.04</v>
      </c>
    </row>
    <row r="891" spans="2:31" ht="14.5">
      <c r="B891" s="2">
        <v>82699</v>
      </c>
      <c r="C891" s="2" t="s">
        <v>1684</v>
      </c>
      <c r="D891" s="2" t="s">
        <v>1685</v>
      </c>
      <c r="E891" s="2" t="s">
        <v>28</v>
      </c>
      <c r="F891" s="2" t="s">
        <v>29</v>
      </c>
      <c r="G891" s="2" t="s">
        <v>30</v>
      </c>
      <c r="H891" s="2" t="s">
        <v>218</v>
      </c>
      <c r="I891" s="2" t="s">
        <v>219</v>
      </c>
      <c r="J891" s="2" t="s">
        <v>220</v>
      </c>
      <c r="K891" s="2" t="s">
        <v>267</v>
      </c>
      <c r="L891" s="3"/>
      <c r="M891" s="3">
        <v>41900</v>
      </c>
      <c r="N891" s="3">
        <v>41907</v>
      </c>
      <c r="O891" s="3">
        <v>41950</v>
      </c>
      <c r="P891" s="2" t="s">
        <v>1457</v>
      </c>
      <c r="Q891" s="2" t="s">
        <v>236</v>
      </c>
      <c r="R891" s="2" t="s">
        <v>37</v>
      </c>
      <c r="S891" s="2" t="s">
        <v>1458</v>
      </c>
      <c r="T891" s="2" t="s">
        <v>47</v>
      </c>
      <c r="U891" s="2">
        <v>30</v>
      </c>
      <c r="V891" s="2">
        <v>22002</v>
      </c>
      <c r="W891" s="2">
        <v>126291.48</v>
      </c>
      <c r="X891" s="2">
        <v>5.74</v>
      </c>
      <c r="Y891" s="2">
        <v>0.19</v>
      </c>
      <c r="Z891" s="2">
        <v>2003</v>
      </c>
      <c r="AA891" s="2">
        <v>10010.15</v>
      </c>
      <c r="AB891">
        <v>0</v>
      </c>
      <c r="AC891">
        <v>2014</v>
      </c>
      <c r="AE891" s="2">
        <v>4180.38</v>
      </c>
    </row>
    <row r="892" spans="2:31" ht="14.5">
      <c r="B892" s="2">
        <v>82706</v>
      </c>
      <c r="C892" s="2" t="s">
        <v>2834</v>
      </c>
      <c r="D892" s="2" t="s">
        <v>2835</v>
      </c>
      <c r="E892" s="2" t="s">
        <v>2817</v>
      </c>
      <c r="F892" s="2" t="s">
        <v>29</v>
      </c>
      <c r="G892" s="2" t="s">
        <v>30</v>
      </c>
      <c r="H892" s="2" t="s">
        <v>218</v>
      </c>
      <c r="I892" s="2" t="s">
        <v>219</v>
      </c>
      <c r="J892" s="2" t="s">
        <v>220</v>
      </c>
      <c r="K892" s="2" t="s">
        <v>34</v>
      </c>
      <c r="L892" s="3"/>
      <c r="M892" s="3">
        <v>41883</v>
      </c>
      <c r="N892" s="3">
        <v>41883</v>
      </c>
      <c r="O892" s="3">
        <v>41884</v>
      </c>
      <c r="P892" s="2" t="s">
        <v>44</v>
      </c>
      <c r="Q892" s="2" t="s">
        <v>45</v>
      </c>
      <c r="R892" s="2" t="s">
        <v>37</v>
      </c>
      <c r="S892" s="2" t="s">
        <v>46</v>
      </c>
      <c r="T892" s="2" t="s">
        <v>47</v>
      </c>
      <c r="U892" s="2">
        <v>60</v>
      </c>
      <c r="V892" s="2">
        <v>396</v>
      </c>
      <c r="W892" s="2">
        <v>2581.92</v>
      </c>
      <c r="X892" s="2">
        <v>6.52</v>
      </c>
      <c r="Y892" s="2">
        <v>0.11</v>
      </c>
      <c r="Z892" s="2">
        <v>410</v>
      </c>
      <c r="AA892" s="2">
        <v>4708</v>
      </c>
      <c r="AB892">
        <v>1</v>
      </c>
      <c r="AC892">
        <v>2014</v>
      </c>
      <c r="AE892" s="2">
        <v>43.56</v>
      </c>
    </row>
    <row r="893" spans="2:31" ht="14.5">
      <c r="B893" s="2">
        <v>82724</v>
      </c>
      <c r="C893" s="2" t="s">
        <v>1686</v>
      </c>
      <c r="D893" s="2" t="s">
        <v>1687</v>
      </c>
      <c r="E893" s="2" t="s">
        <v>60</v>
      </c>
      <c r="F893" s="2" t="s">
        <v>29</v>
      </c>
      <c r="G893" s="2" t="s">
        <v>50</v>
      </c>
      <c r="H893" s="2" t="s">
        <v>218</v>
      </c>
      <c r="I893" s="2" t="s">
        <v>219</v>
      </c>
      <c r="J893" s="2" t="s">
        <v>220</v>
      </c>
      <c r="K893" s="2" t="s">
        <v>34</v>
      </c>
      <c r="L893" s="3"/>
      <c r="M893" s="3">
        <v>41849</v>
      </c>
      <c r="N893" s="3">
        <v>41830</v>
      </c>
      <c r="O893" s="3">
        <v>41837</v>
      </c>
      <c r="P893" s="2" t="s">
        <v>1664</v>
      </c>
      <c r="Q893" s="2" t="s">
        <v>1000</v>
      </c>
      <c r="R893" s="2" t="s">
        <v>37</v>
      </c>
      <c r="S893" s="2" t="s">
        <v>1665</v>
      </c>
      <c r="T893" s="2" t="s">
        <v>47</v>
      </c>
      <c r="U893" s="2">
        <v>60</v>
      </c>
      <c r="V893" s="2">
        <v>3071</v>
      </c>
      <c r="W893" s="2">
        <v>12560.39</v>
      </c>
      <c r="X893" s="2">
        <v>4.09</v>
      </c>
      <c r="Y893" s="2">
        <v>7.0000000000000007E-2</v>
      </c>
      <c r="Z893" s="2">
        <v>115</v>
      </c>
      <c r="AA893" s="2">
        <v>630</v>
      </c>
      <c r="AB893">
        <v>1</v>
      </c>
      <c r="AC893">
        <v>2014</v>
      </c>
      <c r="AE893" s="2">
        <v>214.97000000000003</v>
      </c>
    </row>
    <row r="894" spans="2:31" ht="14.5">
      <c r="B894" s="2">
        <v>82725</v>
      </c>
      <c r="C894" s="2" t="s">
        <v>2836</v>
      </c>
      <c r="D894" s="2" t="s">
        <v>2837</v>
      </c>
      <c r="E894" s="2" t="s">
        <v>2817</v>
      </c>
      <c r="F894" s="2" t="s">
        <v>29</v>
      </c>
      <c r="G894" s="2" t="s">
        <v>50</v>
      </c>
      <c r="H894" s="2" t="s">
        <v>218</v>
      </c>
      <c r="I894" s="2" t="s">
        <v>219</v>
      </c>
      <c r="J894" s="2" t="s">
        <v>220</v>
      </c>
      <c r="K894" s="2" t="s">
        <v>34</v>
      </c>
      <c r="L894" s="3"/>
      <c r="M894" s="3">
        <v>42034</v>
      </c>
      <c r="N894" s="3">
        <v>41989</v>
      </c>
      <c r="O894" s="3">
        <v>41990</v>
      </c>
      <c r="P894" s="2" t="s">
        <v>2838</v>
      </c>
      <c r="Q894" s="2" t="s">
        <v>113</v>
      </c>
      <c r="R894" s="2" t="s">
        <v>37</v>
      </c>
      <c r="S894" s="2" t="s">
        <v>843</v>
      </c>
      <c r="T894" s="2" t="s">
        <v>729</v>
      </c>
      <c r="U894" s="2">
        <v>60</v>
      </c>
      <c r="V894" s="2">
        <v>6459</v>
      </c>
      <c r="W894" s="2">
        <v>0</v>
      </c>
      <c r="X894" s="2">
        <v>0</v>
      </c>
      <c r="Y894" s="2">
        <v>0</v>
      </c>
      <c r="Z894" s="2">
        <v>565</v>
      </c>
      <c r="AA894" s="2">
        <v>11705.87</v>
      </c>
      <c r="AB894">
        <v>1</v>
      </c>
      <c r="AC894">
        <v>2014</v>
      </c>
      <c r="AE894" s="2">
        <v>0</v>
      </c>
    </row>
    <row r="895" spans="2:31" ht="14.5">
      <c r="B895" s="2">
        <v>82730</v>
      </c>
      <c r="C895" s="2" t="s">
        <v>2839</v>
      </c>
      <c r="D895" s="2" t="s">
        <v>2840</v>
      </c>
      <c r="E895" s="2" t="s">
        <v>2817</v>
      </c>
      <c r="F895" s="2" t="s">
        <v>29</v>
      </c>
      <c r="G895" s="2" t="s">
        <v>50</v>
      </c>
      <c r="H895" s="2" t="s">
        <v>218</v>
      </c>
      <c r="I895" s="2" t="s">
        <v>219</v>
      </c>
      <c r="J895" s="2" t="s">
        <v>220</v>
      </c>
      <c r="K895" s="2" t="s">
        <v>34</v>
      </c>
      <c r="L895" s="3"/>
      <c r="M895" s="3">
        <v>41912</v>
      </c>
      <c r="N895" s="3">
        <v>41927</v>
      </c>
      <c r="O895" s="3">
        <v>41934</v>
      </c>
      <c r="P895" s="2" t="s">
        <v>727</v>
      </c>
      <c r="Q895" s="2" t="s">
        <v>45</v>
      </c>
      <c r="R895" s="2" t="s">
        <v>37</v>
      </c>
      <c r="S895" s="2" t="s">
        <v>728</v>
      </c>
      <c r="T895" s="2" t="s">
        <v>729</v>
      </c>
      <c r="U895" s="2">
        <v>60</v>
      </c>
      <c r="V895" s="2">
        <v>132</v>
      </c>
      <c r="W895" s="2">
        <v>262.68</v>
      </c>
      <c r="X895" s="2">
        <v>1.99</v>
      </c>
      <c r="Y895" s="2">
        <v>0.03</v>
      </c>
      <c r="Z895" s="2">
        <v>23</v>
      </c>
      <c r="AA895" s="2">
        <v>1651</v>
      </c>
      <c r="AB895">
        <v>0</v>
      </c>
      <c r="AC895">
        <v>2014</v>
      </c>
      <c r="AE895" s="2">
        <v>3.96</v>
      </c>
    </row>
    <row r="896" spans="2:31" ht="14.5">
      <c r="B896" s="2">
        <v>82731</v>
      </c>
      <c r="C896" s="2" t="s">
        <v>1688</v>
      </c>
      <c r="D896" s="2" t="s">
        <v>1689</v>
      </c>
      <c r="E896" s="2" t="s">
        <v>28</v>
      </c>
      <c r="F896" s="2" t="s">
        <v>29</v>
      </c>
      <c r="G896" s="2" t="s">
        <v>50</v>
      </c>
      <c r="H896" s="2" t="s">
        <v>218</v>
      </c>
      <c r="I896" s="2" t="s">
        <v>219</v>
      </c>
      <c r="J896" s="2" t="s">
        <v>220</v>
      </c>
      <c r="K896" s="2" t="s">
        <v>267</v>
      </c>
      <c r="L896" s="3"/>
      <c r="M896" s="3">
        <v>41942</v>
      </c>
      <c r="N896" s="3">
        <v>41929</v>
      </c>
      <c r="O896" s="3">
        <v>41950</v>
      </c>
      <c r="P896" s="2" t="s">
        <v>727</v>
      </c>
      <c r="Q896" s="2" t="s">
        <v>45</v>
      </c>
      <c r="R896" s="2" t="s">
        <v>37</v>
      </c>
      <c r="S896" s="2" t="s">
        <v>728</v>
      </c>
      <c r="T896" s="2" t="s">
        <v>729</v>
      </c>
      <c r="U896" s="2">
        <v>60</v>
      </c>
      <c r="V896" s="2">
        <v>17980</v>
      </c>
      <c r="W896" s="2">
        <v>38657</v>
      </c>
      <c r="X896" s="2">
        <v>2.15</v>
      </c>
      <c r="Y896" s="2">
        <v>0.04</v>
      </c>
      <c r="Z896" s="2">
        <v>2152</v>
      </c>
      <c r="AA896" s="2">
        <v>837.59</v>
      </c>
      <c r="AB896">
        <v>1</v>
      </c>
      <c r="AC896">
        <v>2014</v>
      </c>
      <c r="AE896" s="2">
        <v>719.2</v>
      </c>
    </row>
    <row r="897" spans="2:31" ht="14.5">
      <c r="B897" s="2">
        <v>82736</v>
      </c>
      <c r="C897" s="2" t="s">
        <v>1690</v>
      </c>
      <c r="D897" s="2" t="s">
        <v>1691</v>
      </c>
      <c r="E897" s="2" t="s">
        <v>1581</v>
      </c>
      <c r="F897" s="2" t="s">
        <v>29</v>
      </c>
      <c r="G897" s="2" t="s">
        <v>30</v>
      </c>
      <c r="H897" s="2" t="s">
        <v>218</v>
      </c>
      <c r="I897" s="2" t="s">
        <v>219</v>
      </c>
      <c r="J897" s="2" t="s">
        <v>220</v>
      </c>
      <c r="K897" s="2" t="s">
        <v>34</v>
      </c>
      <c r="L897" s="3"/>
      <c r="M897" s="3">
        <v>41943</v>
      </c>
      <c r="N897" s="3">
        <v>41927</v>
      </c>
      <c r="O897" s="3">
        <v>41940</v>
      </c>
      <c r="P897" s="2" t="s">
        <v>44</v>
      </c>
      <c r="Q897" s="2" t="s">
        <v>45</v>
      </c>
      <c r="R897" s="2" t="s">
        <v>37</v>
      </c>
      <c r="S897" s="2" t="s">
        <v>46</v>
      </c>
      <c r="T897" s="2" t="s">
        <v>47</v>
      </c>
      <c r="U897" s="2">
        <v>60</v>
      </c>
      <c r="V897" s="2">
        <v>1428</v>
      </c>
      <c r="W897" s="2">
        <v>9424.7999999999993</v>
      </c>
      <c r="X897" s="2">
        <v>6.6</v>
      </c>
      <c r="Y897" s="2">
        <v>0.11</v>
      </c>
      <c r="Z897" s="2">
        <v>331</v>
      </c>
      <c r="AA897" s="2">
        <v>4218.74</v>
      </c>
      <c r="AB897">
        <v>1</v>
      </c>
      <c r="AC897">
        <v>2014</v>
      </c>
      <c r="AE897" s="2">
        <v>157.08000000000001</v>
      </c>
    </row>
    <row r="898" spans="2:31" ht="14.5">
      <c r="B898" s="2">
        <v>82753</v>
      </c>
      <c r="C898" s="2" t="s">
        <v>1692</v>
      </c>
      <c r="D898" s="2" t="s">
        <v>1693</v>
      </c>
      <c r="E898" s="2" t="s">
        <v>118</v>
      </c>
      <c r="F898" s="2" t="s">
        <v>29</v>
      </c>
      <c r="G898" s="2" t="s">
        <v>30</v>
      </c>
      <c r="H898" s="2" t="s">
        <v>218</v>
      </c>
      <c r="I898" s="2" t="s">
        <v>219</v>
      </c>
      <c r="J898" s="2" t="s">
        <v>220</v>
      </c>
      <c r="K898" s="2" t="s">
        <v>267</v>
      </c>
      <c r="L898" s="3"/>
      <c r="M898" s="3">
        <v>41971</v>
      </c>
      <c r="N898" s="3">
        <v>41976</v>
      </c>
      <c r="O898" s="3">
        <v>41977</v>
      </c>
      <c r="P898" s="2" t="s">
        <v>706</v>
      </c>
      <c r="Q898" s="2" t="s">
        <v>707</v>
      </c>
      <c r="R898" s="2" t="s">
        <v>37</v>
      </c>
      <c r="S898" s="2" t="s">
        <v>708</v>
      </c>
      <c r="T898" s="2" t="s">
        <v>47</v>
      </c>
      <c r="U898" s="2">
        <v>30</v>
      </c>
      <c r="V898" s="2">
        <v>42531</v>
      </c>
      <c r="W898" s="2">
        <v>196918.53</v>
      </c>
      <c r="X898" s="2">
        <v>4.63</v>
      </c>
      <c r="Y898" s="2">
        <v>0.15</v>
      </c>
      <c r="Z898" s="2">
        <v>7043</v>
      </c>
      <c r="AA898" s="2">
        <v>6852.08</v>
      </c>
      <c r="AB898">
        <v>0</v>
      </c>
      <c r="AC898">
        <v>2014</v>
      </c>
      <c r="AE898" s="2">
        <v>6379.65</v>
      </c>
    </row>
    <row r="899" spans="2:31" ht="14.5">
      <c r="B899" s="2">
        <v>82754</v>
      </c>
      <c r="C899" s="2" t="s">
        <v>1694</v>
      </c>
      <c r="D899" s="2" t="s">
        <v>1695</v>
      </c>
      <c r="E899" s="2" t="s">
        <v>42</v>
      </c>
      <c r="F899" s="2" t="s">
        <v>29</v>
      </c>
      <c r="G899" s="2" t="s">
        <v>30</v>
      </c>
      <c r="H899" s="2" t="s">
        <v>218</v>
      </c>
      <c r="I899" s="2" t="s">
        <v>219</v>
      </c>
      <c r="J899" s="2" t="s">
        <v>220</v>
      </c>
      <c r="K899" s="2" t="s">
        <v>267</v>
      </c>
      <c r="L899" s="3"/>
      <c r="M899" s="3">
        <v>42034</v>
      </c>
      <c r="N899" s="3">
        <v>42018</v>
      </c>
      <c r="O899" s="3">
        <v>42023</v>
      </c>
      <c r="P899" s="2" t="s">
        <v>112</v>
      </c>
      <c r="Q899" s="2" t="s">
        <v>113</v>
      </c>
      <c r="R899" s="2" t="s">
        <v>37</v>
      </c>
      <c r="S899" s="2" t="s">
        <v>114</v>
      </c>
      <c r="T899" s="2" t="s">
        <v>47</v>
      </c>
      <c r="U899" s="2">
        <v>60</v>
      </c>
      <c r="V899" s="2">
        <v>14011</v>
      </c>
      <c r="W899" s="2">
        <v>113629.21</v>
      </c>
      <c r="X899" s="2">
        <v>8.11</v>
      </c>
      <c r="Y899" s="2">
        <v>0.14000000000000001</v>
      </c>
      <c r="Z899" s="2">
        <v>1755</v>
      </c>
      <c r="AA899" s="2">
        <v>4328.8999999999996</v>
      </c>
      <c r="AB899">
        <v>1</v>
      </c>
      <c r="AC899">
        <v>2015</v>
      </c>
      <c r="AE899" s="2">
        <v>1961.5400000000002</v>
      </c>
    </row>
    <row r="900" spans="2:31" ht="14.5">
      <c r="B900" s="2">
        <v>82755</v>
      </c>
      <c r="C900" s="2" t="s">
        <v>1696</v>
      </c>
      <c r="D900" s="2" t="s">
        <v>1697</v>
      </c>
      <c r="E900" s="2" t="s">
        <v>42</v>
      </c>
      <c r="F900" s="2" t="s">
        <v>29</v>
      </c>
      <c r="G900" s="2" t="s">
        <v>30</v>
      </c>
      <c r="H900" s="2" t="s">
        <v>218</v>
      </c>
      <c r="I900" s="2" t="s">
        <v>219</v>
      </c>
      <c r="J900" s="2" t="s">
        <v>220</v>
      </c>
      <c r="K900" s="2" t="s">
        <v>267</v>
      </c>
      <c r="L900" s="3"/>
      <c r="M900" s="3">
        <v>42051</v>
      </c>
      <c r="N900" s="3">
        <v>42018</v>
      </c>
      <c r="O900" s="3">
        <v>42023</v>
      </c>
      <c r="P900" s="2" t="s">
        <v>706</v>
      </c>
      <c r="Q900" s="2" t="s">
        <v>707</v>
      </c>
      <c r="R900" s="2" t="s">
        <v>37</v>
      </c>
      <c r="S900" s="2" t="s">
        <v>708</v>
      </c>
      <c r="T900" s="2" t="s">
        <v>47</v>
      </c>
      <c r="U900" s="2">
        <v>30</v>
      </c>
      <c r="V900" s="2">
        <v>73467</v>
      </c>
      <c r="W900" s="2">
        <v>340886.88</v>
      </c>
      <c r="X900" s="2">
        <v>4.6399999999999997</v>
      </c>
      <c r="Y900" s="2">
        <v>0.15</v>
      </c>
      <c r="Z900" s="2">
        <v>17317</v>
      </c>
      <c r="AA900" s="2">
        <v>26620.36</v>
      </c>
      <c r="AB900">
        <v>1</v>
      </c>
      <c r="AC900">
        <v>2015</v>
      </c>
      <c r="AE900" s="2">
        <v>11020.05</v>
      </c>
    </row>
    <row r="901" spans="2:31" ht="14.5">
      <c r="B901" s="2">
        <v>82758</v>
      </c>
      <c r="C901" s="2" t="s">
        <v>1698</v>
      </c>
      <c r="D901" s="2" t="s">
        <v>1699</v>
      </c>
      <c r="E901" s="2" t="s">
        <v>42</v>
      </c>
      <c r="F901" s="2" t="s">
        <v>29</v>
      </c>
      <c r="G901" s="2" t="s">
        <v>50</v>
      </c>
      <c r="H901" s="2" t="s">
        <v>218</v>
      </c>
      <c r="I901" s="2" t="s">
        <v>219</v>
      </c>
      <c r="J901" s="2" t="s">
        <v>220</v>
      </c>
      <c r="K901" s="2" t="s">
        <v>267</v>
      </c>
      <c r="L901" s="3"/>
      <c r="M901" s="3">
        <v>42018</v>
      </c>
      <c r="N901" s="3">
        <v>41997</v>
      </c>
      <c r="O901" s="3">
        <v>42009</v>
      </c>
      <c r="P901" s="2" t="s">
        <v>802</v>
      </c>
      <c r="Q901" s="2" t="s">
        <v>96</v>
      </c>
      <c r="R901" s="2" t="s">
        <v>37</v>
      </c>
      <c r="S901" s="2" t="s">
        <v>38</v>
      </c>
      <c r="T901" s="2" t="s">
        <v>39</v>
      </c>
      <c r="U901" s="2">
        <v>90</v>
      </c>
      <c r="V901" s="2">
        <v>1016</v>
      </c>
      <c r="W901" s="2">
        <v>9448.7999999999993</v>
      </c>
      <c r="X901" s="2">
        <v>9.3000000000000007</v>
      </c>
      <c r="Y901" s="2">
        <v>0.1</v>
      </c>
      <c r="Z901" s="2">
        <v>367</v>
      </c>
      <c r="AA901" s="2">
        <v>3783.24</v>
      </c>
      <c r="AB901">
        <v>1</v>
      </c>
      <c r="AC901">
        <v>2015</v>
      </c>
      <c r="AE901" s="2">
        <v>101.60000000000001</v>
      </c>
    </row>
    <row r="902" spans="2:31" ht="14.5">
      <c r="B902" s="2">
        <v>82761</v>
      </c>
      <c r="C902" s="2" t="s">
        <v>1700</v>
      </c>
      <c r="D902" s="2" t="s">
        <v>1701</v>
      </c>
      <c r="E902" s="2" t="s">
        <v>42</v>
      </c>
      <c r="F902" s="2" t="s">
        <v>29</v>
      </c>
      <c r="G902" s="2" t="s">
        <v>30</v>
      </c>
      <c r="H902" s="2" t="s">
        <v>218</v>
      </c>
      <c r="I902" s="2" t="s">
        <v>219</v>
      </c>
      <c r="J902" s="2" t="s">
        <v>220</v>
      </c>
      <c r="K902" s="2" t="s">
        <v>34</v>
      </c>
      <c r="L902" s="3"/>
      <c r="M902" s="3">
        <v>42035</v>
      </c>
      <c r="N902" s="3">
        <v>41997</v>
      </c>
      <c r="O902" s="3">
        <v>42004</v>
      </c>
      <c r="P902" s="2" t="s">
        <v>484</v>
      </c>
      <c r="Q902" s="2" t="s">
        <v>105</v>
      </c>
      <c r="R902" s="2" t="s">
        <v>37</v>
      </c>
      <c r="S902" s="2" t="s">
        <v>100</v>
      </c>
      <c r="T902" s="2" t="s">
        <v>39</v>
      </c>
      <c r="U902" s="2">
        <v>30</v>
      </c>
      <c r="V902" s="2">
        <v>189</v>
      </c>
      <c r="W902" s="2">
        <v>691.74</v>
      </c>
      <c r="X902" s="2">
        <v>3.66</v>
      </c>
      <c r="Y902" s="2">
        <v>0.12</v>
      </c>
      <c r="Z902" s="2">
        <v>15</v>
      </c>
      <c r="AA902" s="2">
        <v>925.6</v>
      </c>
      <c r="AB902">
        <v>1</v>
      </c>
      <c r="AC902">
        <v>2014</v>
      </c>
      <c r="AE902" s="2">
        <v>22.68</v>
      </c>
    </row>
    <row r="903" spans="2:31" ht="14.5">
      <c r="B903" s="2">
        <v>82772</v>
      </c>
      <c r="C903" s="2" t="s">
        <v>1702</v>
      </c>
      <c r="D903" s="2" t="s">
        <v>1703</v>
      </c>
      <c r="E903" s="2" t="s">
        <v>42</v>
      </c>
      <c r="F903" s="2" t="s">
        <v>29</v>
      </c>
      <c r="G903" s="2" t="s">
        <v>50</v>
      </c>
      <c r="H903" s="2" t="s">
        <v>218</v>
      </c>
      <c r="I903" s="2" t="s">
        <v>219</v>
      </c>
      <c r="J903" s="2" t="s">
        <v>220</v>
      </c>
      <c r="K903" s="2" t="s">
        <v>267</v>
      </c>
      <c r="L903" s="3"/>
      <c r="M903" s="3">
        <v>42034</v>
      </c>
      <c r="N903" s="3">
        <v>42044</v>
      </c>
      <c r="O903" s="3">
        <v>42055</v>
      </c>
      <c r="P903" s="2" t="s">
        <v>802</v>
      </c>
      <c r="Q903" s="2" t="s">
        <v>96</v>
      </c>
      <c r="R903" s="2" t="s">
        <v>37</v>
      </c>
      <c r="S903" s="2" t="s">
        <v>38</v>
      </c>
      <c r="T903" s="2" t="s">
        <v>39</v>
      </c>
      <c r="U903" s="2">
        <v>90</v>
      </c>
      <c r="V903" s="2">
        <v>868</v>
      </c>
      <c r="W903" s="2">
        <v>8072.4</v>
      </c>
      <c r="X903" s="2">
        <v>9.3000000000000007</v>
      </c>
      <c r="Y903" s="2">
        <v>0.1</v>
      </c>
      <c r="Z903" s="2">
        <v>173</v>
      </c>
      <c r="AA903" s="2">
        <v>2124.48</v>
      </c>
      <c r="AB903">
        <v>0</v>
      </c>
      <c r="AC903">
        <v>2015</v>
      </c>
      <c r="AE903" s="2">
        <v>86.800000000000011</v>
      </c>
    </row>
    <row r="904" spans="2:31" ht="14.5">
      <c r="B904" s="2">
        <v>82773</v>
      </c>
      <c r="C904" s="2" t="s">
        <v>1704</v>
      </c>
      <c r="D904" s="2" t="s">
        <v>1705</v>
      </c>
      <c r="E904" s="2" t="s">
        <v>118</v>
      </c>
      <c r="F904" s="2" t="s">
        <v>29</v>
      </c>
      <c r="G904" s="2" t="s">
        <v>30</v>
      </c>
      <c r="H904" s="2" t="s">
        <v>218</v>
      </c>
      <c r="I904" s="2" t="s">
        <v>219</v>
      </c>
      <c r="J904" s="2" t="s">
        <v>220</v>
      </c>
      <c r="K904" s="2" t="s">
        <v>267</v>
      </c>
      <c r="L904" s="3"/>
      <c r="M904" s="3">
        <v>42062</v>
      </c>
      <c r="N904" s="3">
        <v>42060</v>
      </c>
      <c r="O904" s="3">
        <v>42068</v>
      </c>
      <c r="P904" s="2" t="s">
        <v>706</v>
      </c>
      <c r="Q904" s="2" t="s">
        <v>707</v>
      </c>
      <c r="R904" s="2" t="s">
        <v>37</v>
      </c>
      <c r="S904" s="2" t="s">
        <v>708</v>
      </c>
      <c r="T904" s="2" t="s">
        <v>47</v>
      </c>
      <c r="U904" s="2">
        <v>30</v>
      </c>
      <c r="V904" s="2">
        <v>19086</v>
      </c>
      <c r="W904" s="2">
        <v>88368.18</v>
      </c>
      <c r="X904" s="2">
        <v>4.63</v>
      </c>
      <c r="Y904" s="2">
        <v>0.15</v>
      </c>
      <c r="Z904" s="2">
        <v>2389</v>
      </c>
      <c r="AA904" s="2">
        <v>10011.25</v>
      </c>
      <c r="AB904">
        <v>1</v>
      </c>
      <c r="AC904">
        <v>2015</v>
      </c>
      <c r="AE904" s="2">
        <v>2862.9</v>
      </c>
    </row>
    <row r="905" spans="2:31" ht="14.5">
      <c r="B905" s="2">
        <v>82781</v>
      </c>
      <c r="C905" s="2" t="s">
        <v>1706</v>
      </c>
      <c r="D905" s="2" t="s">
        <v>1707</v>
      </c>
      <c r="E905" s="2" t="s">
        <v>1581</v>
      </c>
      <c r="F905" s="2" t="s">
        <v>29</v>
      </c>
      <c r="G905" s="2" t="s">
        <v>30</v>
      </c>
      <c r="H905" s="2" t="s">
        <v>218</v>
      </c>
      <c r="I905" s="2" t="s">
        <v>219</v>
      </c>
      <c r="J905" s="2" t="s">
        <v>220</v>
      </c>
      <c r="K905" s="2" t="s">
        <v>34</v>
      </c>
      <c r="L905" s="3"/>
      <c r="M905" s="3">
        <v>42062</v>
      </c>
      <c r="N905" s="3">
        <v>42063</v>
      </c>
      <c r="O905" s="3">
        <v>42068</v>
      </c>
      <c r="P905" s="2" t="s">
        <v>706</v>
      </c>
      <c r="Q905" s="2" t="s">
        <v>707</v>
      </c>
      <c r="R905" s="2" t="s">
        <v>37</v>
      </c>
      <c r="S905" s="2" t="s">
        <v>708</v>
      </c>
      <c r="T905" s="2" t="s">
        <v>47</v>
      </c>
      <c r="U905" s="2">
        <v>30</v>
      </c>
      <c r="V905" s="2">
        <v>912</v>
      </c>
      <c r="W905" s="2">
        <v>4213.4399999999996</v>
      </c>
      <c r="X905" s="2">
        <v>4.62</v>
      </c>
      <c r="Y905" s="2">
        <v>0.15</v>
      </c>
      <c r="Z905" s="2">
        <v>1744</v>
      </c>
      <c r="AA905" s="2">
        <v>10363.49</v>
      </c>
      <c r="AB905">
        <v>0</v>
      </c>
      <c r="AC905">
        <v>2015</v>
      </c>
      <c r="AE905" s="2">
        <v>136.79999999999998</v>
      </c>
    </row>
    <row r="906" spans="2:31" ht="14.5">
      <c r="B906" s="2">
        <v>82782</v>
      </c>
      <c r="C906" s="2" t="s">
        <v>1708</v>
      </c>
      <c r="D906" s="2" t="s">
        <v>1709</v>
      </c>
      <c r="E906" s="2" t="s">
        <v>42</v>
      </c>
      <c r="F906" s="2" t="s">
        <v>29</v>
      </c>
      <c r="G906" s="2" t="s">
        <v>30</v>
      </c>
      <c r="H906" s="2" t="s">
        <v>218</v>
      </c>
      <c r="I906" s="2" t="s">
        <v>219</v>
      </c>
      <c r="J906" s="2" t="s">
        <v>220</v>
      </c>
      <c r="K906" s="2" t="s">
        <v>267</v>
      </c>
      <c r="L906" s="3"/>
      <c r="M906" s="3">
        <v>42094</v>
      </c>
      <c r="N906" s="3">
        <v>42087</v>
      </c>
      <c r="O906" s="3">
        <v>42087</v>
      </c>
      <c r="P906" s="2" t="s">
        <v>706</v>
      </c>
      <c r="Q906" s="2" t="s">
        <v>707</v>
      </c>
      <c r="R906" s="2" t="s">
        <v>37</v>
      </c>
      <c r="S906" s="2" t="s">
        <v>708</v>
      </c>
      <c r="T906" s="2" t="s">
        <v>47</v>
      </c>
      <c r="U906" s="2">
        <v>30</v>
      </c>
      <c r="V906" s="2">
        <v>21868</v>
      </c>
      <c r="W906" s="2">
        <v>100374.12</v>
      </c>
      <c r="X906" s="2">
        <v>4.59</v>
      </c>
      <c r="Y906" s="2">
        <v>0.15</v>
      </c>
      <c r="Z906" s="2">
        <v>4326</v>
      </c>
      <c r="AA906" s="2">
        <v>9426.33</v>
      </c>
      <c r="AB906">
        <v>1</v>
      </c>
      <c r="AC906">
        <v>2015</v>
      </c>
      <c r="AE906" s="2">
        <v>3280.2</v>
      </c>
    </row>
    <row r="907" spans="2:31" ht="14.5">
      <c r="B907" s="2">
        <v>82783</v>
      </c>
      <c r="C907" s="2" t="s">
        <v>1710</v>
      </c>
      <c r="D907" s="2" t="s">
        <v>1711</v>
      </c>
      <c r="E907" s="2" t="s">
        <v>42</v>
      </c>
      <c r="F907" s="2" t="s">
        <v>29</v>
      </c>
      <c r="G907" s="2" t="s">
        <v>30</v>
      </c>
      <c r="H907" s="2" t="s">
        <v>218</v>
      </c>
      <c r="I907" s="2" t="s">
        <v>219</v>
      </c>
      <c r="J907" s="2" t="s">
        <v>220</v>
      </c>
      <c r="K907" s="2" t="s">
        <v>267</v>
      </c>
      <c r="L907" s="3"/>
      <c r="M907" s="3">
        <v>42094</v>
      </c>
      <c r="N907" s="3">
        <v>42087</v>
      </c>
      <c r="O907" s="3">
        <v>42087</v>
      </c>
      <c r="P907" s="2" t="s">
        <v>754</v>
      </c>
      <c r="Q907" s="2" t="s">
        <v>755</v>
      </c>
      <c r="R907" s="2" t="s">
        <v>37</v>
      </c>
      <c r="S907" s="2" t="s">
        <v>756</v>
      </c>
      <c r="T907" s="2" t="s">
        <v>47</v>
      </c>
      <c r="U907" s="2">
        <v>30</v>
      </c>
      <c r="V907" s="2">
        <v>5148</v>
      </c>
      <c r="W907" s="2">
        <v>49420.800000000003</v>
      </c>
      <c r="X907" s="2">
        <v>9.6</v>
      </c>
      <c r="Y907" s="2">
        <v>0.32</v>
      </c>
      <c r="Z907" s="2">
        <v>12079</v>
      </c>
      <c r="AA907" s="2">
        <v>16971.93</v>
      </c>
      <c r="AB907">
        <v>1</v>
      </c>
      <c r="AC907">
        <v>2015</v>
      </c>
      <c r="AE907" s="2">
        <v>1647.3600000000001</v>
      </c>
    </row>
    <row r="908" spans="2:31" ht="14.5">
      <c r="B908" s="2">
        <v>82784</v>
      </c>
      <c r="C908" s="2" t="s">
        <v>1710</v>
      </c>
      <c r="D908" s="2" t="s">
        <v>1711</v>
      </c>
      <c r="E908" s="2" t="s">
        <v>42</v>
      </c>
      <c r="F908" s="2" t="s">
        <v>29</v>
      </c>
      <c r="G908" s="2" t="s">
        <v>30</v>
      </c>
      <c r="H908" s="2" t="s">
        <v>218</v>
      </c>
      <c r="I908" s="2" t="s">
        <v>219</v>
      </c>
      <c r="J908" s="2" t="s">
        <v>220</v>
      </c>
      <c r="K908" s="2" t="s">
        <v>267</v>
      </c>
      <c r="L908" s="3"/>
      <c r="M908" s="3">
        <v>42094</v>
      </c>
      <c r="N908" s="3">
        <v>42087</v>
      </c>
      <c r="O908" s="3">
        <v>42087</v>
      </c>
      <c r="P908" s="2" t="s">
        <v>754</v>
      </c>
      <c r="Q908" s="2" t="s">
        <v>755</v>
      </c>
      <c r="R908" s="2" t="s">
        <v>37</v>
      </c>
      <c r="S908" s="2" t="s">
        <v>756</v>
      </c>
      <c r="T908" s="2" t="s">
        <v>47</v>
      </c>
      <c r="U908" s="2">
        <v>30</v>
      </c>
      <c r="V908" s="2">
        <v>81557</v>
      </c>
      <c r="W908" s="2">
        <v>782947.2</v>
      </c>
      <c r="X908" s="2">
        <v>9.6</v>
      </c>
      <c r="Y908" s="2">
        <v>0.32</v>
      </c>
      <c r="AB908">
        <v>1</v>
      </c>
      <c r="AC908">
        <v>2015</v>
      </c>
      <c r="AE908" s="2">
        <v>26098.240000000002</v>
      </c>
    </row>
    <row r="909" spans="2:31" ht="14.5">
      <c r="B909" s="2">
        <v>82791</v>
      </c>
      <c r="C909" s="2" t="s">
        <v>1712</v>
      </c>
      <c r="D909" s="2" t="s">
        <v>1713</v>
      </c>
      <c r="E909" s="2" t="s">
        <v>42</v>
      </c>
      <c r="F909" s="2" t="s">
        <v>29</v>
      </c>
      <c r="G909" s="2" t="s">
        <v>30</v>
      </c>
      <c r="H909" s="2" t="s">
        <v>218</v>
      </c>
      <c r="I909" s="2" t="s">
        <v>219</v>
      </c>
      <c r="J909" s="2" t="s">
        <v>220</v>
      </c>
      <c r="K909" s="2" t="s">
        <v>267</v>
      </c>
      <c r="L909" s="3"/>
      <c r="M909" s="3">
        <v>42124</v>
      </c>
      <c r="N909" s="3">
        <v>42143</v>
      </c>
      <c r="O909" s="3">
        <v>42149</v>
      </c>
      <c r="P909" s="2" t="s">
        <v>999</v>
      </c>
      <c r="Q909" s="2" t="s">
        <v>1000</v>
      </c>
      <c r="R909" s="2" t="s">
        <v>37</v>
      </c>
      <c r="S909" s="2" t="s">
        <v>1001</v>
      </c>
      <c r="T909" s="2" t="s">
        <v>47</v>
      </c>
      <c r="U909" s="2">
        <v>30</v>
      </c>
      <c r="V909" s="2">
        <v>50867</v>
      </c>
      <c r="W909" s="2">
        <v>668901.05000000005</v>
      </c>
      <c r="X909" s="2">
        <v>13.15</v>
      </c>
      <c r="Y909" s="2">
        <v>0.44</v>
      </c>
      <c r="Z909" s="2">
        <v>4749</v>
      </c>
      <c r="AB909">
        <v>0</v>
      </c>
      <c r="AC909">
        <v>2015</v>
      </c>
      <c r="AE909" s="2">
        <v>22381.48</v>
      </c>
    </row>
    <row r="910" spans="2:31" ht="14.5">
      <c r="B910" s="2">
        <v>82792</v>
      </c>
      <c r="C910" s="2" t="s">
        <v>1714</v>
      </c>
      <c r="D910" s="2" t="s">
        <v>1715</v>
      </c>
      <c r="E910" s="2" t="s">
        <v>118</v>
      </c>
      <c r="F910" s="2" t="s">
        <v>29</v>
      </c>
      <c r="G910" s="2" t="s">
        <v>50</v>
      </c>
      <c r="H910" s="2" t="s">
        <v>218</v>
      </c>
      <c r="I910" s="2" t="s">
        <v>219</v>
      </c>
      <c r="J910" s="2" t="s">
        <v>220</v>
      </c>
      <c r="K910" s="2" t="s">
        <v>267</v>
      </c>
      <c r="L910" s="3"/>
      <c r="M910" s="3">
        <v>42124</v>
      </c>
      <c r="N910" s="3">
        <v>42116</v>
      </c>
      <c r="O910" s="3">
        <v>42118</v>
      </c>
      <c r="P910" s="2" t="s">
        <v>727</v>
      </c>
      <c r="Q910" s="2" t="s">
        <v>45</v>
      </c>
      <c r="R910" s="2" t="s">
        <v>37</v>
      </c>
      <c r="S910" s="2" t="s">
        <v>728</v>
      </c>
      <c r="T910" s="2" t="s">
        <v>729</v>
      </c>
      <c r="U910" s="2">
        <v>60</v>
      </c>
      <c r="V910" s="2">
        <v>6000</v>
      </c>
      <c r="W910" s="2">
        <v>11520</v>
      </c>
      <c r="X910" s="2">
        <v>1.92</v>
      </c>
      <c r="Y910" s="2">
        <v>0.03</v>
      </c>
      <c r="Z910" s="2">
        <v>11732</v>
      </c>
      <c r="AB910">
        <v>1</v>
      </c>
      <c r="AC910">
        <v>2015</v>
      </c>
      <c r="AE910" s="2">
        <v>180</v>
      </c>
    </row>
    <row r="911" spans="2:31" ht="14.5">
      <c r="B911" s="2">
        <v>82809</v>
      </c>
      <c r="C911" s="2" t="s">
        <v>1716</v>
      </c>
      <c r="D911" s="2" t="s">
        <v>1717</v>
      </c>
      <c r="E911" s="2" t="s">
        <v>118</v>
      </c>
      <c r="F911" s="2" t="s">
        <v>29</v>
      </c>
      <c r="G911" s="2" t="s">
        <v>30</v>
      </c>
      <c r="H911" s="2" t="s">
        <v>218</v>
      </c>
      <c r="I911" s="2" t="s">
        <v>219</v>
      </c>
      <c r="J911" s="2" t="s">
        <v>220</v>
      </c>
      <c r="K911" s="2" t="s">
        <v>267</v>
      </c>
      <c r="L911" s="3"/>
      <c r="M911" s="3">
        <v>42216</v>
      </c>
      <c r="N911" s="3">
        <v>42208</v>
      </c>
      <c r="O911" s="3">
        <v>42208</v>
      </c>
      <c r="P911" s="2" t="s">
        <v>35</v>
      </c>
      <c r="Q911" s="2" t="s">
        <v>36</v>
      </c>
      <c r="R911" s="2" t="s">
        <v>37</v>
      </c>
      <c r="S911" s="2" t="s">
        <v>38</v>
      </c>
      <c r="T911" s="2" t="s">
        <v>39</v>
      </c>
      <c r="U911" s="2">
        <v>60</v>
      </c>
      <c r="V911" s="2">
        <v>9566</v>
      </c>
      <c r="W911" s="2">
        <v>20853.88</v>
      </c>
      <c r="X911" s="2">
        <v>2.1800000000000002</v>
      </c>
      <c r="Y911" s="2">
        <v>0.04</v>
      </c>
      <c r="AB911">
        <v>1</v>
      </c>
      <c r="AC911">
        <v>2015</v>
      </c>
      <c r="AE911" s="2">
        <v>382.64</v>
      </c>
    </row>
    <row r="912" spans="2:31" ht="14.5">
      <c r="B912" s="2">
        <v>82810</v>
      </c>
      <c r="C912" s="2" t="s">
        <v>1716</v>
      </c>
      <c r="D912" s="2" t="s">
        <v>1717</v>
      </c>
      <c r="E912" s="2" t="s">
        <v>118</v>
      </c>
      <c r="F912" s="2" t="s">
        <v>29</v>
      </c>
      <c r="G912" s="2" t="s">
        <v>30</v>
      </c>
      <c r="H912" s="2" t="s">
        <v>218</v>
      </c>
      <c r="I912" s="2" t="s">
        <v>219</v>
      </c>
      <c r="J912" s="2" t="s">
        <v>220</v>
      </c>
      <c r="K912" s="2" t="s">
        <v>267</v>
      </c>
      <c r="L912" s="3"/>
      <c r="M912" s="3">
        <v>42216</v>
      </c>
      <c r="N912" s="3">
        <v>42208</v>
      </c>
      <c r="O912" s="3">
        <v>42208</v>
      </c>
      <c r="P912" s="2" t="s">
        <v>150</v>
      </c>
      <c r="Q912" s="2" t="s">
        <v>84</v>
      </c>
      <c r="R912" s="2" t="s">
        <v>151</v>
      </c>
      <c r="S912" s="2" t="s">
        <v>152</v>
      </c>
      <c r="T912" s="2" t="s">
        <v>39</v>
      </c>
      <c r="U912" s="2">
        <v>120</v>
      </c>
      <c r="V912" s="2">
        <v>27048</v>
      </c>
      <c r="W912" s="2">
        <v>504174.72</v>
      </c>
      <c r="X912" s="2">
        <v>18.64</v>
      </c>
      <c r="Y912" s="2">
        <v>0.16</v>
      </c>
      <c r="AB912">
        <v>1</v>
      </c>
      <c r="AC912">
        <v>2015</v>
      </c>
      <c r="AE912" s="2">
        <v>4327.68</v>
      </c>
    </row>
    <row r="913" spans="2:31" ht="14.5">
      <c r="B913" s="2">
        <v>82811</v>
      </c>
      <c r="C913" s="2" t="s">
        <v>1718</v>
      </c>
      <c r="D913" s="2" t="s">
        <v>1719</v>
      </c>
      <c r="E913" s="2" t="s">
        <v>118</v>
      </c>
      <c r="F913" s="2" t="s">
        <v>29</v>
      </c>
      <c r="G913" s="2" t="s">
        <v>30</v>
      </c>
      <c r="H913" s="2" t="s">
        <v>218</v>
      </c>
      <c r="I913" s="2" t="s">
        <v>219</v>
      </c>
      <c r="J913" s="2" t="s">
        <v>220</v>
      </c>
      <c r="K913" s="2" t="s">
        <v>267</v>
      </c>
      <c r="L913" s="3"/>
      <c r="M913" s="3">
        <v>42216</v>
      </c>
      <c r="N913" s="3">
        <v>42208</v>
      </c>
      <c r="O913" s="3">
        <v>42208</v>
      </c>
      <c r="P913" s="2" t="s">
        <v>44</v>
      </c>
      <c r="Q913" s="2" t="s">
        <v>45</v>
      </c>
      <c r="R913" s="2" t="s">
        <v>37</v>
      </c>
      <c r="S913" s="2" t="s">
        <v>46</v>
      </c>
      <c r="T913" s="2" t="s">
        <v>47</v>
      </c>
      <c r="U913" s="2">
        <v>60</v>
      </c>
      <c r="V913" s="2">
        <v>88327</v>
      </c>
      <c r="W913" s="2">
        <v>575892.04</v>
      </c>
      <c r="X913" s="2">
        <v>6.52</v>
      </c>
      <c r="Y913" s="2">
        <v>0.11</v>
      </c>
      <c r="AB913">
        <v>1</v>
      </c>
      <c r="AC913">
        <v>2015</v>
      </c>
      <c r="AE913" s="2">
        <v>9715.9699999999993</v>
      </c>
    </row>
    <row r="914" spans="2:31" ht="14.5">
      <c r="B914" s="2">
        <v>82815</v>
      </c>
      <c r="C914" s="2" t="s">
        <v>1720</v>
      </c>
      <c r="D914" s="2" t="s">
        <v>1721</v>
      </c>
      <c r="E914" s="2" t="s">
        <v>118</v>
      </c>
      <c r="F914" s="2" t="s">
        <v>29</v>
      </c>
      <c r="G914" s="2" t="s">
        <v>30</v>
      </c>
      <c r="H914" s="2" t="s">
        <v>218</v>
      </c>
      <c r="I914" s="2" t="s">
        <v>219</v>
      </c>
      <c r="J914" s="2" t="s">
        <v>220</v>
      </c>
      <c r="K914" s="2" t="s">
        <v>267</v>
      </c>
      <c r="L914" s="3"/>
      <c r="M914" s="3">
        <v>42230</v>
      </c>
      <c r="N914" s="3">
        <v>42224</v>
      </c>
      <c r="O914" s="3">
        <v>42226</v>
      </c>
      <c r="P914" s="2" t="s">
        <v>999</v>
      </c>
      <c r="Q914" s="2" t="s">
        <v>1000</v>
      </c>
      <c r="R914" s="2" t="s">
        <v>37</v>
      </c>
      <c r="S914" s="2" t="s">
        <v>1001</v>
      </c>
      <c r="T914" s="2" t="s">
        <v>47</v>
      </c>
      <c r="U914" s="2">
        <v>30</v>
      </c>
      <c r="V914" s="2">
        <v>6324</v>
      </c>
      <c r="W914" s="2">
        <v>82907.64</v>
      </c>
      <c r="X914" s="2">
        <v>13.11</v>
      </c>
      <c r="Y914" s="2">
        <v>0.44</v>
      </c>
      <c r="AB914">
        <v>1</v>
      </c>
      <c r="AC914">
        <v>2015</v>
      </c>
      <c r="AE914" s="2">
        <v>2782.56</v>
      </c>
    </row>
    <row r="915" spans="2:31" ht="14.5">
      <c r="B915" s="2">
        <v>82820</v>
      </c>
      <c r="C915" s="2" t="s">
        <v>1722</v>
      </c>
      <c r="D915" s="2" t="s">
        <v>1723</v>
      </c>
      <c r="E915" s="2" t="s">
        <v>42</v>
      </c>
      <c r="F915" s="2" t="s">
        <v>29</v>
      </c>
      <c r="G915" s="2" t="s">
        <v>50</v>
      </c>
      <c r="H915" s="2" t="s">
        <v>218</v>
      </c>
      <c r="I915" s="2" t="s">
        <v>219</v>
      </c>
      <c r="J915" s="2" t="s">
        <v>220</v>
      </c>
      <c r="K915" s="2" t="s">
        <v>34</v>
      </c>
      <c r="L915" s="3"/>
      <c r="M915" s="3">
        <v>42255</v>
      </c>
      <c r="N915" s="3">
        <v>42242</v>
      </c>
      <c r="O915" s="3">
        <v>42249</v>
      </c>
      <c r="P915" s="2" t="s">
        <v>842</v>
      </c>
      <c r="Q915" s="2" t="s">
        <v>113</v>
      </c>
      <c r="R915" s="2" t="s">
        <v>37</v>
      </c>
      <c r="S915" s="2" t="s">
        <v>843</v>
      </c>
      <c r="T915" s="2" t="s">
        <v>729</v>
      </c>
      <c r="U915" s="2">
        <v>60</v>
      </c>
      <c r="V915" s="2">
        <v>2592</v>
      </c>
      <c r="W915" s="2">
        <v>9201.6</v>
      </c>
      <c r="X915" s="2">
        <v>3.55</v>
      </c>
      <c r="Y915" s="2">
        <v>0.06</v>
      </c>
      <c r="AB915">
        <v>1</v>
      </c>
      <c r="AC915">
        <v>2015</v>
      </c>
      <c r="AE915" s="2">
        <v>155.51999999999998</v>
      </c>
    </row>
    <row r="916" spans="2:31" ht="14.5">
      <c r="B916" s="2">
        <v>82845</v>
      </c>
      <c r="C916" s="2" t="s">
        <v>1724</v>
      </c>
      <c r="D916" s="2" t="s">
        <v>1725</v>
      </c>
      <c r="E916" s="2" t="s">
        <v>118</v>
      </c>
      <c r="F916" s="2" t="s">
        <v>29</v>
      </c>
      <c r="G916" s="2" t="s">
        <v>30</v>
      </c>
      <c r="H916" s="2" t="s">
        <v>218</v>
      </c>
      <c r="I916" s="2" t="s">
        <v>219</v>
      </c>
      <c r="J916" s="2" t="s">
        <v>220</v>
      </c>
      <c r="K916" s="2" t="s">
        <v>34</v>
      </c>
      <c r="L916" s="3"/>
      <c r="M916" s="3">
        <v>40150</v>
      </c>
      <c r="N916" s="3">
        <v>40147</v>
      </c>
      <c r="O916" s="3">
        <v>40147</v>
      </c>
      <c r="P916" s="2" t="s">
        <v>112</v>
      </c>
      <c r="Q916" s="2" t="s">
        <v>113</v>
      </c>
      <c r="R916" s="2" t="s">
        <v>37</v>
      </c>
      <c r="S916" s="2" t="s">
        <v>114</v>
      </c>
      <c r="T916" s="2" t="s">
        <v>47</v>
      </c>
      <c r="U916" s="2">
        <v>60</v>
      </c>
      <c r="V916" s="2">
        <v>15584</v>
      </c>
      <c r="W916" s="2">
        <v>174852.48000000001</v>
      </c>
      <c r="X916" s="2">
        <v>11.22</v>
      </c>
      <c r="Y916" s="2">
        <v>0.19</v>
      </c>
      <c r="Z916" s="2">
        <v>6843</v>
      </c>
      <c r="AA916" s="2">
        <v>15170.33</v>
      </c>
      <c r="AB916">
        <v>1</v>
      </c>
      <c r="AC916">
        <v>2009</v>
      </c>
      <c r="AE916" s="2">
        <v>2960.96</v>
      </c>
    </row>
    <row r="917" spans="2:31" ht="14.5">
      <c r="B917" s="2">
        <v>82846</v>
      </c>
      <c r="C917" s="2" t="s">
        <v>1726</v>
      </c>
      <c r="D917" s="2" t="s">
        <v>1727</v>
      </c>
      <c r="E917" s="2" t="s">
        <v>118</v>
      </c>
      <c r="F917" s="2" t="s">
        <v>29</v>
      </c>
      <c r="G917" s="2" t="s">
        <v>30</v>
      </c>
      <c r="H917" s="2" t="s">
        <v>218</v>
      </c>
      <c r="I917" s="2" t="s">
        <v>219</v>
      </c>
      <c r="J917" s="2" t="s">
        <v>220</v>
      </c>
      <c r="K917" s="2" t="s">
        <v>34</v>
      </c>
      <c r="L917" s="3"/>
      <c r="M917" s="3">
        <v>40154</v>
      </c>
      <c r="N917" s="3">
        <v>40147</v>
      </c>
      <c r="O917" s="3">
        <v>40147</v>
      </c>
      <c r="P917" s="2" t="s">
        <v>95</v>
      </c>
      <c r="Q917" s="2" t="s">
        <v>96</v>
      </c>
      <c r="R917" s="2" t="s">
        <v>37</v>
      </c>
      <c r="S917" s="2" t="s">
        <v>97</v>
      </c>
      <c r="T917" s="2" t="s">
        <v>39</v>
      </c>
      <c r="U917" s="2">
        <v>30</v>
      </c>
      <c r="V917" s="2">
        <v>4700</v>
      </c>
      <c r="W917" s="2">
        <v>27166</v>
      </c>
      <c r="X917" s="2">
        <v>5.78</v>
      </c>
      <c r="Y917" s="2">
        <v>0.19</v>
      </c>
      <c r="Z917" s="2">
        <v>680</v>
      </c>
      <c r="AA917" s="2">
        <v>3335.33</v>
      </c>
      <c r="AB917">
        <v>1</v>
      </c>
      <c r="AC917">
        <v>2009</v>
      </c>
      <c r="AE917" s="2">
        <v>893</v>
      </c>
    </row>
    <row r="918" spans="2:31" ht="14.5">
      <c r="B918" s="2">
        <v>82864</v>
      </c>
      <c r="C918" s="2" t="s">
        <v>1728</v>
      </c>
      <c r="D918" s="2" t="s">
        <v>1729</v>
      </c>
      <c r="E918" s="2" t="s">
        <v>60</v>
      </c>
      <c r="F918" s="2" t="s">
        <v>29</v>
      </c>
      <c r="G918" s="2" t="s">
        <v>30</v>
      </c>
      <c r="H918" s="2" t="s">
        <v>218</v>
      </c>
      <c r="I918" s="2" t="s">
        <v>219</v>
      </c>
      <c r="J918" s="2" t="s">
        <v>220</v>
      </c>
      <c r="K918" s="2" t="s">
        <v>34</v>
      </c>
      <c r="L918" s="3"/>
      <c r="M918" s="3">
        <v>40240</v>
      </c>
      <c r="N918" s="3">
        <v>40242</v>
      </c>
      <c r="O918" s="3">
        <v>40242</v>
      </c>
      <c r="P918" s="2" t="s">
        <v>44</v>
      </c>
      <c r="Q918" s="2" t="s">
        <v>45</v>
      </c>
      <c r="R918" s="2" t="s">
        <v>37</v>
      </c>
      <c r="S918" s="2" t="s">
        <v>46</v>
      </c>
      <c r="T918" s="2" t="s">
        <v>47</v>
      </c>
      <c r="U918" s="2">
        <v>60</v>
      </c>
      <c r="V918" s="2">
        <v>20000</v>
      </c>
      <c r="W918" s="2">
        <v>175200</v>
      </c>
      <c r="X918" s="2">
        <v>8.76</v>
      </c>
      <c r="Y918" s="2">
        <v>0.15</v>
      </c>
      <c r="Z918" s="2">
        <v>1804</v>
      </c>
      <c r="AA918" s="2">
        <v>6321.99</v>
      </c>
      <c r="AB918">
        <v>0</v>
      </c>
      <c r="AC918">
        <v>2010</v>
      </c>
      <c r="AE918" s="2">
        <v>3000</v>
      </c>
    </row>
    <row r="919" spans="2:31" ht="14.5">
      <c r="B919" s="2">
        <v>82865</v>
      </c>
      <c r="C919" s="2" t="s">
        <v>1730</v>
      </c>
      <c r="D919" s="2" t="s">
        <v>1731</v>
      </c>
      <c r="E919" s="2" t="s">
        <v>118</v>
      </c>
      <c r="F919" s="2" t="s">
        <v>29</v>
      </c>
      <c r="G919" s="2" t="s">
        <v>30</v>
      </c>
      <c r="H919" s="2" t="s">
        <v>218</v>
      </c>
      <c r="I919" s="2" t="s">
        <v>219</v>
      </c>
      <c r="J919" s="2" t="s">
        <v>220</v>
      </c>
      <c r="K919" s="2" t="s">
        <v>34</v>
      </c>
      <c r="L919" s="3"/>
      <c r="M919" s="3">
        <v>40269</v>
      </c>
      <c r="N919" s="3">
        <v>40252</v>
      </c>
      <c r="O919" s="3">
        <v>40252</v>
      </c>
      <c r="P919" s="2" t="s">
        <v>407</v>
      </c>
      <c r="Q919" s="2" t="s">
        <v>408</v>
      </c>
      <c r="R919" s="2" t="s">
        <v>37</v>
      </c>
      <c r="S919" s="2" t="s">
        <v>409</v>
      </c>
      <c r="T919" s="2" t="s">
        <v>47</v>
      </c>
      <c r="U919" s="2">
        <v>60</v>
      </c>
      <c r="V919" s="2">
        <v>120</v>
      </c>
      <c r="W919" s="2">
        <v>408</v>
      </c>
      <c r="X919" s="2">
        <v>3.4</v>
      </c>
      <c r="Y919" s="2">
        <v>0.06</v>
      </c>
      <c r="Z919" s="2">
        <v>6</v>
      </c>
      <c r="AA919" s="2">
        <v>484.56</v>
      </c>
      <c r="AB919">
        <v>1</v>
      </c>
      <c r="AC919">
        <v>2010</v>
      </c>
      <c r="AE919" s="2">
        <v>7.1999999999999993</v>
      </c>
    </row>
    <row r="920" spans="2:31" ht="14.5">
      <c r="B920" s="2">
        <v>82869</v>
      </c>
      <c r="C920" s="2" t="s">
        <v>1732</v>
      </c>
      <c r="D920" s="2" t="s">
        <v>1733</v>
      </c>
      <c r="E920" s="2" t="s">
        <v>118</v>
      </c>
      <c r="F920" s="2" t="s">
        <v>29</v>
      </c>
      <c r="G920" s="2" t="s">
        <v>30</v>
      </c>
      <c r="H920" s="2" t="s">
        <v>218</v>
      </c>
      <c r="I920" s="2" t="s">
        <v>219</v>
      </c>
      <c r="J920" s="2" t="s">
        <v>220</v>
      </c>
      <c r="K920" s="2" t="s">
        <v>34</v>
      </c>
      <c r="L920" s="3"/>
      <c r="M920" s="3">
        <v>40268</v>
      </c>
      <c r="N920" s="3">
        <v>40256</v>
      </c>
      <c r="O920" s="3">
        <v>40256</v>
      </c>
      <c r="P920" s="2" t="s">
        <v>95</v>
      </c>
      <c r="Q920" s="2" t="s">
        <v>96</v>
      </c>
      <c r="R920" s="2" t="s">
        <v>37</v>
      </c>
      <c r="S920" s="2" t="s">
        <v>97</v>
      </c>
      <c r="T920" s="2" t="s">
        <v>39</v>
      </c>
      <c r="U920" s="2">
        <v>30</v>
      </c>
      <c r="V920" s="2">
        <v>1000</v>
      </c>
      <c r="W920" s="2">
        <v>5130</v>
      </c>
      <c r="X920" s="2">
        <v>5.13</v>
      </c>
      <c r="Y920" s="2">
        <v>0.17</v>
      </c>
      <c r="Z920" s="2">
        <v>95</v>
      </c>
      <c r="AA920" s="2">
        <v>3549.77</v>
      </c>
      <c r="AB920">
        <v>1</v>
      </c>
      <c r="AC920">
        <v>2010</v>
      </c>
      <c r="AE920" s="2">
        <v>170</v>
      </c>
    </row>
    <row r="921" spans="2:31" ht="14.5">
      <c r="B921" s="2">
        <v>82874</v>
      </c>
      <c r="C921" s="2" t="s">
        <v>1734</v>
      </c>
      <c r="D921" s="2" t="s">
        <v>1735</v>
      </c>
      <c r="E921" s="2" t="s">
        <v>118</v>
      </c>
      <c r="F921" s="2" t="s">
        <v>29</v>
      </c>
      <c r="G921" s="2" t="s">
        <v>30</v>
      </c>
      <c r="H921" s="2" t="s">
        <v>218</v>
      </c>
      <c r="I921" s="2" t="s">
        <v>219</v>
      </c>
      <c r="J921" s="2" t="s">
        <v>220</v>
      </c>
      <c r="K921" s="2" t="s">
        <v>267</v>
      </c>
      <c r="L921" s="3"/>
      <c r="M921" s="3">
        <v>40269</v>
      </c>
      <c r="N921" s="3">
        <v>40262</v>
      </c>
      <c r="O921" s="3">
        <v>40262</v>
      </c>
      <c r="P921" s="2" t="s">
        <v>112</v>
      </c>
      <c r="Q921" s="2" t="s">
        <v>113</v>
      </c>
      <c r="R921" s="2" t="s">
        <v>37</v>
      </c>
      <c r="S921" s="2" t="s">
        <v>114</v>
      </c>
      <c r="T921" s="2" t="s">
        <v>47</v>
      </c>
      <c r="U921" s="2">
        <v>60</v>
      </c>
      <c r="V921" s="2">
        <v>45116</v>
      </c>
      <c r="W921" s="2">
        <v>506201.52</v>
      </c>
      <c r="X921" s="2">
        <v>11.22</v>
      </c>
      <c r="Y921" s="2">
        <v>0.19</v>
      </c>
      <c r="Z921" s="2">
        <v>5285</v>
      </c>
      <c r="AA921" s="2">
        <v>11065</v>
      </c>
      <c r="AB921">
        <v>1</v>
      </c>
      <c r="AC921">
        <v>2010</v>
      </c>
      <c r="AE921" s="2">
        <v>8572.0400000000009</v>
      </c>
    </row>
    <row r="922" spans="2:31" ht="14.5">
      <c r="B922" s="2">
        <v>82876</v>
      </c>
      <c r="C922" s="2" t="s">
        <v>1736</v>
      </c>
      <c r="D922" s="2" t="s">
        <v>1737</v>
      </c>
      <c r="E922" s="2" t="s">
        <v>118</v>
      </c>
      <c r="F922" s="2" t="s">
        <v>29</v>
      </c>
      <c r="G922" s="2" t="s">
        <v>30</v>
      </c>
      <c r="H922" s="2" t="s">
        <v>218</v>
      </c>
      <c r="I922" s="2" t="s">
        <v>219</v>
      </c>
      <c r="J922" s="2" t="s">
        <v>220</v>
      </c>
      <c r="K922" s="2" t="s">
        <v>34</v>
      </c>
      <c r="L922" s="3"/>
      <c r="M922" s="3">
        <v>40324</v>
      </c>
      <c r="N922" s="3">
        <v>40276</v>
      </c>
      <c r="O922" s="3">
        <v>40276</v>
      </c>
      <c r="P922" s="2" t="s">
        <v>407</v>
      </c>
      <c r="Q922" s="2" t="s">
        <v>408</v>
      </c>
      <c r="R922" s="2" t="s">
        <v>37</v>
      </c>
      <c r="S922" s="2" t="s">
        <v>409</v>
      </c>
      <c r="T922" s="2" t="s">
        <v>47</v>
      </c>
      <c r="U922" s="2">
        <v>60</v>
      </c>
      <c r="V922" s="2">
        <v>75</v>
      </c>
      <c r="W922" s="2">
        <v>255</v>
      </c>
      <c r="X922" s="2">
        <v>3.4</v>
      </c>
      <c r="Y922" s="2">
        <v>0.06</v>
      </c>
      <c r="Z922" s="2">
        <v>10</v>
      </c>
      <c r="AA922" s="2">
        <v>1865.86</v>
      </c>
      <c r="AB922">
        <v>1</v>
      </c>
      <c r="AC922">
        <v>2010</v>
      </c>
      <c r="AE922" s="2">
        <v>4.5</v>
      </c>
    </row>
    <row r="923" spans="2:31" ht="14.5">
      <c r="B923" s="2">
        <v>82877</v>
      </c>
      <c r="C923" s="2" t="s">
        <v>1738</v>
      </c>
      <c r="D923" s="2" t="s">
        <v>1739</v>
      </c>
      <c r="E923" s="2" t="s">
        <v>118</v>
      </c>
      <c r="F923" s="2" t="s">
        <v>29</v>
      </c>
      <c r="G923" s="2" t="s">
        <v>30</v>
      </c>
      <c r="H923" s="2" t="s">
        <v>218</v>
      </c>
      <c r="I923" s="2" t="s">
        <v>219</v>
      </c>
      <c r="J923" s="2" t="s">
        <v>220</v>
      </c>
      <c r="K923" s="2" t="s">
        <v>34</v>
      </c>
      <c r="L923" s="3"/>
      <c r="M923" s="3">
        <v>40324</v>
      </c>
      <c r="N923" s="3">
        <v>40280</v>
      </c>
      <c r="O923" s="3">
        <v>40280</v>
      </c>
      <c r="P923" s="2" t="s">
        <v>35</v>
      </c>
      <c r="Q923" s="2" t="s">
        <v>36</v>
      </c>
      <c r="R923" s="2" t="s">
        <v>37</v>
      </c>
      <c r="S923" s="2" t="s">
        <v>38</v>
      </c>
      <c r="T923" s="2" t="s">
        <v>39</v>
      </c>
      <c r="U923" s="2">
        <v>60</v>
      </c>
      <c r="V923" s="2">
        <v>5000</v>
      </c>
      <c r="W923" s="2">
        <v>13650</v>
      </c>
      <c r="X923" s="2">
        <v>2.73</v>
      </c>
      <c r="Y923" s="2">
        <v>0.05</v>
      </c>
      <c r="Z923" s="2">
        <v>861</v>
      </c>
      <c r="AA923" s="2">
        <v>7383.9</v>
      </c>
      <c r="AB923">
        <v>1</v>
      </c>
      <c r="AC923">
        <v>2010</v>
      </c>
      <c r="AE923" s="2">
        <v>250</v>
      </c>
    </row>
    <row r="924" spans="2:31" ht="14.5">
      <c r="B924" s="2">
        <v>82878</v>
      </c>
      <c r="C924" s="2" t="s">
        <v>1740</v>
      </c>
      <c r="D924" s="2" t="s">
        <v>1741</v>
      </c>
      <c r="E924" s="2" t="s">
        <v>118</v>
      </c>
      <c r="F924" s="2" t="s">
        <v>29</v>
      </c>
      <c r="G924" s="2" t="s">
        <v>30</v>
      </c>
      <c r="H924" s="2" t="s">
        <v>218</v>
      </c>
      <c r="I924" s="2" t="s">
        <v>219</v>
      </c>
      <c r="J924" s="2" t="s">
        <v>220</v>
      </c>
      <c r="K924" s="2" t="s">
        <v>34</v>
      </c>
      <c r="L924" s="3"/>
      <c r="M924" s="3">
        <v>40324</v>
      </c>
      <c r="N924" s="3">
        <v>40280</v>
      </c>
      <c r="O924" s="3">
        <v>40280</v>
      </c>
      <c r="P924" s="2" t="s">
        <v>95</v>
      </c>
      <c r="Q924" s="2" t="s">
        <v>96</v>
      </c>
      <c r="R924" s="2" t="s">
        <v>37</v>
      </c>
      <c r="S924" s="2" t="s">
        <v>97</v>
      </c>
      <c r="T924" s="2" t="s">
        <v>39</v>
      </c>
      <c r="U924" s="2">
        <v>30</v>
      </c>
      <c r="V924" s="2">
        <v>2000</v>
      </c>
      <c r="W924" s="2">
        <v>10260</v>
      </c>
      <c r="X924" s="2">
        <v>5.13</v>
      </c>
      <c r="Y924" s="2">
        <v>0.17</v>
      </c>
      <c r="Z924" s="2">
        <v>563</v>
      </c>
      <c r="AA924" s="2">
        <v>1524.56</v>
      </c>
      <c r="AB924">
        <v>1</v>
      </c>
      <c r="AC924">
        <v>2010</v>
      </c>
      <c r="AE924" s="2">
        <v>340</v>
      </c>
    </row>
    <row r="925" spans="2:31" ht="14.5">
      <c r="B925" s="2">
        <v>82879</v>
      </c>
      <c r="C925" s="2" t="s">
        <v>1740</v>
      </c>
      <c r="D925" s="2" t="s">
        <v>1741</v>
      </c>
      <c r="E925" s="2" t="s">
        <v>118</v>
      </c>
      <c r="F925" s="2" t="s">
        <v>29</v>
      </c>
      <c r="G925" s="2" t="s">
        <v>30</v>
      </c>
      <c r="H925" s="2" t="s">
        <v>218</v>
      </c>
      <c r="I925" s="2" t="s">
        <v>219</v>
      </c>
      <c r="J925" s="2" t="s">
        <v>220</v>
      </c>
      <c r="K925" s="2" t="s">
        <v>34</v>
      </c>
      <c r="L925" s="3"/>
      <c r="M925" s="3">
        <v>40324</v>
      </c>
      <c r="N925" s="3">
        <v>40280</v>
      </c>
      <c r="O925" s="3">
        <v>40280</v>
      </c>
      <c r="P925" s="2" t="s">
        <v>35</v>
      </c>
      <c r="Q925" s="2" t="s">
        <v>36</v>
      </c>
      <c r="R925" s="2" t="s">
        <v>37</v>
      </c>
      <c r="S925" s="2" t="s">
        <v>38</v>
      </c>
      <c r="T925" s="2" t="s">
        <v>39</v>
      </c>
      <c r="U925" s="2">
        <v>60</v>
      </c>
      <c r="V925" s="2">
        <v>4200</v>
      </c>
      <c r="W925" s="2">
        <v>11466</v>
      </c>
      <c r="X925" s="2">
        <v>2.73</v>
      </c>
      <c r="Y925" s="2">
        <v>0.05</v>
      </c>
      <c r="AB925">
        <v>1</v>
      </c>
      <c r="AC925">
        <v>2010</v>
      </c>
      <c r="AE925" s="2">
        <v>210</v>
      </c>
    </row>
    <row r="926" spans="2:31" ht="14.5">
      <c r="B926" s="2">
        <v>82882</v>
      </c>
      <c r="C926" s="2" t="s">
        <v>1742</v>
      </c>
      <c r="D926" s="2" t="s">
        <v>1743</v>
      </c>
      <c r="E926" s="2" t="s">
        <v>118</v>
      </c>
      <c r="F926" s="2" t="s">
        <v>29</v>
      </c>
      <c r="G926" s="2" t="s">
        <v>30</v>
      </c>
      <c r="H926" s="2" t="s">
        <v>218</v>
      </c>
      <c r="I926" s="2" t="s">
        <v>219</v>
      </c>
      <c r="J926" s="2" t="s">
        <v>220</v>
      </c>
      <c r="K926" s="2" t="s">
        <v>34</v>
      </c>
      <c r="L926" s="3"/>
      <c r="M926" s="3">
        <v>40331</v>
      </c>
      <c r="N926" s="3">
        <v>40301</v>
      </c>
      <c r="O926" s="3">
        <v>40301</v>
      </c>
      <c r="P926" s="2" t="s">
        <v>44</v>
      </c>
      <c r="Q926" s="2" t="s">
        <v>45</v>
      </c>
      <c r="R926" s="2" t="s">
        <v>37</v>
      </c>
      <c r="S926" s="2" t="s">
        <v>46</v>
      </c>
      <c r="T926" s="2" t="s">
        <v>47</v>
      </c>
      <c r="U926" s="2">
        <v>60</v>
      </c>
      <c r="V926" s="2">
        <v>4000</v>
      </c>
      <c r="W926" s="2">
        <v>35040</v>
      </c>
      <c r="X926" s="2">
        <v>8.76</v>
      </c>
      <c r="Y926" s="2">
        <v>0.15</v>
      </c>
      <c r="Z926" s="2">
        <v>263</v>
      </c>
      <c r="AA926" s="2">
        <v>2458.2600000000002</v>
      </c>
      <c r="AB926">
        <v>1</v>
      </c>
      <c r="AC926">
        <v>2010</v>
      </c>
      <c r="AE926" s="2">
        <v>600</v>
      </c>
    </row>
    <row r="927" spans="2:31" ht="14.5">
      <c r="B927" s="2">
        <v>82888</v>
      </c>
      <c r="C927" s="2" t="s">
        <v>1744</v>
      </c>
      <c r="D927" s="2" t="s">
        <v>1745</v>
      </c>
      <c r="E927" s="2" t="s">
        <v>60</v>
      </c>
      <c r="F927" s="2" t="s">
        <v>29</v>
      </c>
      <c r="G927" s="2" t="s">
        <v>30</v>
      </c>
      <c r="H927" s="2" t="s">
        <v>218</v>
      </c>
      <c r="I927" s="2" t="s">
        <v>219</v>
      </c>
      <c r="J927" s="2" t="s">
        <v>220</v>
      </c>
      <c r="K927" s="2" t="s">
        <v>34</v>
      </c>
      <c r="L927" s="3"/>
      <c r="M927" s="3">
        <v>40344</v>
      </c>
      <c r="N927" s="3">
        <v>40330</v>
      </c>
      <c r="O927" s="3">
        <v>40330</v>
      </c>
      <c r="P927" s="2" t="s">
        <v>98</v>
      </c>
      <c r="Q927" s="2" t="s">
        <v>99</v>
      </c>
      <c r="R927" s="2" t="s">
        <v>37</v>
      </c>
      <c r="S927" s="2" t="s">
        <v>100</v>
      </c>
      <c r="T927" s="2" t="s">
        <v>39</v>
      </c>
      <c r="U927" s="2">
        <v>60</v>
      </c>
      <c r="V927" s="2">
        <v>4000</v>
      </c>
      <c r="W927" s="2">
        <v>68560</v>
      </c>
      <c r="X927" s="2">
        <v>17.14</v>
      </c>
      <c r="Y927" s="2">
        <v>0.28999999999999998</v>
      </c>
      <c r="Z927" s="2">
        <v>400</v>
      </c>
      <c r="AA927" s="2">
        <v>961.46</v>
      </c>
      <c r="AB927">
        <v>1</v>
      </c>
      <c r="AC927">
        <v>2010</v>
      </c>
      <c r="AE927" s="2">
        <v>1160</v>
      </c>
    </row>
    <row r="928" spans="2:31" ht="14.5">
      <c r="B928" s="2">
        <v>82891</v>
      </c>
      <c r="C928" s="2" t="s">
        <v>1746</v>
      </c>
      <c r="D928" s="2" t="s">
        <v>1747</v>
      </c>
      <c r="E928" s="2" t="s">
        <v>118</v>
      </c>
      <c r="F928" s="2" t="s">
        <v>29</v>
      </c>
      <c r="G928" s="2" t="s">
        <v>30</v>
      </c>
      <c r="H928" s="2" t="s">
        <v>218</v>
      </c>
      <c r="I928" s="2" t="s">
        <v>219</v>
      </c>
      <c r="J928" s="2" t="s">
        <v>220</v>
      </c>
      <c r="K928" s="2" t="s">
        <v>34</v>
      </c>
      <c r="L928" s="3"/>
      <c r="M928" s="3">
        <v>40359</v>
      </c>
      <c r="N928" s="3">
        <v>40351</v>
      </c>
      <c r="O928" s="3">
        <v>40351</v>
      </c>
      <c r="P928" s="2" t="s">
        <v>112</v>
      </c>
      <c r="Q928" s="2" t="s">
        <v>113</v>
      </c>
      <c r="R928" s="2" t="s">
        <v>37</v>
      </c>
      <c r="S928" s="2" t="s">
        <v>114</v>
      </c>
      <c r="T928" s="2" t="s">
        <v>47</v>
      </c>
      <c r="U928" s="2">
        <v>60</v>
      </c>
      <c r="V928" s="2">
        <v>5000</v>
      </c>
      <c r="W928" s="2">
        <v>56000</v>
      </c>
      <c r="X928" s="2">
        <v>11.2</v>
      </c>
      <c r="Y928" s="2">
        <v>0.19</v>
      </c>
      <c r="Z928" s="2">
        <v>690</v>
      </c>
      <c r="AA928" s="2">
        <v>5410.32</v>
      </c>
      <c r="AB928">
        <v>1</v>
      </c>
      <c r="AC928">
        <v>2010</v>
      </c>
      <c r="AE928" s="2">
        <v>950</v>
      </c>
    </row>
    <row r="929" spans="2:31" ht="14.5">
      <c r="B929" s="2">
        <v>82892</v>
      </c>
      <c r="C929" s="2" t="s">
        <v>1748</v>
      </c>
      <c r="D929" s="2" t="s">
        <v>1749</v>
      </c>
      <c r="E929" s="2" t="s">
        <v>60</v>
      </c>
      <c r="F929" s="2" t="s">
        <v>29</v>
      </c>
      <c r="G929" s="2" t="s">
        <v>30</v>
      </c>
      <c r="H929" s="2" t="s">
        <v>218</v>
      </c>
      <c r="I929" s="2" t="s">
        <v>219</v>
      </c>
      <c r="J929" s="2" t="s">
        <v>220</v>
      </c>
      <c r="K929" s="2" t="s">
        <v>34</v>
      </c>
      <c r="L929" s="3"/>
      <c r="M929" s="3">
        <v>40350</v>
      </c>
      <c r="N929" s="3">
        <v>40330</v>
      </c>
      <c r="O929" s="3">
        <v>40330</v>
      </c>
      <c r="P929" s="2" t="s">
        <v>164</v>
      </c>
      <c r="Q929" s="2" t="s">
        <v>165</v>
      </c>
      <c r="R929" s="2" t="s">
        <v>37</v>
      </c>
      <c r="S929" s="2" t="s">
        <v>166</v>
      </c>
      <c r="T929" s="2" t="s">
        <v>39</v>
      </c>
      <c r="U929" s="2">
        <v>60</v>
      </c>
      <c r="V929" s="2">
        <v>69</v>
      </c>
      <c r="W929" s="2">
        <v>168.36</v>
      </c>
      <c r="X929" s="2">
        <v>2.44</v>
      </c>
      <c r="Y929" s="2">
        <v>0.04</v>
      </c>
      <c r="Z929" s="2">
        <v>77</v>
      </c>
      <c r="AA929" s="2">
        <v>961.46</v>
      </c>
      <c r="AB929">
        <v>1</v>
      </c>
      <c r="AC929">
        <v>2010</v>
      </c>
      <c r="AE929" s="2">
        <v>2.7600000000000002</v>
      </c>
    </row>
    <row r="930" spans="2:31" ht="14.5">
      <c r="B930" s="2">
        <v>82907</v>
      </c>
      <c r="C930" s="2" t="s">
        <v>1750</v>
      </c>
      <c r="D930" s="2" t="s">
        <v>1751</v>
      </c>
      <c r="E930" s="2" t="s">
        <v>60</v>
      </c>
      <c r="F930" s="2" t="s">
        <v>29</v>
      </c>
      <c r="G930" s="2" t="s">
        <v>30</v>
      </c>
      <c r="H930" s="2" t="s">
        <v>218</v>
      </c>
      <c r="I930" s="2" t="s">
        <v>219</v>
      </c>
      <c r="J930" s="2" t="s">
        <v>220</v>
      </c>
      <c r="K930" s="2" t="s">
        <v>34</v>
      </c>
      <c r="L930" s="3"/>
      <c r="M930" s="3">
        <v>40442</v>
      </c>
      <c r="N930" s="3">
        <v>40373</v>
      </c>
      <c r="O930" s="3">
        <v>40373</v>
      </c>
      <c r="P930" s="2" t="s">
        <v>139</v>
      </c>
      <c r="Q930" s="2" t="s">
        <v>140</v>
      </c>
      <c r="R930" s="2" t="s">
        <v>37</v>
      </c>
      <c r="S930" s="2" t="s">
        <v>141</v>
      </c>
      <c r="T930" s="2" t="s">
        <v>47</v>
      </c>
      <c r="U930" s="2">
        <v>60</v>
      </c>
      <c r="V930" s="2">
        <v>561</v>
      </c>
      <c r="W930" s="2">
        <v>3214.53</v>
      </c>
      <c r="X930" s="2">
        <v>5.73</v>
      </c>
      <c r="Y930" s="2">
        <v>0.1</v>
      </c>
      <c r="Z930" s="2">
        <v>341</v>
      </c>
      <c r="AA930" s="2">
        <v>114.22</v>
      </c>
      <c r="AB930">
        <v>1</v>
      </c>
      <c r="AC930">
        <v>2010</v>
      </c>
      <c r="AE930" s="2">
        <v>56.1</v>
      </c>
    </row>
    <row r="931" spans="2:31" ht="14.5">
      <c r="B931" s="2">
        <v>82912</v>
      </c>
      <c r="C931" s="2" t="s">
        <v>1752</v>
      </c>
      <c r="D931" s="2" t="s">
        <v>1753</v>
      </c>
      <c r="E931" s="2" t="s">
        <v>118</v>
      </c>
      <c r="F931" s="2" t="s">
        <v>29</v>
      </c>
      <c r="G931" s="2" t="s">
        <v>30</v>
      </c>
      <c r="H931" s="2" t="s">
        <v>218</v>
      </c>
      <c r="I931" s="2" t="s">
        <v>219</v>
      </c>
      <c r="J931" s="2" t="s">
        <v>220</v>
      </c>
      <c r="K931" s="2" t="s">
        <v>34</v>
      </c>
      <c r="L931" s="3"/>
      <c r="M931" s="3">
        <v>40420</v>
      </c>
      <c r="N931" s="3">
        <v>40413</v>
      </c>
      <c r="O931" s="3">
        <v>40413</v>
      </c>
      <c r="P931" s="2" t="s">
        <v>112</v>
      </c>
      <c r="Q931" s="2" t="s">
        <v>113</v>
      </c>
      <c r="R931" s="2" t="s">
        <v>37</v>
      </c>
      <c r="S931" s="2" t="s">
        <v>114</v>
      </c>
      <c r="T931" s="2" t="s">
        <v>47</v>
      </c>
      <c r="U931" s="2">
        <v>60</v>
      </c>
      <c r="V931" s="2">
        <v>16347</v>
      </c>
      <c r="W931" s="2">
        <v>183413.34</v>
      </c>
      <c r="X931" s="2">
        <v>11.22</v>
      </c>
      <c r="Y931" s="2">
        <v>0.19</v>
      </c>
      <c r="Z931" s="2">
        <v>2098</v>
      </c>
      <c r="AA931" s="2">
        <v>10620</v>
      </c>
      <c r="AB931">
        <v>1</v>
      </c>
      <c r="AC931">
        <v>2010</v>
      </c>
      <c r="AE931" s="2">
        <v>3105.93</v>
      </c>
    </row>
    <row r="932" spans="2:31" ht="14.5">
      <c r="B932" s="2">
        <v>82914</v>
      </c>
      <c r="C932" s="2" t="s">
        <v>1754</v>
      </c>
      <c r="D932" s="2" t="s">
        <v>1755</v>
      </c>
      <c r="E932" s="2" t="s">
        <v>118</v>
      </c>
      <c r="F932" s="2" t="s">
        <v>29</v>
      </c>
      <c r="G932" s="2" t="s">
        <v>30</v>
      </c>
      <c r="H932" s="2" t="s">
        <v>218</v>
      </c>
      <c r="I932" s="2" t="s">
        <v>219</v>
      </c>
      <c r="J932" s="2" t="s">
        <v>220</v>
      </c>
      <c r="K932" s="2" t="s">
        <v>34</v>
      </c>
      <c r="L932" s="3"/>
      <c r="M932" s="3">
        <v>40480</v>
      </c>
      <c r="N932" s="3">
        <v>40448</v>
      </c>
      <c r="O932" s="3">
        <v>40448</v>
      </c>
      <c r="P932" s="2" t="s">
        <v>95</v>
      </c>
      <c r="Q932" s="2" t="s">
        <v>96</v>
      </c>
      <c r="R932" s="2" t="s">
        <v>37</v>
      </c>
      <c r="S932" s="2" t="s">
        <v>97</v>
      </c>
      <c r="T932" s="2" t="s">
        <v>39</v>
      </c>
      <c r="U932" s="2">
        <v>30</v>
      </c>
      <c r="V932" s="2">
        <v>60342</v>
      </c>
      <c r="W932" s="2">
        <v>268521.90000000002</v>
      </c>
      <c r="X932" s="2">
        <v>4.45</v>
      </c>
      <c r="Y932" s="2">
        <v>0.15</v>
      </c>
      <c r="Z932" s="2">
        <v>20269</v>
      </c>
      <c r="AA932" s="2">
        <v>132890.26999999999</v>
      </c>
      <c r="AB932">
        <v>1</v>
      </c>
      <c r="AC932">
        <v>2010</v>
      </c>
      <c r="AE932" s="2">
        <v>9051.2999999999993</v>
      </c>
    </row>
    <row r="933" spans="2:31" ht="14.5">
      <c r="B933" s="2">
        <v>82920</v>
      </c>
      <c r="C933" s="2" t="s">
        <v>1756</v>
      </c>
      <c r="D933" s="2" t="s">
        <v>1757</v>
      </c>
      <c r="E933" s="2" t="s">
        <v>28</v>
      </c>
      <c r="F933" s="2" t="s">
        <v>29</v>
      </c>
      <c r="G933" s="2" t="s">
        <v>30</v>
      </c>
      <c r="H933" s="2" t="s">
        <v>218</v>
      </c>
      <c r="I933" s="2" t="s">
        <v>219</v>
      </c>
      <c r="J933" s="2" t="s">
        <v>220</v>
      </c>
      <c r="K933" s="2" t="s">
        <v>267</v>
      </c>
      <c r="L933" s="3"/>
      <c r="M933" s="3">
        <v>40480</v>
      </c>
      <c r="N933" s="3">
        <v>40480</v>
      </c>
      <c r="O933" s="3">
        <v>40480</v>
      </c>
      <c r="P933" s="2" t="s">
        <v>95</v>
      </c>
      <c r="Q933" s="2" t="s">
        <v>96</v>
      </c>
      <c r="R933" s="2" t="s">
        <v>37</v>
      </c>
      <c r="S933" s="2" t="s">
        <v>97</v>
      </c>
      <c r="T933" s="2" t="s">
        <v>39</v>
      </c>
      <c r="U933" s="2">
        <v>30</v>
      </c>
      <c r="V933" s="2">
        <v>90000</v>
      </c>
      <c r="W933" s="2">
        <v>400500</v>
      </c>
      <c r="X933" s="2">
        <v>4.45</v>
      </c>
      <c r="Y933" s="2">
        <v>0.15</v>
      </c>
      <c r="Z933" s="2">
        <v>7397</v>
      </c>
      <c r="AA933" s="2">
        <v>28022.17</v>
      </c>
      <c r="AB933">
        <v>1</v>
      </c>
      <c r="AC933">
        <v>2010</v>
      </c>
      <c r="AE933" s="2">
        <v>13500</v>
      </c>
    </row>
    <row r="934" spans="2:31" ht="14.5">
      <c r="B934" s="2">
        <v>82926</v>
      </c>
      <c r="C934" s="2" t="s">
        <v>1758</v>
      </c>
      <c r="D934" s="2" t="s">
        <v>1759</v>
      </c>
      <c r="E934" s="2" t="s">
        <v>60</v>
      </c>
      <c r="F934" s="2" t="s">
        <v>29</v>
      </c>
      <c r="G934" s="2" t="s">
        <v>30</v>
      </c>
      <c r="H934" s="2" t="s">
        <v>218</v>
      </c>
      <c r="I934" s="2" t="s">
        <v>219</v>
      </c>
      <c r="J934" s="2" t="s">
        <v>220</v>
      </c>
      <c r="K934" s="2" t="s">
        <v>34</v>
      </c>
      <c r="L934" s="3"/>
      <c r="M934" s="3">
        <v>40501</v>
      </c>
      <c r="N934" s="3">
        <v>40490</v>
      </c>
      <c r="O934" s="3">
        <v>40490</v>
      </c>
      <c r="P934" s="2" t="s">
        <v>98</v>
      </c>
      <c r="Q934" s="2" t="s">
        <v>99</v>
      </c>
      <c r="R934" s="2" t="s">
        <v>37</v>
      </c>
      <c r="S934" s="2" t="s">
        <v>100</v>
      </c>
      <c r="T934" s="2" t="s">
        <v>39</v>
      </c>
      <c r="U934" s="2">
        <v>60</v>
      </c>
      <c r="V934" s="2">
        <v>3000</v>
      </c>
      <c r="W934" s="2">
        <v>49320</v>
      </c>
      <c r="X934" s="2">
        <v>16.440000000000001</v>
      </c>
      <c r="Y934" s="2">
        <v>0.27</v>
      </c>
      <c r="Z934" s="2">
        <v>342</v>
      </c>
      <c r="AA934" s="2">
        <v>1419.84</v>
      </c>
      <c r="AB934">
        <v>1</v>
      </c>
      <c r="AC934">
        <v>2010</v>
      </c>
      <c r="AE934" s="2">
        <v>810</v>
      </c>
    </row>
    <row r="935" spans="2:31" ht="14.5">
      <c r="B935" s="2">
        <v>82928</v>
      </c>
      <c r="C935" s="2" t="s">
        <v>1760</v>
      </c>
      <c r="D935" s="2" t="s">
        <v>1761</v>
      </c>
      <c r="E935" s="2" t="s">
        <v>118</v>
      </c>
      <c r="F935" s="2" t="s">
        <v>29</v>
      </c>
      <c r="G935" s="2" t="s">
        <v>30</v>
      </c>
      <c r="H935" s="2" t="s">
        <v>218</v>
      </c>
      <c r="I935" s="2" t="s">
        <v>219</v>
      </c>
      <c r="J935" s="2" t="s">
        <v>220</v>
      </c>
      <c r="K935" s="2" t="s">
        <v>267</v>
      </c>
      <c r="L935" s="3"/>
      <c r="M935" s="3">
        <v>40539</v>
      </c>
      <c r="N935" s="3">
        <v>40514</v>
      </c>
      <c r="O935" s="3">
        <v>40514</v>
      </c>
      <c r="P935" s="2" t="s">
        <v>44</v>
      </c>
      <c r="Q935" s="2" t="s">
        <v>45</v>
      </c>
      <c r="R935" s="2" t="s">
        <v>37</v>
      </c>
      <c r="S935" s="2" t="s">
        <v>46</v>
      </c>
      <c r="T935" s="2" t="s">
        <v>47</v>
      </c>
      <c r="U935" s="2">
        <v>60</v>
      </c>
      <c r="V935" s="2">
        <v>62753</v>
      </c>
      <c r="W935" s="2">
        <v>536538.15</v>
      </c>
      <c r="X935" s="2">
        <v>8.5500000000000007</v>
      </c>
      <c r="Y935" s="2">
        <v>0.14000000000000001</v>
      </c>
      <c r="Z935" s="2">
        <v>5090</v>
      </c>
      <c r="AA935" s="2">
        <v>35284.86</v>
      </c>
      <c r="AB935">
        <v>1</v>
      </c>
      <c r="AC935">
        <v>2010</v>
      </c>
      <c r="AE935" s="2">
        <v>8785.42</v>
      </c>
    </row>
    <row r="936" spans="2:31" ht="14.5">
      <c r="B936" s="2">
        <v>82929</v>
      </c>
      <c r="C936" s="2" t="s">
        <v>1762</v>
      </c>
      <c r="D936" s="2" t="s">
        <v>1763</v>
      </c>
      <c r="E936" s="2" t="s">
        <v>60</v>
      </c>
      <c r="F936" s="2" t="s">
        <v>29</v>
      </c>
      <c r="G936" s="2" t="s">
        <v>30</v>
      </c>
      <c r="H936" s="2" t="s">
        <v>218</v>
      </c>
      <c r="I936" s="2" t="s">
        <v>219</v>
      </c>
      <c r="J936" s="2" t="s">
        <v>220</v>
      </c>
      <c r="K936" s="2" t="s">
        <v>34</v>
      </c>
      <c r="L936" s="3"/>
      <c r="M936" s="3">
        <v>40520</v>
      </c>
      <c r="N936" s="3">
        <v>40521</v>
      </c>
      <c r="O936" s="3">
        <v>40521</v>
      </c>
      <c r="P936" s="2" t="s">
        <v>759</v>
      </c>
      <c r="Q936" s="2" t="s">
        <v>84</v>
      </c>
      <c r="R936" s="2" t="s">
        <v>37</v>
      </c>
      <c r="S936" s="2" t="s">
        <v>152</v>
      </c>
      <c r="T936" s="2" t="s">
        <v>39</v>
      </c>
      <c r="U936" s="2">
        <v>120</v>
      </c>
      <c r="V936" s="2">
        <v>3900</v>
      </c>
      <c r="W936" s="2">
        <v>140400</v>
      </c>
      <c r="X936" s="2">
        <v>36</v>
      </c>
      <c r="Y936" s="2">
        <v>0.3</v>
      </c>
      <c r="Z936" s="2">
        <v>950</v>
      </c>
      <c r="AA936" s="2">
        <v>1842.95</v>
      </c>
      <c r="AB936">
        <v>0</v>
      </c>
      <c r="AC936">
        <v>2010</v>
      </c>
      <c r="AE936" s="2">
        <v>1170</v>
      </c>
    </row>
    <row r="937" spans="2:31" ht="14.5">
      <c r="B937" s="2">
        <v>82936</v>
      </c>
      <c r="C937" s="2" t="s">
        <v>1764</v>
      </c>
      <c r="D937" s="2" t="s">
        <v>1765</v>
      </c>
      <c r="E937" s="2" t="s">
        <v>118</v>
      </c>
      <c r="F937" s="2" t="s">
        <v>29</v>
      </c>
      <c r="G937" s="2" t="s">
        <v>30</v>
      </c>
      <c r="H937" s="2" t="s">
        <v>218</v>
      </c>
      <c r="I937" s="2" t="s">
        <v>219</v>
      </c>
      <c r="J937" s="2" t="s">
        <v>220</v>
      </c>
      <c r="K937" s="2" t="s">
        <v>267</v>
      </c>
      <c r="L937" s="3"/>
      <c r="M937" s="3">
        <v>40596</v>
      </c>
      <c r="N937" s="3">
        <v>40602</v>
      </c>
      <c r="O937" s="3">
        <v>40602</v>
      </c>
      <c r="P937" s="2" t="s">
        <v>95</v>
      </c>
      <c r="Q937" s="2" t="s">
        <v>96</v>
      </c>
      <c r="R937" s="2" t="s">
        <v>37</v>
      </c>
      <c r="S937" s="2" t="s">
        <v>97</v>
      </c>
      <c r="T937" s="2" t="s">
        <v>39</v>
      </c>
      <c r="U937" s="2">
        <v>30</v>
      </c>
      <c r="V937" s="2">
        <v>52231</v>
      </c>
      <c r="W937" s="2">
        <v>226682.54</v>
      </c>
      <c r="X937" s="2">
        <v>4.34</v>
      </c>
      <c r="Y937" s="2">
        <v>0.14000000000000001</v>
      </c>
      <c r="Z937" s="2">
        <v>4447</v>
      </c>
      <c r="AA937" s="2">
        <v>17711.71</v>
      </c>
      <c r="AB937">
        <v>0</v>
      </c>
      <c r="AC937">
        <v>2011</v>
      </c>
      <c r="AE937" s="2">
        <v>7312.3400000000011</v>
      </c>
    </row>
    <row r="938" spans="2:31" ht="14.5">
      <c r="B938" s="2">
        <v>82943</v>
      </c>
      <c r="C938" s="2" t="s">
        <v>1766</v>
      </c>
      <c r="D938" s="2" t="s">
        <v>1767</v>
      </c>
      <c r="E938" s="2" t="s">
        <v>42</v>
      </c>
      <c r="F938" s="2" t="s">
        <v>29</v>
      </c>
      <c r="G938" s="2" t="s">
        <v>50</v>
      </c>
      <c r="H938" s="2" t="s">
        <v>218</v>
      </c>
      <c r="I938" s="2" t="s">
        <v>219</v>
      </c>
      <c r="J938" s="2" t="s">
        <v>220</v>
      </c>
      <c r="K938" s="2" t="s">
        <v>34</v>
      </c>
      <c r="L938" s="3"/>
      <c r="M938" s="3">
        <v>40620</v>
      </c>
      <c r="N938" s="3">
        <v>40615</v>
      </c>
      <c r="O938" s="3">
        <v>40615</v>
      </c>
      <c r="P938" s="2" t="s">
        <v>1564</v>
      </c>
      <c r="Q938" s="2" t="s">
        <v>99</v>
      </c>
      <c r="R938" s="2" t="s">
        <v>37</v>
      </c>
      <c r="S938" s="2" t="s">
        <v>172</v>
      </c>
      <c r="T938" s="2" t="s">
        <v>87</v>
      </c>
      <c r="U938" s="2">
        <v>240</v>
      </c>
      <c r="V938" s="2">
        <v>1965</v>
      </c>
      <c r="W938" s="2">
        <v>26920.5</v>
      </c>
      <c r="X938" s="2">
        <v>13.7</v>
      </c>
      <c r="Y938" s="2">
        <v>0.06</v>
      </c>
      <c r="Z938" s="2">
        <v>724</v>
      </c>
      <c r="AA938" s="2">
        <v>4520.04</v>
      </c>
      <c r="AB938">
        <v>1</v>
      </c>
      <c r="AC938">
        <v>2011</v>
      </c>
      <c r="AE938" s="2">
        <v>117.89999999999999</v>
      </c>
    </row>
    <row r="939" spans="2:31" ht="14.5">
      <c r="B939" s="2">
        <v>82947</v>
      </c>
      <c r="C939" s="2" t="s">
        <v>1768</v>
      </c>
      <c r="D939" s="2" t="s">
        <v>1769</v>
      </c>
      <c r="E939" s="2" t="s">
        <v>60</v>
      </c>
      <c r="F939" s="2" t="s">
        <v>29</v>
      </c>
      <c r="G939" s="2" t="s">
        <v>30</v>
      </c>
      <c r="H939" s="2" t="s">
        <v>218</v>
      </c>
      <c r="I939" s="2" t="s">
        <v>219</v>
      </c>
      <c r="J939" s="2" t="s">
        <v>220</v>
      </c>
      <c r="K939" s="2" t="s">
        <v>34</v>
      </c>
      <c r="L939" s="3"/>
      <c r="M939" s="3">
        <v>40673</v>
      </c>
      <c r="N939" s="3">
        <v>40681</v>
      </c>
      <c r="O939" s="3">
        <v>40681</v>
      </c>
      <c r="P939" s="2" t="s">
        <v>772</v>
      </c>
      <c r="Q939" s="2" t="s">
        <v>54</v>
      </c>
      <c r="R939" s="2" t="s">
        <v>37</v>
      </c>
      <c r="S939" s="2" t="s">
        <v>120</v>
      </c>
      <c r="T939" s="2" t="s">
        <v>773</v>
      </c>
      <c r="U939" s="2">
        <v>30</v>
      </c>
      <c r="V939" s="2">
        <v>6872</v>
      </c>
      <c r="W939" s="2">
        <v>89336</v>
      </c>
      <c r="X939" s="2">
        <v>13</v>
      </c>
      <c r="Y939" s="2">
        <v>0.43</v>
      </c>
      <c r="Z939" s="2">
        <v>577</v>
      </c>
      <c r="AA939" s="2">
        <v>2143.5</v>
      </c>
      <c r="AB939">
        <v>0</v>
      </c>
      <c r="AC939">
        <v>2011</v>
      </c>
      <c r="AE939" s="2">
        <v>2954.96</v>
      </c>
    </row>
    <row r="940" spans="2:31" ht="14.5">
      <c r="B940" s="2">
        <v>82948</v>
      </c>
      <c r="C940" s="2" t="s">
        <v>1768</v>
      </c>
      <c r="D940" s="2" t="s">
        <v>1769</v>
      </c>
      <c r="E940" s="2" t="s">
        <v>60</v>
      </c>
      <c r="F940" s="2" t="s">
        <v>29</v>
      </c>
      <c r="G940" s="2" t="s">
        <v>30</v>
      </c>
      <c r="H940" s="2" t="s">
        <v>218</v>
      </c>
      <c r="I940" s="2" t="s">
        <v>219</v>
      </c>
      <c r="J940" s="2" t="s">
        <v>220</v>
      </c>
      <c r="K940" s="2" t="s">
        <v>34</v>
      </c>
      <c r="L940" s="3"/>
      <c r="M940" s="3">
        <v>40673</v>
      </c>
      <c r="N940" s="3">
        <v>40681</v>
      </c>
      <c r="O940" s="3">
        <v>40681</v>
      </c>
      <c r="P940" s="2" t="s">
        <v>780</v>
      </c>
      <c r="Q940" s="2" t="s">
        <v>54</v>
      </c>
      <c r="R940" s="2" t="s">
        <v>37</v>
      </c>
      <c r="S940" s="2" t="s">
        <v>70</v>
      </c>
      <c r="T940" s="2" t="s">
        <v>773</v>
      </c>
      <c r="U940" s="2">
        <v>30</v>
      </c>
      <c r="V940" s="2">
        <v>1237</v>
      </c>
      <c r="W940" s="2">
        <v>24740</v>
      </c>
      <c r="X940" s="2">
        <v>20</v>
      </c>
      <c r="Y940" s="2">
        <v>0.67</v>
      </c>
      <c r="AB940">
        <v>0</v>
      </c>
      <c r="AC940">
        <v>2011</v>
      </c>
      <c r="AE940" s="2">
        <v>828.79000000000008</v>
      </c>
    </row>
    <row r="941" spans="2:31" ht="14.5">
      <c r="B941" s="2">
        <v>82964</v>
      </c>
      <c r="C941" s="2" t="s">
        <v>1770</v>
      </c>
      <c r="D941" s="2" t="s">
        <v>1771</v>
      </c>
      <c r="E941" s="2" t="s">
        <v>118</v>
      </c>
      <c r="F941" s="2" t="s">
        <v>29</v>
      </c>
      <c r="G941" s="2" t="s">
        <v>30</v>
      </c>
      <c r="H941" s="2" t="s">
        <v>218</v>
      </c>
      <c r="I941" s="2" t="s">
        <v>219</v>
      </c>
      <c r="J941" s="2" t="s">
        <v>220</v>
      </c>
      <c r="K941" s="2" t="s">
        <v>267</v>
      </c>
      <c r="L941" s="3"/>
      <c r="M941" s="3">
        <v>40791</v>
      </c>
      <c r="N941" s="3">
        <v>40738</v>
      </c>
      <c r="O941" s="3">
        <v>40738</v>
      </c>
      <c r="P941" s="2" t="s">
        <v>112</v>
      </c>
      <c r="Q941" s="2" t="s">
        <v>113</v>
      </c>
      <c r="R941" s="2" t="s">
        <v>37</v>
      </c>
      <c r="S941" s="2" t="s">
        <v>114</v>
      </c>
      <c r="T941" s="2" t="s">
        <v>47</v>
      </c>
      <c r="U941" s="2">
        <v>60</v>
      </c>
      <c r="V941" s="2">
        <v>20833</v>
      </c>
      <c r="W941" s="2">
        <v>233746.26</v>
      </c>
      <c r="X941" s="2">
        <v>11.22</v>
      </c>
      <c r="Y941" s="2">
        <v>0.19</v>
      </c>
      <c r="Z941" s="2">
        <v>2757</v>
      </c>
      <c r="AA941" s="2">
        <v>18317.11</v>
      </c>
      <c r="AB941">
        <v>1</v>
      </c>
      <c r="AC941">
        <v>2011</v>
      </c>
      <c r="AE941" s="2">
        <v>3958.27</v>
      </c>
    </row>
    <row r="942" spans="2:31" ht="14.5">
      <c r="B942" s="2">
        <v>82976</v>
      </c>
      <c r="C942" s="2" t="s">
        <v>1772</v>
      </c>
      <c r="D942" s="2" t="s">
        <v>1773</v>
      </c>
      <c r="E942" s="2" t="s">
        <v>118</v>
      </c>
      <c r="F942" s="2" t="s">
        <v>29</v>
      </c>
      <c r="G942" s="2" t="s">
        <v>30</v>
      </c>
      <c r="H942" s="2" t="s">
        <v>218</v>
      </c>
      <c r="I942" s="2" t="s">
        <v>219</v>
      </c>
      <c r="J942" s="2" t="s">
        <v>220</v>
      </c>
      <c r="K942" s="2" t="s">
        <v>267</v>
      </c>
      <c r="L942" s="3"/>
      <c r="M942" s="3">
        <v>40760</v>
      </c>
      <c r="N942" s="3">
        <v>40779</v>
      </c>
      <c r="O942" s="3">
        <v>40779</v>
      </c>
      <c r="P942" s="2" t="s">
        <v>95</v>
      </c>
      <c r="Q942" s="2" t="s">
        <v>96</v>
      </c>
      <c r="R942" s="2" t="s">
        <v>37</v>
      </c>
      <c r="S942" s="2" t="s">
        <v>97</v>
      </c>
      <c r="T942" s="2" t="s">
        <v>39</v>
      </c>
      <c r="U942" s="2">
        <v>30</v>
      </c>
      <c r="V942" s="2">
        <v>47312</v>
      </c>
      <c r="W942" s="2">
        <v>199656.64</v>
      </c>
      <c r="X942" s="2">
        <v>4.22</v>
      </c>
      <c r="Y942" s="2">
        <v>0.14000000000000001</v>
      </c>
      <c r="Z942" s="2">
        <v>20230</v>
      </c>
      <c r="AA942" s="2">
        <v>79938.080000000002</v>
      </c>
      <c r="AB942">
        <v>0</v>
      </c>
      <c r="AC942">
        <v>2011</v>
      </c>
      <c r="AE942" s="2">
        <v>6623.68</v>
      </c>
    </row>
    <row r="943" spans="2:31" ht="14.5">
      <c r="B943" s="2">
        <v>82990</v>
      </c>
      <c r="C943" s="2" t="s">
        <v>1774</v>
      </c>
      <c r="D943" s="2" t="s">
        <v>1775</v>
      </c>
      <c r="E943" s="2" t="s">
        <v>42</v>
      </c>
      <c r="F943" s="2" t="s">
        <v>29</v>
      </c>
      <c r="G943" s="2" t="s">
        <v>50</v>
      </c>
      <c r="H943" s="2" t="s">
        <v>218</v>
      </c>
      <c r="I943" s="2" t="s">
        <v>219</v>
      </c>
      <c r="J943" s="2" t="s">
        <v>220</v>
      </c>
      <c r="K943" s="2" t="s">
        <v>34</v>
      </c>
      <c r="L943" s="3"/>
      <c r="M943" s="3">
        <v>40871</v>
      </c>
      <c r="N943" s="3">
        <v>40858</v>
      </c>
      <c r="O943" s="3">
        <v>40858</v>
      </c>
      <c r="P943" s="2" t="s">
        <v>722</v>
      </c>
      <c r="Q943" s="2" t="s">
        <v>96</v>
      </c>
      <c r="R943" s="2" t="s">
        <v>37</v>
      </c>
      <c r="S943" s="2" t="s">
        <v>179</v>
      </c>
      <c r="T943" s="2" t="s">
        <v>64</v>
      </c>
      <c r="U943" s="2">
        <v>30</v>
      </c>
      <c r="V943" s="2">
        <v>500</v>
      </c>
      <c r="W943" s="2">
        <v>1120</v>
      </c>
      <c r="X943" s="2">
        <v>2.2400000000000002</v>
      </c>
      <c r="Y943" s="2">
        <v>7.0000000000000007E-2</v>
      </c>
      <c r="Z943" s="2">
        <v>30</v>
      </c>
      <c r="AA943" s="2">
        <v>1309.03</v>
      </c>
      <c r="AB943">
        <v>1</v>
      </c>
      <c r="AC943">
        <v>2011</v>
      </c>
      <c r="AE943" s="2">
        <v>35</v>
      </c>
    </row>
    <row r="944" spans="2:31" ht="14.5">
      <c r="B944" s="2">
        <v>82991</v>
      </c>
      <c r="C944" s="2" t="s">
        <v>1776</v>
      </c>
      <c r="D944" s="2" t="s">
        <v>1777</v>
      </c>
      <c r="E944" s="2" t="s">
        <v>42</v>
      </c>
      <c r="F944" s="2" t="s">
        <v>29</v>
      </c>
      <c r="G944" s="2" t="s">
        <v>50</v>
      </c>
      <c r="H944" s="2" t="s">
        <v>218</v>
      </c>
      <c r="I944" s="2" t="s">
        <v>219</v>
      </c>
      <c r="J944" s="2" t="s">
        <v>220</v>
      </c>
      <c r="K944" s="2" t="s">
        <v>34</v>
      </c>
      <c r="L944" s="3"/>
      <c r="M944" s="3">
        <v>40882</v>
      </c>
      <c r="N944" s="3">
        <v>40879</v>
      </c>
      <c r="O944" s="3">
        <v>40879</v>
      </c>
      <c r="P944" s="2" t="s">
        <v>722</v>
      </c>
      <c r="Q944" s="2" t="s">
        <v>96</v>
      </c>
      <c r="R944" s="2" t="s">
        <v>37</v>
      </c>
      <c r="S944" s="2" t="s">
        <v>179</v>
      </c>
      <c r="T944" s="2" t="s">
        <v>64</v>
      </c>
      <c r="U944" s="2">
        <v>30</v>
      </c>
      <c r="V944" s="2">
        <v>700</v>
      </c>
      <c r="W944" s="2">
        <v>1568</v>
      </c>
      <c r="X944" s="2">
        <v>2.2400000000000002</v>
      </c>
      <c r="Y944" s="2">
        <v>7.0000000000000007E-2</v>
      </c>
      <c r="Z944" s="2">
        <v>46</v>
      </c>
      <c r="AA944" s="2">
        <v>1274.98</v>
      </c>
      <c r="AB944">
        <v>1</v>
      </c>
      <c r="AC944">
        <v>2011</v>
      </c>
      <c r="AE944" s="2">
        <v>49.000000000000007</v>
      </c>
    </row>
    <row r="945" spans="2:31" ht="14.5">
      <c r="B945" s="2">
        <v>82994</v>
      </c>
      <c r="C945" s="2" t="s">
        <v>1778</v>
      </c>
      <c r="D945" s="2" t="s">
        <v>1779</v>
      </c>
      <c r="E945" s="2" t="s">
        <v>118</v>
      </c>
      <c r="F945" s="2" t="s">
        <v>29</v>
      </c>
      <c r="G945" s="2" t="s">
        <v>30</v>
      </c>
      <c r="H945" s="2" t="s">
        <v>218</v>
      </c>
      <c r="I945" s="2" t="s">
        <v>219</v>
      </c>
      <c r="J945" s="2" t="s">
        <v>220</v>
      </c>
      <c r="K945" s="2" t="s">
        <v>267</v>
      </c>
      <c r="L945" s="3"/>
      <c r="M945" s="3">
        <v>40939</v>
      </c>
      <c r="N945" s="3">
        <v>40927</v>
      </c>
      <c r="O945" s="3">
        <v>40927</v>
      </c>
      <c r="P945" s="2" t="s">
        <v>44</v>
      </c>
      <c r="Q945" s="2" t="s">
        <v>45</v>
      </c>
      <c r="R945" s="2" t="s">
        <v>37</v>
      </c>
      <c r="S945" s="2" t="s">
        <v>46</v>
      </c>
      <c r="T945" s="2" t="s">
        <v>47</v>
      </c>
      <c r="U945" s="2">
        <v>60</v>
      </c>
      <c r="V945" s="2">
        <v>4226</v>
      </c>
      <c r="W945" s="2">
        <v>34906.76</v>
      </c>
      <c r="X945" s="2">
        <v>8.26</v>
      </c>
      <c r="Y945" s="2">
        <v>0.14000000000000001</v>
      </c>
      <c r="Z945" s="2">
        <v>8</v>
      </c>
      <c r="AA945" s="2">
        <v>10891.66</v>
      </c>
      <c r="AB945">
        <v>1</v>
      </c>
      <c r="AC945">
        <v>2012</v>
      </c>
      <c r="AE945" s="2">
        <v>591.6400000000001</v>
      </c>
    </row>
    <row r="946" spans="2:31" ht="14.5">
      <c r="B946" s="2">
        <v>82995</v>
      </c>
      <c r="C946" s="2" t="s">
        <v>1778</v>
      </c>
      <c r="D946" s="2" t="s">
        <v>1779</v>
      </c>
      <c r="E946" s="2" t="s">
        <v>118</v>
      </c>
      <c r="F946" s="2" t="s">
        <v>29</v>
      </c>
      <c r="G946" s="2" t="s">
        <v>30</v>
      </c>
      <c r="H946" s="2" t="s">
        <v>218</v>
      </c>
      <c r="I946" s="2" t="s">
        <v>219</v>
      </c>
      <c r="J946" s="2" t="s">
        <v>220</v>
      </c>
      <c r="K946" s="2" t="s">
        <v>267</v>
      </c>
      <c r="L946" s="3"/>
      <c r="M946" s="3">
        <v>40939</v>
      </c>
      <c r="N946" s="3">
        <v>40927</v>
      </c>
      <c r="O946" s="3">
        <v>40927</v>
      </c>
      <c r="P946" s="2" t="s">
        <v>749</v>
      </c>
      <c r="Q946" s="2" t="s">
        <v>76</v>
      </c>
      <c r="R946" s="2" t="s">
        <v>37</v>
      </c>
      <c r="S946" s="2" t="s">
        <v>78</v>
      </c>
      <c r="T946" s="2" t="s">
        <v>47</v>
      </c>
      <c r="U946" s="2">
        <v>30</v>
      </c>
      <c r="V946" s="2">
        <v>8665</v>
      </c>
      <c r="W946" s="2">
        <v>172606.8</v>
      </c>
      <c r="X946" s="2">
        <v>19.920000000000002</v>
      </c>
      <c r="Y946" s="2">
        <v>0.66</v>
      </c>
      <c r="AB946">
        <v>1</v>
      </c>
      <c r="AC946">
        <v>2012</v>
      </c>
      <c r="AE946" s="2">
        <v>5718.9000000000005</v>
      </c>
    </row>
    <row r="947" spans="2:31" ht="14.5">
      <c r="B947" s="2">
        <v>82996</v>
      </c>
      <c r="C947" s="2" t="s">
        <v>1778</v>
      </c>
      <c r="D947" s="2" t="s">
        <v>1779</v>
      </c>
      <c r="E947" s="2" t="s">
        <v>118</v>
      </c>
      <c r="F947" s="2" t="s">
        <v>29</v>
      </c>
      <c r="G947" s="2" t="s">
        <v>30</v>
      </c>
      <c r="H947" s="2" t="s">
        <v>218</v>
      </c>
      <c r="I947" s="2" t="s">
        <v>219</v>
      </c>
      <c r="J947" s="2" t="s">
        <v>220</v>
      </c>
      <c r="K947" s="2" t="s">
        <v>267</v>
      </c>
      <c r="L947" s="3"/>
      <c r="M947" s="3">
        <v>40939</v>
      </c>
      <c r="N947" s="3">
        <v>40927</v>
      </c>
      <c r="O947" s="3">
        <v>40927</v>
      </c>
      <c r="P947" s="2" t="s">
        <v>95</v>
      </c>
      <c r="Q947" s="2" t="s">
        <v>96</v>
      </c>
      <c r="R947" s="2" t="s">
        <v>37</v>
      </c>
      <c r="S947" s="2" t="s">
        <v>97</v>
      </c>
      <c r="T947" s="2" t="s">
        <v>39</v>
      </c>
      <c r="U947" s="2">
        <v>30</v>
      </c>
      <c r="V947" s="2">
        <v>15155</v>
      </c>
      <c r="W947" s="2">
        <v>62438.6</v>
      </c>
      <c r="X947" s="2">
        <v>4.12</v>
      </c>
      <c r="Y947" s="2">
        <v>0.14000000000000001</v>
      </c>
      <c r="AB947">
        <v>1</v>
      </c>
      <c r="AC947">
        <v>2012</v>
      </c>
      <c r="AE947" s="2">
        <v>2121.7000000000003</v>
      </c>
    </row>
    <row r="948" spans="2:31" ht="14.5">
      <c r="B948" s="2">
        <v>82997</v>
      </c>
      <c r="C948" s="2" t="s">
        <v>1780</v>
      </c>
      <c r="D948" s="2" t="s">
        <v>1781</v>
      </c>
      <c r="E948" s="2" t="s">
        <v>28</v>
      </c>
      <c r="F948" s="2" t="s">
        <v>29</v>
      </c>
      <c r="G948" s="2" t="s">
        <v>30</v>
      </c>
      <c r="H948" s="2" t="s">
        <v>218</v>
      </c>
      <c r="I948" s="2" t="s">
        <v>219</v>
      </c>
      <c r="J948" s="2" t="s">
        <v>220</v>
      </c>
      <c r="K948" s="2" t="s">
        <v>267</v>
      </c>
      <c r="L948" s="3"/>
      <c r="M948" s="3">
        <v>40954</v>
      </c>
      <c r="N948" s="3">
        <v>40944</v>
      </c>
      <c r="O948" s="3">
        <v>40944</v>
      </c>
      <c r="P948" s="2" t="s">
        <v>754</v>
      </c>
      <c r="Q948" s="2" t="s">
        <v>755</v>
      </c>
      <c r="R948" s="2" t="s">
        <v>37</v>
      </c>
      <c r="S948" s="2" t="s">
        <v>756</v>
      </c>
      <c r="T948" s="2" t="s">
        <v>47</v>
      </c>
      <c r="U948" s="2">
        <v>30</v>
      </c>
      <c r="V948" s="2">
        <v>51763</v>
      </c>
      <c r="W948" s="2">
        <v>884112.04</v>
      </c>
      <c r="X948" s="2">
        <v>17.079999999999998</v>
      </c>
      <c r="Y948" s="2">
        <v>0.56999999999999995</v>
      </c>
      <c r="Z948" s="2">
        <v>1645</v>
      </c>
      <c r="AB948">
        <v>1</v>
      </c>
      <c r="AC948">
        <v>2012</v>
      </c>
      <c r="AE948" s="2">
        <v>29504.909999999996</v>
      </c>
    </row>
    <row r="949" spans="2:31" ht="14.5">
      <c r="B949" s="2">
        <v>83012</v>
      </c>
      <c r="C949" s="2" t="s">
        <v>1782</v>
      </c>
      <c r="D949" s="2" t="s">
        <v>1783</v>
      </c>
      <c r="E949" s="2" t="s">
        <v>28</v>
      </c>
      <c r="F949" s="2" t="s">
        <v>29</v>
      </c>
      <c r="G949" s="2" t="s">
        <v>50</v>
      </c>
      <c r="H949" s="2" t="s">
        <v>218</v>
      </c>
      <c r="I949" s="2" t="s">
        <v>219</v>
      </c>
      <c r="J949" s="2" t="s">
        <v>220</v>
      </c>
      <c r="K949" s="2" t="s">
        <v>267</v>
      </c>
      <c r="L949" s="3"/>
      <c r="M949" s="3">
        <v>40998</v>
      </c>
      <c r="N949" s="3">
        <v>40980</v>
      </c>
      <c r="O949" s="3">
        <v>40980</v>
      </c>
      <c r="P949" s="2" t="s">
        <v>722</v>
      </c>
      <c r="Q949" s="2" t="s">
        <v>96</v>
      </c>
      <c r="R949" s="2" t="s">
        <v>37</v>
      </c>
      <c r="S949" s="2" t="s">
        <v>179</v>
      </c>
      <c r="T949" s="2" t="s">
        <v>64</v>
      </c>
      <c r="U949" s="2">
        <v>30</v>
      </c>
      <c r="V949" s="2">
        <v>24747</v>
      </c>
      <c r="W949" s="2">
        <v>55433.279999999999</v>
      </c>
      <c r="X949" s="2">
        <v>2.2400000000000002</v>
      </c>
      <c r="Y949" s="2">
        <v>7.0000000000000007E-2</v>
      </c>
      <c r="Z949" s="2">
        <v>1437</v>
      </c>
      <c r="AA949" s="2">
        <v>1698.83</v>
      </c>
      <c r="AB949">
        <v>1</v>
      </c>
      <c r="AC949">
        <v>2012</v>
      </c>
      <c r="AE949" s="2">
        <v>1732.2900000000002</v>
      </c>
    </row>
    <row r="950" spans="2:31" ht="14.5">
      <c r="B950" s="2">
        <v>83013</v>
      </c>
      <c r="C950" s="2" t="s">
        <v>1784</v>
      </c>
      <c r="D950" s="2" t="s">
        <v>1785</v>
      </c>
      <c r="E950" s="2" t="s">
        <v>28</v>
      </c>
      <c r="F950" s="2" t="s">
        <v>29</v>
      </c>
      <c r="G950" s="2" t="s">
        <v>30</v>
      </c>
      <c r="H950" s="2" t="s">
        <v>218</v>
      </c>
      <c r="I950" s="2" t="s">
        <v>219</v>
      </c>
      <c r="J950" s="2" t="s">
        <v>220</v>
      </c>
      <c r="K950" s="2" t="s">
        <v>267</v>
      </c>
      <c r="L950" s="3"/>
      <c r="M950" s="3">
        <v>40991</v>
      </c>
      <c r="N950" s="3">
        <v>40980</v>
      </c>
      <c r="O950" s="3">
        <v>40980</v>
      </c>
      <c r="P950" s="2" t="s">
        <v>150</v>
      </c>
      <c r="Q950" s="2" t="s">
        <v>84</v>
      </c>
      <c r="R950" s="2" t="s">
        <v>151</v>
      </c>
      <c r="S950" s="2" t="s">
        <v>152</v>
      </c>
      <c r="T950" s="2" t="s">
        <v>39</v>
      </c>
      <c r="U950" s="2">
        <v>120</v>
      </c>
      <c r="V950" s="2">
        <v>17030</v>
      </c>
      <c r="W950" s="2">
        <v>574592.19999999995</v>
      </c>
      <c r="X950" s="2">
        <v>33.74</v>
      </c>
      <c r="Y950" s="2">
        <v>0.28000000000000003</v>
      </c>
      <c r="Z950" s="2">
        <v>3508</v>
      </c>
      <c r="AA950" s="2">
        <v>1698.83</v>
      </c>
      <c r="AB950">
        <v>1</v>
      </c>
      <c r="AC950">
        <v>2012</v>
      </c>
      <c r="AE950" s="2">
        <v>4768.4000000000005</v>
      </c>
    </row>
    <row r="951" spans="2:31" ht="14.5">
      <c r="B951" s="2">
        <v>83014</v>
      </c>
      <c r="C951" s="2" t="s">
        <v>1786</v>
      </c>
      <c r="D951" s="2" t="s">
        <v>1787</v>
      </c>
      <c r="E951" s="2" t="s">
        <v>28</v>
      </c>
      <c r="F951" s="2" t="s">
        <v>29</v>
      </c>
      <c r="G951" s="2" t="s">
        <v>30</v>
      </c>
      <c r="H951" s="2" t="s">
        <v>218</v>
      </c>
      <c r="I951" s="2" t="s">
        <v>219</v>
      </c>
      <c r="J951" s="2" t="s">
        <v>220</v>
      </c>
      <c r="K951" s="2" t="s">
        <v>267</v>
      </c>
      <c r="L951" s="3"/>
      <c r="M951" s="3">
        <v>40991</v>
      </c>
      <c r="N951" s="3">
        <v>40980</v>
      </c>
      <c r="O951" s="3">
        <v>40980</v>
      </c>
      <c r="P951" s="2" t="s">
        <v>759</v>
      </c>
      <c r="Q951" s="2" t="s">
        <v>84</v>
      </c>
      <c r="R951" s="2" t="s">
        <v>37</v>
      </c>
      <c r="S951" s="2" t="s">
        <v>152</v>
      </c>
      <c r="T951" s="2" t="s">
        <v>39</v>
      </c>
      <c r="U951" s="2">
        <v>120</v>
      </c>
      <c r="V951" s="2">
        <v>3679</v>
      </c>
      <c r="W951" s="2">
        <v>123614.39999999999</v>
      </c>
      <c r="X951" s="2">
        <v>33.6</v>
      </c>
      <c r="Y951" s="2">
        <v>0.28000000000000003</v>
      </c>
      <c r="Z951" s="2">
        <v>932</v>
      </c>
      <c r="AA951" s="2">
        <v>1698.83</v>
      </c>
      <c r="AB951">
        <v>1</v>
      </c>
      <c r="AC951">
        <v>2012</v>
      </c>
      <c r="AE951" s="2">
        <v>1030.1200000000001</v>
      </c>
    </row>
    <row r="952" spans="2:31" ht="14.5">
      <c r="B952" s="2">
        <v>83017</v>
      </c>
      <c r="C952" s="2" t="s">
        <v>1788</v>
      </c>
      <c r="D952" s="2" t="s">
        <v>1789</v>
      </c>
      <c r="E952" s="2" t="s">
        <v>28</v>
      </c>
      <c r="F952" s="2" t="s">
        <v>29</v>
      </c>
      <c r="G952" s="2" t="s">
        <v>30</v>
      </c>
      <c r="H952" s="2" t="s">
        <v>218</v>
      </c>
      <c r="I952" s="2" t="s">
        <v>219</v>
      </c>
      <c r="J952" s="2" t="s">
        <v>220</v>
      </c>
      <c r="K952" s="2" t="s">
        <v>267</v>
      </c>
      <c r="L952" s="3"/>
      <c r="M952" s="3">
        <v>41033</v>
      </c>
      <c r="N952" s="3">
        <v>40981</v>
      </c>
      <c r="O952" s="3">
        <v>40981</v>
      </c>
      <c r="P952" s="2" t="s">
        <v>164</v>
      </c>
      <c r="Q952" s="2" t="s">
        <v>165</v>
      </c>
      <c r="R952" s="2" t="s">
        <v>37</v>
      </c>
      <c r="S952" s="2" t="s">
        <v>166</v>
      </c>
      <c r="T952" s="2" t="s">
        <v>39</v>
      </c>
      <c r="U952" s="2">
        <v>60</v>
      </c>
      <c r="V952" s="2">
        <v>96018</v>
      </c>
      <c r="W952" s="2">
        <v>223721.94</v>
      </c>
      <c r="X952" s="2">
        <v>2.33</v>
      </c>
      <c r="Y952" s="2">
        <v>0.04</v>
      </c>
      <c r="Z952" s="2">
        <v>4271</v>
      </c>
      <c r="AA952" s="2">
        <v>3825.8</v>
      </c>
      <c r="AB952">
        <v>1</v>
      </c>
      <c r="AC952">
        <v>2012</v>
      </c>
      <c r="AE952" s="2">
        <v>3840.7200000000003</v>
      </c>
    </row>
    <row r="953" spans="2:31" ht="14.5">
      <c r="B953" s="2">
        <v>83020</v>
      </c>
      <c r="C953" s="2" t="s">
        <v>1790</v>
      </c>
      <c r="D953" s="2" t="s">
        <v>1791</v>
      </c>
      <c r="E953" s="2" t="s">
        <v>28</v>
      </c>
      <c r="F953" s="2" t="s">
        <v>29</v>
      </c>
      <c r="G953" s="2" t="s">
        <v>30</v>
      </c>
      <c r="H953" s="2" t="s">
        <v>218</v>
      </c>
      <c r="I953" s="2" t="s">
        <v>219</v>
      </c>
      <c r="J953" s="2" t="s">
        <v>220</v>
      </c>
      <c r="K953" s="2" t="s">
        <v>267</v>
      </c>
      <c r="L953" s="3"/>
      <c r="M953" s="3">
        <v>41029</v>
      </c>
      <c r="N953" s="3">
        <v>41010</v>
      </c>
      <c r="O953" s="3">
        <v>41010</v>
      </c>
      <c r="P953" s="2" t="s">
        <v>749</v>
      </c>
      <c r="Q953" s="2" t="s">
        <v>76</v>
      </c>
      <c r="R953" s="2" t="s">
        <v>37</v>
      </c>
      <c r="S953" s="2" t="s">
        <v>78</v>
      </c>
      <c r="T953" s="2" t="s">
        <v>47</v>
      </c>
      <c r="U953" s="2">
        <v>30</v>
      </c>
      <c r="V953" s="2">
        <v>131280</v>
      </c>
      <c r="W953" s="2">
        <v>2196314.4</v>
      </c>
      <c r="X953" s="2">
        <v>16.73</v>
      </c>
      <c r="Y953" s="2">
        <v>0.56000000000000005</v>
      </c>
      <c r="Z953" s="2">
        <v>15032</v>
      </c>
      <c r="AA953" s="2">
        <v>3279.25</v>
      </c>
      <c r="AB953">
        <v>1</v>
      </c>
      <c r="AC953">
        <v>2012</v>
      </c>
      <c r="AE953" s="2">
        <v>73516.800000000003</v>
      </c>
    </row>
    <row r="954" spans="2:31" ht="14.5">
      <c r="B954" s="2">
        <v>83021</v>
      </c>
      <c r="C954" s="2" t="s">
        <v>1792</v>
      </c>
      <c r="D954" s="2" t="s">
        <v>1793</v>
      </c>
      <c r="E954" s="2" t="s">
        <v>1581</v>
      </c>
      <c r="F954" s="2" t="s">
        <v>29</v>
      </c>
      <c r="G954" s="2" t="s">
        <v>50</v>
      </c>
      <c r="H954" s="2" t="s">
        <v>218</v>
      </c>
      <c r="I954" s="2" t="s">
        <v>219</v>
      </c>
      <c r="J954" s="2" t="s">
        <v>220</v>
      </c>
      <c r="K954" s="2" t="s">
        <v>34</v>
      </c>
      <c r="L954" s="3"/>
      <c r="M954" s="3">
        <v>41025</v>
      </c>
      <c r="N954" s="3">
        <v>41033</v>
      </c>
      <c r="O954" s="3">
        <v>41033</v>
      </c>
      <c r="P954" s="2" t="s">
        <v>859</v>
      </c>
      <c r="Q954" s="2" t="s">
        <v>45</v>
      </c>
      <c r="R954" s="2" t="s">
        <v>37</v>
      </c>
      <c r="S954" s="2" t="s">
        <v>728</v>
      </c>
      <c r="T954" s="2" t="s">
        <v>47</v>
      </c>
      <c r="U954" s="2">
        <v>60</v>
      </c>
      <c r="V954" s="2">
        <v>15</v>
      </c>
      <c r="W954" s="2">
        <v>44.85</v>
      </c>
      <c r="X954" s="2">
        <v>2.99</v>
      </c>
      <c r="Y954" s="2">
        <v>0.05</v>
      </c>
      <c r="Z954" s="2">
        <v>5256</v>
      </c>
      <c r="AA954" s="2">
        <v>9506</v>
      </c>
      <c r="AB954">
        <v>0</v>
      </c>
      <c r="AC954">
        <v>2012</v>
      </c>
      <c r="AE954" s="2">
        <v>0.75</v>
      </c>
    </row>
    <row r="955" spans="2:31" ht="14.5">
      <c r="B955" s="2">
        <v>83023</v>
      </c>
      <c r="C955" s="2" t="s">
        <v>1794</v>
      </c>
      <c r="D955" s="2" t="s">
        <v>1795</v>
      </c>
      <c r="E955" s="2" t="s">
        <v>118</v>
      </c>
      <c r="F955" s="2" t="s">
        <v>29</v>
      </c>
      <c r="G955" s="2" t="s">
        <v>30</v>
      </c>
      <c r="H955" s="2" t="s">
        <v>218</v>
      </c>
      <c r="I955" s="2" t="s">
        <v>219</v>
      </c>
      <c r="J955" s="2" t="s">
        <v>220</v>
      </c>
      <c r="K955" s="2" t="s">
        <v>34</v>
      </c>
      <c r="L955" s="3"/>
      <c r="M955" s="3">
        <v>41032</v>
      </c>
      <c r="N955" s="3">
        <v>40995</v>
      </c>
      <c r="O955" s="3">
        <v>40995</v>
      </c>
      <c r="P955" s="2" t="s">
        <v>35</v>
      </c>
      <c r="Q955" s="2" t="s">
        <v>36</v>
      </c>
      <c r="R955" s="2" t="s">
        <v>37</v>
      </c>
      <c r="S955" s="2" t="s">
        <v>38</v>
      </c>
      <c r="T955" s="2" t="s">
        <v>39</v>
      </c>
      <c r="U955" s="2">
        <v>60</v>
      </c>
      <c r="V955" s="2">
        <v>5924</v>
      </c>
      <c r="W955" s="2">
        <v>14869.24</v>
      </c>
      <c r="X955" s="2">
        <v>2.5099999999999998</v>
      </c>
      <c r="Y955" s="2">
        <v>0.04</v>
      </c>
      <c r="Z955" s="2">
        <v>1421</v>
      </c>
      <c r="AA955" s="2">
        <v>4322.6000000000004</v>
      </c>
      <c r="AB955">
        <v>1</v>
      </c>
      <c r="AC955">
        <v>2012</v>
      </c>
      <c r="AE955" s="2">
        <v>236.96</v>
      </c>
    </row>
    <row r="956" spans="2:31" ht="14.5">
      <c r="B956" s="2">
        <v>83038</v>
      </c>
      <c r="C956" s="2" t="s">
        <v>1796</v>
      </c>
      <c r="D956" s="2" t="s">
        <v>1797</v>
      </c>
      <c r="E956" s="2" t="s">
        <v>118</v>
      </c>
      <c r="F956" s="2" t="s">
        <v>29</v>
      </c>
      <c r="G956" s="2" t="s">
        <v>30</v>
      </c>
      <c r="H956" s="2" t="s">
        <v>218</v>
      </c>
      <c r="I956" s="2" t="s">
        <v>219</v>
      </c>
      <c r="J956" s="2" t="s">
        <v>220</v>
      </c>
      <c r="K956" s="2" t="s">
        <v>34</v>
      </c>
      <c r="L956" s="3"/>
      <c r="M956" s="3">
        <v>41094</v>
      </c>
      <c r="N956" s="3">
        <v>41072</v>
      </c>
      <c r="O956" s="3">
        <v>41072</v>
      </c>
      <c r="P956" s="2" t="s">
        <v>95</v>
      </c>
      <c r="Q956" s="2" t="s">
        <v>96</v>
      </c>
      <c r="R956" s="2" t="s">
        <v>37</v>
      </c>
      <c r="S956" s="2" t="s">
        <v>97</v>
      </c>
      <c r="T956" s="2" t="s">
        <v>39</v>
      </c>
      <c r="U956" s="2">
        <v>30</v>
      </c>
      <c r="V956" s="2">
        <v>20000</v>
      </c>
      <c r="W956" s="2">
        <v>78200</v>
      </c>
      <c r="X956" s="2">
        <v>3.91</v>
      </c>
      <c r="Y956" s="2">
        <v>0.13</v>
      </c>
      <c r="Z956" s="2">
        <v>2501</v>
      </c>
      <c r="AA956" s="2">
        <v>18520.22</v>
      </c>
      <c r="AB956">
        <v>1</v>
      </c>
      <c r="AC956">
        <v>2012</v>
      </c>
      <c r="AE956" s="2">
        <v>2600</v>
      </c>
    </row>
    <row r="957" spans="2:31" ht="14.5">
      <c r="B957" s="2">
        <v>83039</v>
      </c>
      <c r="C957" s="2" t="s">
        <v>1798</v>
      </c>
      <c r="D957" s="2" t="s">
        <v>1799</v>
      </c>
      <c r="E957" s="2" t="s">
        <v>118</v>
      </c>
      <c r="F957" s="2" t="s">
        <v>29</v>
      </c>
      <c r="G957" s="2" t="s">
        <v>30</v>
      </c>
      <c r="H957" s="2" t="s">
        <v>218</v>
      </c>
      <c r="I957" s="2" t="s">
        <v>219</v>
      </c>
      <c r="J957" s="2" t="s">
        <v>220</v>
      </c>
      <c r="K957" s="2" t="s">
        <v>267</v>
      </c>
      <c r="L957" s="3"/>
      <c r="M957" s="3">
        <v>41138</v>
      </c>
      <c r="N957" s="3">
        <v>41068</v>
      </c>
      <c r="O957" s="3">
        <v>41068</v>
      </c>
      <c r="P957" s="2" t="s">
        <v>44</v>
      </c>
      <c r="Q957" s="2" t="s">
        <v>45</v>
      </c>
      <c r="R957" s="2" t="s">
        <v>37</v>
      </c>
      <c r="S957" s="2" t="s">
        <v>46</v>
      </c>
      <c r="T957" s="2" t="s">
        <v>47</v>
      </c>
      <c r="U957" s="2">
        <v>60</v>
      </c>
      <c r="V957" s="2">
        <v>17827</v>
      </c>
      <c r="W957" s="2">
        <v>138694.06</v>
      </c>
      <c r="X957" s="2">
        <v>7.78</v>
      </c>
      <c r="Y957" s="2">
        <v>0.13</v>
      </c>
      <c r="Z957" s="2">
        <v>2939</v>
      </c>
      <c r="AA957" s="2">
        <v>17665.419999999998</v>
      </c>
      <c r="AB957">
        <v>1</v>
      </c>
      <c r="AC957">
        <v>2012</v>
      </c>
      <c r="AE957" s="2">
        <v>2317.5100000000002</v>
      </c>
    </row>
    <row r="958" spans="2:31" ht="14.5">
      <c r="B958" s="2">
        <v>83042</v>
      </c>
      <c r="C958" s="2" t="s">
        <v>1800</v>
      </c>
      <c r="D958" s="2" t="s">
        <v>1801</v>
      </c>
      <c r="E958" s="2" t="s">
        <v>42</v>
      </c>
      <c r="F958" s="2" t="s">
        <v>29</v>
      </c>
      <c r="G958" s="2" t="s">
        <v>30</v>
      </c>
      <c r="H958" s="2" t="s">
        <v>218</v>
      </c>
      <c r="I958" s="2" t="s">
        <v>219</v>
      </c>
      <c r="J958" s="2" t="s">
        <v>220</v>
      </c>
      <c r="K958" s="2" t="s">
        <v>34</v>
      </c>
      <c r="L958" s="3"/>
      <c r="M958" s="3">
        <v>41121</v>
      </c>
      <c r="N958" s="3">
        <v>41075</v>
      </c>
      <c r="O958" s="3">
        <v>41075</v>
      </c>
      <c r="P958" s="2" t="s">
        <v>484</v>
      </c>
      <c r="Q958" s="2" t="s">
        <v>105</v>
      </c>
      <c r="R958" s="2" t="s">
        <v>37</v>
      </c>
      <c r="S958" s="2" t="s">
        <v>100</v>
      </c>
      <c r="T958" s="2" t="s">
        <v>39</v>
      </c>
      <c r="U958" s="2">
        <v>30</v>
      </c>
      <c r="V958" s="2">
        <v>1056</v>
      </c>
      <c r="W958" s="2">
        <v>5808</v>
      </c>
      <c r="X958" s="2">
        <v>5.5</v>
      </c>
      <c r="Y958" s="2">
        <v>0.18</v>
      </c>
      <c r="Z958" s="2">
        <v>69</v>
      </c>
      <c r="AA958" s="2">
        <v>1366.67</v>
      </c>
      <c r="AB958">
        <v>1</v>
      </c>
      <c r="AC958">
        <v>2012</v>
      </c>
      <c r="AE958" s="2">
        <v>190.07999999999998</v>
      </c>
    </row>
    <row r="959" spans="2:31" ht="14.5">
      <c r="B959" s="2">
        <v>83050</v>
      </c>
      <c r="C959" s="2" t="s">
        <v>1802</v>
      </c>
      <c r="D959" s="2" t="s">
        <v>1803</v>
      </c>
      <c r="E959" s="2" t="s">
        <v>118</v>
      </c>
      <c r="F959" s="2" t="s">
        <v>29</v>
      </c>
      <c r="G959" s="2" t="s">
        <v>30</v>
      </c>
      <c r="H959" s="2" t="s">
        <v>218</v>
      </c>
      <c r="I959" s="2" t="s">
        <v>219</v>
      </c>
      <c r="J959" s="2" t="s">
        <v>220</v>
      </c>
      <c r="K959" s="2" t="s">
        <v>34</v>
      </c>
      <c r="L959" s="3"/>
      <c r="M959" s="3">
        <v>41110</v>
      </c>
      <c r="N959" s="3">
        <v>41103</v>
      </c>
      <c r="O959" s="3">
        <v>41103</v>
      </c>
      <c r="P959" s="2" t="s">
        <v>484</v>
      </c>
      <c r="Q959" s="2" t="s">
        <v>105</v>
      </c>
      <c r="R959" s="2" t="s">
        <v>37</v>
      </c>
      <c r="S959" s="2" t="s">
        <v>100</v>
      </c>
      <c r="T959" s="2" t="s">
        <v>39</v>
      </c>
      <c r="U959" s="2">
        <v>30</v>
      </c>
      <c r="V959" s="2">
        <v>1685</v>
      </c>
      <c r="W959" s="2">
        <v>9267.5</v>
      </c>
      <c r="X959" s="2">
        <v>5.5</v>
      </c>
      <c r="Y959" s="2">
        <v>0.18</v>
      </c>
      <c r="Z959" s="2">
        <v>137</v>
      </c>
      <c r="AA959" s="2">
        <v>1834.79</v>
      </c>
      <c r="AB959">
        <v>1</v>
      </c>
      <c r="AC959">
        <v>2012</v>
      </c>
      <c r="AE959" s="2">
        <v>303.3</v>
      </c>
    </row>
    <row r="960" spans="2:31" ht="14.5">
      <c r="B960" s="2">
        <v>83055</v>
      </c>
      <c r="C960" s="2" t="s">
        <v>1804</v>
      </c>
      <c r="D960" s="2" t="s">
        <v>1805</v>
      </c>
      <c r="E960" s="2" t="s">
        <v>42</v>
      </c>
      <c r="F960" s="2" t="s">
        <v>29</v>
      </c>
      <c r="G960" s="2" t="s">
        <v>50</v>
      </c>
      <c r="H960" s="2" t="s">
        <v>218</v>
      </c>
      <c r="I960" s="2" t="s">
        <v>219</v>
      </c>
      <c r="J960" s="2" t="s">
        <v>220</v>
      </c>
      <c r="K960" s="2" t="s">
        <v>34</v>
      </c>
      <c r="L960" s="3"/>
      <c r="M960" s="3">
        <v>41180</v>
      </c>
      <c r="N960" s="3">
        <v>41111</v>
      </c>
      <c r="O960" s="3">
        <v>41111</v>
      </c>
      <c r="P960" s="2" t="s">
        <v>547</v>
      </c>
      <c r="Q960" s="2" t="s">
        <v>96</v>
      </c>
      <c r="R960" s="2" t="s">
        <v>37</v>
      </c>
      <c r="S960" s="2" t="s">
        <v>38</v>
      </c>
      <c r="T960" s="2" t="s">
        <v>64</v>
      </c>
      <c r="U960" s="2">
        <v>90</v>
      </c>
      <c r="V960" s="2">
        <v>1480</v>
      </c>
      <c r="W960" s="2">
        <v>12224.8</v>
      </c>
      <c r="X960" s="2">
        <v>8.26</v>
      </c>
      <c r="Y960" s="2">
        <v>0.09</v>
      </c>
      <c r="Z960" s="2">
        <v>187</v>
      </c>
      <c r="AA960" s="2">
        <v>2109.2199999999998</v>
      </c>
      <c r="AB960">
        <v>1</v>
      </c>
      <c r="AC960">
        <v>2012</v>
      </c>
      <c r="AE960" s="2">
        <v>133.19999999999999</v>
      </c>
    </row>
    <row r="961" spans="2:31" ht="14.5">
      <c r="B961" s="2">
        <v>83056</v>
      </c>
      <c r="C961" s="2" t="s">
        <v>1806</v>
      </c>
      <c r="D961" s="2" t="s">
        <v>1807</v>
      </c>
      <c r="E961" s="2" t="s">
        <v>118</v>
      </c>
      <c r="F961" s="2" t="s">
        <v>29</v>
      </c>
      <c r="G961" s="2" t="s">
        <v>30</v>
      </c>
      <c r="H961" s="2" t="s">
        <v>218</v>
      </c>
      <c r="I961" s="2" t="s">
        <v>219</v>
      </c>
      <c r="J961" s="2" t="s">
        <v>220</v>
      </c>
      <c r="K961" s="2" t="s">
        <v>34</v>
      </c>
      <c r="L961" s="3"/>
      <c r="M961" s="3">
        <v>41128</v>
      </c>
      <c r="N961" s="3">
        <v>41128</v>
      </c>
      <c r="O961" s="3">
        <v>41128</v>
      </c>
      <c r="P961" s="2" t="s">
        <v>95</v>
      </c>
      <c r="Q961" s="2" t="s">
        <v>96</v>
      </c>
      <c r="R961" s="2" t="s">
        <v>37</v>
      </c>
      <c r="S961" s="2" t="s">
        <v>97</v>
      </c>
      <c r="T961" s="2" t="s">
        <v>39</v>
      </c>
      <c r="U961" s="2">
        <v>30</v>
      </c>
      <c r="V961" s="2">
        <v>13373</v>
      </c>
      <c r="W961" s="2">
        <v>52288.43</v>
      </c>
      <c r="X961" s="2">
        <v>3.91</v>
      </c>
      <c r="Y961" s="2">
        <v>0.13</v>
      </c>
      <c r="Z961" s="2">
        <v>816</v>
      </c>
      <c r="AA961" s="2">
        <v>7964.24</v>
      </c>
      <c r="AB961">
        <v>1</v>
      </c>
      <c r="AC961">
        <v>2012</v>
      </c>
      <c r="AE961" s="2">
        <v>1738.49</v>
      </c>
    </row>
    <row r="962" spans="2:31" ht="14.5">
      <c r="B962" s="2">
        <v>83057</v>
      </c>
      <c r="C962" s="2" t="s">
        <v>1808</v>
      </c>
      <c r="D962" s="2" t="s">
        <v>1809</v>
      </c>
      <c r="E962" s="2" t="s">
        <v>118</v>
      </c>
      <c r="F962" s="2" t="s">
        <v>29</v>
      </c>
      <c r="G962" s="2" t="s">
        <v>30</v>
      </c>
      <c r="H962" s="2" t="s">
        <v>218</v>
      </c>
      <c r="I962" s="2" t="s">
        <v>219</v>
      </c>
      <c r="J962" s="2" t="s">
        <v>220</v>
      </c>
      <c r="K962" s="2" t="s">
        <v>34</v>
      </c>
      <c r="L962" s="3"/>
      <c r="M962" s="3">
        <v>41128</v>
      </c>
      <c r="N962" s="3">
        <v>41128</v>
      </c>
      <c r="O962" s="3">
        <v>41128</v>
      </c>
      <c r="P962" s="2" t="s">
        <v>95</v>
      </c>
      <c r="Q962" s="2" t="s">
        <v>96</v>
      </c>
      <c r="R962" s="2" t="s">
        <v>37</v>
      </c>
      <c r="S962" s="2" t="s">
        <v>97</v>
      </c>
      <c r="T962" s="2" t="s">
        <v>39</v>
      </c>
      <c r="U962" s="2">
        <v>30</v>
      </c>
      <c r="V962" s="2">
        <v>23000</v>
      </c>
      <c r="W962" s="2">
        <v>89930</v>
      </c>
      <c r="X962" s="2">
        <v>3.91</v>
      </c>
      <c r="Y962" s="2">
        <v>0.13</v>
      </c>
      <c r="Z962" s="2">
        <v>1403</v>
      </c>
      <c r="AA962" s="2">
        <v>9800</v>
      </c>
      <c r="AB962">
        <v>1</v>
      </c>
      <c r="AC962">
        <v>2012</v>
      </c>
      <c r="AE962" s="2">
        <v>2990</v>
      </c>
    </row>
    <row r="963" spans="2:31" ht="14.5">
      <c r="B963" s="2">
        <v>83061</v>
      </c>
      <c r="C963" s="2" t="s">
        <v>1810</v>
      </c>
      <c r="D963" s="2" t="s">
        <v>1811</v>
      </c>
      <c r="E963" s="2" t="s">
        <v>118</v>
      </c>
      <c r="F963" s="2" t="s">
        <v>29</v>
      </c>
      <c r="G963" s="2" t="s">
        <v>30</v>
      </c>
      <c r="H963" s="2" t="s">
        <v>218</v>
      </c>
      <c r="I963" s="2" t="s">
        <v>219</v>
      </c>
      <c r="J963" s="2" t="s">
        <v>220</v>
      </c>
      <c r="K963" s="2" t="s">
        <v>34</v>
      </c>
      <c r="L963" s="3"/>
      <c r="M963" s="3">
        <v>41212</v>
      </c>
      <c r="N963" s="3">
        <v>41212</v>
      </c>
      <c r="O963" s="3">
        <v>41212</v>
      </c>
      <c r="P963" s="2" t="s">
        <v>706</v>
      </c>
      <c r="Q963" s="2" t="s">
        <v>707</v>
      </c>
      <c r="R963" s="2" t="s">
        <v>37</v>
      </c>
      <c r="S963" s="2" t="s">
        <v>708</v>
      </c>
      <c r="T963" s="2" t="s">
        <v>47</v>
      </c>
      <c r="U963" s="2">
        <v>30</v>
      </c>
      <c r="V963" s="2">
        <v>20000</v>
      </c>
      <c r="W963" s="2">
        <v>110800</v>
      </c>
      <c r="X963" s="2">
        <v>5.54</v>
      </c>
      <c r="Y963" s="2">
        <v>0.18</v>
      </c>
      <c r="Z963" s="2">
        <v>8996</v>
      </c>
      <c r="AA963" s="2">
        <v>43098.9</v>
      </c>
      <c r="AB963">
        <v>1</v>
      </c>
      <c r="AC963">
        <v>2012</v>
      </c>
      <c r="AE963" s="2">
        <v>3600</v>
      </c>
    </row>
    <row r="964" spans="2:31" ht="14.5">
      <c r="B964" s="2">
        <v>83062</v>
      </c>
      <c r="C964" s="2" t="s">
        <v>1812</v>
      </c>
      <c r="D964" s="2" t="s">
        <v>1813</v>
      </c>
      <c r="E964" s="2" t="s">
        <v>118</v>
      </c>
      <c r="F964" s="2" t="s">
        <v>29</v>
      </c>
      <c r="G964" s="2" t="s">
        <v>30</v>
      </c>
      <c r="H964" s="2" t="s">
        <v>218</v>
      </c>
      <c r="I964" s="2" t="s">
        <v>219</v>
      </c>
      <c r="J964" s="2" t="s">
        <v>220</v>
      </c>
      <c r="K964" s="2" t="s">
        <v>34</v>
      </c>
      <c r="L964" s="3"/>
      <c r="M964" s="3">
        <v>41212</v>
      </c>
      <c r="N964" s="3">
        <v>41212</v>
      </c>
      <c r="O964" s="3">
        <v>41212</v>
      </c>
      <c r="P964" s="2" t="s">
        <v>759</v>
      </c>
      <c r="Q964" s="2" t="s">
        <v>84</v>
      </c>
      <c r="R964" s="2" t="s">
        <v>37</v>
      </c>
      <c r="S964" s="2" t="s">
        <v>152</v>
      </c>
      <c r="T964" s="2" t="s">
        <v>39</v>
      </c>
      <c r="U964" s="2">
        <v>120</v>
      </c>
      <c r="V964" s="2">
        <v>5000</v>
      </c>
      <c r="W964" s="2">
        <v>148400</v>
      </c>
      <c r="X964" s="2">
        <v>29.68</v>
      </c>
      <c r="Y964" s="2">
        <v>0.25</v>
      </c>
      <c r="Z964" s="2">
        <v>1199</v>
      </c>
      <c r="AA964" s="2">
        <v>7070</v>
      </c>
      <c r="AB964">
        <v>1</v>
      </c>
      <c r="AC964">
        <v>2012</v>
      </c>
      <c r="AE964" s="2">
        <v>1250</v>
      </c>
    </row>
    <row r="965" spans="2:31" ht="14.5">
      <c r="B965" s="2">
        <v>83065</v>
      </c>
      <c r="C965" s="2" t="s">
        <v>1814</v>
      </c>
      <c r="D965" s="2" t="s">
        <v>1815</v>
      </c>
      <c r="E965" s="2" t="s">
        <v>42</v>
      </c>
      <c r="F965" s="2" t="s">
        <v>29</v>
      </c>
      <c r="G965" s="2" t="s">
        <v>30</v>
      </c>
      <c r="H965" s="2" t="s">
        <v>218</v>
      </c>
      <c r="I965" s="2" t="s">
        <v>219</v>
      </c>
      <c r="J965" s="2" t="s">
        <v>220</v>
      </c>
      <c r="K965" s="2" t="s">
        <v>34</v>
      </c>
      <c r="L965" s="3"/>
      <c r="M965" s="3">
        <v>41152</v>
      </c>
      <c r="N965" s="3">
        <v>41144</v>
      </c>
      <c r="O965" s="3">
        <v>41144</v>
      </c>
      <c r="P965" s="2" t="s">
        <v>98</v>
      </c>
      <c r="Q965" s="2" t="s">
        <v>99</v>
      </c>
      <c r="R965" s="2" t="s">
        <v>37</v>
      </c>
      <c r="S965" s="2" t="s">
        <v>100</v>
      </c>
      <c r="T965" s="2" t="s">
        <v>39</v>
      </c>
      <c r="U965" s="2">
        <v>60</v>
      </c>
      <c r="V965" s="2">
        <v>6849</v>
      </c>
      <c r="W965" s="2">
        <v>90064.35</v>
      </c>
      <c r="X965" s="2">
        <v>13.15</v>
      </c>
      <c r="Y965" s="2">
        <v>0.22</v>
      </c>
      <c r="Z965" s="2">
        <v>880</v>
      </c>
      <c r="AA965" s="2">
        <v>13841.89</v>
      </c>
      <c r="AB965">
        <v>1</v>
      </c>
      <c r="AC965">
        <v>2012</v>
      </c>
      <c r="AE965" s="2">
        <v>1506.78</v>
      </c>
    </row>
    <row r="966" spans="2:31" ht="14.5">
      <c r="B966" s="2">
        <v>83066</v>
      </c>
      <c r="C966" s="2" t="s">
        <v>1816</v>
      </c>
      <c r="D966" s="2" t="s">
        <v>1817</v>
      </c>
      <c r="E966" s="2" t="s">
        <v>118</v>
      </c>
      <c r="F966" s="2" t="s">
        <v>29</v>
      </c>
      <c r="G966" s="2" t="s">
        <v>30</v>
      </c>
      <c r="H966" s="2" t="s">
        <v>218</v>
      </c>
      <c r="I966" s="2" t="s">
        <v>219</v>
      </c>
      <c r="J966" s="2" t="s">
        <v>220</v>
      </c>
      <c r="K966" s="2" t="s">
        <v>267</v>
      </c>
      <c r="L966" s="3"/>
      <c r="M966" s="3">
        <v>41179</v>
      </c>
      <c r="N966" s="3">
        <v>41179</v>
      </c>
      <c r="O966" s="3">
        <v>41179</v>
      </c>
      <c r="P966" s="2" t="s">
        <v>95</v>
      </c>
      <c r="Q966" s="2" t="s">
        <v>96</v>
      </c>
      <c r="R966" s="2" t="s">
        <v>37</v>
      </c>
      <c r="S966" s="2" t="s">
        <v>97</v>
      </c>
      <c r="T966" s="2" t="s">
        <v>39</v>
      </c>
      <c r="U966" s="2">
        <v>30</v>
      </c>
      <c r="V966" s="2">
        <v>66160</v>
      </c>
      <c r="W966" s="2">
        <v>258685.6</v>
      </c>
      <c r="X966" s="2">
        <v>3.91</v>
      </c>
      <c r="Y966" s="2">
        <v>0.13</v>
      </c>
      <c r="Z966" s="2">
        <v>5641</v>
      </c>
      <c r="AA966" s="2">
        <v>2175.0700000000002</v>
      </c>
      <c r="AB966">
        <v>1</v>
      </c>
      <c r="AC966">
        <v>2012</v>
      </c>
      <c r="AE966" s="2">
        <v>8600.8000000000011</v>
      </c>
    </row>
    <row r="967" spans="2:31" ht="14.5">
      <c r="B967" s="2">
        <v>83075</v>
      </c>
      <c r="C967" s="2" t="s">
        <v>1818</v>
      </c>
      <c r="D967" s="2" t="s">
        <v>1819</v>
      </c>
      <c r="E967" s="2" t="s">
        <v>118</v>
      </c>
      <c r="F967" s="2" t="s">
        <v>29</v>
      </c>
      <c r="G967" s="2" t="s">
        <v>30</v>
      </c>
      <c r="H967" s="2" t="s">
        <v>218</v>
      </c>
      <c r="I967" s="2" t="s">
        <v>219</v>
      </c>
      <c r="J967" s="2" t="s">
        <v>220</v>
      </c>
      <c r="K967" s="2" t="s">
        <v>267</v>
      </c>
      <c r="L967" s="3"/>
      <c r="M967" s="3">
        <v>41187</v>
      </c>
      <c r="N967" s="3">
        <v>41188</v>
      </c>
      <c r="O967" s="3">
        <v>41188</v>
      </c>
      <c r="P967" s="2" t="s">
        <v>759</v>
      </c>
      <c r="Q967" s="2" t="s">
        <v>84</v>
      </c>
      <c r="R967" s="2" t="s">
        <v>37</v>
      </c>
      <c r="S967" s="2" t="s">
        <v>152</v>
      </c>
      <c r="T967" s="2" t="s">
        <v>39</v>
      </c>
      <c r="U967" s="2">
        <v>120</v>
      </c>
      <c r="V967" s="2">
        <v>4968</v>
      </c>
      <c r="W967" s="2">
        <v>145612.07999999999</v>
      </c>
      <c r="X967" s="2">
        <v>29.31</v>
      </c>
      <c r="Y967" s="2">
        <v>0.24</v>
      </c>
      <c r="Z967" s="2">
        <v>1207</v>
      </c>
      <c r="AA967" s="2">
        <v>7238</v>
      </c>
      <c r="AB967">
        <v>0</v>
      </c>
      <c r="AC967">
        <v>2012</v>
      </c>
      <c r="AE967" s="2">
        <v>1192.32</v>
      </c>
    </row>
    <row r="968" spans="2:31" ht="14.5">
      <c r="B968" s="2">
        <v>83076</v>
      </c>
      <c r="C968" s="2" t="s">
        <v>1820</v>
      </c>
      <c r="D968" s="2" t="s">
        <v>1821</v>
      </c>
      <c r="E968" s="2" t="s">
        <v>118</v>
      </c>
      <c r="F968" s="2" t="s">
        <v>29</v>
      </c>
      <c r="G968" s="2" t="s">
        <v>30</v>
      </c>
      <c r="H968" s="2" t="s">
        <v>218</v>
      </c>
      <c r="I968" s="2" t="s">
        <v>219</v>
      </c>
      <c r="J968" s="2" t="s">
        <v>220</v>
      </c>
      <c r="K968" s="2" t="s">
        <v>267</v>
      </c>
      <c r="L968" s="3"/>
      <c r="M968" s="3">
        <v>41180</v>
      </c>
      <c r="N968" s="3">
        <v>41176</v>
      </c>
      <c r="O968" s="3">
        <v>41176</v>
      </c>
      <c r="P968" s="2" t="s">
        <v>759</v>
      </c>
      <c r="Q968" s="2" t="s">
        <v>84</v>
      </c>
      <c r="R968" s="2" t="s">
        <v>37</v>
      </c>
      <c r="S968" s="2" t="s">
        <v>152</v>
      </c>
      <c r="T968" s="2" t="s">
        <v>39</v>
      </c>
      <c r="U968" s="2">
        <v>120</v>
      </c>
      <c r="V968" s="2">
        <v>8517</v>
      </c>
      <c r="W968" s="2">
        <v>252784.56</v>
      </c>
      <c r="X968" s="2">
        <v>29.68</v>
      </c>
      <c r="Y968" s="2">
        <v>0.25</v>
      </c>
      <c r="Z968" s="2">
        <v>2078</v>
      </c>
      <c r="AA968" s="2">
        <v>15761.76</v>
      </c>
      <c r="AB968">
        <v>1</v>
      </c>
      <c r="AC968">
        <v>2012</v>
      </c>
      <c r="AE968" s="2">
        <v>2129.25</v>
      </c>
    </row>
    <row r="969" spans="2:31" ht="14.5">
      <c r="B969" s="2">
        <v>83077</v>
      </c>
      <c r="C969" s="2" t="s">
        <v>1822</v>
      </c>
      <c r="D969" s="2" t="s">
        <v>1823</v>
      </c>
      <c r="E969" s="2" t="s">
        <v>42</v>
      </c>
      <c r="F969" s="2" t="s">
        <v>29</v>
      </c>
      <c r="G969" s="2" t="s">
        <v>30</v>
      </c>
      <c r="H969" s="2" t="s">
        <v>218</v>
      </c>
      <c r="I969" s="2" t="s">
        <v>219</v>
      </c>
      <c r="J969" s="2" t="s">
        <v>220</v>
      </c>
      <c r="K969" s="2" t="s">
        <v>34</v>
      </c>
      <c r="L969" s="3"/>
      <c r="M969" s="3">
        <v>41213</v>
      </c>
      <c r="N969" s="3">
        <v>41212</v>
      </c>
      <c r="O969" s="3">
        <v>41212</v>
      </c>
      <c r="P969" s="2" t="s">
        <v>759</v>
      </c>
      <c r="Q969" s="2" t="s">
        <v>84</v>
      </c>
      <c r="R969" s="2" t="s">
        <v>37</v>
      </c>
      <c r="S969" s="2" t="s">
        <v>152</v>
      </c>
      <c r="T969" s="2" t="s">
        <v>39</v>
      </c>
      <c r="U969" s="2">
        <v>120</v>
      </c>
      <c r="V969" s="2">
        <v>10979</v>
      </c>
      <c r="W969" s="2">
        <v>325856.71999999997</v>
      </c>
      <c r="X969" s="2">
        <v>29.68</v>
      </c>
      <c r="Y969" s="2">
        <v>0.25</v>
      </c>
      <c r="Z969" s="2">
        <v>2881</v>
      </c>
      <c r="AA969" s="2">
        <v>5825.17</v>
      </c>
      <c r="AB969">
        <v>1</v>
      </c>
      <c r="AC969">
        <v>2012</v>
      </c>
      <c r="AE969" s="2">
        <v>2744.75</v>
      </c>
    </row>
    <row r="970" spans="2:31" ht="14.5">
      <c r="B970" s="2">
        <v>83078</v>
      </c>
      <c r="C970" s="2" t="s">
        <v>1824</v>
      </c>
      <c r="D970" s="2" t="s">
        <v>1825</v>
      </c>
      <c r="E970" s="2" t="s">
        <v>42</v>
      </c>
      <c r="F970" s="2" t="s">
        <v>29</v>
      </c>
      <c r="G970" s="2" t="s">
        <v>30</v>
      </c>
      <c r="H970" s="2" t="s">
        <v>218</v>
      </c>
      <c r="I970" s="2" t="s">
        <v>219</v>
      </c>
      <c r="J970" s="2" t="s">
        <v>220</v>
      </c>
      <c r="K970" s="2" t="s">
        <v>34</v>
      </c>
      <c r="L970" s="3"/>
      <c r="M970" s="3">
        <v>41180</v>
      </c>
      <c r="N970" s="3">
        <v>41165</v>
      </c>
      <c r="O970" s="3">
        <v>41165</v>
      </c>
      <c r="P970" s="2" t="s">
        <v>35</v>
      </c>
      <c r="Q970" s="2" t="s">
        <v>36</v>
      </c>
      <c r="R970" s="2" t="s">
        <v>37</v>
      </c>
      <c r="S970" s="2" t="s">
        <v>38</v>
      </c>
      <c r="T970" s="2" t="s">
        <v>39</v>
      </c>
      <c r="U970" s="2">
        <v>60</v>
      </c>
      <c r="V970" s="2">
        <v>69922</v>
      </c>
      <c r="W970" s="2">
        <v>170609.68</v>
      </c>
      <c r="X970" s="2">
        <v>2.44</v>
      </c>
      <c r="Y970" s="2">
        <v>0.04</v>
      </c>
      <c r="Z970" s="2">
        <v>4444</v>
      </c>
      <c r="AA970" s="2">
        <v>26081.05</v>
      </c>
      <c r="AB970">
        <v>1</v>
      </c>
      <c r="AC970">
        <v>2012</v>
      </c>
      <c r="AE970" s="2">
        <v>2796.88</v>
      </c>
    </row>
    <row r="971" spans="2:31" ht="14.5">
      <c r="B971" s="2">
        <v>83079</v>
      </c>
      <c r="C971" s="2" t="s">
        <v>1826</v>
      </c>
      <c r="D971" s="2" t="s">
        <v>1827</v>
      </c>
      <c r="E971" s="2" t="s">
        <v>42</v>
      </c>
      <c r="F971" s="2" t="s">
        <v>29</v>
      </c>
      <c r="G971" s="2" t="s">
        <v>50</v>
      </c>
      <c r="H971" s="2" t="s">
        <v>218</v>
      </c>
      <c r="I971" s="2" t="s">
        <v>219</v>
      </c>
      <c r="J971" s="2" t="s">
        <v>220</v>
      </c>
      <c r="K971" s="2" t="s">
        <v>34</v>
      </c>
      <c r="L971" s="3"/>
      <c r="M971" s="3">
        <v>41180</v>
      </c>
      <c r="N971" s="3">
        <v>41187</v>
      </c>
      <c r="O971" s="3">
        <v>41187</v>
      </c>
      <c r="P971" s="2" t="s">
        <v>1564</v>
      </c>
      <c r="Q971" s="2" t="s">
        <v>99</v>
      </c>
      <c r="R971" s="2" t="s">
        <v>37</v>
      </c>
      <c r="S971" s="2" t="s">
        <v>172</v>
      </c>
      <c r="T971" s="2" t="s">
        <v>87</v>
      </c>
      <c r="U971" s="2">
        <v>240</v>
      </c>
      <c r="V971" s="2">
        <v>4928</v>
      </c>
      <c r="W971" s="2">
        <v>61600</v>
      </c>
      <c r="X971" s="2">
        <v>12.5</v>
      </c>
      <c r="Y971" s="2">
        <v>0.05</v>
      </c>
      <c r="Z971" s="2">
        <v>1800</v>
      </c>
      <c r="AA971" s="2">
        <v>12500.58</v>
      </c>
      <c r="AB971">
        <v>0</v>
      </c>
      <c r="AC971">
        <v>2012</v>
      </c>
      <c r="AE971" s="2">
        <v>246.4</v>
      </c>
    </row>
    <row r="972" spans="2:31" ht="14.5">
      <c r="B972" s="2">
        <v>83080</v>
      </c>
      <c r="C972" s="2" t="s">
        <v>1828</v>
      </c>
      <c r="D972" s="2" t="s">
        <v>1829</v>
      </c>
      <c r="E972" s="2" t="s">
        <v>42</v>
      </c>
      <c r="F972" s="2" t="s">
        <v>29</v>
      </c>
      <c r="G972" s="2" t="s">
        <v>30</v>
      </c>
      <c r="H972" s="2" t="s">
        <v>218</v>
      </c>
      <c r="I972" s="2" t="s">
        <v>219</v>
      </c>
      <c r="J972" s="2" t="s">
        <v>220</v>
      </c>
      <c r="K972" s="2" t="s">
        <v>34</v>
      </c>
      <c r="L972" s="3"/>
      <c r="M972" s="3">
        <v>41208</v>
      </c>
      <c r="N972" s="3">
        <v>41208</v>
      </c>
      <c r="O972" s="3">
        <v>41208</v>
      </c>
      <c r="P972" s="2" t="s">
        <v>759</v>
      </c>
      <c r="Q972" s="2" t="s">
        <v>84</v>
      </c>
      <c r="R972" s="2" t="s">
        <v>37</v>
      </c>
      <c r="S972" s="2" t="s">
        <v>152</v>
      </c>
      <c r="T972" s="2" t="s">
        <v>39</v>
      </c>
      <c r="U972" s="2">
        <v>120</v>
      </c>
      <c r="V972" s="2">
        <v>16515</v>
      </c>
      <c r="W972" s="2">
        <v>490165.2</v>
      </c>
      <c r="X972" s="2">
        <v>29.68</v>
      </c>
      <c r="Y972" s="2">
        <v>0.25</v>
      </c>
      <c r="Z972" s="2">
        <v>3991</v>
      </c>
      <c r="AA972" s="2">
        <v>13380.52</v>
      </c>
      <c r="AB972">
        <v>1</v>
      </c>
      <c r="AC972">
        <v>2012</v>
      </c>
      <c r="AE972" s="2">
        <v>4128.75</v>
      </c>
    </row>
    <row r="973" spans="2:31" ht="14.5">
      <c r="B973" s="2">
        <v>83081</v>
      </c>
      <c r="C973" s="2" t="s">
        <v>2824</v>
      </c>
      <c r="D973" s="2" t="s">
        <v>2825</v>
      </c>
      <c r="E973" s="2" t="s">
        <v>2817</v>
      </c>
      <c r="F973" s="2" t="s">
        <v>29</v>
      </c>
      <c r="G973" s="2" t="s">
        <v>30</v>
      </c>
      <c r="H973" s="2" t="s">
        <v>218</v>
      </c>
      <c r="I973" s="2" t="s">
        <v>219</v>
      </c>
      <c r="J973" s="2" t="s">
        <v>220</v>
      </c>
      <c r="K973" s="2" t="s">
        <v>34</v>
      </c>
      <c r="L973" s="3"/>
      <c r="M973" s="3">
        <v>41228</v>
      </c>
      <c r="N973" s="3">
        <v>41205</v>
      </c>
      <c r="O973" s="3">
        <v>41205</v>
      </c>
      <c r="P973" s="2" t="s">
        <v>333</v>
      </c>
      <c r="Q973" s="2" t="s">
        <v>225</v>
      </c>
      <c r="R973" s="2" t="s">
        <v>37</v>
      </c>
      <c r="S973" s="2" t="s">
        <v>100</v>
      </c>
      <c r="T973" s="2" t="s">
        <v>39</v>
      </c>
      <c r="U973" s="2">
        <v>60</v>
      </c>
      <c r="V973" s="2">
        <v>9360</v>
      </c>
      <c r="W973" s="2">
        <v>63273.599999999999</v>
      </c>
      <c r="X973" s="2">
        <v>6.76</v>
      </c>
      <c r="Y973" s="2">
        <v>0.11</v>
      </c>
      <c r="AB973">
        <v>1</v>
      </c>
      <c r="AC973">
        <v>2012</v>
      </c>
      <c r="AE973" s="2">
        <v>1029.5999999999999</v>
      </c>
    </row>
    <row r="974" spans="2:31" ht="14.5">
      <c r="B974" s="2">
        <v>83082</v>
      </c>
      <c r="C974" s="2" t="s">
        <v>1830</v>
      </c>
      <c r="D974" s="2" t="s">
        <v>1831</v>
      </c>
      <c r="E974" s="2" t="s">
        <v>118</v>
      </c>
      <c r="F974" s="2" t="s">
        <v>29</v>
      </c>
      <c r="G974" s="2" t="s">
        <v>30</v>
      </c>
      <c r="H974" s="2" t="s">
        <v>218</v>
      </c>
      <c r="I974" s="2" t="s">
        <v>219</v>
      </c>
      <c r="J974" s="2" t="s">
        <v>220</v>
      </c>
      <c r="K974" s="2" t="s">
        <v>34</v>
      </c>
      <c r="L974" s="3"/>
      <c r="M974" s="3">
        <v>41209</v>
      </c>
      <c r="N974" s="3">
        <v>41209</v>
      </c>
      <c r="O974" s="3">
        <v>41209</v>
      </c>
      <c r="P974" s="2" t="s">
        <v>706</v>
      </c>
      <c r="Q974" s="2" t="s">
        <v>707</v>
      </c>
      <c r="R974" s="2" t="s">
        <v>37</v>
      </c>
      <c r="S974" s="2" t="s">
        <v>708</v>
      </c>
      <c r="T974" s="2" t="s">
        <v>47</v>
      </c>
      <c r="U974" s="2">
        <v>30</v>
      </c>
      <c r="V974" s="2">
        <v>11994</v>
      </c>
      <c r="W974" s="2">
        <v>64287.839999999997</v>
      </c>
      <c r="X974" s="2">
        <v>5.36</v>
      </c>
      <c r="Y974" s="2">
        <v>0.18</v>
      </c>
      <c r="Z974" s="2">
        <v>1199</v>
      </c>
      <c r="AA974" s="2">
        <v>7918</v>
      </c>
      <c r="AB974">
        <v>1</v>
      </c>
      <c r="AC974">
        <v>2012</v>
      </c>
      <c r="AE974" s="2">
        <v>2158.92</v>
      </c>
    </row>
    <row r="975" spans="2:31" ht="14.5">
      <c r="B975" s="2">
        <v>83084</v>
      </c>
      <c r="C975" s="2" t="s">
        <v>1606</v>
      </c>
      <c r="D975" s="2" t="s">
        <v>1607</v>
      </c>
      <c r="E975" s="2" t="s">
        <v>118</v>
      </c>
      <c r="F975" s="2" t="s">
        <v>29</v>
      </c>
      <c r="G975" s="2" t="s">
        <v>30</v>
      </c>
      <c r="H975" s="2" t="s">
        <v>218</v>
      </c>
      <c r="I975" s="2" t="s">
        <v>219</v>
      </c>
      <c r="J975" s="2" t="s">
        <v>220</v>
      </c>
      <c r="K975" s="2" t="s">
        <v>34</v>
      </c>
      <c r="L975" s="3"/>
      <c r="M975" s="3">
        <v>41207</v>
      </c>
      <c r="N975" s="3">
        <v>41204</v>
      </c>
      <c r="O975" s="3">
        <v>41204</v>
      </c>
      <c r="P975" s="2" t="s">
        <v>44</v>
      </c>
      <c r="Q975" s="2" t="s">
        <v>45</v>
      </c>
      <c r="R975" s="2" t="s">
        <v>37</v>
      </c>
      <c r="S975" s="2" t="s">
        <v>46</v>
      </c>
      <c r="T975" s="2" t="s">
        <v>47</v>
      </c>
      <c r="U975" s="2">
        <v>60</v>
      </c>
      <c r="V975" s="2">
        <v>3540</v>
      </c>
      <c r="W975" s="2">
        <v>27328.799999999999</v>
      </c>
      <c r="X975" s="2">
        <v>7.72</v>
      </c>
      <c r="Y975" s="2">
        <v>0.13</v>
      </c>
      <c r="AB975">
        <v>1</v>
      </c>
      <c r="AC975">
        <v>2012</v>
      </c>
      <c r="AE975" s="2">
        <v>460.2</v>
      </c>
    </row>
    <row r="976" spans="2:31" ht="14.5">
      <c r="B976" s="2">
        <v>83085</v>
      </c>
      <c r="C976" s="2" t="s">
        <v>1608</v>
      </c>
      <c r="D976" s="2" t="s">
        <v>1609</v>
      </c>
      <c r="E976" s="2" t="s">
        <v>42</v>
      </c>
      <c r="F976" s="2" t="s">
        <v>29</v>
      </c>
      <c r="G976" s="2" t="s">
        <v>30</v>
      </c>
      <c r="H976" s="2" t="s">
        <v>218</v>
      </c>
      <c r="I976" s="2" t="s">
        <v>219</v>
      </c>
      <c r="J976" s="2" t="s">
        <v>220</v>
      </c>
      <c r="K976" s="2" t="s">
        <v>34</v>
      </c>
      <c r="L976" s="3"/>
      <c r="M976" s="3">
        <v>41213</v>
      </c>
      <c r="N976" s="3">
        <v>41212</v>
      </c>
      <c r="O976" s="3">
        <v>41212</v>
      </c>
      <c r="P976" s="2" t="s">
        <v>754</v>
      </c>
      <c r="Q976" s="2" t="s">
        <v>755</v>
      </c>
      <c r="R976" s="2" t="s">
        <v>37</v>
      </c>
      <c r="S976" s="2" t="s">
        <v>756</v>
      </c>
      <c r="T976" s="2" t="s">
        <v>47</v>
      </c>
      <c r="U976" s="2">
        <v>30</v>
      </c>
      <c r="V976" s="2">
        <v>3234</v>
      </c>
      <c r="W976" s="2">
        <v>42915.18</v>
      </c>
      <c r="X976" s="2">
        <v>13.27</v>
      </c>
      <c r="Y976" s="2">
        <v>0.44</v>
      </c>
      <c r="AB976">
        <v>1</v>
      </c>
      <c r="AC976">
        <v>2012</v>
      </c>
      <c r="AE976" s="2">
        <v>1422.96</v>
      </c>
    </row>
    <row r="977" spans="2:31" ht="14.5">
      <c r="B977" s="2">
        <v>83098</v>
      </c>
      <c r="C977" s="2" t="s">
        <v>1832</v>
      </c>
      <c r="D977" s="2" t="s">
        <v>1833</v>
      </c>
      <c r="E977" s="2" t="s">
        <v>42</v>
      </c>
      <c r="F977" s="2" t="s">
        <v>29</v>
      </c>
      <c r="G977" s="2" t="s">
        <v>30</v>
      </c>
      <c r="H977" s="2" t="s">
        <v>218</v>
      </c>
      <c r="I977" s="2" t="s">
        <v>219</v>
      </c>
      <c r="J977" s="2" t="s">
        <v>220</v>
      </c>
      <c r="K977" s="2" t="s">
        <v>34</v>
      </c>
      <c r="L977" s="3"/>
      <c r="M977" s="3">
        <v>41311</v>
      </c>
      <c r="N977" s="3">
        <v>41311</v>
      </c>
      <c r="O977" s="3">
        <v>41311</v>
      </c>
      <c r="P977" s="2" t="s">
        <v>706</v>
      </c>
      <c r="Q977" s="2" t="s">
        <v>707</v>
      </c>
      <c r="R977" s="2" t="s">
        <v>37</v>
      </c>
      <c r="S977" s="2" t="s">
        <v>708</v>
      </c>
      <c r="T977" s="2" t="s">
        <v>47</v>
      </c>
      <c r="U977" s="2">
        <v>30</v>
      </c>
      <c r="V977" s="2">
        <v>34997</v>
      </c>
      <c r="W977" s="2">
        <v>187583.92</v>
      </c>
      <c r="X977" s="2">
        <v>5.36</v>
      </c>
      <c r="Y977" s="2">
        <v>0.18</v>
      </c>
      <c r="Z977" s="2">
        <v>10698</v>
      </c>
      <c r="AA977" s="2">
        <v>20994.85</v>
      </c>
      <c r="AB977">
        <v>1</v>
      </c>
      <c r="AC977">
        <v>2013</v>
      </c>
      <c r="AE977" s="2">
        <v>6299.46</v>
      </c>
    </row>
    <row r="978" spans="2:31" ht="14.5">
      <c r="B978" s="2">
        <v>83100</v>
      </c>
      <c r="C978" s="2" t="s">
        <v>1834</v>
      </c>
      <c r="D978" s="2" t="s">
        <v>1835</v>
      </c>
      <c r="E978" s="2" t="s">
        <v>28</v>
      </c>
      <c r="F978" s="2" t="s">
        <v>29</v>
      </c>
      <c r="G978" s="2" t="s">
        <v>50</v>
      </c>
      <c r="H978" s="2" t="s">
        <v>218</v>
      </c>
      <c r="I978" s="2" t="s">
        <v>219</v>
      </c>
      <c r="J978" s="2" t="s">
        <v>220</v>
      </c>
      <c r="K978" s="2" t="s">
        <v>267</v>
      </c>
      <c r="L978" s="3"/>
      <c r="M978" s="3">
        <v>41333</v>
      </c>
      <c r="N978" s="3">
        <v>40965</v>
      </c>
      <c r="O978" s="3">
        <v>41331</v>
      </c>
      <c r="P978" s="2" t="s">
        <v>802</v>
      </c>
      <c r="Q978" s="2" t="s">
        <v>96</v>
      </c>
      <c r="R978" s="2" t="s">
        <v>37</v>
      </c>
      <c r="S978" s="2" t="s">
        <v>38</v>
      </c>
      <c r="T978" s="2" t="s">
        <v>39</v>
      </c>
      <c r="U978" s="2">
        <v>90</v>
      </c>
      <c r="V978" s="2">
        <v>5765</v>
      </c>
      <c r="W978" s="2">
        <v>42084.5</v>
      </c>
      <c r="X978" s="2">
        <v>7.3</v>
      </c>
      <c r="Y978" s="2">
        <v>0.08</v>
      </c>
      <c r="Z978" s="2">
        <v>350</v>
      </c>
      <c r="AA978" s="2">
        <v>2266</v>
      </c>
      <c r="AB978">
        <v>1</v>
      </c>
      <c r="AC978">
        <v>2013</v>
      </c>
      <c r="AE978" s="2">
        <v>461.2</v>
      </c>
    </row>
    <row r="979" spans="2:31" ht="14.5">
      <c r="B979" s="2">
        <v>83101</v>
      </c>
      <c r="C979" s="2" t="s">
        <v>1616</v>
      </c>
      <c r="D979" s="2" t="s">
        <v>1617</v>
      </c>
      <c r="E979" s="2" t="s">
        <v>118</v>
      </c>
      <c r="F979" s="2" t="s">
        <v>29</v>
      </c>
      <c r="G979" s="2" t="s">
        <v>30</v>
      </c>
      <c r="H979" s="2" t="s">
        <v>218</v>
      </c>
      <c r="I979" s="2" t="s">
        <v>219</v>
      </c>
      <c r="J979" s="2" t="s">
        <v>220</v>
      </c>
      <c r="K979" s="2" t="s">
        <v>34</v>
      </c>
      <c r="L979" s="3"/>
      <c r="M979" s="3">
        <v>41307</v>
      </c>
      <c r="N979" s="3">
        <v>41307</v>
      </c>
      <c r="O979" s="3">
        <v>41307</v>
      </c>
      <c r="P979" s="2" t="s">
        <v>706</v>
      </c>
      <c r="Q979" s="2" t="s">
        <v>707</v>
      </c>
      <c r="R979" s="2" t="s">
        <v>37</v>
      </c>
      <c r="S979" s="2" t="s">
        <v>708</v>
      </c>
      <c r="T979" s="2" t="s">
        <v>47</v>
      </c>
      <c r="U979" s="2">
        <v>30</v>
      </c>
      <c r="V979" s="2">
        <v>1525</v>
      </c>
      <c r="W979" s="2">
        <v>7335.25</v>
      </c>
      <c r="X979" s="2">
        <v>4.8099999999999996</v>
      </c>
      <c r="Y979" s="2">
        <v>0.16</v>
      </c>
      <c r="AB979">
        <v>1</v>
      </c>
      <c r="AC979">
        <v>2013</v>
      </c>
      <c r="AE979" s="2">
        <v>244</v>
      </c>
    </row>
    <row r="980" spans="2:31" ht="14.5">
      <c r="B980" s="2">
        <v>83112</v>
      </c>
      <c r="C980" s="2" t="s">
        <v>1836</v>
      </c>
      <c r="D980" s="2" t="s">
        <v>1837</v>
      </c>
      <c r="E980" s="2" t="s">
        <v>118</v>
      </c>
      <c r="F980" s="2" t="s">
        <v>29</v>
      </c>
      <c r="G980" s="2" t="s">
        <v>30</v>
      </c>
      <c r="H980" s="2" t="s">
        <v>218</v>
      </c>
      <c r="I980" s="2" t="s">
        <v>219</v>
      </c>
      <c r="J980" s="2" t="s">
        <v>220</v>
      </c>
      <c r="K980" s="2" t="s">
        <v>34</v>
      </c>
      <c r="L980" s="3"/>
      <c r="M980" s="3">
        <v>41351</v>
      </c>
      <c r="N980" s="3">
        <v>41340</v>
      </c>
      <c r="O980" s="3">
        <v>41340</v>
      </c>
      <c r="P980" s="2" t="s">
        <v>44</v>
      </c>
      <c r="Q980" s="2" t="s">
        <v>45</v>
      </c>
      <c r="R980" s="2" t="s">
        <v>37</v>
      </c>
      <c r="S980" s="2" t="s">
        <v>46</v>
      </c>
      <c r="T980" s="2" t="s">
        <v>47</v>
      </c>
      <c r="U980" s="2">
        <v>60</v>
      </c>
      <c r="V980" s="2">
        <v>10125</v>
      </c>
      <c r="W980" s="2">
        <v>73608.75</v>
      </c>
      <c r="X980" s="2">
        <v>7.27</v>
      </c>
      <c r="Y980" s="2">
        <v>0.12</v>
      </c>
      <c r="Z980" s="2">
        <v>1887</v>
      </c>
      <c r="AA980" s="2">
        <v>12736.25</v>
      </c>
      <c r="AB980">
        <v>1</v>
      </c>
      <c r="AC980">
        <v>2013</v>
      </c>
      <c r="AE980" s="2">
        <v>1215</v>
      </c>
    </row>
    <row r="981" spans="2:31" ht="14.5">
      <c r="B981" s="2">
        <v>83115</v>
      </c>
      <c r="C981" s="2" t="s">
        <v>1838</v>
      </c>
      <c r="D981" s="2" t="s">
        <v>1839</v>
      </c>
      <c r="E981" s="2" t="s">
        <v>28</v>
      </c>
      <c r="F981" s="2" t="s">
        <v>29</v>
      </c>
      <c r="G981" s="2" t="s">
        <v>30</v>
      </c>
      <c r="H981" s="2" t="s">
        <v>218</v>
      </c>
      <c r="I981" s="2" t="s">
        <v>219</v>
      </c>
      <c r="J981" s="2" t="s">
        <v>220</v>
      </c>
      <c r="K981" s="2" t="s">
        <v>267</v>
      </c>
      <c r="L981" s="3"/>
      <c r="M981" s="3">
        <v>41365</v>
      </c>
      <c r="N981" s="3">
        <v>41348</v>
      </c>
      <c r="O981" s="3">
        <v>41348</v>
      </c>
      <c r="P981" s="2" t="s">
        <v>484</v>
      </c>
      <c r="Q981" s="2" t="s">
        <v>105</v>
      </c>
      <c r="R981" s="2" t="s">
        <v>37</v>
      </c>
      <c r="S981" s="2" t="s">
        <v>100</v>
      </c>
      <c r="T981" s="2" t="s">
        <v>39</v>
      </c>
      <c r="U981" s="2">
        <v>30</v>
      </c>
      <c r="V981" s="2">
        <v>1773</v>
      </c>
      <c r="W981" s="2">
        <v>7162.92</v>
      </c>
      <c r="X981" s="2">
        <v>4.04</v>
      </c>
      <c r="Y981" s="2">
        <v>0.13</v>
      </c>
      <c r="Z981" s="2">
        <v>116</v>
      </c>
      <c r="AA981" s="2">
        <v>2035.84</v>
      </c>
      <c r="AB981">
        <v>1</v>
      </c>
      <c r="AC981">
        <v>2013</v>
      </c>
      <c r="AE981" s="2">
        <v>230.49</v>
      </c>
    </row>
    <row r="982" spans="2:31" ht="14.5">
      <c r="B982" s="2">
        <v>83122</v>
      </c>
      <c r="C982" s="2" t="s">
        <v>1840</v>
      </c>
      <c r="D982" s="2" t="s">
        <v>1841</v>
      </c>
      <c r="E982" s="2" t="s">
        <v>28</v>
      </c>
      <c r="F982" s="2" t="s">
        <v>29</v>
      </c>
      <c r="G982" s="2" t="s">
        <v>30</v>
      </c>
      <c r="H982" s="2" t="s">
        <v>218</v>
      </c>
      <c r="I982" s="2" t="s">
        <v>219</v>
      </c>
      <c r="J982" s="2" t="s">
        <v>220</v>
      </c>
      <c r="K982" s="2" t="s">
        <v>267</v>
      </c>
      <c r="L982" s="3"/>
      <c r="M982" s="3">
        <v>41364</v>
      </c>
      <c r="N982" s="3">
        <v>41366</v>
      </c>
      <c r="O982" s="3">
        <v>41366</v>
      </c>
      <c r="P982" s="2" t="s">
        <v>1457</v>
      </c>
      <c r="Q982" s="2" t="s">
        <v>236</v>
      </c>
      <c r="R982" s="2" t="s">
        <v>37</v>
      </c>
      <c r="S982" s="2" t="s">
        <v>1458</v>
      </c>
      <c r="T982" s="2" t="s">
        <v>47</v>
      </c>
      <c r="U982" s="2">
        <v>30</v>
      </c>
      <c r="V982" s="2">
        <v>15027</v>
      </c>
      <c r="W982" s="2">
        <v>91213.89</v>
      </c>
      <c r="X982" s="2">
        <v>6.07</v>
      </c>
      <c r="Y982" s="2">
        <v>0.2</v>
      </c>
      <c r="Z982" s="2">
        <v>1248</v>
      </c>
      <c r="AA982" s="2">
        <v>4529.5</v>
      </c>
      <c r="AB982">
        <v>0</v>
      </c>
      <c r="AC982">
        <v>2013</v>
      </c>
      <c r="AE982" s="2">
        <v>3005.4</v>
      </c>
    </row>
    <row r="983" spans="2:31" ht="14.5">
      <c r="B983" s="2">
        <v>83123</v>
      </c>
      <c r="C983" s="2" t="s">
        <v>1842</v>
      </c>
      <c r="D983" s="2" t="s">
        <v>1843</v>
      </c>
      <c r="E983" s="2" t="s">
        <v>118</v>
      </c>
      <c r="F983" s="2" t="s">
        <v>29</v>
      </c>
      <c r="G983" s="2" t="s">
        <v>30</v>
      </c>
      <c r="H983" s="2" t="s">
        <v>218</v>
      </c>
      <c r="I983" s="2" t="s">
        <v>219</v>
      </c>
      <c r="J983" s="2" t="s">
        <v>220</v>
      </c>
      <c r="K983" s="2" t="s">
        <v>267</v>
      </c>
      <c r="L983" s="3"/>
      <c r="M983" s="3">
        <v>41453</v>
      </c>
      <c r="N983" s="3">
        <v>41353</v>
      </c>
      <c r="O983" s="3">
        <v>41353</v>
      </c>
      <c r="P983" s="2" t="s">
        <v>1844</v>
      </c>
      <c r="Q983" s="2" t="s">
        <v>1000</v>
      </c>
      <c r="R983" s="2" t="s">
        <v>37</v>
      </c>
      <c r="S983" s="2" t="s">
        <v>1001</v>
      </c>
      <c r="T983" s="2" t="s">
        <v>47</v>
      </c>
      <c r="U983" s="2">
        <v>30</v>
      </c>
      <c r="V983" s="2">
        <v>5760</v>
      </c>
      <c r="W983" s="2">
        <v>80409.600000000006</v>
      </c>
      <c r="X983" s="2">
        <v>13.96</v>
      </c>
      <c r="Y983" s="2">
        <v>0.47</v>
      </c>
      <c r="Z983" s="2">
        <v>610</v>
      </c>
      <c r="AA983" s="2">
        <v>6585.03</v>
      </c>
      <c r="AB983">
        <v>1</v>
      </c>
      <c r="AC983">
        <v>2013</v>
      </c>
      <c r="AE983" s="2">
        <v>2707.2</v>
      </c>
    </row>
    <row r="984" spans="2:31" ht="14.5">
      <c r="B984" s="2">
        <v>83124</v>
      </c>
      <c r="C984" s="2" t="s">
        <v>1845</v>
      </c>
      <c r="D984" s="2" t="s">
        <v>1846</v>
      </c>
      <c r="E984" s="2" t="s">
        <v>118</v>
      </c>
      <c r="F984" s="2" t="s">
        <v>29</v>
      </c>
      <c r="G984" s="2" t="s">
        <v>30</v>
      </c>
      <c r="H984" s="2" t="s">
        <v>218</v>
      </c>
      <c r="I984" s="2" t="s">
        <v>219</v>
      </c>
      <c r="J984" s="2" t="s">
        <v>220</v>
      </c>
      <c r="K984" s="2" t="s">
        <v>34</v>
      </c>
      <c r="L984" s="3"/>
      <c r="M984" s="3">
        <v>41389</v>
      </c>
      <c r="N984" s="3">
        <v>41389</v>
      </c>
      <c r="O984" s="3">
        <v>41389</v>
      </c>
      <c r="P984" s="2" t="s">
        <v>35</v>
      </c>
      <c r="Q984" s="2" t="s">
        <v>36</v>
      </c>
      <c r="R984" s="2" t="s">
        <v>37</v>
      </c>
      <c r="S984" s="2" t="s">
        <v>38</v>
      </c>
      <c r="T984" s="2" t="s">
        <v>39</v>
      </c>
      <c r="U984" s="2">
        <v>60</v>
      </c>
      <c r="V984" s="2">
        <v>8834</v>
      </c>
      <c r="W984" s="2">
        <v>19964.84</v>
      </c>
      <c r="X984" s="2">
        <v>2.2599999999999998</v>
      </c>
      <c r="Y984" s="2">
        <v>0.04</v>
      </c>
      <c r="Z984" s="2">
        <v>1600</v>
      </c>
      <c r="AA984" s="2">
        <v>8699.7999999999993</v>
      </c>
      <c r="AB984">
        <v>1</v>
      </c>
      <c r="AC984">
        <v>2013</v>
      </c>
      <c r="AE984" s="2">
        <v>353.36</v>
      </c>
    </row>
    <row r="985" spans="2:31" ht="14.5">
      <c r="B985" s="2">
        <v>83133</v>
      </c>
      <c r="C985" s="2" t="s">
        <v>1624</v>
      </c>
      <c r="D985" s="2" t="s">
        <v>1625</v>
      </c>
      <c r="E985" s="2" t="s">
        <v>1581</v>
      </c>
      <c r="F985" s="2" t="s">
        <v>29</v>
      </c>
      <c r="G985" s="2" t="s">
        <v>30</v>
      </c>
      <c r="H985" s="2" t="s">
        <v>218</v>
      </c>
      <c r="I985" s="2" t="s">
        <v>219</v>
      </c>
      <c r="J985" s="2" t="s">
        <v>220</v>
      </c>
      <c r="K985" s="2" t="s">
        <v>34</v>
      </c>
      <c r="L985" s="3"/>
      <c r="M985" s="3">
        <v>41425</v>
      </c>
      <c r="N985" s="3">
        <v>41417</v>
      </c>
      <c r="O985" s="3">
        <v>41417</v>
      </c>
      <c r="P985" s="2" t="s">
        <v>44</v>
      </c>
      <c r="Q985" s="2" t="s">
        <v>45</v>
      </c>
      <c r="R985" s="2" t="s">
        <v>37</v>
      </c>
      <c r="S985" s="2" t="s">
        <v>46</v>
      </c>
      <c r="T985" s="2" t="s">
        <v>47</v>
      </c>
      <c r="U985" s="2">
        <v>60</v>
      </c>
      <c r="V985" s="2">
        <v>2940</v>
      </c>
      <c r="W985" s="2">
        <v>21373.8</v>
      </c>
      <c r="X985" s="2">
        <v>7.27</v>
      </c>
      <c r="Y985" s="2">
        <v>0.12</v>
      </c>
      <c r="AB985">
        <v>1</v>
      </c>
      <c r="AC985">
        <v>2013</v>
      </c>
      <c r="AE985" s="2">
        <v>352.8</v>
      </c>
    </row>
    <row r="986" spans="2:31" ht="14.5">
      <c r="B986" s="2">
        <v>83134</v>
      </c>
      <c r="C986" s="2" t="s">
        <v>1847</v>
      </c>
      <c r="D986" s="2" t="s">
        <v>1848</v>
      </c>
      <c r="E986" s="2" t="s">
        <v>118</v>
      </c>
      <c r="F986" s="2" t="s">
        <v>29</v>
      </c>
      <c r="G986" s="2" t="s">
        <v>30</v>
      </c>
      <c r="H986" s="2" t="s">
        <v>218</v>
      </c>
      <c r="I986" s="2" t="s">
        <v>219</v>
      </c>
      <c r="J986" s="2" t="s">
        <v>220</v>
      </c>
      <c r="K986" s="2" t="s">
        <v>34</v>
      </c>
      <c r="L986" s="3"/>
      <c r="M986" s="3">
        <v>41394</v>
      </c>
      <c r="N986" s="3">
        <v>41403</v>
      </c>
      <c r="O986" s="3">
        <v>41403</v>
      </c>
      <c r="P986" s="2" t="s">
        <v>35</v>
      </c>
      <c r="Q986" s="2" t="s">
        <v>36</v>
      </c>
      <c r="R986" s="2" t="s">
        <v>37</v>
      </c>
      <c r="S986" s="2" t="s">
        <v>38</v>
      </c>
      <c r="T986" s="2" t="s">
        <v>39</v>
      </c>
      <c r="U986" s="2">
        <v>60</v>
      </c>
      <c r="V986" s="2">
        <v>11490</v>
      </c>
      <c r="W986" s="2">
        <v>25967.4</v>
      </c>
      <c r="X986" s="2">
        <v>2.2599999999999998</v>
      </c>
      <c r="Y986" s="2">
        <v>0.04</v>
      </c>
      <c r="Z986" s="2">
        <v>722</v>
      </c>
      <c r="AA986" s="2">
        <v>3483.79</v>
      </c>
      <c r="AB986">
        <v>0</v>
      </c>
      <c r="AC986">
        <v>2013</v>
      </c>
      <c r="AE986" s="2">
        <v>459.6</v>
      </c>
    </row>
    <row r="987" spans="2:31" ht="14.5">
      <c r="B987" s="2">
        <v>83135</v>
      </c>
      <c r="C987" s="2" t="s">
        <v>1849</v>
      </c>
      <c r="D987" s="2" t="s">
        <v>1850</v>
      </c>
      <c r="E987" s="2" t="s">
        <v>1581</v>
      </c>
      <c r="F987" s="2" t="s">
        <v>29</v>
      </c>
      <c r="G987" s="2" t="s">
        <v>30</v>
      </c>
      <c r="H987" s="2" t="s">
        <v>218</v>
      </c>
      <c r="I987" s="2" t="s">
        <v>219</v>
      </c>
      <c r="J987" s="2" t="s">
        <v>220</v>
      </c>
      <c r="K987" s="2" t="s">
        <v>34</v>
      </c>
      <c r="L987" s="3"/>
      <c r="M987" s="3">
        <v>41455</v>
      </c>
      <c r="N987" s="3">
        <v>41403</v>
      </c>
      <c r="O987" s="3">
        <v>41403</v>
      </c>
      <c r="P987" s="2" t="s">
        <v>98</v>
      </c>
      <c r="Q987" s="2" t="s">
        <v>99</v>
      </c>
      <c r="R987" s="2" t="s">
        <v>37</v>
      </c>
      <c r="S987" s="2" t="s">
        <v>100</v>
      </c>
      <c r="T987" s="2" t="s">
        <v>39</v>
      </c>
      <c r="U987" s="2">
        <v>60</v>
      </c>
      <c r="V987" s="2">
        <v>180</v>
      </c>
      <c r="W987" s="2">
        <v>2332.8000000000002</v>
      </c>
      <c r="X987" s="2">
        <v>12.96</v>
      </c>
      <c r="Y987" s="2">
        <v>0.22</v>
      </c>
      <c r="Z987" s="2">
        <v>123</v>
      </c>
      <c r="AA987" s="2">
        <v>1501.4</v>
      </c>
      <c r="AB987">
        <v>1</v>
      </c>
      <c r="AC987">
        <v>2013</v>
      </c>
      <c r="AE987" s="2">
        <v>39.6</v>
      </c>
    </row>
    <row r="988" spans="2:31" ht="14.5">
      <c r="B988" s="2">
        <v>83139</v>
      </c>
      <c r="C988" s="2" t="s">
        <v>1851</v>
      </c>
      <c r="D988" s="2" t="s">
        <v>1852</v>
      </c>
      <c r="E988" s="2" t="s">
        <v>118</v>
      </c>
      <c r="F988" s="2" t="s">
        <v>29</v>
      </c>
      <c r="G988" s="2" t="s">
        <v>30</v>
      </c>
      <c r="H988" s="2" t="s">
        <v>218</v>
      </c>
      <c r="I988" s="2" t="s">
        <v>219</v>
      </c>
      <c r="J988" s="2" t="s">
        <v>220</v>
      </c>
      <c r="K988" s="2" t="s">
        <v>34</v>
      </c>
      <c r="L988" s="3"/>
      <c r="M988" s="3">
        <v>41445</v>
      </c>
      <c r="N988" s="3">
        <v>41416</v>
      </c>
      <c r="O988" s="3">
        <v>41416</v>
      </c>
      <c r="P988" s="2" t="s">
        <v>754</v>
      </c>
      <c r="Q988" s="2" t="s">
        <v>755</v>
      </c>
      <c r="R988" s="2" t="s">
        <v>37</v>
      </c>
      <c r="S988" s="2" t="s">
        <v>756</v>
      </c>
      <c r="T988" s="2" t="s">
        <v>47</v>
      </c>
      <c r="U988" s="2">
        <v>30</v>
      </c>
      <c r="V988" s="2">
        <v>238606</v>
      </c>
      <c r="W988" s="2">
        <v>2510135.12</v>
      </c>
      <c r="X988" s="2">
        <v>10.52</v>
      </c>
      <c r="Y988" s="2">
        <v>0.35</v>
      </c>
      <c r="Z988" s="2">
        <v>31473</v>
      </c>
      <c r="AA988" s="2">
        <v>24816.73</v>
      </c>
      <c r="AB988">
        <v>1</v>
      </c>
      <c r="AC988">
        <v>2013</v>
      </c>
      <c r="AE988" s="2">
        <v>83512.099999999991</v>
      </c>
    </row>
    <row r="989" spans="2:31" ht="14.5">
      <c r="B989" s="2">
        <v>83140</v>
      </c>
      <c r="C989" s="2" t="s">
        <v>1630</v>
      </c>
      <c r="D989" s="2" t="s">
        <v>1631</v>
      </c>
      <c r="E989" s="2" t="s">
        <v>118</v>
      </c>
      <c r="F989" s="2" t="s">
        <v>29</v>
      </c>
      <c r="G989" s="2" t="s">
        <v>30</v>
      </c>
      <c r="H989" s="2" t="s">
        <v>218</v>
      </c>
      <c r="I989" s="2" t="s">
        <v>219</v>
      </c>
      <c r="J989" s="2" t="s">
        <v>220</v>
      </c>
      <c r="K989" s="2" t="s">
        <v>267</v>
      </c>
      <c r="L989" s="3"/>
      <c r="M989" s="3">
        <v>41453</v>
      </c>
      <c r="N989" s="3">
        <v>41432</v>
      </c>
      <c r="O989" s="3">
        <v>41432</v>
      </c>
      <c r="P989" s="2" t="s">
        <v>44</v>
      </c>
      <c r="Q989" s="2" t="s">
        <v>45</v>
      </c>
      <c r="R989" s="2" t="s">
        <v>37</v>
      </c>
      <c r="S989" s="2" t="s">
        <v>46</v>
      </c>
      <c r="T989" s="2" t="s">
        <v>47</v>
      </c>
      <c r="U989" s="2">
        <v>60</v>
      </c>
      <c r="V989" s="2">
        <v>18547</v>
      </c>
      <c r="W989" s="2">
        <v>129829</v>
      </c>
      <c r="X989" s="2">
        <v>7</v>
      </c>
      <c r="Y989" s="2">
        <v>0.12</v>
      </c>
      <c r="AB989">
        <v>1</v>
      </c>
      <c r="AC989">
        <v>2013</v>
      </c>
      <c r="AE989" s="2">
        <v>2225.64</v>
      </c>
    </row>
    <row r="990" spans="2:31" ht="14.5">
      <c r="B990" s="2">
        <v>83145</v>
      </c>
      <c r="C990" s="2" t="s">
        <v>1853</v>
      </c>
      <c r="D990" s="2" t="s">
        <v>1854</v>
      </c>
      <c r="E990" s="2" t="s">
        <v>118</v>
      </c>
      <c r="F990" s="2" t="s">
        <v>29</v>
      </c>
      <c r="G990" s="2" t="s">
        <v>30</v>
      </c>
      <c r="H990" s="2" t="s">
        <v>218</v>
      </c>
      <c r="I990" s="2" t="s">
        <v>219</v>
      </c>
      <c r="J990" s="2" t="s">
        <v>220</v>
      </c>
      <c r="K990" s="2" t="s">
        <v>267</v>
      </c>
      <c r="L990" s="3"/>
      <c r="M990" s="3">
        <v>41485</v>
      </c>
      <c r="N990" s="3">
        <v>41495</v>
      </c>
      <c r="O990" s="3">
        <v>41495</v>
      </c>
      <c r="P990" s="2" t="s">
        <v>706</v>
      </c>
      <c r="Q990" s="2" t="s">
        <v>707</v>
      </c>
      <c r="R990" s="2" t="s">
        <v>37</v>
      </c>
      <c r="S990" s="2" t="s">
        <v>708</v>
      </c>
      <c r="T990" s="2" t="s">
        <v>47</v>
      </c>
      <c r="U990" s="2">
        <v>30</v>
      </c>
      <c r="V990" s="2">
        <v>26112</v>
      </c>
      <c r="W990" s="2">
        <v>122726.39999999999</v>
      </c>
      <c r="X990" s="2">
        <v>4.7</v>
      </c>
      <c r="Y990" s="2">
        <v>0.16</v>
      </c>
      <c r="Z990" s="2">
        <v>2444</v>
      </c>
      <c r="AA990" s="2">
        <v>8800.81</v>
      </c>
      <c r="AB990">
        <v>0</v>
      </c>
      <c r="AC990">
        <v>2013</v>
      </c>
      <c r="AE990" s="2">
        <v>4177.92</v>
      </c>
    </row>
    <row r="991" spans="2:31" ht="14.5">
      <c r="B991" s="2">
        <v>83146</v>
      </c>
      <c r="C991" s="2" t="s">
        <v>1855</v>
      </c>
      <c r="D991" s="2" t="s">
        <v>1856</v>
      </c>
      <c r="E991" s="2" t="s">
        <v>28</v>
      </c>
      <c r="F991" s="2" t="s">
        <v>29</v>
      </c>
      <c r="G991" s="2" t="s">
        <v>30</v>
      </c>
      <c r="H991" s="2" t="s">
        <v>218</v>
      </c>
      <c r="I991" s="2" t="s">
        <v>219</v>
      </c>
      <c r="J991" s="2" t="s">
        <v>220</v>
      </c>
      <c r="K991" s="2" t="s">
        <v>267</v>
      </c>
      <c r="L991" s="3"/>
      <c r="M991" s="3">
        <v>41542</v>
      </c>
      <c r="N991" s="3">
        <v>41540</v>
      </c>
      <c r="O991" s="3">
        <v>41540</v>
      </c>
      <c r="P991" s="2" t="s">
        <v>112</v>
      </c>
      <c r="Q991" s="2" t="s">
        <v>113</v>
      </c>
      <c r="R991" s="2" t="s">
        <v>37</v>
      </c>
      <c r="S991" s="2" t="s">
        <v>114</v>
      </c>
      <c r="T991" s="2" t="s">
        <v>47</v>
      </c>
      <c r="U991" s="2">
        <v>60</v>
      </c>
      <c r="V991" s="2">
        <v>73690</v>
      </c>
      <c r="W991" s="2">
        <v>632260.19999999995</v>
      </c>
      <c r="X991" s="2">
        <v>8.58</v>
      </c>
      <c r="Y991" s="2">
        <v>0.14000000000000001</v>
      </c>
      <c r="Z991" s="2">
        <v>9886</v>
      </c>
      <c r="AA991" s="2">
        <v>44300.9</v>
      </c>
      <c r="AB991">
        <v>1</v>
      </c>
      <c r="AC991">
        <v>2013</v>
      </c>
      <c r="AE991" s="2">
        <v>10316.6</v>
      </c>
    </row>
    <row r="992" spans="2:31" ht="14.5">
      <c r="B992" s="2">
        <v>83148</v>
      </c>
      <c r="C992" s="2" t="s">
        <v>1857</v>
      </c>
      <c r="D992" s="2" t="s">
        <v>1858</v>
      </c>
      <c r="E992" s="2" t="s">
        <v>1581</v>
      </c>
      <c r="F992" s="2" t="s">
        <v>29</v>
      </c>
      <c r="G992" s="2" t="s">
        <v>30</v>
      </c>
      <c r="H992" s="2" t="s">
        <v>218</v>
      </c>
      <c r="I992" s="2" t="s">
        <v>219</v>
      </c>
      <c r="J992" s="2" t="s">
        <v>220</v>
      </c>
      <c r="K992" s="2" t="s">
        <v>34</v>
      </c>
      <c r="L992" s="3"/>
      <c r="M992" s="3">
        <v>41510</v>
      </c>
      <c r="N992" s="3">
        <v>41512</v>
      </c>
      <c r="O992" s="3">
        <v>41512</v>
      </c>
      <c r="P992" s="2" t="s">
        <v>759</v>
      </c>
      <c r="Q992" s="2" t="s">
        <v>84</v>
      </c>
      <c r="R992" s="2" t="s">
        <v>37</v>
      </c>
      <c r="S992" s="2" t="s">
        <v>152</v>
      </c>
      <c r="T992" s="2" t="s">
        <v>39</v>
      </c>
      <c r="U992" s="2">
        <v>120</v>
      </c>
      <c r="V992" s="2">
        <v>213</v>
      </c>
      <c r="W992" s="2">
        <v>4639.1400000000003</v>
      </c>
      <c r="X992" s="2">
        <v>21.78</v>
      </c>
      <c r="Y992" s="2">
        <v>0.18</v>
      </c>
      <c r="Z992" s="2">
        <v>928</v>
      </c>
      <c r="AA992" s="2">
        <v>4323.4399999999996</v>
      </c>
      <c r="AB992">
        <v>0</v>
      </c>
      <c r="AC992">
        <v>2013</v>
      </c>
      <c r="AE992" s="2">
        <v>38.339999999999996</v>
      </c>
    </row>
    <row r="993" spans="2:31" ht="14.5">
      <c r="B993" s="2">
        <v>83149</v>
      </c>
      <c r="C993" s="2" t="s">
        <v>1859</v>
      </c>
      <c r="D993" s="2" t="s">
        <v>1860</v>
      </c>
      <c r="E993" s="2" t="s">
        <v>118</v>
      </c>
      <c r="F993" s="2" t="s">
        <v>29</v>
      </c>
      <c r="G993" s="2" t="s">
        <v>30</v>
      </c>
      <c r="H993" s="2" t="s">
        <v>218</v>
      </c>
      <c r="I993" s="2" t="s">
        <v>219</v>
      </c>
      <c r="J993" s="2" t="s">
        <v>220</v>
      </c>
      <c r="K993" s="2" t="s">
        <v>34</v>
      </c>
      <c r="L993" s="3"/>
      <c r="M993" s="3">
        <v>41492</v>
      </c>
      <c r="N993" s="3">
        <v>41506</v>
      </c>
      <c r="O993" s="3">
        <v>41506</v>
      </c>
      <c r="P993" s="2" t="s">
        <v>44</v>
      </c>
      <c r="Q993" s="2" t="s">
        <v>45</v>
      </c>
      <c r="R993" s="2" t="s">
        <v>37</v>
      </c>
      <c r="S993" s="2" t="s">
        <v>46</v>
      </c>
      <c r="T993" s="2" t="s">
        <v>47</v>
      </c>
      <c r="U993" s="2">
        <v>60</v>
      </c>
      <c r="V993" s="2">
        <v>54728</v>
      </c>
      <c r="W993" s="2">
        <v>383096</v>
      </c>
      <c r="X993" s="2">
        <v>7</v>
      </c>
      <c r="Y993" s="2">
        <v>0.12</v>
      </c>
      <c r="Z993" s="2">
        <v>14143</v>
      </c>
      <c r="AA993" s="2">
        <v>100654.61</v>
      </c>
      <c r="AB993">
        <v>0</v>
      </c>
      <c r="AC993">
        <v>2013</v>
      </c>
      <c r="AE993" s="2">
        <v>6567.36</v>
      </c>
    </row>
    <row r="994" spans="2:31" ht="14.5">
      <c r="B994" s="2">
        <v>83150</v>
      </c>
      <c r="C994" s="2" t="s">
        <v>1861</v>
      </c>
      <c r="D994" s="2" t="s">
        <v>1862</v>
      </c>
      <c r="E994" s="2" t="s">
        <v>118</v>
      </c>
      <c r="F994" s="2" t="s">
        <v>29</v>
      </c>
      <c r="G994" s="2" t="s">
        <v>30</v>
      </c>
      <c r="H994" s="2" t="s">
        <v>218</v>
      </c>
      <c r="I994" s="2" t="s">
        <v>219</v>
      </c>
      <c r="J994" s="2" t="s">
        <v>220</v>
      </c>
      <c r="K994" s="2" t="s">
        <v>34</v>
      </c>
      <c r="L994" s="3"/>
      <c r="M994" s="3">
        <v>41544</v>
      </c>
      <c r="N994" s="3">
        <v>41544</v>
      </c>
      <c r="O994" s="3">
        <v>41544</v>
      </c>
      <c r="P994" s="2" t="s">
        <v>706</v>
      </c>
      <c r="Q994" s="2" t="s">
        <v>707</v>
      </c>
      <c r="R994" s="2" t="s">
        <v>37</v>
      </c>
      <c r="S994" s="2" t="s">
        <v>708</v>
      </c>
      <c r="T994" s="2" t="s">
        <v>47</v>
      </c>
      <c r="U994" s="2">
        <v>30</v>
      </c>
      <c r="V994" s="2">
        <v>34385</v>
      </c>
      <c r="W994" s="2">
        <v>161609.5</v>
      </c>
      <c r="X994" s="2">
        <v>4.7</v>
      </c>
      <c r="Y994" s="2">
        <v>0.16</v>
      </c>
      <c r="Z994" s="2">
        <v>11594</v>
      </c>
      <c r="AA994" s="2">
        <v>85414.3</v>
      </c>
      <c r="AB994">
        <v>1</v>
      </c>
      <c r="AC994">
        <v>2013</v>
      </c>
      <c r="AE994" s="2">
        <v>5501.6</v>
      </c>
    </row>
    <row r="995" spans="2:31" ht="14.5">
      <c r="B995" s="2">
        <v>83154</v>
      </c>
      <c r="C995" s="2" t="s">
        <v>1863</v>
      </c>
      <c r="D995" s="2" t="s">
        <v>1864</v>
      </c>
      <c r="E995" s="2" t="s">
        <v>118</v>
      </c>
      <c r="F995" s="2" t="s">
        <v>29</v>
      </c>
      <c r="G995" s="2" t="s">
        <v>50</v>
      </c>
      <c r="H995" s="2" t="s">
        <v>218</v>
      </c>
      <c r="I995" s="2" t="s">
        <v>219</v>
      </c>
      <c r="J995" s="2" t="s">
        <v>220</v>
      </c>
      <c r="K995" s="2" t="s">
        <v>267</v>
      </c>
      <c r="L995" s="3"/>
      <c r="M995" s="3">
        <v>41516</v>
      </c>
      <c r="N995" s="3">
        <v>41516</v>
      </c>
      <c r="O995" s="3">
        <v>41516</v>
      </c>
      <c r="P995" s="2" t="s">
        <v>802</v>
      </c>
      <c r="Q995" s="2" t="s">
        <v>96</v>
      </c>
      <c r="R995" s="2" t="s">
        <v>37</v>
      </c>
      <c r="S995" s="2" t="s">
        <v>38</v>
      </c>
      <c r="T995" s="2" t="s">
        <v>39</v>
      </c>
      <c r="U995" s="2">
        <v>90</v>
      </c>
      <c r="V995" s="2">
        <v>338</v>
      </c>
      <c r="W995" s="2">
        <v>2467.4</v>
      </c>
      <c r="X995" s="2">
        <v>7.3</v>
      </c>
      <c r="Y995" s="2">
        <v>0.08</v>
      </c>
      <c r="Z995" s="2">
        <v>25</v>
      </c>
      <c r="AA995" s="2">
        <v>759.79</v>
      </c>
      <c r="AB995">
        <v>1</v>
      </c>
      <c r="AC995">
        <v>2013</v>
      </c>
      <c r="AE995" s="2">
        <v>27.04</v>
      </c>
    </row>
    <row r="996" spans="2:31" ht="14.5">
      <c r="B996" s="2">
        <v>83155</v>
      </c>
      <c r="C996" s="2" t="s">
        <v>1865</v>
      </c>
      <c r="D996" s="2" t="s">
        <v>1866</v>
      </c>
      <c r="E996" s="2" t="s">
        <v>28</v>
      </c>
      <c r="F996" s="2" t="s">
        <v>29</v>
      </c>
      <c r="G996" s="2" t="s">
        <v>30</v>
      </c>
      <c r="H996" s="2" t="s">
        <v>218</v>
      </c>
      <c r="I996" s="2" t="s">
        <v>219</v>
      </c>
      <c r="J996" s="2" t="s">
        <v>220</v>
      </c>
      <c r="K996" s="2" t="s">
        <v>267</v>
      </c>
      <c r="L996" s="3"/>
      <c r="M996" s="3">
        <v>41562</v>
      </c>
      <c r="N996" s="3">
        <v>41527</v>
      </c>
      <c r="O996" s="3">
        <v>41527</v>
      </c>
      <c r="P996" s="2" t="s">
        <v>1457</v>
      </c>
      <c r="Q996" s="2" t="s">
        <v>236</v>
      </c>
      <c r="R996" s="2" t="s">
        <v>37</v>
      </c>
      <c r="S996" s="2" t="s">
        <v>1458</v>
      </c>
      <c r="T996" s="2" t="s">
        <v>47</v>
      </c>
      <c r="U996" s="2">
        <v>30</v>
      </c>
      <c r="V996" s="2">
        <v>26000</v>
      </c>
      <c r="W996" s="2">
        <v>152620</v>
      </c>
      <c r="X996" s="2">
        <v>5.87</v>
      </c>
      <c r="Y996" s="2">
        <v>0.2</v>
      </c>
      <c r="Z996" s="2">
        <v>3888</v>
      </c>
      <c r="AA996" s="2">
        <v>8057.19</v>
      </c>
      <c r="AB996">
        <v>1</v>
      </c>
      <c r="AC996">
        <v>2013</v>
      </c>
      <c r="AE996" s="2">
        <v>5200</v>
      </c>
    </row>
    <row r="997" spans="2:31" ht="14.5">
      <c r="B997" s="2">
        <v>83156</v>
      </c>
      <c r="C997" s="2" t="s">
        <v>1867</v>
      </c>
      <c r="D997" s="2" t="s">
        <v>1868</v>
      </c>
      <c r="E997" s="2" t="s">
        <v>118</v>
      </c>
      <c r="F997" s="2" t="s">
        <v>29</v>
      </c>
      <c r="G997" s="2" t="s">
        <v>30</v>
      </c>
      <c r="H997" s="2" t="s">
        <v>218</v>
      </c>
      <c r="I997" s="2" t="s">
        <v>219</v>
      </c>
      <c r="J997" s="2" t="s">
        <v>220</v>
      </c>
      <c r="K997" s="2" t="s">
        <v>267</v>
      </c>
      <c r="L997" s="3"/>
      <c r="M997" s="3">
        <v>41529</v>
      </c>
      <c r="N997" s="3">
        <v>41563</v>
      </c>
      <c r="O997" s="3">
        <v>41576</v>
      </c>
      <c r="P997" s="2" t="s">
        <v>706</v>
      </c>
      <c r="Q997" s="2" t="s">
        <v>707</v>
      </c>
      <c r="R997" s="2" t="s">
        <v>37</v>
      </c>
      <c r="S997" s="2" t="s">
        <v>708</v>
      </c>
      <c r="T997" s="2" t="s">
        <v>47</v>
      </c>
      <c r="U997" s="2">
        <v>30</v>
      </c>
      <c r="V997" s="2">
        <v>4403</v>
      </c>
      <c r="W997" s="2">
        <v>20694.099999999999</v>
      </c>
      <c r="X997" s="2">
        <v>4.7</v>
      </c>
      <c r="Y997" s="2">
        <v>0.16</v>
      </c>
      <c r="Z997" s="2">
        <v>703</v>
      </c>
      <c r="AA997" s="2">
        <v>4234.12</v>
      </c>
      <c r="AB997">
        <v>0</v>
      </c>
      <c r="AC997">
        <v>2013</v>
      </c>
      <c r="AE997" s="2">
        <v>704.48</v>
      </c>
    </row>
    <row r="998" spans="2:31" ht="14.5">
      <c r="B998" s="2">
        <v>83157</v>
      </c>
      <c r="C998" s="2" t="s">
        <v>1869</v>
      </c>
      <c r="D998" s="2" t="s">
        <v>1870</v>
      </c>
      <c r="E998" s="2" t="s">
        <v>28</v>
      </c>
      <c r="F998" s="2" t="s">
        <v>29</v>
      </c>
      <c r="G998" s="2" t="s">
        <v>30</v>
      </c>
      <c r="H998" s="2" t="s">
        <v>218</v>
      </c>
      <c r="I998" s="2" t="s">
        <v>219</v>
      </c>
      <c r="J998" s="2" t="s">
        <v>220</v>
      </c>
      <c r="K998" s="2" t="s">
        <v>267</v>
      </c>
      <c r="L998" s="3"/>
      <c r="M998" s="3">
        <v>41563</v>
      </c>
      <c r="N998" s="3">
        <v>41544</v>
      </c>
      <c r="O998" s="3">
        <v>41544</v>
      </c>
      <c r="P998" s="2" t="s">
        <v>749</v>
      </c>
      <c r="Q998" s="2" t="s">
        <v>76</v>
      </c>
      <c r="R998" s="2" t="s">
        <v>37</v>
      </c>
      <c r="S998" s="2" t="s">
        <v>78</v>
      </c>
      <c r="T998" s="2" t="s">
        <v>47</v>
      </c>
      <c r="U998" s="2">
        <v>30</v>
      </c>
      <c r="V998" s="2">
        <v>67426</v>
      </c>
      <c r="W998" s="2">
        <v>829339.8</v>
      </c>
      <c r="X998" s="2">
        <v>12.3</v>
      </c>
      <c r="Y998" s="2">
        <v>0.41</v>
      </c>
      <c r="Z998" s="2">
        <v>7596</v>
      </c>
      <c r="AA998" s="2">
        <v>3567.19</v>
      </c>
      <c r="AB998">
        <v>1</v>
      </c>
      <c r="AC998">
        <v>2013</v>
      </c>
      <c r="AE998" s="2">
        <v>27644.66</v>
      </c>
    </row>
    <row r="999" spans="2:31" ht="14.5">
      <c r="B999" s="2">
        <v>83160</v>
      </c>
      <c r="C999" s="2" t="s">
        <v>1871</v>
      </c>
      <c r="D999" s="2" t="s">
        <v>1872</v>
      </c>
      <c r="E999" s="2" t="s">
        <v>28</v>
      </c>
      <c r="F999" s="2" t="s">
        <v>29</v>
      </c>
      <c r="G999" s="2" t="s">
        <v>50</v>
      </c>
      <c r="H999" s="2" t="s">
        <v>218</v>
      </c>
      <c r="I999" s="2" t="s">
        <v>219</v>
      </c>
      <c r="J999" s="2" t="s">
        <v>220</v>
      </c>
      <c r="K999" s="2" t="s">
        <v>267</v>
      </c>
      <c r="L999" s="3"/>
      <c r="M999" s="3">
        <v>41578</v>
      </c>
      <c r="N999" s="3">
        <v>41544</v>
      </c>
      <c r="O999" s="3">
        <v>41544</v>
      </c>
      <c r="P999" s="2" t="s">
        <v>859</v>
      </c>
      <c r="Q999" s="2" t="s">
        <v>45</v>
      </c>
      <c r="R999" s="2" t="s">
        <v>37</v>
      </c>
      <c r="S999" s="2" t="s">
        <v>728</v>
      </c>
      <c r="T999" s="2" t="s">
        <v>47</v>
      </c>
      <c r="U999" s="2">
        <v>60</v>
      </c>
      <c r="V999" s="2">
        <v>25836</v>
      </c>
      <c r="W999" s="2">
        <v>55547.4</v>
      </c>
      <c r="X999" s="2">
        <v>2.15</v>
      </c>
      <c r="Y999" s="2">
        <v>0.04</v>
      </c>
      <c r="Z999" s="2">
        <v>5467</v>
      </c>
      <c r="AA999" s="2">
        <v>3567.2</v>
      </c>
      <c r="AB999">
        <v>1</v>
      </c>
      <c r="AC999">
        <v>2013</v>
      </c>
      <c r="AE999" s="2">
        <v>1033.44</v>
      </c>
    </row>
    <row r="1000" spans="2:31" ht="14.5">
      <c r="B1000" s="2">
        <v>83164</v>
      </c>
      <c r="C1000" s="2" t="s">
        <v>1873</v>
      </c>
      <c r="D1000" s="2" t="s">
        <v>1874</v>
      </c>
      <c r="E1000" s="2" t="s">
        <v>42</v>
      </c>
      <c r="F1000" s="2" t="s">
        <v>29</v>
      </c>
      <c r="G1000" s="2" t="s">
        <v>30</v>
      </c>
      <c r="H1000" s="2" t="s">
        <v>218</v>
      </c>
      <c r="I1000" s="2" t="s">
        <v>219</v>
      </c>
      <c r="J1000" s="2" t="s">
        <v>220</v>
      </c>
      <c r="K1000" s="2" t="s">
        <v>267</v>
      </c>
      <c r="L1000" s="3"/>
      <c r="M1000" s="3">
        <v>41551</v>
      </c>
      <c r="N1000" s="3">
        <v>41562</v>
      </c>
      <c r="O1000" s="3">
        <v>41576</v>
      </c>
      <c r="P1000" s="2" t="s">
        <v>35</v>
      </c>
      <c r="Q1000" s="2" t="s">
        <v>36</v>
      </c>
      <c r="R1000" s="2" t="s">
        <v>37</v>
      </c>
      <c r="S1000" s="2" t="s">
        <v>38</v>
      </c>
      <c r="T1000" s="2" t="s">
        <v>39</v>
      </c>
      <c r="U1000" s="2">
        <v>60</v>
      </c>
      <c r="V1000" s="2">
        <v>41250</v>
      </c>
      <c r="W1000" s="2">
        <v>93225</v>
      </c>
      <c r="X1000" s="2">
        <v>2.2599999999999998</v>
      </c>
      <c r="Y1000" s="2">
        <v>0.04</v>
      </c>
      <c r="Z1000" s="2">
        <v>2295</v>
      </c>
      <c r="AA1000" s="2">
        <v>4390.9799999999996</v>
      </c>
      <c r="AB1000">
        <v>0</v>
      </c>
      <c r="AC1000">
        <v>2013</v>
      </c>
      <c r="AE1000" s="2">
        <v>1650</v>
      </c>
    </row>
    <row r="1001" spans="2:31" ht="14.5">
      <c r="B1001" s="2">
        <v>83176</v>
      </c>
      <c r="C1001" s="2" t="s">
        <v>1875</v>
      </c>
      <c r="D1001" s="2" t="s">
        <v>1876</v>
      </c>
      <c r="E1001" s="2" t="s">
        <v>1581</v>
      </c>
      <c r="F1001" s="2" t="s">
        <v>29</v>
      </c>
      <c r="G1001" s="2" t="s">
        <v>30</v>
      </c>
      <c r="H1001" s="2" t="s">
        <v>218</v>
      </c>
      <c r="I1001" s="2" t="s">
        <v>219</v>
      </c>
      <c r="J1001" s="2" t="s">
        <v>220</v>
      </c>
      <c r="K1001" s="2" t="s">
        <v>34</v>
      </c>
      <c r="L1001" s="3"/>
      <c r="M1001" s="3">
        <v>41593</v>
      </c>
      <c r="N1001" s="3">
        <v>41600</v>
      </c>
      <c r="O1001" s="3">
        <v>41605</v>
      </c>
      <c r="P1001" s="2" t="s">
        <v>706</v>
      </c>
      <c r="Q1001" s="2" t="s">
        <v>707</v>
      </c>
      <c r="R1001" s="2" t="s">
        <v>37</v>
      </c>
      <c r="S1001" s="2" t="s">
        <v>708</v>
      </c>
      <c r="T1001" s="2" t="s">
        <v>47</v>
      </c>
      <c r="U1001" s="2">
        <v>30</v>
      </c>
      <c r="V1001" s="2">
        <v>1920</v>
      </c>
      <c r="W1001" s="2">
        <v>9024</v>
      </c>
      <c r="X1001" s="2">
        <v>4.7</v>
      </c>
      <c r="Y1001" s="2">
        <v>0.16</v>
      </c>
      <c r="Z1001" s="2">
        <v>160</v>
      </c>
      <c r="AA1001" s="2">
        <v>1527.29</v>
      </c>
      <c r="AB1001">
        <v>0</v>
      </c>
      <c r="AC1001">
        <v>2013</v>
      </c>
      <c r="AE1001" s="2">
        <v>307.2</v>
      </c>
    </row>
    <row r="1002" spans="2:31" ht="14.5">
      <c r="B1002" s="2">
        <v>83177</v>
      </c>
      <c r="C1002" s="2" t="s">
        <v>1877</v>
      </c>
      <c r="D1002" s="2" t="s">
        <v>1878</v>
      </c>
      <c r="E1002" s="2" t="s">
        <v>1581</v>
      </c>
      <c r="F1002" s="2" t="s">
        <v>29</v>
      </c>
      <c r="G1002" s="2" t="s">
        <v>30</v>
      </c>
      <c r="H1002" s="2" t="s">
        <v>218</v>
      </c>
      <c r="I1002" s="2" t="s">
        <v>219</v>
      </c>
      <c r="J1002" s="2" t="s">
        <v>220</v>
      </c>
      <c r="K1002" s="2" t="s">
        <v>34</v>
      </c>
      <c r="L1002" s="3"/>
      <c r="M1002" s="3">
        <v>41600</v>
      </c>
      <c r="N1002" s="3">
        <v>41613</v>
      </c>
      <c r="O1002" s="3">
        <v>41620</v>
      </c>
      <c r="P1002" s="2" t="s">
        <v>759</v>
      </c>
      <c r="Q1002" s="2" t="s">
        <v>84</v>
      </c>
      <c r="R1002" s="2" t="s">
        <v>37</v>
      </c>
      <c r="S1002" s="2" t="s">
        <v>152</v>
      </c>
      <c r="T1002" s="2" t="s">
        <v>39</v>
      </c>
      <c r="U1002" s="2">
        <v>120</v>
      </c>
      <c r="V1002" s="2">
        <v>392</v>
      </c>
      <c r="W1002" s="2">
        <v>8232</v>
      </c>
      <c r="X1002" s="2">
        <v>21</v>
      </c>
      <c r="Y1002" s="2">
        <v>0.18</v>
      </c>
      <c r="Z1002" s="2">
        <v>105</v>
      </c>
      <c r="AA1002" s="2">
        <v>1456.4</v>
      </c>
      <c r="AB1002">
        <v>0</v>
      </c>
      <c r="AC1002">
        <v>2013</v>
      </c>
      <c r="AE1002" s="2">
        <v>70.56</v>
      </c>
    </row>
    <row r="1003" spans="2:31" ht="14.5">
      <c r="B1003" s="2">
        <v>83178</v>
      </c>
      <c r="C1003" s="2" t="s">
        <v>1879</v>
      </c>
      <c r="D1003" s="2" t="s">
        <v>1880</v>
      </c>
      <c r="E1003" s="2" t="s">
        <v>118</v>
      </c>
      <c r="F1003" s="2" t="s">
        <v>29</v>
      </c>
      <c r="G1003" s="2" t="s">
        <v>30</v>
      </c>
      <c r="H1003" s="2" t="s">
        <v>218</v>
      </c>
      <c r="I1003" s="2" t="s">
        <v>219</v>
      </c>
      <c r="J1003" s="2" t="s">
        <v>220</v>
      </c>
      <c r="K1003" s="2" t="s">
        <v>267</v>
      </c>
      <c r="L1003" s="3"/>
      <c r="M1003" s="3">
        <v>41593</v>
      </c>
      <c r="N1003" s="3">
        <v>41600</v>
      </c>
      <c r="O1003" s="3">
        <v>41659</v>
      </c>
      <c r="P1003" s="2" t="s">
        <v>150</v>
      </c>
      <c r="Q1003" s="2" t="s">
        <v>84</v>
      </c>
      <c r="R1003" s="2" t="s">
        <v>151</v>
      </c>
      <c r="S1003" s="2" t="s">
        <v>152</v>
      </c>
      <c r="T1003" s="2" t="s">
        <v>39</v>
      </c>
      <c r="U1003" s="2">
        <v>120</v>
      </c>
      <c r="V1003" s="2">
        <v>8760</v>
      </c>
      <c r="W1003" s="2">
        <v>177127.2</v>
      </c>
      <c r="X1003" s="2">
        <v>20.22</v>
      </c>
      <c r="Y1003" s="2">
        <v>0.17</v>
      </c>
      <c r="Z1003" s="2">
        <v>1798</v>
      </c>
      <c r="AA1003" s="2">
        <v>5856.65</v>
      </c>
      <c r="AB1003">
        <v>0</v>
      </c>
      <c r="AC1003">
        <v>2014</v>
      </c>
      <c r="AE1003" s="2">
        <v>1489.2</v>
      </c>
    </row>
    <row r="1004" spans="2:31" ht="14.5">
      <c r="B1004" s="2">
        <v>83180</v>
      </c>
      <c r="C1004" s="2" t="s">
        <v>1881</v>
      </c>
      <c r="D1004" s="2" t="s">
        <v>1882</v>
      </c>
      <c r="E1004" s="2" t="s">
        <v>28</v>
      </c>
      <c r="F1004" s="2" t="s">
        <v>29</v>
      </c>
      <c r="G1004" s="2" t="s">
        <v>30</v>
      </c>
      <c r="H1004" s="2" t="s">
        <v>218</v>
      </c>
      <c r="I1004" s="2" t="s">
        <v>219</v>
      </c>
      <c r="J1004" s="2" t="s">
        <v>220</v>
      </c>
      <c r="K1004" s="2" t="s">
        <v>267</v>
      </c>
      <c r="L1004" s="3"/>
      <c r="M1004" s="3">
        <v>41634</v>
      </c>
      <c r="N1004" s="3">
        <v>41624</v>
      </c>
      <c r="O1004" s="3">
        <v>41656</v>
      </c>
      <c r="P1004" s="2" t="s">
        <v>35</v>
      </c>
      <c r="Q1004" s="2" t="s">
        <v>36</v>
      </c>
      <c r="R1004" s="2" t="s">
        <v>37</v>
      </c>
      <c r="S1004" s="2" t="s">
        <v>38</v>
      </c>
      <c r="T1004" s="2" t="s">
        <v>39</v>
      </c>
      <c r="U1004" s="2">
        <v>60</v>
      </c>
      <c r="V1004" s="2">
        <v>31144</v>
      </c>
      <c r="W1004" s="2">
        <v>70385.440000000002</v>
      </c>
      <c r="X1004" s="2">
        <v>2.2599999999999998</v>
      </c>
      <c r="Y1004" s="2">
        <v>0.04</v>
      </c>
      <c r="Z1004" s="2">
        <v>10109</v>
      </c>
      <c r="AA1004" s="2">
        <v>7134.39</v>
      </c>
      <c r="AB1004">
        <v>1</v>
      </c>
      <c r="AC1004">
        <v>2014</v>
      </c>
      <c r="AE1004" s="2">
        <v>1245.76</v>
      </c>
    </row>
    <row r="1005" spans="2:31" ht="14.5">
      <c r="B1005" s="2">
        <v>83184</v>
      </c>
      <c r="C1005" s="2" t="s">
        <v>1654</v>
      </c>
      <c r="D1005" s="2" t="s">
        <v>1655</v>
      </c>
      <c r="E1005" s="2" t="s">
        <v>42</v>
      </c>
      <c r="F1005" s="2" t="s">
        <v>29</v>
      </c>
      <c r="G1005" s="2" t="s">
        <v>30</v>
      </c>
      <c r="H1005" s="2" t="s">
        <v>218</v>
      </c>
      <c r="I1005" s="2" t="s">
        <v>219</v>
      </c>
      <c r="J1005" s="2" t="s">
        <v>220</v>
      </c>
      <c r="K1005" s="2" t="s">
        <v>267</v>
      </c>
      <c r="L1005" s="3"/>
      <c r="M1005" s="3">
        <v>41670</v>
      </c>
      <c r="N1005" s="3">
        <v>41631</v>
      </c>
      <c r="O1005" s="3">
        <v>41656</v>
      </c>
      <c r="P1005" s="2" t="s">
        <v>35</v>
      </c>
      <c r="Q1005" s="2" t="s">
        <v>36</v>
      </c>
      <c r="R1005" s="2" t="s">
        <v>37</v>
      </c>
      <c r="S1005" s="2" t="s">
        <v>38</v>
      </c>
      <c r="T1005" s="2" t="s">
        <v>39</v>
      </c>
      <c r="U1005" s="2">
        <v>60</v>
      </c>
      <c r="V1005" s="2">
        <v>20124</v>
      </c>
      <c r="W1005" s="2">
        <v>45480.24</v>
      </c>
      <c r="X1005" s="2">
        <v>2.2599999999999998</v>
      </c>
      <c r="Y1005" s="2">
        <v>0.04</v>
      </c>
      <c r="AB1005">
        <v>1</v>
      </c>
      <c r="AC1005">
        <v>2014</v>
      </c>
      <c r="AE1005" s="2">
        <v>804.96</v>
      </c>
    </row>
    <row r="1006" spans="2:31" ht="14.5">
      <c r="B1006" s="2">
        <v>83194</v>
      </c>
      <c r="C1006" s="2" t="s">
        <v>1883</v>
      </c>
      <c r="D1006" s="2" t="s">
        <v>1884</v>
      </c>
      <c r="E1006" s="2" t="s">
        <v>28</v>
      </c>
      <c r="F1006" s="2" t="s">
        <v>29</v>
      </c>
      <c r="G1006" s="2" t="s">
        <v>30</v>
      </c>
      <c r="H1006" s="2" t="s">
        <v>218</v>
      </c>
      <c r="I1006" s="2" t="s">
        <v>219</v>
      </c>
      <c r="J1006" s="2" t="s">
        <v>220</v>
      </c>
      <c r="K1006" s="2" t="s">
        <v>267</v>
      </c>
      <c r="L1006" s="3"/>
      <c r="M1006" s="3">
        <v>41670</v>
      </c>
      <c r="N1006" s="3">
        <v>41659</v>
      </c>
      <c r="O1006" s="3">
        <v>41668</v>
      </c>
      <c r="P1006" s="2" t="s">
        <v>754</v>
      </c>
      <c r="Q1006" s="2" t="s">
        <v>755</v>
      </c>
      <c r="R1006" s="2" t="s">
        <v>37</v>
      </c>
      <c r="S1006" s="2" t="s">
        <v>756</v>
      </c>
      <c r="T1006" s="2" t="s">
        <v>47</v>
      </c>
      <c r="U1006" s="2">
        <v>30</v>
      </c>
      <c r="V1006" s="2">
        <v>68762</v>
      </c>
      <c r="W1006" s="2">
        <v>766696.3</v>
      </c>
      <c r="X1006" s="2">
        <v>11.15</v>
      </c>
      <c r="Y1006" s="2">
        <v>0.37</v>
      </c>
      <c r="Z1006" s="2">
        <v>8456</v>
      </c>
      <c r="AA1006" s="2">
        <v>7134.39</v>
      </c>
      <c r="AB1006">
        <v>1</v>
      </c>
      <c r="AC1006">
        <v>2014</v>
      </c>
      <c r="AE1006" s="2">
        <v>25441.94</v>
      </c>
    </row>
    <row r="1007" spans="2:31" ht="14.5">
      <c r="B1007" s="2">
        <v>83196</v>
      </c>
      <c r="C1007" s="2" t="s">
        <v>1885</v>
      </c>
      <c r="D1007" s="2" t="s">
        <v>1886</v>
      </c>
      <c r="E1007" s="2" t="s">
        <v>28</v>
      </c>
      <c r="F1007" s="2" t="s">
        <v>29</v>
      </c>
      <c r="G1007" s="2" t="s">
        <v>30</v>
      </c>
      <c r="H1007" s="2" t="s">
        <v>218</v>
      </c>
      <c r="I1007" s="2" t="s">
        <v>219</v>
      </c>
      <c r="J1007" s="2" t="s">
        <v>220</v>
      </c>
      <c r="K1007" s="2" t="s">
        <v>267</v>
      </c>
      <c r="L1007" s="3"/>
      <c r="M1007" s="3">
        <v>41639</v>
      </c>
      <c r="N1007" s="3">
        <v>41695</v>
      </c>
      <c r="O1007" s="3">
        <v>41711</v>
      </c>
      <c r="P1007" s="2" t="s">
        <v>1457</v>
      </c>
      <c r="Q1007" s="2" t="s">
        <v>236</v>
      </c>
      <c r="R1007" s="2" t="s">
        <v>37</v>
      </c>
      <c r="S1007" s="2" t="s">
        <v>1458</v>
      </c>
      <c r="T1007" s="2" t="s">
        <v>47</v>
      </c>
      <c r="U1007" s="2">
        <v>30</v>
      </c>
      <c r="V1007" s="2">
        <v>2178</v>
      </c>
      <c r="W1007" s="2">
        <v>12784.86</v>
      </c>
      <c r="X1007" s="2">
        <v>5.87</v>
      </c>
      <c r="Y1007" s="2">
        <v>0.2</v>
      </c>
      <c r="Z1007" s="2">
        <v>2304</v>
      </c>
      <c r="AA1007" s="2">
        <v>5989.25</v>
      </c>
      <c r="AB1007">
        <v>0</v>
      </c>
      <c r="AC1007">
        <v>2014</v>
      </c>
      <c r="AE1007" s="2">
        <v>435.6</v>
      </c>
    </row>
    <row r="1008" spans="2:31" ht="14.5">
      <c r="B1008" s="2">
        <v>83199</v>
      </c>
      <c r="C1008" s="2" t="s">
        <v>1887</v>
      </c>
      <c r="D1008" s="2" t="s">
        <v>1888</v>
      </c>
      <c r="E1008" s="2" t="s">
        <v>42</v>
      </c>
      <c r="F1008" s="2" t="s">
        <v>29</v>
      </c>
      <c r="G1008" s="2" t="s">
        <v>30</v>
      </c>
      <c r="H1008" s="2" t="s">
        <v>218</v>
      </c>
      <c r="I1008" s="2" t="s">
        <v>219</v>
      </c>
      <c r="J1008" s="2" t="s">
        <v>220</v>
      </c>
      <c r="K1008" s="2" t="s">
        <v>267</v>
      </c>
      <c r="L1008" s="3"/>
      <c r="M1008" s="3">
        <v>41670</v>
      </c>
      <c r="N1008" s="3">
        <v>41661</v>
      </c>
      <c r="O1008" s="3">
        <v>41670</v>
      </c>
      <c r="P1008" s="2" t="s">
        <v>35</v>
      </c>
      <c r="Q1008" s="2" t="s">
        <v>36</v>
      </c>
      <c r="R1008" s="2" t="s">
        <v>37</v>
      </c>
      <c r="S1008" s="2" t="s">
        <v>38</v>
      </c>
      <c r="T1008" s="2" t="s">
        <v>39</v>
      </c>
      <c r="U1008" s="2">
        <v>60</v>
      </c>
      <c r="V1008" s="2">
        <v>64000</v>
      </c>
      <c r="W1008" s="2">
        <v>144640</v>
      </c>
      <c r="X1008" s="2">
        <v>2.2599999999999998</v>
      </c>
      <c r="Y1008" s="2">
        <v>0.04</v>
      </c>
      <c r="Z1008" s="2">
        <v>3887</v>
      </c>
      <c r="AA1008" s="2">
        <v>21032.82</v>
      </c>
      <c r="AB1008">
        <v>1</v>
      </c>
      <c r="AC1008">
        <v>2014</v>
      </c>
      <c r="AE1008" s="2">
        <v>2560</v>
      </c>
    </row>
    <row r="1009" spans="2:31" ht="14.5">
      <c r="B1009" s="2">
        <v>83200</v>
      </c>
      <c r="C1009" s="2" t="s">
        <v>1889</v>
      </c>
      <c r="D1009" s="2" t="s">
        <v>1890</v>
      </c>
      <c r="E1009" s="2" t="s">
        <v>118</v>
      </c>
      <c r="F1009" s="2" t="s">
        <v>29</v>
      </c>
      <c r="G1009" s="2" t="s">
        <v>50</v>
      </c>
      <c r="H1009" s="2" t="s">
        <v>218</v>
      </c>
      <c r="I1009" s="2" t="s">
        <v>219</v>
      </c>
      <c r="J1009" s="2" t="s">
        <v>220</v>
      </c>
      <c r="K1009" s="2" t="s">
        <v>267</v>
      </c>
      <c r="L1009" s="3"/>
      <c r="M1009" s="3">
        <v>41698</v>
      </c>
      <c r="N1009" s="3">
        <v>41669</v>
      </c>
      <c r="O1009" s="3">
        <v>41673</v>
      </c>
      <c r="P1009" s="2" t="s">
        <v>818</v>
      </c>
      <c r="Q1009" s="2" t="s">
        <v>36</v>
      </c>
      <c r="R1009" s="2" t="s">
        <v>37</v>
      </c>
      <c r="S1009" s="2" t="s">
        <v>226</v>
      </c>
      <c r="T1009" s="2" t="s">
        <v>526</v>
      </c>
      <c r="U1009" s="2">
        <v>100</v>
      </c>
      <c r="V1009" s="2">
        <v>15000</v>
      </c>
      <c r="W1009" s="2">
        <v>19500</v>
      </c>
      <c r="X1009" s="2">
        <v>1.3</v>
      </c>
      <c r="Y1009" s="2">
        <v>0.01</v>
      </c>
      <c r="Z1009" s="2">
        <v>2978</v>
      </c>
      <c r="AA1009" s="2">
        <v>5458.46</v>
      </c>
      <c r="AB1009">
        <v>1</v>
      </c>
      <c r="AC1009">
        <v>2014</v>
      </c>
      <c r="AE1009" s="2">
        <v>150</v>
      </c>
    </row>
    <row r="1010" spans="2:31" ht="14.5">
      <c r="B1010" s="2">
        <v>83205</v>
      </c>
      <c r="C1010" s="2" t="s">
        <v>1891</v>
      </c>
      <c r="D1010" s="2" t="s">
        <v>1892</v>
      </c>
      <c r="E1010" s="2" t="s">
        <v>118</v>
      </c>
      <c r="F1010" s="2" t="s">
        <v>29</v>
      </c>
      <c r="G1010" s="2" t="s">
        <v>50</v>
      </c>
      <c r="H1010" s="2" t="s">
        <v>218</v>
      </c>
      <c r="I1010" s="2" t="s">
        <v>219</v>
      </c>
      <c r="J1010" s="2" t="s">
        <v>220</v>
      </c>
      <c r="K1010" s="2" t="s">
        <v>34</v>
      </c>
      <c r="L1010" s="3"/>
      <c r="M1010" s="3">
        <v>41670</v>
      </c>
      <c r="N1010" s="3">
        <v>41687</v>
      </c>
      <c r="O1010" s="3">
        <v>41702</v>
      </c>
      <c r="P1010" s="2" t="s">
        <v>1664</v>
      </c>
      <c r="Q1010" s="2" t="s">
        <v>1000</v>
      </c>
      <c r="R1010" s="2" t="s">
        <v>37</v>
      </c>
      <c r="S1010" s="2" t="s">
        <v>1665</v>
      </c>
      <c r="T1010" s="2" t="s">
        <v>47</v>
      </c>
      <c r="U1010" s="2">
        <v>60</v>
      </c>
      <c r="V1010" s="2">
        <v>1446</v>
      </c>
      <c r="W1010" s="2">
        <v>5784</v>
      </c>
      <c r="X1010" s="2">
        <v>4</v>
      </c>
      <c r="Y1010" s="2">
        <v>7.0000000000000007E-2</v>
      </c>
      <c r="Z1010" s="2">
        <v>68</v>
      </c>
      <c r="AA1010" s="2">
        <v>790.29</v>
      </c>
      <c r="AB1010">
        <v>0</v>
      </c>
      <c r="AC1010">
        <v>2014</v>
      </c>
      <c r="AE1010" s="2">
        <v>101.22000000000001</v>
      </c>
    </row>
    <row r="1011" spans="2:31" ht="14.5">
      <c r="B1011" s="2">
        <v>83207</v>
      </c>
      <c r="C1011" s="2" t="s">
        <v>1893</v>
      </c>
      <c r="D1011" s="2" t="s">
        <v>1894</v>
      </c>
      <c r="E1011" s="2" t="s">
        <v>118</v>
      </c>
      <c r="F1011" s="2" t="s">
        <v>29</v>
      </c>
      <c r="G1011" s="2" t="s">
        <v>30</v>
      </c>
      <c r="H1011" s="2" t="s">
        <v>218</v>
      </c>
      <c r="I1011" s="2" t="s">
        <v>219</v>
      </c>
      <c r="J1011" s="2" t="s">
        <v>220</v>
      </c>
      <c r="K1011" s="2" t="s">
        <v>267</v>
      </c>
      <c r="L1011" s="3"/>
      <c r="M1011" s="3">
        <v>41698</v>
      </c>
      <c r="N1011" s="3">
        <v>41705</v>
      </c>
      <c r="O1011" s="3">
        <v>41710</v>
      </c>
      <c r="P1011" s="2" t="s">
        <v>706</v>
      </c>
      <c r="Q1011" s="2" t="s">
        <v>707</v>
      </c>
      <c r="R1011" s="2" t="s">
        <v>37</v>
      </c>
      <c r="S1011" s="2" t="s">
        <v>708</v>
      </c>
      <c r="T1011" s="2" t="s">
        <v>47</v>
      </c>
      <c r="U1011" s="2">
        <v>30</v>
      </c>
      <c r="V1011" s="2">
        <v>40800</v>
      </c>
      <c r="W1011" s="2">
        <v>191760</v>
      </c>
      <c r="X1011" s="2">
        <v>4.7</v>
      </c>
      <c r="Y1011" s="2">
        <v>0.16</v>
      </c>
      <c r="Z1011" s="2">
        <v>4187</v>
      </c>
      <c r="AA1011" s="2">
        <v>16821.66</v>
      </c>
      <c r="AB1011">
        <v>0</v>
      </c>
      <c r="AC1011">
        <v>2014</v>
      </c>
      <c r="AE1011" s="2">
        <v>6528</v>
      </c>
    </row>
    <row r="1012" spans="2:31" ht="14.5">
      <c r="B1012" s="2">
        <v>83217</v>
      </c>
      <c r="C1012" s="2" t="s">
        <v>1895</v>
      </c>
      <c r="D1012" s="2" t="s">
        <v>1896</v>
      </c>
      <c r="E1012" s="2" t="s">
        <v>42</v>
      </c>
      <c r="F1012" s="2" t="s">
        <v>29</v>
      </c>
      <c r="G1012" s="2" t="s">
        <v>30</v>
      </c>
      <c r="H1012" s="2" t="s">
        <v>218</v>
      </c>
      <c r="I1012" s="2" t="s">
        <v>219</v>
      </c>
      <c r="J1012" s="2" t="s">
        <v>220</v>
      </c>
      <c r="K1012" s="2" t="s">
        <v>267</v>
      </c>
      <c r="L1012" s="3"/>
      <c r="M1012" s="3">
        <v>41726</v>
      </c>
      <c r="N1012" s="3">
        <v>41731</v>
      </c>
      <c r="O1012" s="3">
        <v>41743</v>
      </c>
      <c r="P1012" s="2" t="s">
        <v>754</v>
      </c>
      <c r="Q1012" s="2" t="s">
        <v>755</v>
      </c>
      <c r="R1012" s="2" t="s">
        <v>37</v>
      </c>
      <c r="S1012" s="2" t="s">
        <v>756</v>
      </c>
      <c r="T1012" s="2" t="s">
        <v>47</v>
      </c>
      <c r="U1012" s="2">
        <v>30</v>
      </c>
      <c r="V1012" s="2">
        <v>50000</v>
      </c>
      <c r="W1012" s="2">
        <v>543500</v>
      </c>
      <c r="X1012" s="2">
        <v>10.87</v>
      </c>
      <c r="Y1012" s="2">
        <v>0.36</v>
      </c>
      <c r="Z1012" s="2">
        <v>22442</v>
      </c>
      <c r="AA1012" s="2">
        <v>12995.06</v>
      </c>
      <c r="AB1012">
        <v>0</v>
      </c>
      <c r="AC1012">
        <v>2014</v>
      </c>
      <c r="AE1012" s="2">
        <v>18000</v>
      </c>
    </row>
    <row r="1013" spans="2:31" ht="14.5">
      <c r="B1013" s="2">
        <v>83218</v>
      </c>
      <c r="C1013" s="2" t="s">
        <v>1895</v>
      </c>
      <c r="D1013" s="2" t="s">
        <v>1896</v>
      </c>
      <c r="E1013" s="2" t="s">
        <v>42</v>
      </c>
      <c r="F1013" s="2" t="s">
        <v>29</v>
      </c>
      <c r="G1013" s="2" t="s">
        <v>30</v>
      </c>
      <c r="H1013" s="2" t="s">
        <v>218</v>
      </c>
      <c r="I1013" s="2" t="s">
        <v>219</v>
      </c>
      <c r="J1013" s="2" t="s">
        <v>220</v>
      </c>
      <c r="K1013" s="2" t="s">
        <v>267</v>
      </c>
      <c r="L1013" s="3"/>
      <c r="M1013" s="3">
        <v>41726</v>
      </c>
      <c r="N1013" s="3">
        <v>41731</v>
      </c>
      <c r="O1013" s="3">
        <v>41743</v>
      </c>
      <c r="P1013" s="2" t="s">
        <v>706</v>
      </c>
      <c r="Q1013" s="2" t="s">
        <v>707</v>
      </c>
      <c r="R1013" s="2" t="s">
        <v>37</v>
      </c>
      <c r="S1013" s="2" t="s">
        <v>708</v>
      </c>
      <c r="T1013" s="2" t="s">
        <v>47</v>
      </c>
      <c r="U1013" s="2">
        <v>30</v>
      </c>
      <c r="V1013" s="2">
        <v>68517</v>
      </c>
      <c r="W1013" s="2">
        <v>322029.90000000002</v>
      </c>
      <c r="X1013" s="2">
        <v>4.7</v>
      </c>
      <c r="Y1013" s="2">
        <v>0.16</v>
      </c>
      <c r="AB1013">
        <v>0</v>
      </c>
      <c r="AC1013">
        <v>2014</v>
      </c>
      <c r="AE1013" s="2">
        <v>10962.72</v>
      </c>
    </row>
    <row r="1014" spans="2:31" ht="14.5">
      <c r="B1014" s="2">
        <v>83219</v>
      </c>
      <c r="C1014" s="2" t="s">
        <v>2841</v>
      </c>
      <c r="D1014" s="2" t="s">
        <v>2842</v>
      </c>
      <c r="E1014" s="2" t="s">
        <v>2817</v>
      </c>
      <c r="F1014" s="2" t="s">
        <v>29</v>
      </c>
      <c r="G1014" s="2" t="s">
        <v>30</v>
      </c>
      <c r="H1014" s="2" t="s">
        <v>218</v>
      </c>
      <c r="I1014" s="2" t="s">
        <v>219</v>
      </c>
      <c r="J1014" s="2" t="s">
        <v>220</v>
      </c>
      <c r="K1014" s="2" t="s">
        <v>34</v>
      </c>
      <c r="L1014" s="3"/>
      <c r="M1014" s="3">
        <v>41729</v>
      </c>
      <c r="N1014" s="3">
        <v>41719</v>
      </c>
      <c r="O1014" s="3">
        <v>41724</v>
      </c>
      <c r="P1014" s="2" t="s">
        <v>706</v>
      </c>
      <c r="Q1014" s="2" t="s">
        <v>707</v>
      </c>
      <c r="R1014" s="2" t="s">
        <v>37</v>
      </c>
      <c r="S1014" s="2" t="s">
        <v>708</v>
      </c>
      <c r="T1014" s="2" t="s">
        <v>47</v>
      </c>
      <c r="U1014" s="2">
        <v>30</v>
      </c>
      <c r="V1014" s="2">
        <v>1447</v>
      </c>
      <c r="W1014" s="2">
        <v>6800.9</v>
      </c>
      <c r="X1014" s="2">
        <v>4.7</v>
      </c>
      <c r="Y1014" s="2">
        <v>0.16</v>
      </c>
      <c r="Z1014" s="2">
        <v>592</v>
      </c>
      <c r="AA1014" s="2">
        <v>6169</v>
      </c>
      <c r="AB1014">
        <v>1</v>
      </c>
      <c r="AC1014">
        <v>2014</v>
      </c>
      <c r="AE1014" s="2">
        <v>231.52</v>
      </c>
    </row>
    <row r="1015" spans="2:31" ht="14.5">
      <c r="B1015" s="2">
        <v>83220</v>
      </c>
      <c r="C1015" s="2" t="s">
        <v>2841</v>
      </c>
      <c r="D1015" s="2" t="s">
        <v>2842</v>
      </c>
      <c r="E1015" s="2" t="s">
        <v>2817</v>
      </c>
      <c r="F1015" s="2" t="s">
        <v>29</v>
      </c>
      <c r="G1015" s="2" t="s">
        <v>30</v>
      </c>
      <c r="H1015" s="2" t="s">
        <v>218</v>
      </c>
      <c r="I1015" s="2" t="s">
        <v>219</v>
      </c>
      <c r="J1015" s="2" t="s">
        <v>220</v>
      </c>
      <c r="K1015" s="2" t="s">
        <v>34</v>
      </c>
      <c r="L1015" s="3"/>
      <c r="M1015" s="3">
        <v>41729</v>
      </c>
      <c r="N1015" s="3">
        <v>41719</v>
      </c>
      <c r="O1015" s="3">
        <v>41724</v>
      </c>
      <c r="P1015" s="2" t="s">
        <v>754</v>
      </c>
      <c r="Q1015" s="2" t="s">
        <v>755</v>
      </c>
      <c r="R1015" s="2" t="s">
        <v>37</v>
      </c>
      <c r="S1015" s="2" t="s">
        <v>756</v>
      </c>
      <c r="T1015" s="2" t="s">
        <v>47</v>
      </c>
      <c r="U1015" s="2">
        <v>30</v>
      </c>
      <c r="V1015" s="2">
        <v>1278</v>
      </c>
      <c r="W1015" s="2">
        <v>13891.86</v>
      </c>
      <c r="X1015" s="2">
        <v>10.87</v>
      </c>
      <c r="Y1015" s="2">
        <v>0.36</v>
      </c>
      <c r="AB1015">
        <v>1</v>
      </c>
      <c r="AC1015">
        <v>2014</v>
      </c>
      <c r="AE1015" s="2">
        <v>460.08</v>
      </c>
    </row>
    <row r="1016" spans="2:31" ht="14.5">
      <c r="B1016" s="2">
        <v>83221</v>
      </c>
      <c r="C1016" s="2" t="s">
        <v>2841</v>
      </c>
      <c r="D1016" s="2" t="s">
        <v>2842</v>
      </c>
      <c r="E1016" s="2" t="s">
        <v>2817</v>
      </c>
      <c r="F1016" s="2" t="s">
        <v>29</v>
      </c>
      <c r="G1016" s="2" t="s">
        <v>50</v>
      </c>
      <c r="H1016" s="2" t="s">
        <v>218</v>
      </c>
      <c r="I1016" s="2" t="s">
        <v>219</v>
      </c>
      <c r="J1016" s="2" t="s">
        <v>220</v>
      </c>
      <c r="K1016" s="2" t="s">
        <v>34</v>
      </c>
      <c r="L1016" s="3"/>
      <c r="M1016" s="3">
        <v>41729</v>
      </c>
      <c r="N1016" s="3">
        <v>41719</v>
      </c>
      <c r="O1016" s="3">
        <v>41724</v>
      </c>
      <c r="P1016" s="2" t="s">
        <v>842</v>
      </c>
      <c r="Q1016" s="2" t="s">
        <v>113</v>
      </c>
      <c r="R1016" s="2" t="s">
        <v>37</v>
      </c>
      <c r="S1016" s="2" t="s">
        <v>843</v>
      </c>
      <c r="T1016" s="2" t="s">
        <v>729</v>
      </c>
      <c r="U1016" s="2">
        <v>60</v>
      </c>
      <c r="V1016" s="2">
        <v>549</v>
      </c>
      <c r="W1016" s="2">
        <v>2058.75</v>
      </c>
      <c r="X1016" s="2">
        <v>3.75</v>
      </c>
      <c r="Y1016" s="2">
        <v>0.06</v>
      </c>
      <c r="AB1016">
        <v>1</v>
      </c>
      <c r="AC1016">
        <v>2014</v>
      </c>
      <c r="AE1016" s="2">
        <v>32.94</v>
      </c>
    </row>
    <row r="1017" spans="2:31" ht="14.5">
      <c r="B1017" s="2">
        <v>83227</v>
      </c>
      <c r="C1017" s="2" t="s">
        <v>1897</v>
      </c>
      <c r="D1017" s="2" t="s">
        <v>1898</v>
      </c>
      <c r="E1017" s="2" t="s">
        <v>28</v>
      </c>
      <c r="F1017" s="2" t="s">
        <v>29</v>
      </c>
      <c r="G1017" s="2" t="s">
        <v>50</v>
      </c>
      <c r="H1017" s="2" t="s">
        <v>218</v>
      </c>
      <c r="I1017" s="2" t="s">
        <v>219</v>
      </c>
      <c r="J1017" s="2" t="s">
        <v>220</v>
      </c>
      <c r="K1017" s="2" t="s">
        <v>267</v>
      </c>
      <c r="L1017" s="3"/>
      <c r="M1017" s="3">
        <v>41737</v>
      </c>
      <c r="N1017" s="3">
        <v>41737</v>
      </c>
      <c r="O1017" s="3">
        <v>41743</v>
      </c>
      <c r="P1017" s="2" t="s">
        <v>842</v>
      </c>
      <c r="Q1017" s="2" t="s">
        <v>113</v>
      </c>
      <c r="R1017" s="2" t="s">
        <v>37</v>
      </c>
      <c r="S1017" s="2" t="s">
        <v>843</v>
      </c>
      <c r="T1017" s="2" t="s">
        <v>729</v>
      </c>
      <c r="U1017" s="2">
        <v>60</v>
      </c>
      <c r="V1017" s="2">
        <v>102980</v>
      </c>
      <c r="W1017" s="2">
        <v>386175</v>
      </c>
      <c r="X1017" s="2">
        <v>3.75</v>
      </c>
      <c r="Y1017" s="2">
        <v>0.06</v>
      </c>
      <c r="Z1017" s="2">
        <v>5687</v>
      </c>
      <c r="AA1017" s="2">
        <v>6010.2</v>
      </c>
      <c r="AB1017">
        <v>1</v>
      </c>
      <c r="AC1017">
        <v>2014</v>
      </c>
      <c r="AE1017" s="2">
        <v>6178.8</v>
      </c>
    </row>
    <row r="1018" spans="2:31" ht="14.5">
      <c r="B1018" s="2">
        <v>83228</v>
      </c>
      <c r="C1018" s="2" t="s">
        <v>1899</v>
      </c>
      <c r="D1018" s="2" t="s">
        <v>1900</v>
      </c>
      <c r="E1018" s="2" t="s">
        <v>118</v>
      </c>
      <c r="F1018" s="2" t="s">
        <v>29</v>
      </c>
      <c r="G1018" s="2" t="s">
        <v>30</v>
      </c>
      <c r="H1018" s="2" t="s">
        <v>218</v>
      </c>
      <c r="I1018" s="2" t="s">
        <v>219</v>
      </c>
      <c r="J1018" s="2" t="s">
        <v>220</v>
      </c>
      <c r="K1018" s="2" t="s">
        <v>267</v>
      </c>
      <c r="L1018" s="3"/>
      <c r="M1018" s="3">
        <v>41824</v>
      </c>
      <c r="N1018" s="3">
        <v>41835</v>
      </c>
      <c r="O1018" s="3">
        <v>41836</v>
      </c>
      <c r="P1018" s="2" t="s">
        <v>754</v>
      </c>
      <c r="Q1018" s="2" t="s">
        <v>755</v>
      </c>
      <c r="R1018" s="2" t="s">
        <v>37</v>
      </c>
      <c r="S1018" s="2" t="s">
        <v>756</v>
      </c>
      <c r="T1018" s="2" t="s">
        <v>47</v>
      </c>
      <c r="U1018" s="2">
        <v>30</v>
      </c>
      <c r="V1018" s="2">
        <v>30874</v>
      </c>
      <c r="W1018" s="2">
        <v>344245.1</v>
      </c>
      <c r="X1018" s="2">
        <v>11.15</v>
      </c>
      <c r="Y1018" s="2">
        <v>0.37</v>
      </c>
      <c r="Z1018" s="2">
        <v>4133</v>
      </c>
      <c r="AA1018" s="2">
        <v>24362.92</v>
      </c>
      <c r="AB1018">
        <v>0</v>
      </c>
      <c r="AC1018">
        <v>2014</v>
      </c>
      <c r="AE1018" s="2">
        <v>11423.38</v>
      </c>
    </row>
    <row r="1019" spans="2:31" ht="14.5">
      <c r="B1019" s="2">
        <v>83229</v>
      </c>
      <c r="C1019" s="2" t="s">
        <v>1901</v>
      </c>
      <c r="D1019" s="2" t="s">
        <v>1902</v>
      </c>
      <c r="E1019" s="2" t="s">
        <v>42</v>
      </c>
      <c r="F1019" s="2" t="s">
        <v>29</v>
      </c>
      <c r="G1019" s="2" t="s">
        <v>50</v>
      </c>
      <c r="H1019" s="2" t="s">
        <v>218</v>
      </c>
      <c r="I1019" s="2" t="s">
        <v>219</v>
      </c>
      <c r="J1019" s="2" t="s">
        <v>220</v>
      </c>
      <c r="K1019" s="2" t="s">
        <v>267</v>
      </c>
      <c r="L1019" s="3"/>
      <c r="M1019" s="3">
        <v>41779</v>
      </c>
      <c r="N1019" s="3">
        <v>41702</v>
      </c>
      <c r="O1019" s="3">
        <v>41794</v>
      </c>
      <c r="P1019" s="2" t="s">
        <v>740</v>
      </c>
      <c r="Q1019" s="2" t="s">
        <v>36</v>
      </c>
      <c r="R1019" s="2" t="s">
        <v>37</v>
      </c>
      <c r="S1019" s="2" t="s">
        <v>226</v>
      </c>
      <c r="T1019" s="2" t="s">
        <v>526</v>
      </c>
      <c r="U1019" s="2">
        <v>240</v>
      </c>
      <c r="V1019" s="2">
        <v>2216</v>
      </c>
      <c r="W1019" s="2">
        <v>4121.76</v>
      </c>
      <c r="X1019" s="2">
        <v>1.86</v>
      </c>
      <c r="Y1019" s="2">
        <v>0.01</v>
      </c>
      <c r="Z1019" s="2">
        <v>1412</v>
      </c>
      <c r="AA1019" s="2">
        <v>4609.68</v>
      </c>
      <c r="AB1019">
        <v>1</v>
      </c>
      <c r="AC1019">
        <v>2014</v>
      </c>
      <c r="AE1019" s="2">
        <v>22.16</v>
      </c>
    </row>
    <row r="1020" spans="2:31" ht="14.5">
      <c r="B1020" s="2">
        <v>83231</v>
      </c>
      <c r="C1020" s="2" t="s">
        <v>1903</v>
      </c>
      <c r="D1020" s="2" t="s">
        <v>1904</v>
      </c>
      <c r="E1020" s="2" t="s">
        <v>42</v>
      </c>
      <c r="F1020" s="2" t="s">
        <v>29</v>
      </c>
      <c r="G1020" s="2" t="s">
        <v>30</v>
      </c>
      <c r="H1020" s="2" t="s">
        <v>218</v>
      </c>
      <c r="I1020" s="2" t="s">
        <v>219</v>
      </c>
      <c r="J1020" s="2" t="s">
        <v>220</v>
      </c>
      <c r="K1020" s="2" t="s">
        <v>267</v>
      </c>
      <c r="L1020" s="3"/>
      <c r="M1020" s="3">
        <v>41765</v>
      </c>
      <c r="N1020" s="3">
        <v>41765</v>
      </c>
      <c r="O1020" s="3">
        <v>41810</v>
      </c>
      <c r="P1020" s="2" t="s">
        <v>35</v>
      </c>
      <c r="Q1020" s="2" t="s">
        <v>36</v>
      </c>
      <c r="R1020" s="2" t="s">
        <v>37</v>
      </c>
      <c r="S1020" s="2" t="s">
        <v>38</v>
      </c>
      <c r="T1020" s="2" t="s">
        <v>39</v>
      </c>
      <c r="U1020" s="2">
        <v>60</v>
      </c>
      <c r="V1020" s="2">
        <v>24436</v>
      </c>
      <c r="W1020" s="2">
        <v>55225.36</v>
      </c>
      <c r="X1020" s="2">
        <v>2.2599999999999998</v>
      </c>
      <c r="Y1020" s="2">
        <v>0.04</v>
      </c>
      <c r="Z1020" s="2">
        <v>2342</v>
      </c>
      <c r="AA1020" s="2">
        <v>5445.73</v>
      </c>
      <c r="AB1020">
        <v>1</v>
      </c>
      <c r="AC1020">
        <v>2014</v>
      </c>
      <c r="AE1020" s="2">
        <v>977.44</v>
      </c>
    </row>
    <row r="1021" spans="2:31" ht="14.5">
      <c r="B1021" s="2">
        <v>83249</v>
      </c>
      <c r="C1021" s="2" t="s">
        <v>1905</v>
      </c>
      <c r="D1021" s="2" t="s">
        <v>1906</v>
      </c>
      <c r="E1021" s="2" t="s">
        <v>28</v>
      </c>
      <c r="F1021" s="2" t="s">
        <v>29</v>
      </c>
      <c r="G1021" s="2" t="s">
        <v>30</v>
      </c>
      <c r="H1021" s="2" t="s">
        <v>218</v>
      </c>
      <c r="I1021" s="2" t="s">
        <v>219</v>
      </c>
      <c r="J1021" s="2" t="s">
        <v>220</v>
      </c>
      <c r="K1021" s="2" t="s">
        <v>267</v>
      </c>
      <c r="L1021" s="3"/>
      <c r="M1021" s="3">
        <v>41820</v>
      </c>
      <c r="N1021" s="3">
        <v>41814</v>
      </c>
      <c r="O1021" s="3">
        <v>41821</v>
      </c>
      <c r="P1021" s="2" t="s">
        <v>150</v>
      </c>
      <c r="Q1021" s="2" t="s">
        <v>84</v>
      </c>
      <c r="R1021" s="2" t="s">
        <v>151</v>
      </c>
      <c r="S1021" s="2" t="s">
        <v>152</v>
      </c>
      <c r="T1021" s="2" t="s">
        <v>39</v>
      </c>
      <c r="U1021" s="2">
        <v>120</v>
      </c>
      <c r="V1021" s="2">
        <v>10724</v>
      </c>
      <c r="W1021" s="2">
        <v>202683.6</v>
      </c>
      <c r="X1021" s="2">
        <v>18.899999999999999</v>
      </c>
      <c r="Y1021" s="2">
        <v>0.16</v>
      </c>
      <c r="Z1021" s="2">
        <v>2209</v>
      </c>
      <c r="AA1021" s="2">
        <v>2994.63</v>
      </c>
      <c r="AB1021">
        <v>1</v>
      </c>
      <c r="AC1021">
        <v>2014</v>
      </c>
      <c r="AE1021" s="2">
        <v>1715.8400000000001</v>
      </c>
    </row>
    <row r="1022" spans="2:31" ht="14.5">
      <c r="B1022" s="2">
        <v>83263</v>
      </c>
      <c r="C1022" s="2" t="s">
        <v>1907</v>
      </c>
      <c r="D1022" s="2" t="s">
        <v>1908</v>
      </c>
      <c r="E1022" s="2" t="s">
        <v>28</v>
      </c>
      <c r="F1022" s="2" t="s">
        <v>29</v>
      </c>
      <c r="G1022" s="2" t="s">
        <v>50</v>
      </c>
      <c r="H1022" s="2" t="s">
        <v>218</v>
      </c>
      <c r="I1022" s="2" t="s">
        <v>219</v>
      </c>
      <c r="J1022" s="2" t="s">
        <v>220</v>
      </c>
      <c r="K1022" s="2" t="s">
        <v>267</v>
      </c>
      <c r="L1022" s="3"/>
      <c r="M1022" s="3">
        <v>41880</v>
      </c>
      <c r="N1022" s="3">
        <v>41878</v>
      </c>
      <c r="O1022" s="3">
        <v>41905</v>
      </c>
      <c r="P1022" s="2" t="s">
        <v>859</v>
      </c>
      <c r="Q1022" s="2" t="s">
        <v>45</v>
      </c>
      <c r="R1022" s="2" t="s">
        <v>37</v>
      </c>
      <c r="S1022" s="2" t="s">
        <v>728</v>
      </c>
      <c r="T1022" s="2" t="s">
        <v>47</v>
      </c>
      <c r="U1022" s="2">
        <v>60</v>
      </c>
      <c r="V1022" s="2">
        <v>15639</v>
      </c>
      <c r="W1022" s="2">
        <v>31121.61</v>
      </c>
      <c r="X1022" s="2">
        <v>1.99</v>
      </c>
      <c r="Y1022" s="2">
        <v>0.03</v>
      </c>
      <c r="Z1022" s="2">
        <v>590</v>
      </c>
      <c r="AA1022" s="2">
        <v>5399.25</v>
      </c>
      <c r="AB1022">
        <v>1</v>
      </c>
      <c r="AC1022">
        <v>2014</v>
      </c>
      <c r="AE1022" s="2">
        <v>469.16999999999996</v>
      </c>
    </row>
    <row r="1023" spans="2:31" ht="14.5">
      <c r="B1023" s="2">
        <v>83277</v>
      </c>
      <c r="C1023" s="2" t="s">
        <v>1909</v>
      </c>
      <c r="D1023" s="2" t="s">
        <v>1910</v>
      </c>
      <c r="E1023" s="2" t="s">
        <v>42</v>
      </c>
      <c r="F1023" s="2" t="s">
        <v>29</v>
      </c>
      <c r="G1023" s="2" t="s">
        <v>50</v>
      </c>
      <c r="H1023" s="2" t="s">
        <v>218</v>
      </c>
      <c r="I1023" s="2" t="s">
        <v>219</v>
      </c>
      <c r="J1023" s="2" t="s">
        <v>220</v>
      </c>
      <c r="K1023" s="2" t="s">
        <v>34</v>
      </c>
      <c r="L1023" s="3"/>
      <c r="M1023" s="3">
        <v>41943</v>
      </c>
      <c r="N1023" s="3">
        <v>41906</v>
      </c>
      <c r="O1023" s="3">
        <v>41907</v>
      </c>
      <c r="P1023" s="2" t="s">
        <v>842</v>
      </c>
      <c r="Q1023" s="2" t="s">
        <v>113</v>
      </c>
      <c r="R1023" s="2" t="s">
        <v>37</v>
      </c>
      <c r="S1023" s="2" t="s">
        <v>843</v>
      </c>
      <c r="T1023" s="2" t="s">
        <v>729</v>
      </c>
      <c r="U1023" s="2">
        <v>60</v>
      </c>
      <c r="V1023" s="2">
        <v>2196</v>
      </c>
      <c r="W1023" s="2">
        <v>8235</v>
      </c>
      <c r="X1023" s="2">
        <v>3.75</v>
      </c>
      <c r="Y1023" s="2">
        <v>0.06</v>
      </c>
      <c r="Z1023" s="2">
        <v>98</v>
      </c>
      <c r="AA1023" s="2">
        <v>993.2</v>
      </c>
      <c r="AB1023">
        <v>1</v>
      </c>
      <c r="AC1023">
        <v>2014</v>
      </c>
      <c r="AE1023" s="2">
        <v>131.76</v>
      </c>
    </row>
    <row r="1024" spans="2:31" ht="14.5">
      <c r="B1024" s="2">
        <v>83278</v>
      </c>
      <c r="C1024" s="2" t="s">
        <v>1911</v>
      </c>
      <c r="D1024" s="2" t="s">
        <v>1912</v>
      </c>
      <c r="E1024" s="2" t="s">
        <v>28</v>
      </c>
      <c r="F1024" s="2" t="s">
        <v>29</v>
      </c>
      <c r="G1024" s="2" t="s">
        <v>50</v>
      </c>
      <c r="H1024" s="2" t="s">
        <v>218</v>
      </c>
      <c r="I1024" s="2" t="s">
        <v>219</v>
      </c>
      <c r="J1024" s="2" t="s">
        <v>220</v>
      </c>
      <c r="K1024" s="2" t="s">
        <v>267</v>
      </c>
      <c r="L1024" s="3"/>
      <c r="M1024" s="3">
        <v>41943</v>
      </c>
      <c r="N1024" s="3">
        <v>41934</v>
      </c>
      <c r="O1024" s="3">
        <v>41947</v>
      </c>
      <c r="P1024" s="2" t="s">
        <v>727</v>
      </c>
      <c r="Q1024" s="2" t="s">
        <v>45</v>
      </c>
      <c r="R1024" s="2" t="s">
        <v>37</v>
      </c>
      <c r="S1024" s="2" t="s">
        <v>728</v>
      </c>
      <c r="T1024" s="2" t="s">
        <v>729</v>
      </c>
      <c r="U1024" s="2">
        <v>60</v>
      </c>
      <c r="V1024" s="2">
        <v>11688</v>
      </c>
      <c r="W1024" s="2">
        <v>25129.200000000001</v>
      </c>
      <c r="X1024" s="2">
        <v>2.15</v>
      </c>
      <c r="Y1024" s="2">
        <v>0.04</v>
      </c>
      <c r="Z1024" s="2">
        <v>1673</v>
      </c>
      <c r="AA1024" s="2">
        <v>5364.61</v>
      </c>
      <c r="AB1024">
        <v>1</v>
      </c>
      <c r="AC1024">
        <v>2014</v>
      </c>
      <c r="AE1024" s="2">
        <v>467.52</v>
      </c>
    </row>
    <row r="1025" spans="2:31" ht="14.5">
      <c r="B1025" s="2">
        <v>83288</v>
      </c>
      <c r="C1025" s="2" t="s">
        <v>1692</v>
      </c>
      <c r="D1025" s="2" t="s">
        <v>1693</v>
      </c>
      <c r="E1025" s="2" t="s">
        <v>118</v>
      </c>
      <c r="F1025" s="2" t="s">
        <v>29</v>
      </c>
      <c r="G1025" s="2" t="s">
        <v>50</v>
      </c>
      <c r="H1025" s="2" t="s">
        <v>218</v>
      </c>
      <c r="I1025" s="2" t="s">
        <v>219</v>
      </c>
      <c r="J1025" s="2" t="s">
        <v>220</v>
      </c>
      <c r="K1025" s="2" t="s">
        <v>267</v>
      </c>
      <c r="L1025" s="3"/>
      <c r="M1025" s="3">
        <v>41971</v>
      </c>
      <c r="N1025" s="3">
        <v>41976</v>
      </c>
      <c r="O1025" s="3">
        <v>41977</v>
      </c>
      <c r="P1025" s="2" t="s">
        <v>1664</v>
      </c>
      <c r="Q1025" s="2" t="s">
        <v>1000</v>
      </c>
      <c r="R1025" s="2" t="s">
        <v>37</v>
      </c>
      <c r="S1025" s="2" t="s">
        <v>1665</v>
      </c>
      <c r="T1025" s="2" t="s">
        <v>47</v>
      </c>
      <c r="U1025" s="2">
        <v>60</v>
      </c>
      <c r="V1025" s="2">
        <v>9308</v>
      </c>
      <c r="W1025" s="2">
        <v>38069.72</v>
      </c>
      <c r="X1025" s="2">
        <v>4.09</v>
      </c>
      <c r="Y1025" s="2">
        <v>7.0000000000000007E-2</v>
      </c>
      <c r="AB1025">
        <v>0</v>
      </c>
      <c r="AC1025">
        <v>2014</v>
      </c>
      <c r="AE1025" s="2">
        <v>651.56000000000006</v>
      </c>
    </row>
    <row r="1026" spans="2:31" ht="14.5">
      <c r="B1026" s="2">
        <v>83291</v>
      </c>
      <c r="C1026" s="2" t="s">
        <v>1913</v>
      </c>
      <c r="D1026" s="2" t="s">
        <v>1914</v>
      </c>
      <c r="E1026" s="2" t="s">
        <v>118</v>
      </c>
      <c r="F1026" s="2" t="s">
        <v>29</v>
      </c>
      <c r="G1026" s="2" t="s">
        <v>30</v>
      </c>
      <c r="H1026" s="2" t="s">
        <v>218</v>
      </c>
      <c r="I1026" s="2" t="s">
        <v>219</v>
      </c>
      <c r="J1026" s="2" t="s">
        <v>220</v>
      </c>
      <c r="K1026" s="2" t="s">
        <v>267</v>
      </c>
      <c r="L1026" s="3"/>
      <c r="M1026" s="3">
        <v>42051</v>
      </c>
      <c r="N1026" s="3">
        <v>42028</v>
      </c>
      <c r="O1026" s="3">
        <v>42038</v>
      </c>
      <c r="P1026" s="2" t="s">
        <v>754</v>
      </c>
      <c r="Q1026" s="2" t="s">
        <v>755</v>
      </c>
      <c r="R1026" s="2" t="s">
        <v>37</v>
      </c>
      <c r="S1026" s="2" t="s">
        <v>756</v>
      </c>
      <c r="T1026" s="2" t="s">
        <v>47</v>
      </c>
      <c r="U1026" s="2">
        <v>30</v>
      </c>
      <c r="V1026" s="2">
        <v>29247</v>
      </c>
      <c r="W1026" s="2">
        <v>315282.65999999997</v>
      </c>
      <c r="X1026" s="2">
        <v>10.78</v>
      </c>
      <c r="Y1026" s="2">
        <v>0.36</v>
      </c>
      <c r="Z1026" s="2">
        <v>5324</v>
      </c>
      <c r="AA1026" s="2">
        <v>8248.2800000000007</v>
      </c>
      <c r="AB1026">
        <v>1</v>
      </c>
      <c r="AC1026">
        <v>2015</v>
      </c>
      <c r="AE1026" s="2">
        <v>10528.92</v>
      </c>
    </row>
    <row r="1027" spans="2:31" ht="14.5">
      <c r="B1027" s="2">
        <v>83292</v>
      </c>
      <c r="C1027" s="2" t="s">
        <v>1913</v>
      </c>
      <c r="D1027" s="2" t="s">
        <v>1914</v>
      </c>
      <c r="E1027" s="2" t="s">
        <v>118</v>
      </c>
      <c r="F1027" s="2" t="s">
        <v>29</v>
      </c>
      <c r="G1027" s="2" t="s">
        <v>50</v>
      </c>
      <c r="H1027" s="2" t="s">
        <v>218</v>
      </c>
      <c r="I1027" s="2" t="s">
        <v>219</v>
      </c>
      <c r="J1027" s="2" t="s">
        <v>220</v>
      </c>
      <c r="K1027" s="2" t="s">
        <v>267</v>
      </c>
      <c r="L1027" s="3"/>
      <c r="M1027" s="3">
        <v>42051</v>
      </c>
      <c r="N1027" s="3">
        <v>42028</v>
      </c>
      <c r="O1027" s="3">
        <v>42038</v>
      </c>
      <c r="P1027" s="2" t="s">
        <v>1664</v>
      </c>
      <c r="Q1027" s="2" t="s">
        <v>1000</v>
      </c>
      <c r="R1027" s="2" t="s">
        <v>37</v>
      </c>
      <c r="S1027" s="2" t="s">
        <v>1665</v>
      </c>
      <c r="T1027" s="2" t="s">
        <v>47</v>
      </c>
      <c r="U1027" s="2">
        <v>60</v>
      </c>
      <c r="V1027" s="2">
        <v>276</v>
      </c>
      <c r="W1027" s="2">
        <v>1128.8399999999999</v>
      </c>
      <c r="X1027" s="2">
        <v>4.09</v>
      </c>
      <c r="Y1027" s="2">
        <v>7.0000000000000007E-2</v>
      </c>
      <c r="AB1027">
        <v>1</v>
      </c>
      <c r="AC1027">
        <v>2015</v>
      </c>
      <c r="AE1027" s="2">
        <v>19.32</v>
      </c>
    </row>
    <row r="1028" spans="2:31" ht="14.5">
      <c r="B1028" s="2">
        <v>83293</v>
      </c>
      <c r="C1028" s="2" t="s">
        <v>1915</v>
      </c>
      <c r="D1028" s="2" t="s">
        <v>1916</v>
      </c>
      <c r="E1028" s="2" t="s">
        <v>42</v>
      </c>
      <c r="F1028" s="2" t="s">
        <v>29</v>
      </c>
      <c r="G1028" s="2" t="s">
        <v>50</v>
      </c>
      <c r="H1028" s="2" t="s">
        <v>218</v>
      </c>
      <c r="I1028" s="2" t="s">
        <v>219</v>
      </c>
      <c r="J1028" s="2" t="s">
        <v>220</v>
      </c>
      <c r="K1028" s="2" t="s">
        <v>267</v>
      </c>
      <c r="L1028" s="3"/>
      <c r="M1028" s="3">
        <v>42018</v>
      </c>
      <c r="N1028" s="3">
        <v>41997</v>
      </c>
      <c r="O1028" s="3">
        <v>42004</v>
      </c>
      <c r="P1028" s="2" t="s">
        <v>1917</v>
      </c>
      <c r="Q1028" s="2" t="s">
        <v>1000</v>
      </c>
      <c r="R1028" s="2" t="s">
        <v>37</v>
      </c>
      <c r="S1028" s="2" t="s">
        <v>1665</v>
      </c>
      <c r="T1028" s="2" t="s">
        <v>729</v>
      </c>
      <c r="U1028" s="2">
        <v>60</v>
      </c>
      <c r="V1028" s="2">
        <v>6030</v>
      </c>
      <c r="W1028" s="2">
        <v>30692.7</v>
      </c>
      <c r="X1028" s="2">
        <v>5.09</v>
      </c>
      <c r="Y1028" s="2">
        <v>0.08</v>
      </c>
      <c r="Z1028" s="2">
        <v>542</v>
      </c>
      <c r="AA1028" s="2">
        <v>4649.71</v>
      </c>
      <c r="AB1028">
        <v>1</v>
      </c>
      <c r="AC1028">
        <v>2014</v>
      </c>
      <c r="AE1028" s="2">
        <v>482.40000000000003</v>
      </c>
    </row>
    <row r="1029" spans="2:31" ht="14.5">
      <c r="B1029" s="2">
        <v>83300</v>
      </c>
      <c r="C1029" s="2" t="s">
        <v>1702</v>
      </c>
      <c r="D1029" s="2" t="s">
        <v>1703</v>
      </c>
      <c r="E1029" s="2" t="s">
        <v>42</v>
      </c>
      <c r="F1029" s="2" t="s">
        <v>29</v>
      </c>
      <c r="G1029" s="2" t="s">
        <v>50</v>
      </c>
      <c r="H1029" s="2" t="s">
        <v>218</v>
      </c>
      <c r="I1029" s="2" t="s">
        <v>219</v>
      </c>
      <c r="J1029" s="2" t="s">
        <v>220</v>
      </c>
      <c r="K1029" s="2" t="s">
        <v>267</v>
      </c>
      <c r="L1029" s="3"/>
      <c r="M1029" s="3">
        <v>42034</v>
      </c>
      <c r="N1029" s="3">
        <v>42044</v>
      </c>
      <c r="O1029" s="3">
        <v>42055</v>
      </c>
      <c r="P1029" s="2" t="s">
        <v>1917</v>
      </c>
      <c r="Q1029" s="2" t="s">
        <v>1000</v>
      </c>
      <c r="R1029" s="2" t="s">
        <v>37</v>
      </c>
      <c r="S1029" s="2" t="s">
        <v>1665</v>
      </c>
      <c r="T1029" s="2" t="s">
        <v>729</v>
      </c>
      <c r="U1029" s="2">
        <v>60</v>
      </c>
      <c r="V1029" s="2">
        <v>1296</v>
      </c>
      <c r="W1029" s="2">
        <v>6596.64</v>
      </c>
      <c r="X1029" s="2">
        <v>5.09</v>
      </c>
      <c r="Y1029" s="2">
        <v>0.08</v>
      </c>
      <c r="AB1029">
        <v>0</v>
      </c>
      <c r="AC1029">
        <v>2015</v>
      </c>
      <c r="AE1029" s="2">
        <v>103.68</v>
      </c>
    </row>
    <row r="1030" spans="2:31" ht="14.5">
      <c r="B1030" s="2">
        <v>83301</v>
      </c>
      <c r="C1030" s="2" t="s">
        <v>1918</v>
      </c>
      <c r="D1030" s="2" t="s">
        <v>1919</v>
      </c>
      <c r="E1030" s="2" t="s">
        <v>42</v>
      </c>
      <c r="F1030" s="2" t="s">
        <v>29</v>
      </c>
      <c r="G1030" s="2" t="s">
        <v>30</v>
      </c>
      <c r="H1030" s="2" t="s">
        <v>218</v>
      </c>
      <c r="I1030" s="2" t="s">
        <v>219</v>
      </c>
      <c r="J1030" s="2" t="s">
        <v>220</v>
      </c>
      <c r="K1030" s="2" t="s">
        <v>267</v>
      </c>
      <c r="L1030" s="3"/>
      <c r="M1030" s="3">
        <v>42062</v>
      </c>
      <c r="N1030" s="3">
        <v>42063</v>
      </c>
      <c r="O1030" s="3">
        <v>42068</v>
      </c>
      <c r="P1030" s="2" t="s">
        <v>35</v>
      </c>
      <c r="Q1030" s="2" t="s">
        <v>36</v>
      </c>
      <c r="R1030" s="2" t="s">
        <v>37</v>
      </c>
      <c r="S1030" s="2" t="s">
        <v>38</v>
      </c>
      <c r="T1030" s="2" t="s">
        <v>39</v>
      </c>
      <c r="U1030" s="2">
        <v>60</v>
      </c>
      <c r="V1030" s="2">
        <v>157062</v>
      </c>
      <c r="W1030" s="2">
        <v>347107.02</v>
      </c>
      <c r="X1030" s="2">
        <v>2.21</v>
      </c>
      <c r="Y1030" s="2">
        <v>0.04</v>
      </c>
      <c r="Z1030" s="2">
        <v>15302</v>
      </c>
      <c r="AA1030" s="2">
        <v>12757</v>
      </c>
      <c r="AB1030">
        <v>0</v>
      </c>
      <c r="AC1030">
        <v>2015</v>
      </c>
      <c r="AE1030" s="2">
        <v>6282.4800000000005</v>
      </c>
    </row>
    <row r="1031" spans="2:31" ht="14.5">
      <c r="B1031" s="2">
        <v>83305</v>
      </c>
      <c r="C1031" s="2" t="s">
        <v>1920</v>
      </c>
      <c r="D1031" s="2" t="s">
        <v>1921</v>
      </c>
      <c r="E1031" s="2" t="s">
        <v>118</v>
      </c>
      <c r="F1031" s="2" t="s">
        <v>29</v>
      </c>
      <c r="G1031" s="2" t="s">
        <v>30</v>
      </c>
      <c r="H1031" s="2" t="s">
        <v>218</v>
      </c>
      <c r="I1031" s="2" t="s">
        <v>219</v>
      </c>
      <c r="J1031" s="2" t="s">
        <v>220</v>
      </c>
      <c r="K1031" s="2" t="s">
        <v>267</v>
      </c>
      <c r="L1031" s="3"/>
      <c r="M1031" s="3">
        <v>42062</v>
      </c>
      <c r="N1031" s="3">
        <v>42060</v>
      </c>
      <c r="O1031" s="3">
        <v>42068</v>
      </c>
      <c r="P1031" s="2" t="s">
        <v>150</v>
      </c>
      <c r="Q1031" s="2" t="s">
        <v>84</v>
      </c>
      <c r="R1031" s="2" t="s">
        <v>151</v>
      </c>
      <c r="S1031" s="2" t="s">
        <v>152</v>
      </c>
      <c r="T1031" s="2" t="s">
        <v>39</v>
      </c>
      <c r="U1031" s="2">
        <v>120</v>
      </c>
      <c r="V1031" s="2">
        <v>9833</v>
      </c>
      <c r="W1031" s="2">
        <v>185843.7</v>
      </c>
      <c r="X1031" s="2">
        <v>18.899999999999999</v>
      </c>
      <c r="Y1031" s="2">
        <v>0.16</v>
      </c>
      <c r="Z1031" s="2">
        <v>2033</v>
      </c>
      <c r="AA1031" s="2">
        <v>9482.19</v>
      </c>
      <c r="AB1031">
        <v>1</v>
      </c>
      <c r="AC1031">
        <v>2015</v>
      </c>
      <c r="AE1031" s="2">
        <v>1573.28</v>
      </c>
    </row>
    <row r="1032" spans="2:31" ht="14.5">
      <c r="B1032" s="2">
        <v>83308</v>
      </c>
      <c r="C1032" s="2" t="s">
        <v>1922</v>
      </c>
      <c r="D1032" s="2" t="s">
        <v>1923</v>
      </c>
      <c r="E1032" s="2" t="s">
        <v>42</v>
      </c>
      <c r="F1032" s="2" t="s">
        <v>29</v>
      </c>
      <c r="G1032" s="2" t="s">
        <v>50</v>
      </c>
      <c r="H1032" s="2" t="s">
        <v>218</v>
      </c>
      <c r="I1032" s="2" t="s">
        <v>219</v>
      </c>
      <c r="J1032" s="2" t="s">
        <v>220</v>
      </c>
      <c r="K1032" s="2" t="s">
        <v>267</v>
      </c>
      <c r="L1032" s="3"/>
      <c r="M1032" s="3">
        <v>42062</v>
      </c>
      <c r="N1032" s="3">
        <v>42060</v>
      </c>
      <c r="O1032" s="3">
        <v>42068</v>
      </c>
      <c r="P1032" s="2" t="s">
        <v>802</v>
      </c>
      <c r="Q1032" s="2" t="s">
        <v>96</v>
      </c>
      <c r="R1032" s="2" t="s">
        <v>37</v>
      </c>
      <c r="S1032" s="2" t="s">
        <v>38</v>
      </c>
      <c r="T1032" s="2" t="s">
        <v>39</v>
      </c>
      <c r="U1032" s="2">
        <v>90</v>
      </c>
      <c r="V1032" s="2">
        <v>2021</v>
      </c>
      <c r="W1032" s="2">
        <v>18795.3</v>
      </c>
      <c r="X1032" s="2">
        <v>9.3000000000000007</v>
      </c>
      <c r="Y1032" s="2">
        <v>0.1</v>
      </c>
      <c r="Z1032" s="2">
        <v>132</v>
      </c>
      <c r="AA1032" s="2">
        <v>1142</v>
      </c>
      <c r="AB1032">
        <v>1</v>
      </c>
      <c r="AC1032">
        <v>2015</v>
      </c>
      <c r="AE1032" s="2">
        <v>202.10000000000002</v>
      </c>
    </row>
    <row r="1033" spans="2:31" ht="14.5">
      <c r="B1033" s="2">
        <v>83322</v>
      </c>
      <c r="C1033" s="2" t="s">
        <v>1924</v>
      </c>
      <c r="D1033" s="2" t="s">
        <v>1925</v>
      </c>
      <c r="E1033" s="2" t="s">
        <v>42</v>
      </c>
      <c r="F1033" s="2" t="s">
        <v>29</v>
      </c>
      <c r="G1033" s="2" t="s">
        <v>50</v>
      </c>
      <c r="H1033" s="2" t="s">
        <v>218</v>
      </c>
      <c r="I1033" s="2" t="s">
        <v>219</v>
      </c>
      <c r="J1033" s="2" t="s">
        <v>220</v>
      </c>
      <c r="K1033" s="2" t="s">
        <v>267</v>
      </c>
      <c r="L1033" s="3"/>
      <c r="M1033" s="3">
        <v>42124</v>
      </c>
      <c r="N1033" s="3">
        <v>42090</v>
      </c>
      <c r="O1033" s="3">
        <v>42101</v>
      </c>
      <c r="P1033" s="2" t="s">
        <v>291</v>
      </c>
      <c r="Q1033" s="2" t="s">
        <v>99</v>
      </c>
      <c r="R1033" s="2" t="s">
        <v>37</v>
      </c>
      <c r="S1033" s="2" t="s">
        <v>172</v>
      </c>
      <c r="T1033" s="2" t="s">
        <v>87</v>
      </c>
      <c r="U1033" s="2">
        <v>240</v>
      </c>
      <c r="V1033" s="2">
        <v>503</v>
      </c>
      <c r="W1033" s="2">
        <v>3435.49</v>
      </c>
      <c r="X1033" s="2">
        <v>6.83</v>
      </c>
      <c r="Y1033" s="2">
        <v>0.03</v>
      </c>
      <c r="AB1033">
        <v>1</v>
      </c>
      <c r="AC1033">
        <v>2015</v>
      </c>
      <c r="AE1033" s="2">
        <v>15.09</v>
      </c>
    </row>
    <row r="1034" spans="2:31" ht="14.5">
      <c r="B1034" s="2">
        <v>83326</v>
      </c>
      <c r="C1034" s="2" t="s">
        <v>1927</v>
      </c>
      <c r="D1034" s="2" t="s">
        <v>1928</v>
      </c>
      <c r="E1034" s="2" t="s">
        <v>118</v>
      </c>
      <c r="F1034" s="2" t="s">
        <v>29</v>
      </c>
      <c r="G1034" s="2" t="s">
        <v>50</v>
      </c>
      <c r="H1034" s="2" t="s">
        <v>218</v>
      </c>
      <c r="I1034" s="2" t="s">
        <v>219</v>
      </c>
      <c r="J1034" s="2" t="s">
        <v>220</v>
      </c>
      <c r="K1034" s="2" t="s">
        <v>267</v>
      </c>
      <c r="L1034" s="3"/>
      <c r="M1034" s="3">
        <v>42170</v>
      </c>
      <c r="N1034" s="3">
        <v>42138</v>
      </c>
      <c r="O1034" s="3">
        <v>42139</v>
      </c>
      <c r="P1034" s="2" t="s">
        <v>727</v>
      </c>
      <c r="Q1034" s="2" t="s">
        <v>45</v>
      </c>
      <c r="R1034" s="2" t="s">
        <v>37</v>
      </c>
      <c r="S1034" s="2" t="s">
        <v>728</v>
      </c>
      <c r="T1034" s="2" t="s">
        <v>729</v>
      </c>
      <c r="U1034" s="2">
        <v>60</v>
      </c>
      <c r="V1034" s="2">
        <v>7559</v>
      </c>
      <c r="W1034" s="2">
        <v>14513.28</v>
      </c>
      <c r="X1034" s="2">
        <v>1.92</v>
      </c>
      <c r="Y1034" s="2">
        <v>0.03</v>
      </c>
      <c r="Z1034" s="2">
        <v>21710</v>
      </c>
      <c r="AA1034" s="2">
        <v>18500.5</v>
      </c>
      <c r="AB1034">
        <v>1</v>
      </c>
      <c r="AC1034">
        <v>2015</v>
      </c>
      <c r="AE1034" s="2">
        <v>226.76999999999998</v>
      </c>
    </row>
    <row r="1035" spans="2:31" ht="14.5">
      <c r="B1035" s="2">
        <v>83335</v>
      </c>
      <c r="C1035" s="2" t="s">
        <v>1929</v>
      </c>
      <c r="D1035" s="2" t="s">
        <v>1930</v>
      </c>
      <c r="E1035" s="2" t="s">
        <v>118</v>
      </c>
      <c r="F1035" s="2" t="s">
        <v>29</v>
      </c>
      <c r="G1035" s="2" t="s">
        <v>30</v>
      </c>
      <c r="H1035" s="2" t="s">
        <v>218</v>
      </c>
      <c r="I1035" s="2" t="s">
        <v>219</v>
      </c>
      <c r="J1035" s="2" t="s">
        <v>220</v>
      </c>
      <c r="K1035" s="2" t="s">
        <v>267</v>
      </c>
      <c r="L1035" s="3"/>
      <c r="M1035" s="3">
        <v>42170</v>
      </c>
      <c r="N1035" s="3">
        <v>42159</v>
      </c>
      <c r="O1035" s="3">
        <v>42170</v>
      </c>
      <c r="P1035" s="2" t="s">
        <v>706</v>
      </c>
      <c r="Q1035" s="2" t="s">
        <v>707</v>
      </c>
      <c r="R1035" s="2" t="s">
        <v>37</v>
      </c>
      <c r="S1035" s="2" t="s">
        <v>708</v>
      </c>
      <c r="T1035" s="2" t="s">
        <v>47</v>
      </c>
      <c r="U1035" s="2">
        <v>30</v>
      </c>
      <c r="V1035" s="2">
        <v>41258</v>
      </c>
      <c r="W1035" s="2">
        <v>190611.96</v>
      </c>
      <c r="X1035" s="2">
        <v>4.62</v>
      </c>
      <c r="Y1035" s="2">
        <v>0.15</v>
      </c>
      <c r="Z1035" s="2">
        <v>4964</v>
      </c>
      <c r="AA1035" s="2">
        <v>6126.12</v>
      </c>
      <c r="AB1035">
        <v>1</v>
      </c>
      <c r="AC1035">
        <v>2015</v>
      </c>
      <c r="AE1035" s="2">
        <v>6188.7</v>
      </c>
    </row>
    <row r="1036" spans="2:31" ht="14.5">
      <c r="B1036" s="2">
        <v>83342</v>
      </c>
      <c r="C1036" s="2" t="s">
        <v>2843</v>
      </c>
      <c r="D1036" s="2" t="s">
        <v>2844</v>
      </c>
      <c r="E1036" s="2" t="s">
        <v>2817</v>
      </c>
      <c r="F1036" s="2" t="s">
        <v>29</v>
      </c>
      <c r="G1036" s="2" t="s">
        <v>30</v>
      </c>
      <c r="H1036" s="2" t="s">
        <v>218</v>
      </c>
      <c r="I1036" s="2" t="s">
        <v>219</v>
      </c>
      <c r="J1036" s="2" t="s">
        <v>220</v>
      </c>
      <c r="K1036" s="2" t="s">
        <v>34</v>
      </c>
      <c r="L1036" s="3"/>
      <c r="M1036" s="3">
        <v>42180</v>
      </c>
      <c r="N1036" s="3">
        <v>42174</v>
      </c>
      <c r="O1036" s="3">
        <v>42178</v>
      </c>
      <c r="P1036" s="2" t="s">
        <v>112</v>
      </c>
      <c r="Q1036" s="2" t="s">
        <v>113</v>
      </c>
      <c r="R1036" s="2" t="s">
        <v>37</v>
      </c>
      <c r="S1036" s="2" t="s">
        <v>114</v>
      </c>
      <c r="T1036" s="2" t="s">
        <v>47</v>
      </c>
      <c r="U1036" s="2">
        <v>60</v>
      </c>
      <c r="V1036" s="2">
        <v>18600</v>
      </c>
      <c r="W1036" s="2">
        <v>150846</v>
      </c>
      <c r="X1036" s="2">
        <v>8.11</v>
      </c>
      <c r="Y1036" s="2">
        <v>0.14000000000000001</v>
      </c>
      <c r="AB1036">
        <v>1</v>
      </c>
      <c r="AC1036">
        <v>2015</v>
      </c>
      <c r="AE1036" s="2">
        <v>2604.0000000000005</v>
      </c>
    </row>
    <row r="1037" spans="2:31" ht="14.5">
      <c r="B1037" s="2">
        <v>83347</v>
      </c>
      <c r="C1037" s="2" t="s">
        <v>1718</v>
      </c>
      <c r="D1037" s="2" t="s">
        <v>1719</v>
      </c>
      <c r="E1037" s="2" t="s">
        <v>118</v>
      </c>
      <c r="F1037" s="2" t="s">
        <v>29</v>
      </c>
      <c r="G1037" s="2" t="s">
        <v>30</v>
      </c>
      <c r="H1037" s="2" t="s">
        <v>218</v>
      </c>
      <c r="I1037" s="2" t="s">
        <v>219</v>
      </c>
      <c r="J1037" s="2" t="s">
        <v>220</v>
      </c>
      <c r="K1037" s="2" t="s">
        <v>267</v>
      </c>
      <c r="L1037" s="3"/>
      <c r="M1037" s="3">
        <v>42216</v>
      </c>
      <c r="N1037" s="3">
        <v>42208</v>
      </c>
      <c r="O1037" s="3">
        <v>42208</v>
      </c>
      <c r="P1037" s="2" t="s">
        <v>112</v>
      </c>
      <c r="Q1037" s="2" t="s">
        <v>113</v>
      </c>
      <c r="R1037" s="2" t="s">
        <v>37</v>
      </c>
      <c r="S1037" s="2" t="s">
        <v>114</v>
      </c>
      <c r="T1037" s="2" t="s">
        <v>47</v>
      </c>
      <c r="U1037" s="2">
        <v>60</v>
      </c>
      <c r="V1037" s="2">
        <v>88392</v>
      </c>
      <c r="W1037" s="2">
        <v>716859.12</v>
      </c>
      <c r="X1037" s="2">
        <v>8.11</v>
      </c>
      <c r="Y1037" s="2">
        <v>0.14000000000000001</v>
      </c>
      <c r="AB1037">
        <v>1</v>
      </c>
      <c r="AC1037">
        <v>2015</v>
      </c>
      <c r="AE1037" s="2">
        <v>12374.880000000001</v>
      </c>
    </row>
    <row r="1038" spans="2:31" ht="14.5">
      <c r="B1038" s="2">
        <v>83349</v>
      </c>
      <c r="C1038" s="2" t="s">
        <v>1931</v>
      </c>
      <c r="D1038" s="2" t="s">
        <v>1932</v>
      </c>
      <c r="E1038" s="2" t="s">
        <v>42</v>
      </c>
      <c r="F1038" s="2" t="s">
        <v>29</v>
      </c>
      <c r="G1038" s="2" t="s">
        <v>30</v>
      </c>
      <c r="H1038" s="2" t="s">
        <v>218</v>
      </c>
      <c r="I1038" s="2" t="s">
        <v>219</v>
      </c>
      <c r="J1038" s="2" t="s">
        <v>220</v>
      </c>
      <c r="K1038" s="2" t="s">
        <v>34</v>
      </c>
      <c r="L1038" s="3"/>
      <c r="M1038" s="3">
        <v>42234</v>
      </c>
      <c r="N1038" s="3">
        <v>42222</v>
      </c>
      <c r="O1038" s="3">
        <v>42227</v>
      </c>
      <c r="P1038" s="2" t="s">
        <v>112</v>
      </c>
      <c r="Q1038" s="2" t="s">
        <v>113</v>
      </c>
      <c r="R1038" s="2" t="s">
        <v>37</v>
      </c>
      <c r="S1038" s="2" t="s">
        <v>114</v>
      </c>
      <c r="T1038" s="2" t="s">
        <v>47</v>
      </c>
      <c r="U1038" s="2">
        <v>60</v>
      </c>
      <c r="V1038" s="2">
        <v>1479</v>
      </c>
      <c r="W1038" s="2">
        <v>11994.69</v>
      </c>
      <c r="X1038" s="2">
        <v>8.11</v>
      </c>
      <c r="Y1038" s="2">
        <v>0.14000000000000001</v>
      </c>
      <c r="AB1038">
        <v>1</v>
      </c>
      <c r="AC1038">
        <v>2015</v>
      </c>
      <c r="AE1038" s="2">
        <v>207.06000000000003</v>
      </c>
    </row>
    <row r="1039" spans="2:31" ht="14.5">
      <c r="B1039" s="2">
        <v>83375</v>
      </c>
      <c r="C1039" s="2" t="s">
        <v>1933</v>
      </c>
      <c r="D1039" s="2" t="s">
        <v>1934</v>
      </c>
      <c r="E1039" s="2" t="s">
        <v>118</v>
      </c>
      <c r="F1039" s="2" t="s">
        <v>29</v>
      </c>
      <c r="G1039" s="2" t="s">
        <v>30</v>
      </c>
      <c r="H1039" s="2" t="s">
        <v>218</v>
      </c>
      <c r="I1039" s="2" t="s">
        <v>219</v>
      </c>
      <c r="J1039" s="2" t="s">
        <v>220</v>
      </c>
      <c r="K1039" s="2" t="s">
        <v>34</v>
      </c>
      <c r="L1039" s="3"/>
      <c r="M1039" s="3">
        <v>40137</v>
      </c>
      <c r="N1039" s="3">
        <v>40127</v>
      </c>
      <c r="O1039" s="3">
        <v>40127</v>
      </c>
      <c r="P1039" s="2" t="s">
        <v>706</v>
      </c>
      <c r="Q1039" s="2" t="s">
        <v>707</v>
      </c>
      <c r="R1039" s="2" t="s">
        <v>37</v>
      </c>
      <c r="S1039" s="2" t="s">
        <v>708</v>
      </c>
      <c r="T1039" s="2" t="s">
        <v>47</v>
      </c>
      <c r="U1039" s="2">
        <v>30</v>
      </c>
      <c r="V1039" s="2">
        <v>200</v>
      </c>
      <c r="W1039" s="2">
        <v>2000</v>
      </c>
      <c r="X1039" s="2">
        <v>10</v>
      </c>
      <c r="Y1039" s="2">
        <v>0.33</v>
      </c>
      <c r="Z1039" s="2">
        <v>44</v>
      </c>
      <c r="AA1039" s="2">
        <v>1483.39</v>
      </c>
      <c r="AB1039">
        <v>1</v>
      </c>
      <c r="AC1039">
        <v>2009</v>
      </c>
      <c r="AE1039" s="2">
        <v>66</v>
      </c>
    </row>
    <row r="1040" spans="2:31" ht="14.5">
      <c r="B1040" s="2">
        <v>83378</v>
      </c>
      <c r="C1040" s="2" t="s">
        <v>1935</v>
      </c>
      <c r="D1040" s="2" t="s">
        <v>1936</v>
      </c>
      <c r="E1040" s="2" t="s">
        <v>118</v>
      </c>
      <c r="F1040" s="2" t="s">
        <v>29</v>
      </c>
      <c r="G1040" s="2" t="s">
        <v>30</v>
      </c>
      <c r="H1040" s="2" t="s">
        <v>218</v>
      </c>
      <c r="I1040" s="2" t="s">
        <v>219</v>
      </c>
      <c r="J1040" s="2" t="s">
        <v>220</v>
      </c>
      <c r="K1040" s="2" t="s">
        <v>34</v>
      </c>
      <c r="L1040" s="3"/>
      <c r="M1040" s="3">
        <v>40147</v>
      </c>
      <c r="N1040" s="3">
        <v>40142</v>
      </c>
      <c r="O1040" s="3">
        <v>40142</v>
      </c>
      <c r="P1040" s="2" t="s">
        <v>139</v>
      </c>
      <c r="Q1040" s="2" t="s">
        <v>140</v>
      </c>
      <c r="R1040" s="2" t="s">
        <v>37</v>
      </c>
      <c r="S1040" s="2" t="s">
        <v>141</v>
      </c>
      <c r="T1040" s="2" t="s">
        <v>47</v>
      </c>
      <c r="U1040" s="2">
        <v>60</v>
      </c>
      <c r="V1040" s="2">
        <v>1760</v>
      </c>
      <c r="W1040" s="2">
        <v>12320</v>
      </c>
      <c r="X1040" s="2">
        <v>7</v>
      </c>
      <c r="Y1040" s="2">
        <v>0.12</v>
      </c>
      <c r="Z1040" s="2">
        <v>133</v>
      </c>
      <c r="AA1040" s="2">
        <v>2450.89</v>
      </c>
      <c r="AB1040">
        <v>1</v>
      </c>
      <c r="AC1040">
        <v>2009</v>
      </c>
      <c r="AE1040" s="2">
        <v>211.2</v>
      </c>
    </row>
    <row r="1041" spans="2:31" ht="14.5">
      <c r="B1041" s="2">
        <v>83379</v>
      </c>
      <c r="C1041" s="2" t="s">
        <v>1724</v>
      </c>
      <c r="D1041" s="2" t="s">
        <v>1725</v>
      </c>
      <c r="E1041" s="2" t="s">
        <v>118</v>
      </c>
      <c r="F1041" s="2" t="s">
        <v>29</v>
      </c>
      <c r="G1041" s="2" t="s">
        <v>30</v>
      </c>
      <c r="H1041" s="2" t="s">
        <v>218</v>
      </c>
      <c r="I1041" s="2" t="s">
        <v>219</v>
      </c>
      <c r="J1041" s="2" t="s">
        <v>220</v>
      </c>
      <c r="K1041" s="2" t="s">
        <v>34</v>
      </c>
      <c r="L1041" s="3"/>
      <c r="M1041" s="3">
        <v>40150</v>
      </c>
      <c r="N1041" s="3">
        <v>40147</v>
      </c>
      <c r="O1041" s="3">
        <v>40147</v>
      </c>
      <c r="P1041" s="2" t="s">
        <v>112</v>
      </c>
      <c r="Q1041" s="2" t="s">
        <v>113</v>
      </c>
      <c r="R1041" s="2" t="s">
        <v>37</v>
      </c>
      <c r="S1041" s="2" t="s">
        <v>114</v>
      </c>
      <c r="T1041" s="2" t="s">
        <v>47</v>
      </c>
      <c r="U1041" s="2">
        <v>60</v>
      </c>
      <c r="V1041" s="2">
        <v>29254</v>
      </c>
      <c r="W1041" s="2">
        <v>328229.88</v>
      </c>
      <c r="X1041" s="2">
        <v>11.22</v>
      </c>
      <c r="Y1041" s="2">
        <v>0.19</v>
      </c>
      <c r="AB1041">
        <v>1</v>
      </c>
      <c r="AC1041">
        <v>2009</v>
      </c>
      <c r="AE1041" s="2">
        <v>5558.26</v>
      </c>
    </row>
    <row r="1042" spans="2:31" ht="14.5">
      <c r="B1042" s="2">
        <v>83382</v>
      </c>
      <c r="C1042" s="2" t="s">
        <v>1937</v>
      </c>
      <c r="D1042" s="2" t="s">
        <v>1938</v>
      </c>
      <c r="E1042" s="2" t="s">
        <v>118</v>
      </c>
      <c r="F1042" s="2" t="s">
        <v>29</v>
      </c>
      <c r="G1042" s="2" t="s">
        <v>30</v>
      </c>
      <c r="H1042" s="2" t="s">
        <v>218</v>
      </c>
      <c r="I1042" s="2" t="s">
        <v>219</v>
      </c>
      <c r="J1042" s="2" t="s">
        <v>220</v>
      </c>
      <c r="K1042" s="2" t="s">
        <v>34</v>
      </c>
      <c r="L1042" s="3"/>
      <c r="M1042" s="3">
        <v>40147</v>
      </c>
      <c r="N1042" s="3">
        <v>40142</v>
      </c>
      <c r="O1042" s="3">
        <v>40142</v>
      </c>
      <c r="P1042" s="2" t="s">
        <v>706</v>
      </c>
      <c r="Q1042" s="2" t="s">
        <v>707</v>
      </c>
      <c r="R1042" s="2" t="s">
        <v>37</v>
      </c>
      <c r="S1042" s="2" t="s">
        <v>708</v>
      </c>
      <c r="T1042" s="2" t="s">
        <v>47</v>
      </c>
      <c r="U1042" s="2">
        <v>30</v>
      </c>
      <c r="V1042" s="2">
        <v>3760</v>
      </c>
      <c r="W1042" s="2">
        <v>37600</v>
      </c>
      <c r="X1042" s="2">
        <v>10</v>
      </c>
      <c r="Y1042" s="2">
        <v>0.33</v>
      </c>
      <c r="Z1042" s="2">
        <v>315</v>
      </c>
      <c r="AA1042" s="2">
        <v>5254.17</v>
      </c>
      <c r="AB1042">
        <v>1</v>
      </c>
      <c r="AC1042">
        <v>2009</v>
      </c>
      <c r="AE1042" s="2">
        <v>1240.8</v>
      </c>
    </row>
    <row r="1043" spans="2:31" ht="14.5">
      <c r="B1043" s="2">
        <v>83386</v>
      </c>
      <c r="C1043" s="2" t="s">
        <v>1939</v>
      </c>
      <c r="D1043" s="2" t="s">
        <v>1940</v>
      </c>
      <c r="E1043" s="2" t="s">
        <v>118</v>
      </c>
      <c r="F1043" s="2" t="s">
        <v>29</v>
      </c>
      <c r="G1043" s="2" t="s">
        <v>30</v>
      </c>
      <c r="H1043" s="2" t="s">
        <v>218</v>
      </c>
      <c r="I1043" s="2" t="s">
        <v>219</v>
      </c>
      <c r="J1043" s="2" t="s">
        <v>220</v>
      </c>
      <c r="K1043" s="2" t="s">
        <v>34</v>
      </c>
      <c r="L1043" s="3"/>
      <c r="M1043" s="3">
        <v>40167</v>
      </c>
      <c r="N1043" s="3">
        <v>40143</v>
      </c>
      <c r="O1043" s="3">
        <v>40143</v>
      </c>
      <c r="P1043" s="2" t="s">
        <v>95</v>
      </c>
      <c r="Q1043" s="2" t="s">
        <v>96</v>
      </c>
      <c r="R1043" s="2" t="s">
        <v>37</v>
      </c>
      <c r="S1043" s="2" t="s">
        <v>97</v>
      </c>
      <c r="T1043" s="2" t="s">
        <v>39</v>
      </c>
      <c r="U1043" s="2">
        <v>30</v>
      </c>
      <c r="V1043" s="2">
        <v>12100</v>
      </c>
      <c r="W1043" s="2">
        <v>69938</v>
      </c>
      <c r="X1043" s="2">
        <v>5.78</v>
      </c>
      <c r="Y1043" s="2">
        <v>0.19</v>
      </c>
      <c r="Z1043" s="2">
        <v>36</v>
      </c>
      <c r="AA1043" s="2">
        <v>3602.34</v>
      </c>
      <c r="AB1043">
        <v>1</v>
      </c>
      <c r="AC1043">
        <v>2009</v>
      </c>
      <c r="AE1043" s="2">
        <v>2299</v>
      </c>
    </row>
    <row r="1044" spans="2:31" ht="14.5">
      <c r="B1044" s="2">
        <v>83392</v>
      </c>
      <c r="C1044" s="2" t="s">
        <v>1941</v>
      </c>
      <c r="D1044" s="2" t="s">
        <v>1942</v>
      </c>
      <c r="E1044" s="2" t="s">
        <v>118</v>
      </c>
      <c r="F1044" s="2" t="s">
        <v>29</v>
      </c>
      <c r="G1044" s="2" t="s">
        <v>30</v>
      </c>
      <c r="H1044" s="2" t="s">
        <v>218</v>
      </c>
      <c r="I1044" s="2" t="s">
        <v>219</v>
      </c>
      <c r="J1044" s="2" t="s">
        <v>220</v>
      </c>
      <c r="K1044" s="2" t="s">
        <v>34</v>
      </c>
      <c r="L1044" s="3"/>
      <c r="M1044" s="3">
        <v>40226</v>
      </c>
      <c r="N1044" s="3">
        <v>40170</v>
      </c>
      <c r="O1044" s="3">
        <v>40170</v>
      </c>
      <c r="P1044" s="2" t="s">
        <v>164</v>
      </c>
      <c r="Q1044" s="2" t="s">
        <v>165</v>
      </c>
      <c r="R1044" s="2" t="s">
        <v>37</v>
      </c>
      <c r="S1044" s="2" t="s">
        <v>166</v>
      </c>
      <c r="T1044" s="2" t="s">
        <v>39</v>
      </c>
      <c r="U1044" s="2">
        <v>60</v>
      </c>
      <c r="V1044" s="2">
        <v>250</v>
      </c>
      <c r="W1044" s="2">
        <v>610</v>
      </c>
      <c r="X1044" s="2">
        <v>2.44</v>
      </c>
      <c r="Y1044" s="2">
        <v>0.04</v>
      </c>
      <c r="Z1044" s="2">
        <v>113</v>
      </c>
      <c r="AA1044" s="2">
        <v>3504.8</v>
      </c>
      <c r="AB1044">
        <v>1</v>
      </c>
      <c r="AC1044">
        <v>2009</v>
      </c>
      <c r="AE1044" s="2">
        <v>10</v>
      </c>
    </row>
    <row r="1045" spans="2:31" ht="14.5">
      <c r="B1045" s="2">
        <v>83393</v>
      </c>
      <c r="C1045" s="2" t="s">
        <v>1943</v>
      </c>
      <c r="D1045" s="2" t="s">
        <v>1944</v>
      </c>
      <c r="E1045" s="2" t="s">
        <v>60</v>
      </c>
      <c r="F1045" s="2" t="s">
        <v>29</v>
      </c>
      <c r="G1045" s="2" t="s">
        <v>30</v>
      </c>
      <c r="H1045" s="2" t="s">
        <v>218</v>
      </c>
      <c r="I1045" s="2" t="s">
        <v>219</v>
      </c>
      <c r="J1045" s="2" t="s">
        <v>220</v>
      </c>
      <c r="K1045" s="2" t="s">
        <v>34</v>
      </c>
      <c r="L1045" s="3"/>
      <c r="M1045" s="3">
        <v>40182</v>
      </c>
      <c r="N1045" s="3">
        <v>40155</v>
      </c>
      <c r="O1045" s="3">
        <v>40155</v>
      </c>
      <c r="P1045" s="2" t="s">
        <v>164</v>
      </c>
      <c r="Q1045" s="2" t="s">
        <v>165</v>
      </c>
      <c r="R1045" s="2" t="s">
        <v>37</v>
      </c>
      <c r="S1045" s="2" t="s">
        <v>166</v>
      </c>
      <c r="T1045" s="2" t="s">
        <v>39</v>
      </c>
      <c r="U1045" s="2">
        <v>60</v>
      </c>
      <c r="V1045" s="2">
        <v>4893</v>
      </c>
      <c r="W1045" s="2">
        <v>11938.92</v>
      </c>
      <c r="X1045" s="2">
        <v>2.44</v>
      </c>
      <c r="Y1045" s="2">
        <v>0.04</v>
      </c>
      <c r="Z1045" s="2">
        <v>235</v>
      </c>
      <c r="AA1045" s="2">
        <v>1326.89</v>
      </c>
      <c r="AB1045">
        <v>1</v>
      </c>
      <c r="AC1045">
        <v>2009</v>
      </c>
      <c r="AE1045" s="2">
        <v>195.72</v>
      </c>
    </row>
    <row r="1046" spans="2:31" ht="14.5">
      <c r="B1046" s="2">
        <v>83394</v>
      </c>
      <c r="C1046" s="2" t="s">
        <v>1945</v>
      </c>
      <c r="D1046" s="2" t="s">
        <v>1946</v>
      </c>
      <c r="E1046" s="2" t="s">
        <v>118</v>
      </c>
      <c r="F1046" s="2" t="s">
        <v>29</v>
      </c>
      <c r="G1046" s="2" t="s">
        <v>30</v>
      </c>
      <c r="H1046" s="2" t="s">
        <v>218</v>
      </c>
      <c r="I1046" s="2" t="s">
        <v>219</v>
      </c>
      <c r="J1046" s="2" t="s">
        <v>220</v>
      </c>
      <c r="K1046" s="2" t="s">
        <v>34</v>
      </c>
      <c r="L1046" s="3"/>
      <c r="M1046" s="3">
        <v>40193</v>
      </c>
      <c r="N1046" s="3">
        <v>40189</v>
      </c>
      <c r="O1046" s="3">
        <v>40189</v>
      </c>
      <c r="P1046" s="2" t="s">
        <v>95</v>
      </c>
      <c r="Q1046" s="2" t="s">
        <v>96</v>
      </c>
      <c r="R1046" s="2" t="s">
        <v>37</v>
      </c>
      <c r="S1046" s="2" t="s">
        <v>97</v>
      </c>
      <c r="T1046" s="2" t="s">
        <v>39</v>
      </c>
      <c r="U1046" s="2">
        <v>30</v>
      </c>
      <c r="V1046" s="2">
        <v>21563</v>
      </c>
      <c r="W1046" s="2">
        <v>124634.14</v>
      </c>
      <c r="X1046" s="2">
        <v>5.78</v>
      </c>
      <c r="Y1046" s="2">
        <v>0.19</v>
      </c>
      <c r="Z1046" s="2">
        <v>1864</v>
      </c>
      <c r="AA1046" s="2">
        <v>8485</v>
      </c>
      <c r="AB1046">
        <v>1</v>
      </c>
      <c r="AC1046">
        <v>2010</v>
      </c>
      <c r="AE1046" s="2">
        <v>4096.97</v>
      </c>
    </row>
    <row r="1047" spans="2:31" ht="14.5">
      <c r="B1047" s="2">
        <v>83402</v>
      </c>
      <c r="C1047" s="2" t="s">
        <v>1947</v>
      </c>
      <c r="D1047" s="2" t="s">
        <v>1948</v>
      </c>
      <c r="E1047" s="2" t="s">
        <v>28</v>
      </c>
      <c r="F1047" s="2" t="s">
        <v>29</v>
      </c>
      <c r="G1047" s="2" t="s">
        <v>30</v>
      </c>
      <c r="H1047" s="2" t="s">
        <v>218</v>
      </c>
      <c r="I1047" s="2" t="s">
        <v>219</v>
      </c>
      <c r="J1047" s="2" t="s">
        <v>220</v>
      </c>
      <c r="K1047" s="2" t="s">
        <v>34</v>
      </c>
      <c r="L1047" s="3"/>
      <c r="M1047" s="3">
        <v>40282</v>
      </c>
      <c r="N1047" s="3">
        <v>40255</v>
      </c>
      <c r="O1047" s="3">
        <v>40255</v>
      </c>
      <c r="P1047" s="2" t="s">
        <v>484</v>
      </c>
      <c r="Q1047" s="2" t="s">
        <v>105</v>
      </c>
      <c r="R1047" s="2" t="s">
        <v>37</v>
      </c>
      <c r="S1047" s="2" t="s">
        <v>100</v>
      </c>
      <c r="T1047" s="2" t="s">
        <v>39</v>
      </c>
      <c r="U1047" s="2">
        <v>30</v>
      </c>
      <c r="V1047" s="2">
        <v>2448</v>
      </c>
      <c r="W1047" s="2">
        <v>20881.439999999999</v>
      </c>
      <c r="X1047" s="2">
        <v>8.5299999999999994</v>
      </c>
      <c r="Y1047" s="2">
        <v>0.28000000000000003</v>
      </c>
      <c r="Z1047" s="2">
        <v>178</v>
      </c>
      <c r="AA1047" s="2">
        <v>1854.35</v>
      </c>
      <c r="AB1047">
        <v>1</v>
      </c>
      <c r="AC1047">
        <v>2010</v>
      </c>
      <c r="AE1047" s="2">
        <v>685.44</v>
      </c>
    </row>
    <row r="1048" spans="2:31" ht="14.5">
      <c r="B1048" s="2">
        <v>83412</v>
      </c>
      <c r="C1048" s="2" t="s">
        <v>1510</v>
      </c>
      <c r="D1048" s="2" t="s">
        <v>1511</v>
      </c>
      <c r="E1048" s="2" t="s">
        <v>118</v>
      </c>
      <c r="F1048" s="2" t="s">
        <v>29</v>
      </c>
      <c r="G1048" s="2" t="s">
        <v>30</v>
      </c>
      <c r="H1048" s="2" t="s">
        <v>218</v>
      </c>
      <c r="I1048" s="2" t="s">
        <v>219</v>
      </c>
      <c r="J1048" s="2" t="s">
        <v>220</v>
      </c>
      <c r="K1048" s="2" t="s">
        <v>267</v>
      </c>
      <c r="L1048" s="3"/>
      <c r="M1048" s="3">
        <v>40269</v>
      </c>
      <c r="N1048" s="3">
        <v>40262</v>
      </c>
      <c r="O1048" s="3">
        <v>40262</v>
      </c>
      <c r="P1048" s="2" t="s">
        <v>44</v>
      </c>
      <c r="Q1048" s="2" t="s">
        <v>45</v>
      </c>
      <c r="R1048" s="2" t="s">
        <v>37</v>
      </c>
      <c r="S1048" s="2" t="s">
        <v>46</v>
      </c>
      <c r="T1048" s="2" t="s">
        <v>47</v>
      </c>
      <c r="U1048" s="2">
        <v>60</v>
      </c>
      <c r="V1048" s="2">
        <v>118</v>
      </c>
      <c r="W1048" s="2">
        <v>1033.68</v>
      </c>
      <c r="X1048" s="2">
        <v>8.76</v>
      </c>
      <c r="Y1048" s="2">
        <v>0.15</v>
      </c>
      <c r="AB1048">
        <v>1</v>
      </c>
      <c r="AC1048">
        <v>2010</v>
      </c>
      <c r="AE1048" s="2">
        <v>17.7</v>
      </c>
    </row>
    <row r="1049" spans="2:31" ht="14.5">
      <c r="B1049" s="2">
        <v>83413</v>
      </c>
      <c r="C1049" s="2" t="s">
        <v>1949</v>
      </c>
      <c r="D1049" s="2" t="s">
        <v>1950</v>
      </c>
      <c r="E1049" s="2" t="s">
        <v>118</v>
      </c>
      <c r="F1049" s="2" t="s">
        <v>29</v>
      </c>
      <c r="G1049" s="2" t="s">
        <v>30</v>
      </c>
      <c r="H1049" s="2" t="s">
        <v>218</v>
      </c>
      <c r="I1049" s="2" t="s">
        <v>219</v>
      </c>
      <c r="J1049" s="2" t="s">
        <v>220</v>
      </c>
      <c r="K1049" s="2" t="s">
        <v>267</v>
      </c>
      <c r="L1049" s="3"/>
      <c r="M1049" s="3">
        <v>40269</v>
      </c>
      <c r="N1049" s="3">
        <v>40262</v>
      </c>
      <c r="O1049" s="3">
        <v>40262</v>
      </c>
      <c r="P1049" s="2" t="s">
        <v>112</v>
      </c>
      <c r="Q1049" s="2" t="s">
        <v>113</v>
      </c>
      <c r="R1049" s="2" t="s">
        <v>37</v>
      </c>
      <c r="S1049" s="2" t="s">
        <v>114</v>
      </c>
      <c r="T1049" s="2" t="s">
        <v>47</v>
      </c>
      <c r="U1049" s="2">
        <v>60</v>
      </c>
      <c r="V1049" s="2">
        <v>9000</v>
      </c>
      <c r="W1049" s="2">
        <v>100980</v>
      </c>
      <c r="X1049" s="2">
        <v>11.22</v>
      </c>
      <c r="Y1049" s="2">
        <v>0.19</v>
      </c>
      <c r="Z1049" s="2">
        <v>1055</v>
      </c>
      <c r="AA1049" s="2">
        <v>2961</v>
      </c>
      <c r="AB1049">
        <v>1</v>
      </c>
      <c r="AC1049">
        <v>2010</v>
      </c>
      <c r="AE1049" s="2">
        <v>1710</v>
      </c>
    </row>
    <row r="1050" spans="2:31" ht="14.5">
      <c r="B1050" s="2">
        <v>83423</v>
      </c>
      <c r="C1050" s="2" t="s">
        <v>1951</v>
      </c>
      <c r="D1050" s="2" t="s">
        <v>1952</v>
      </c>
      <c r="E1050" s="2" t="s">
        <v>118</v>
      </c>
      <c r="F1050" s="2" t="s">
        <v>29</v>
      </c>
      <c r="G1050" s="2" t="s">
        <v>30</v>
      </c>
      <c r="H1050" s="2" t="s">
        <v>218</v>
      </c>
      <c r="I1050" s="2" t="s">
        <v>219</v>
      </c>
      <c r="J1050" s="2" t="s">
        <v>220</v>
      </c>
      <c r="K1050" s="2" t="s">
        <v>34</v>
      </c>
      <c r="L1050" s="3"/>
      <c r="M1050" s="3">
        <v>40301</v>
      </c>
      <c r="N1050" s="3">
        <v>40301</v>
      </c>
      <c r="O1050" s="3">
        <v>40301</v>
      </c>
      <c r="P1050" s="2" t="s">
        <v>95</v>
      </c>
      <c r="Q1050" s="2" t="s">
        <v>96</v>
      </c>
      <c r="R1050" s="2" t="s">
        <v>37</v>
      </c>
      <c r="S1050" s="2" t="s">
        <v>97</v>
      </c>
      <c r="T1050" s="2" t="s">
        <v>39</v>
      </c>
      <c r="U1050" s="2">
        <v>30</v>
      </c>
      <c r="V1050" s="2">
        <v>2579</v>
      </c>
      <c r="W1050" s="2">
        <v>12250.25</v>
      </c>
      <c r="X1050" s="2">
        <v>4.75</v>
      </c>
      <c r="Y1050" s="2">
        <v>0.16</v>
      </c>
      <c r="Z1050" s="2">
        <v>358</v>
      </c>
      <c r="AA1050" s="2">
        <v>2485.92</v>
      </c>
      <c r="AB1050">
        <v>1</v>
      </c>
      <c r="AC1050">
        <v>2010</v>
      </c>
      <c r="AE1050" s="2">
        <v>412.64</v>
      </c>
    </row>
    <row r="1051" spans="2:31" ht="14.5">
      <c r="B1051" s="2">
        <v>83427</v>
      </c>
      <c r="C1051" s="2" t="s">
        <v>1953</v>
      </c>
      <c r="D1051" s="2" t="s">
        <v>1954</v>
      </c>
      <c r="E1051" s="2" t="s">
        <v>60</v>
      </c>
      <c r="F1051" s="2" t="s">
        <v>29</v>
      </c>
      <c r="G1051" s="2" t="s">
        <v>30</v>
      </c>
      <c r="H1051" s="2" t="s">
        <v>218</v>
      </c>
      <c r="I1051" s="2" t="s">
        <v>219</v>
      </c>
      <c r="J1051" s="2" t="s">
        <v>220</v>
      </c>
      <c r="K1051" s="2" t="s">
        <v>34</v>
      </c>
      <c r="L1051" s="3"/>
      <c r="M1051" s="3">
        <v>40361</v>
      </c>
      <c r="N1051" s="3">
        <v>40302</v>
      </c>
      <c r="O1051" s="3">
        <v>40302</v>
      </c>
      <c r="P1051" s="2" t="s">
        <v>333</v>
      </c>
      <c r="Q1051" s="2" t="s">
        <v>225</v>
      </c>
      <c r="R1051" s="2" t="s">
        <v>37</v>
      </c>
      <c r="S1051" s="2" t="s">
        <v>100</v>
      </c>
      <c r="T1051" s="2" t="s">
        <v>39</v>
      </c>
      <c r="U1051" s="2">
        <v>60</v>
      </c>
      <c r="V1051" s="2">
        <v>5000</v>
      </c>
      <c r="W1051" s="2">
        <v>36050</v>
      </c>
      <c r="X1051" s="2">
        <v>7.21</v>
      </c>
      <c r="Y1051" s="2">
        <v>0.12</v>
      </c>
      <c r="Z1051" s="2">
        <v>276</v>
      </c>
      <c r="AA1051" s="2">
        <v>2211.2199999999998</v>
      </c>
      <c r="AB1051">
        <v>1</v>
      </c>
      <c r="AC1051">
        <v>2010</v>
      </c>
      <c r="AE1051" s="2">
        <v>600</v>
      </c>
    </row>
    <row r="1052" spans="2:31" ht="14.5">
      <c r="B1052" s="2">
        <v>83428</v>
      </c>
      <c r="C1052" s="2" t="s">
        <v>1955</v>
      </c>
      <c r="D1052" s="2" t="s">
        <v>1956</v>
      </c>
      <c r="E1052" s="2" t="s">
        <v>28</v>
      </c>
      <c r="F1052" s="2" t="s">
        <v>29</v>
      </c>
      <c r="G1052" s="2" t="s">
        <v>30</v>
      </c>
      <c r="H1052" s="2" t="s">
        <v>218</v>
      </c>
      <c r="I1052" s="2" t="s">
        <v>219</v>
      </c>
      <c r="J1052" s="2" t="s">
        <v>220</v>
      </c>
      <c r="K1052" s="2" t="s">
        <v>34</v>
      </c>
      <c r="L1052" s="3"/>
      <c r="M1052" s="3">
        <v>40380</v>
      </c>
      <c r="N1052" s="3">
        <v>40319</v>
      </c>
      <c r="O1052" s="3">
        <v>40319</v>
      </c>
      <c r="P1052" s="2" t="s">
        <v>35</v>
      </c>
      <c r="Q1052" s="2" t="s">
        <v>36</v>
      </c>
      <c r="R1052" s="2" t="s">
        <v>37</v>
      </c>
      <c r="S1052" s="2" t="s">
        <v>38</v>
      </c>
      <c r="T1052" s="2" t="s">
        <v>39</v>
      </c>
      <c r="U1052" s="2">
        <v>60</v>
      </c>
      <c r="V1052" s="2">
        <v>40000</v>
      </c>
      <c r="W1052" s="2">
        <v>109200</v>
      </c>
      <c r="X1052" s="2">
        <v>2.73</v>
      </c>
      <c r="Y1052" s="2">
        <v>0.05</v>
      </c>
      <c r="Z1052" s="2">
        <v>6240</v>
      </c>
      <c r="AA1052" s="2">
        <v>27922.62</v>
      </c>
      <c r="AB1052">
        <v>1</v>
      </c>
      <c r="AC1052">
        <v>2010</v>
      </c>
      <c r="AE1052" s="2">
        <v>2000</v>
      </c>
    </row>
    <row r="1053" spans="2:31" ht="14.5">
      <c r="B1053" s="2">
        <v>83434</v>
      </c>
      <c r="C1053" s="2" t="s">
        <v>1957</v>
      </c>
      <c r="D1053" s="2" t="s">
        <v>1958</v>
      </c>
      <c r="E1053" s="2" t="s">
        <v>118</v>
      </c>
      <c r="F1053" s="2" t="s">
        <v>29</v>
      </c>
      <c r="G1053" s="2" t="s">
        <v>30</v>
      </c>
      <c r="H1053" s="2" t="s">
        <v>218</v>
      </c>
      <c r="I1053" s="2" t="s">
        <v>219</v>
      </c>
      <c r="J1053" s="2" t="s">
        <v>220</v>
      </c>
      <c r="K1053" s="2" t="s">
        <v>34</v>
      </c>
      <c r="L1053" s="3"/>
      <c r="M1053" s="3">
        <v>40359</v>
      </c>
      <c r="N1053" s="3">
        <v>40351</v>
      </c>
      <c r="O1053" s="3">
        <v>40351</v>
      </c>
      <c r="P1053" s="2" t="s">
        <v>112</v>
      </c>
      <c r="Q1053" s="2" t="s">
        <v>113</v>
      </c>
      <c r="R1053" s="2" t="s">
        <v>37</v>
      </c>
      <c r="S1053" s="2" t="s">
        <v>114</v>
      </c>
      <c r="T1053" s="2" t="s">
        <v>47</v>
      </c>
      <c r="U1053" s="2">
        <v>60</v>
      </c>
      <c r="V1053" s="2">
        <v>15000</v>
      </c>
      <c r="W1053" s="2">
        <v>168300</v>
      </c>
      <c r="X1053" s="2">
        <v>11.22</v>
      </c>
      <c r="Y1053" s="2">
        <v>0.19</v>
      </c>
      <c r="Z1053" s="2">
        <v>1943</v>
      </c>
      <c r="AA1053" s="2">
        <v>6299.45</v>
      </c>
      <c r="AB1053">
        <v>1</v>
      </c>
      <c r="AC1053">
        <v>2010</v>
      </c>
      <c r="AE1053" s="2">
        <v>2850</v>
      </c>
    </row>
    <row r="1054" spans="2:31" ht="14.5">
      <c r="B1054" s="2">
        <v>83443</v>
      </c>
      <c r="C1054" s="2" t="s">
        <v>1959</v>
      </c>
      <c r="D1054" s="2" t="s">
        <v>1960</v>
      </c>
      <c r="E1054" s="2" t="s">
        <v>118</v>
      </c>
      <c r="F1054" s="2" t="s">
        <v>29</v>
      </c>
      <c r="G1054" s="2" t="s">
        <v>30</v>
      </c>
      <c r="H1054" s="2" t="s">
        <v>218</v>
      </c>
      <c r="I1054" s="2" t="s">
        <v>219</v>
      </c>
      <c r="J1054" s="2" t="s">
        <v>220</v>
      </c>
      <c r="K1054" s="2" t="s">
        <v>34</v>
      </c>
      <c r="L1054" s="3"/>
      <c r="M1054" s="3">
        <v>40394</v>
      </c>
      <c r="N1054" s="3">
        <v>40378</v>
      </c>
      <c r="O1054" s="3">
        <v>40378</v>
      </c>
      <c r="P1054" s="2" t="s">
        <v>1457</v>
      </c>
      <c r="Q1054" s="2" t="s">
        <v>236</v>
      </c>
      <c r="R1054" s="2" t="s">
        <v>37</v>
      </c>
      <c r="S1054" s="2" t="s">
        <v>1458</v>
      </c>
      <c r="T1054" s="2" t="s">
        <v>47</v>
      </c>
      <c r="U1054" s="2">
        <v>30</v>
      </c>
      <c r="V1054" s="2">
        <v>703</v>
      </c>
      <c r="W1054" s="2">
        <v>8260.25</v>
      </c>
      <c r="X1054" s="2">
        <v>11.75</v>
      </c>
      <c r="Y1054" s="2">
        <v>0.39</v>
      </c>
      <c r="Z1054" s="2">
        <v>301</v>
      </c>
      <c r="AA1054" s="2">
        <v>4758.3599999999997</v>
      </c>
      <c r="AB1054">
        <v>1</v>
      </c>
      <c r="AC1054">
        <v>2010</v>
      </c>
      <c r="AE1054" s="2">
        <v>274.17</v>
      </c>
    </row>
    <row r="1055" spans="2:31" ht="14.5">
      <c r="B1055" s="2">
        <v>83444</v>
      </c>
      <c r="C1055" s="2" t="s">
        <v>1961</v>
      </c>
      <c r="D1055" s="2" t="s">
        <v>1962</v>
      </c>
      <c r="E1055" s="2" t="s">
        <v>118</v>
      </c>
      <c r="F1055" s="2" t="s">
        <v>29</v>
      </c>
      <c r="G1055" s="2" t="s">
        <v>30</v>
      </c>
      <c r="H1055" s="2" t="s">
        <v>218</v>
      </c>
      <c r="I1055" s="2" t="s">
        <v>219</v>
      </c>
      <c r="J1055" s="2" t="s">
        <v>220</v>
      </c>
      <c r="K1055" s="2" t="s">
        <v>34</v>
      </c>
      <c r="L1055" s="3"/>
      <c r="M1055" s="3">
        <v>40394</v>
      </c>
      <c r="N1055" s="3">
        <v>40392</v>
      </c>
      <c r="O1055" s="3">
        <v>40392</v>
      </c>
      <c r="P1055" s="2" t="s">
        <v>112</v>
      </c>
      <c r="Q1055" s="2" t="s">
        <v>113</v>
      </c>
      <c r="R1055" s="2" t="s">
        <v>37</v>
      </c>
      <c r="S1055" s="2" t="s">
        <v>114</v>
      </c>
      <c r="T1055" s="2" t="s">
        <v>47</v>
      </c>
      <c r="U1055" s="2">
        <v>60</v>
      </c>
      <c r="V1055" s="2">
        <v>8000</v>
      </c>
      <c r="W1055" s="2">
        <v>89760</v>
      </c>
      <c r="X1055" s="2">
        <v>11.22</v>
      </c>
      <c r="Y1055" s="2">
        <v>0.19</v>
      </c>
      <c r="Z1055" s="2">
        <v>1642</v>
      </c>
      <c r="AA1055" s="2">
        <v>15347.04</v>
      </c>
      <c r="AB1055">
        <v>1</v>
      </c>
      <c r="AC1055">
        <v>2010</v>
      </c>
      <c r="AE1055" s="2">
        <v>1520</v>
      </c>
    </row>
    <row r="1056" spans="2:31" ht="14.5">
      <c r="B1056" s="2">
        <v>83446</v>
      </c>
      <c r="C1056" s="2" t="s">
        <v>1750</v>
      </c>
      <c r="D1056" s="2" t="s">
        <v>1751</v>
      </c>
      <c r="E1056" s="2" t="s">
        <v>60</v>
      </c>
      <c r="F1056" s="2" t="s">
        <v>29</v>
      </c>
      <c r="G1056" s="2" t="s">
        <v>30</v>
      </c>
      <c r="H1056" s="2" t="s">
        <v>218</v>
      </c>
      <c r="I1056" s="2" t="s">
        <v>219</v>
      </c>
      <c r="J1056" s="2" t="s">
        <v>220</v>
      </c>
      <c r="K1056" s="2" t="s">
        <v>34</v>
      </c>
      <c r="L1056" s="3"/>
      <c r="M1056" s="3">
        <v>40442</v>
      </c>
      <c r="N1056" s="3">
        <v>40373</v>
      </c>
      <c r="O1056" s="3">
        <v>40373</v>
      </c>
      <c r="P1056" s="2" t="s">
        <v>139</v>
      </c>
      <c r="Q1056" s="2" t="s">
        <v>140</v>
      </c>
      <c r="R1056" s="2" t="s">
        <v>37</v>
      </c>
      <c r="S1056" s="2" t="s">
        <v>141</v>
      </c>
      <c r="T1056" s="2" t="s">
        <v>47</v>
      </c>
      <c r="U1056" s="2">
        <v>60</v>
      </c>
      <c r="V1056" s="2">
        <v>3439</v>
      </c>
      <c r="W1056" s="2">
        <v>19705.47</v>
      </c>
      <c r="X1056" s="2">
        <v>5.73</v>
      </c>
      <c r="Y1056" s="2">
        <v>0.1</v>
      </c>
      <c r="AB1056">
        <v>1</v>
      </c>
      <c r="AC1056">
        <v>2010</v>
      </c>
      <c r="AE1056" s="2">
        <v>343.90000000000003</v>
      </c>
    </row>
    <row r="1057" spans="2:31" ht="14.5">
      <c r="B1057" s="2">
        <v>83454</v>
      </c>
      <c r="C1057" s="2" t="s">
        <v>1963</v>
      </c>
      <c r="D1057" s="2" t="s">
        <v>1964</v>
      </c>
      <c r="E1057" s="2" t="s">
        <v>118</v>
      </c>
      <c r="F1057" s="2" t="s">
        <v>29</v>
      </c>
      <c r="G1057" s="2" t="s">
        <v>30</v>
      </c>
      <c r="H1057" s="2" t="s">
        <v>218</v>
      </c>
      <c r="I1057" s="2" t="s">
        <v>219</v>
      </c>
      <c r="J1057" s="2" t="s">
        <v>220</v>
      </c>
      <c r="K1057" s="2" t="s">
        <v>34</v>
      </c>
      <c r="L1057" s="3"/>
      <c r="M1057" s="3">
        <v>40424</v>
      </c>
      <c r="N1057" s="3">
        <v>40417</v>
      </c>
      <c r="O1057" s="3">
        <v>40417</v>
      </c>
      <c r="P1057" s="2" t="s">
        <v>1457</v>
      </c>
      <c r="Q1057" s="2" t="s">
        <v>236</v>
      </c>
      <c r="R1057" s="2" t="s">
        <v>37</v>
      </c>
      <c r="S1057" s="2" t="s">
        <v>1458</v>
      </c>
      <c r="T1057" s="2" t="s">
        <v>47</v>
      </c>
      <c r="U1057" s="2">
        <v>30</v>
      </c>
      <c r="V1057" s="2">
        <v>650</v>
      </c>
      <c r="W1057" s="2">
        <v>7637.5</v>
      </c>
      <c r="X1057" s="2">
        <v>11.75</v>
      </c>
      <c r="Y1057" s="2">
        <v>0.39</v>
      </c>
      <c r="Z1057" s="2">
        <v>61</v>
      </c>
      <c r="AA1057" s="2">
        <v>536.02</v>
      </c>
      <c r="AB1057">
        <v>1</v>
      </c>
      <c r="AC1057">
        <v>2010</v>
      </c>
      <c r="AE1057" s="2">
        <v>253.5</v>
      </c>
    </row>
    <row r="1058" spans="2:31" ht="14.5">
      <c r="B1058" s="2">
        <v>83459</v>
      </c>
      <c r="C1058" s="2" t="s">
        <v>1965</v>
      </c>
      <c r="D1058" s="2" t="s">
        <v>1966</v>
      </c>
      <c r="E1058" s="2" t="s">
        <v>118</v>
      </c>
      <c r="F1058" s="2" t="s">
        <v>29</v>
      </c>
      <c r="G1058" s="2" t="s">
        <v>30</v>
      </c>
      <c r="H1058" s="2" t="s">
        <v>218</v>
      </c>
      <c r="I1058" s="2" t="s">
        <v>219</v>
      </c>
      <c r="J1058" s="2" t="s">
        <v>220</v>
      </c>
      <c r="K1058" s="2" t="s">
        <v>34</v>
      </c>
      <c r="L1058" s="3"/>
      <c r="M1058" s="3">
        <v>40471</v>
      </c>
      <c r="N1058" s="3">
        <v>40477</v>
      </c>
      <c r="O1058" s="3">
        <v>40477</v>
      </c>
      <c r="P1058" s="2" t="s">
        <v>139</v>
      </c>
      <c r="Q1058" s="2" t="s">
        <v>140</v>
      </c>
      <c r="R1058" s="2" t="s">
        <v>37</v>
      </c>
      <c r="S1058" s="2" t="s">
        <v>141</v>
      </c>
      <c r="T1058" s="2" t="s">
        <v>47</v>
      </c>
      <c r="U1058" s="2">
        <v>60</v>
      </c>
      <c r="V1058" s="2">
        <v>1193</v>
      </c>
      <c r="W1058" s="2">
        <v>6835.89</v>
      </c>
      <c r="X1058" s="2">
        <v>5.73</v>
      </c>
      <c r="Y1058" s="2">
        <v>0.1</v>
      </c>
      <c r="Z1058" s="2">
        <v>144</v>
      </c>
      <c r="AA1058" s="2">
        <v>1413.56</v>
      </c>
      <c r="AB1058">
        <v>0</v>
      </c>
      <c r="AC1058">
        <v>2010</v>
      </c>
      <c r="AE1058" s="2">
        <v>119.30000000000001</v>
      </c>
    </row>
    <row r="1059" spans="2:31" ht="14.5">
      <c r="B1059" s="2">
        <v>83466</v>
      </c>
      <c r="C1059" s="2" t="s">
        <v>1967</v>
      </c>
      <c r="D1059" s="2" t="s">
        <v>1968</v>
      </c>
      <c r="E1059" s="2" t="s">
        <v>118</v>
      </c>
      <c r="F1059" s="2" t="s">
        <v>29</v>
      </c>
      <c r="G1059" s="2" t="s">
        <v>30</v>
      </c>
      <c r="H1059" s="2" t="s">
        <v>218</v>
      </c>
      <c r="I1059" s="2" t="s">
        <v>219</v>
      </c>
      <c r="J1059" s="2" t="s">
        <v>220</v>
      </c>
      <c r="K1059" s="2" t="s">
        <v>267</v>
      </c>
      <c r="L1059" s="3"/>
      <c r="M1059" s="3">
        <v>40514</v>
      </c>
      <c r="N1059" s="3">
        <v>40514</v>
      </c>
      <c r="O1059" s="3">
        <v>40514</v>
      </c>
      <c r="P1059" s="2" t="s">
        <v>95</v>
      </c>
      <c r="Q1059" s="2" t="s">
        <v>96</v>
      </c>
      <c r="R1059" s="2" t="s">
        <v>37</v>
      </c>
      <c r="S1059" s="2" t="s">
        <v>97</v>
      </c>
      <c r="T1059" s="2" t="s">
        <v>39</v>
      </c>
      <c r="U1059" s="2">
        <v>30</v>
      </c>
      <c r="V1059" s="2">
        <v>99404</v>
      </c>
      <c r="W1059" s="2">
        <v>449306.08</v>
      </c>
      <c r="X1059" s="2">
        <v>4.5199999999999996</v>
      </c>
      <c r="Y1059" s="2">
        <v>0.15</v>
      </c>
      <c r="Z1059" s="2">
        <v>6960</v>
      </c>
      <c r="AA1059" s="2">
        <v>29545.05</v>
      </c>
      <c r="AB1059">
        <v>1</v>
      </c>
      <c r="AC1059">
        <v>2010</v>
      </c>
      <c r="AE1059" s="2">
        <v>14910.599999999999</v>
      </c>
    </row>
    <row r="1060" spans="2:31" ht="14.5">
      <c r="B1060" s="2">
        <v>83467</v>
      </c>
      <c r="C1060" s="2" t="s">
        <v>1969</v>
      </c>
      <c r="D1060" s="2" t="s">
        <v>1970</v>
      </c>
      <c r="E1060" s="2" t="s">
        <v>118</v>
      </c>
      <c r="F1060" s="2" t="s">
        <v>29</v>
      </c>
      <c r="G1060" s="2" t="s">
        <v>30</v>
      </c>
      <c r="H1060" s="2" t="s">
        <v>218</v>
      </c>
      <c r="I1060" s="2" t="s">
        <v>219</v>
      </c>
      <c r="J1060" s="2" t="s">
        <v>220</v>
      </c>
      <c r="K1060" s="2" t="s">
        <v>34</v>
      </c>
      <c r="L1060" s="3"/>
      <c r="M1060" s="3">
        <v>40514</v>
      </c>
      <c r="N1060" s="3">
        <v>40511</v>
      </c>
      <c r="O1060" s="3">
        <v>40511</v>
      </c>
      <c r="P1060" s="2" t="s">
        <v>35</v>
      </c>
      <c r="Q1060" s="2" t="s">
        <v>36</v>
      </c>
      <c r="R1060" s="2" t="s">
        <v>37</v>
      </c>
      <c r="S1060" s="2" t="s">
        <v>38</v>
      </c>
      <c r="T1060" s="2" t="s">
        <v>39</v>
      </c>
      <c r="U1060" s="2">
        <v>60</v>
      </c>
      <c r="V1060" s="2">
        <v>3690</v>
      </c>
      <c r="W1060" s="2">
        <v>9815.4</v>
      </c>
      <c r="X1060" s="2">
        <v>2.66</v>
      </c>
      <c r="Y1060" s="2">
        <v>0.04</v>
      </c>
      <c r="Z1060" s="2">
        <v>214</v>
      </c>
      <c r="AA1060" s="2">
        <v>5166.3900000000003</v>
      </c>
      <c r="AB1060">
        <v>1</v>
      </c>
      <c r="AC1060">
        <v>2010</v>
      </c>
      <c r="AE1060" s="2">
        <v>147.6</v>
      </c>
    </row>
    <row r="1061" spans="2:31" ht="14.5">
      <c r="B1061" s="2">
        <v>83476</v>
      </c>
      <c r="C1061" s="2" t="s">
        <v>1971</v>
      </c>
      <c r="D1061" s="2" t="s">
        <v>1972</v>
      </c>
      <c r="E1061" s="2" t="s">
        <v>60</v>
      </c>
      <c r="F1061" s="2" t="s">
        <v>29</v>
      </c>
      <c r="G1061" s="2" t="s">
        <v>30</v>
      </c>
      <c r="H1061" s="2" t="s">
        <v>218</v>
      </c>
      <c r="I1061" s="2" t="s">
        <v>219</v>
      </c>
      <c r="J1061" s="2" t="s">
        <v>220</v>
      </c>
      <c r="K1061" s="2" t="s">
        <v>34</v>
      </c>
      <c r="L1061" s="3"/>
      <c r="M1061" s="3">
        <v>40527</v>
      </c>
      <c r="N1061" s="3">
        <v>40521</v>
      </c>
      <c r="O1061" s="3">
        <v>40521</v>
      </c>
      <c r="P1061" s="2" t="s">
        <v>484</v>
      </c>
      <c r="Q1061" s="2" t="s">
        <v>105</v>
      </c>
      <c r="R1061" s="2" t="s">
        <v>37</v>
      </c>
      <c r="S1061" s="2" t="s">
        <v>100</v>
      </c>
      <c r="T1061" s="2" t="s">
        <v>39</v>
      </c>
      <c r="U1061" s="2">
        <v>30</v>
      </c>
      <c r="V1061" s="2">
        <v>1440</v>
      </c>
      <c r="W1061" s="2">
        <v>10512</v>
      </c>
      <c r="X1061" s="2">
        <v>7.3</v>
      </c>
      <c r="Y1061" s="2">
        <v>0.24</v>
      </c>
      <c r="Z1061" s="2">
        <v>88</v>
      </c>
      <c r="AA1061" s="2">
        <v>1842.95</v>
      </c>
      <c r="AB1061">
        <v>1</v>
      </c>
      <c r="AC1061">
        <v>2010</v>
      </c>
      <c r="AE1061" s="2">
        <v>345.59999999999997</v>
      </c>
    </row>
    <row r="1062" spans="2:31" ht="14.5">
      <c r="B1062" s="2">
        <v>83477</v>
      </c>
      <c r="C1062" s="2" t="s">
        <v>1973</v>
      </c>
      <c r="D1062" s="2" t="s">
        <v>1974</v>
      </c>
      <c r="E1062" s="2" t="s">
        <v>118</v>
      </c>
      <c r="F1062" s="2" t="s">
        <v>29</v>
      </c>
      <c r="G1062" s="2" t="s">
        <v>30</v>
      </c>
      <c r="H1062" s="2" t="s">
        <v>218</v>
      </c>
      <c r="I1062" s="2" t="s">
        <v>219</v>
      </c>
      <c r="J1062" s="2" t="s">
        <v>220</v>
      </c>
      <c r="K1062" s="2" t="s">
        <v>267</v>
      </c>
      <c r="L1062" s="3"/>
      <c r="M1062" s="3">
        <v>40543</v>
      </c>
      <c r="N1062" s="3">
        <v>40535</v>
      </c>
      <c r="O1062" s="3">
        <v>40535</v>
      </c>
      <c r="P1062" s="2" t="s">
        <v>112</v>
      </c>
      <c r="Q1062" s="2" t="s">
        <v>113</v>
      </c>
      <c r="R1062" s="2" t="s">
        <v>37</v>
      </c>
      <c r="S1062" s="2" t="s">
        <v>114</v>
      </c>
      <c r="T1062" s="2" t="s">
        <v>47</v>
      </c>
      <c r="U1062" s="2">
        <v>60</v>
      </c>
      <c r="V1062" s="2">
        <v>125000</v>
      </c>
      <c r="W1062" s="2">
        <v>1402500</v>
      </c>
      <c r="X1062" s="2">
        <v>11.22</v>
      </c>
      <c r="Y1062" s="2">
        <v>0.19</v>
      </c>
      <c r="Z1062" s="2">
        <v>16790</v>
      </c>
      <c r="AA1062" s="2">
        <v>103428</v>
      </c>
      <c r="AB1062">
        <v>1</v>
      </c>
      <c r="AC1062">
        <v>2010</v>
      </c>
      <c r="AE1062" s="2">
        <v>23750</v>
      </c>
    </row>
    <row r="1063" spans="2:31" ht="14.5">
      <c r="B1063" s="2">
        <v>83493</v>
      </c>
      <c r="C1063" s="2" t="s">
        <v>1975</v>
      </c>
      <c r="D1063" s="2" t="s">
        <v>1976</v>
      </c>
      <c r="E1063" s="2" t="s">
        <v>118</v>
      </c>
      <c r="F1063" s="2" t="s">
        <v>29</v>
      </c>
      <c r="G1063" s="2" t="s">
        <v>30</v>
      </c>
      <c r="H1063" s="2" t="s">
        <v>218</v>
      </c>
      <c r="I1063" s="2" t="s">
        <v>219</v>
      </c>
      <c r="J1063" s="2" t="s">
        <v>220</v>
      </c>
      <c r="K1063" s="2" t="s">
        <v>267</v>
      </c>
      <c r="L1063" s="3"/>
      <c r="M1063" s="3">
        <v>40633</v>
      </c>
      <c r="N1063" s="3">
        <v>40634</v>
      </c>
      <c r="O1063" s="3">
        <v>40634</v>
      </c>
      <c r="P1063" s="2" t="s">
        <v>44</v>
      </c>
      <c r="Q1063" s="2" t="s">
        <v>45</v>
      </c>
      <c r="R1063" s="2" t="s">
        <v>37</v>
      </c>
      <c r="S1063" s="2" t="s">
        <v>46</v>
      </c>
      <c r="T1063" s="2" t="s">
        <v>47</v>
      </c>
      <c r="U1063" s="2">
        <v>60</v>
      </c>
      <c r="V1063" s="2">
        <v>30107</v>
      </c>
      <c r="W1063" s="2">
        <v>248683.82</v>
      </c>
      <c r="X1063" s="2">
        <v>8.26</v>
      </c>
      <c r="Y1063" s="2">
        <v>0.14000000000000001</v>
      </c>
      <c r="Z1063" s="2">
        <v>2875</v>
      </c>
      <c r="AA1063" s="2">
        <v>23675.63</v>
      </c>
      <c r="AB1063">
        <v>0</v>
      </c>
      <c r="AC1063">
        <v>2011</v>
      </c>
      <c r="AE1063" s="2">
        <v>4214.9800000000005</v>
      </c>
    </row>
    <row r="1064" spans="2:31" ht="14.5">
      <c r="B1064" s="2">
        <v>83495</v>
      </c>
      <c r="C1064" s="2" t="s">
        <v>1977</v>
      </c>
      <c r="D1064" s="2" t="s">
        <v>1978</v>
      </c>
      <c r="E1064" s="2" t="s">
        <v>28</v>
      </c>
      <c r="F1064" s="2" t="s">
        <v>29</v>
      </c>
      <c r="G1064" s="2" t="s">
        <v>30</v>
      </c>
      <c r="H1064" s="2" t="s">
        <v>218</v>
      </c>
      <c r="I1064" s="2" t="s">
        <v>219</v>
      </c>
      <c r="J1064" s="2" t="s">
        <v>220</v>
      </c>
      <c r="K1064" s="2" t="s">
        <v>34</v>
      </c>
      <c r="L1064" s="3"/>
      <c r="M1064" s="3">
        <v>40640</v>
      </c>
      <c r="N1064" s="3">
        <v>40630</v>
      </c>
      <c r="O1064" s="3">
        <v>40630</v>
      </c>
      <c r="P1064" s="2" t="s">
        <v>95</v>
      </c>
      <c r="Q1064" s="2" t="s">
        <v>96</v>
      </c>
      <c r="R1064" s="2" t="s">
        <v>37</v>
      </c>
      <c r="S1064" s="2" t="s">
        <v>97</v>
      </c>
      <c r="T1064" s="2" t="s">
        <v>39</v>
      </c>
      <c r="U1064" s="2">
        <v>30</v>
      </c>
      <c r="V1064" s="2">
        <v>49000</v>
      </c>
      <c r="W1064" s="2">
        <v>206780</v>
      </c>
      <c r="X1064" s="2">
        <v>4.22</v>
      </c>
      <c r="Y1064" s="2">
        <v>0.14000000000000001</v>
      </c>
      <c r="Z1064" s="2">
        <v>4030</v>
      </c>
      <c r="AA1064" s="2">
        <v>15707.3</v>
      </c>
      <c r="AB1064">
        <v>1</v>
      </c>
      <c r="AC1064">
        <v>2011</v>
      </c>
      <c r="AE1064" s="2">
        <v>6860.0000000000009</v>
      </c>
    </row>
    <row r="1065" spans="2:31" ht="14.5">
      <c r="B1065" s="2">
        <v>83499</v>
      </c>
      <c r="C1065" s="2" t="s">
        <v>1979</v>
      </c>
      <c r="D1065" s="2" t="s">
        <v>1980</v>
      </c>
      <c r="E1065" s="2" t="s">
        <v>118</v>
      </c>
      <c r="F1065" s="2" t="s">
        <v>29</v>
      </c>
      <c r="G1065" s="2" t="s">
        <v>30</v>
      </c>
      <c r="H1065" s="2" t="s">
        <v>218</v>
      </c>
      <c r="I1065" s="2" t="s">
        <v>219</v>
      </c>
      <c r="J1065" s="2" t="s">
        <v>220</v>
      </c>
      <c r="K1065" s="2" t="s">
        <v>34</v>
      </c>
      <c r="L1065" s="3"/>
      <c r="M1065" s="3">
        <v>40613</v>
      </c>
      <c r="N1065" s="3">
        <v>40666</v>
      </c>
      <c r="O1065" s="3">
        <v>40666</v>
      </c>
      <c r="P1065" s="2" t="s">
        <v>749</v>
      </c>
      <c r="Q1065" s="2" t="s">
        <v>76</v>
      </c>
      <c r="R1065" s="2" t="s">
        <v>37</v>
      </c>
      <c r="S1065" s="2" t="s">
        <v>78</v>
      </c>
      <c r="T1065" s="2" t="s">
        <v>47</v>
      </c>
      <c r="U1065" s="2">
        <v>30</v>
      </c>
      <c r="V1065" s="2">
        <v>720</v>
      </c>
      <c r="W1065" s="2">
        <v>14342.4</v>
      </c>
      <c r="X1065" s="2">
        <v>19.920000000000002</v>
      </c>
      <c r="Y1065" s="2">
        <v>0.66</v>
      </c>
      <c r="Z1065" s="2">
        <v>79</v>
      </c>
      <c r="AA1065" s="2">
        <v>2305.65</v>
      </c>
      <c r="AB1065">
        <v>0</v>
      </c>
      <c r="AC1065">
        <v>2011</v>
      </c>
      <c r="AE1065" s="2">
        <v>475.20000000000005</v>
      </c>
    </row>
    <row r="1066" spans="2:31" ht="14.5">
      <c r="B1066" s="2">
        <v>83510</v>
      </c>
      <c r="C1066" s="2" t="s">
        <v>1981</v>
      </c>
      <c r="D1066" s="2" t="s">
        <v>1982</v>
      </c>
      <c r="E1066" s="2" t="s">
        <v>28</v>
      </c>
      <c r="F1066" s="2" t="s">
        <v>29</v>
      </c>
      <c r="G1066" s="2" t="s">
        <v>30</v>
      </c>
      <c r="H1066" s="2" t="s">
        <v>218</v>
      </c>
      <c r="I1066" s="2" t="s">
        <v>219</v>
      </c>
      <c r="J1066" s="2" t="s">
        <v>220</v>
      </c>
      <c r="K1066" s="2" t="s">
        <v>34</v>
      </c>
      <c r="L1066" s="3"/>
      <c r="M1066" s="3">
        <v>40786</v>
      </c>
      <c r="N1066" s="3">
        <v>40742</v>
      </c>
      <c r="O1066" s="3">
        <v>40742</v>
      </c>
      <c r="P1066" s="2" t="s">
        <v>1457</v>
      </c>
      <c r="Q1066" s="2" t="s">
        <v>236</v>
      </c>
      <c r="R1066" s="2" t="s">
        <v>37</v>
      </c>
      <c r="S1066" s="2" t="s">
        <v>1458</v>
      </c>
      <c r="T1066" s="2" t="s">
        <v>47</v>
      </c>
      <c r="U1066" s="2">
        <v>30</v>
      </c>
      <c r="V1066" s="2">
        <v>77636</v>
      </c>
      <c r="W1066" s="2">
        <v>818283.44</v>
      </c>
      <c r="X1066" s="2">
        <v>10.54</v>
      </c>
      <c r="Y1066" s="2">
        <v>0.35</v>
      </c>
      <c r="Z1066" s="2">
        <v>6986</v>
      </c>
      <c r="AA1066" s="2">
        <v>26538.46</v>
      </c>
      <c r="AB1066">
        <v>1</v>
      </c>
      <c r="AC1066">
        <v>2011</v>
      </c>
      <c r="AE1066" s="2">
        <v>27172.6</v>
      </c>
    </row>
    <row r="1067" spans="2:31" ht="14.5">
      <c r="B1067" s="2">
        <v>83515</v>
      </c>
      <c r="C1067" s="2" t="s">
        <v>1983</v>
      </c>
      <c r="D1067" s="2" t="s">
        <v>1984</v>
      </c>
      <c r="E1067" s="2" t="s">
        <v>118</v>
      </c>
      <c r="F1067" s="2" t="s">
        <v>29</v>
      </c>
      <c r="G1067" s="2" t="s">
        <v>30</v>
      </c>
      <c r="H1067" s="2" t="s">
        <v>218</v>
      </c>
      <c r="I1067" s="2" t="s">
        <v>219</v>
      </c>
      <c r="J1067" s="2" t="s">
        <v>220</v>
      </c>
      <c r="K1067" s="2" t="s">
        <v>267</v>
      </c>
      <c r="L1067" s="3"/>
      <c r="M1067" s="3">
        <v>40724</v>
      </c>
      <c r="N1067" s="3">
        <v>40738</v>
      </c>
      <c r="O1067" s="3">
        <v>40738</v>
      </c>
      <c r="P1067" s="2" t="s">
        <v>706</v>
      </c>
      <c r="Q1067" s="2" t="s">
        <v>707</v>
      </c>
      <c r="R1067" s="2" t="s">
        <v>37</v>
      </c>
      <c r="S1067" s="2" t="s">
        <v>708</v>
      </c>
      <c r="T1067" s="2" t="s">
        <v>47</v>
      </c>
      <c r="U1067" s="2">
        <v>30</v>
      </c>
      <c r="V1067" s="2">
        <v>30000</v>
      </c>
      <c r="W1067" s="2">
        <v>264600</v>
      </c>
      <c r="X1067" s="2">
        <v>8.82</v>
      </c>
      <c r="Y1067" s="2">
        <v>0.28999999999999998</v>
      </c>
      <c r="Z1067" s="2">
        <v>2641</v>
      </c>
      <c r="AA1067" s="2">
        <v>19673.48</v>
      </c>
      <c r="AB1067">
        <v>0</v>
      </c>
      <c r="AC1067">
        <v>2011</v>
      </c>
      <c r="AE1067" s="2">
        <v>8700</v>
      </c>
    </row>
    <row r="1068" spans="2:31" ht="14.5">
      <c r="B1068" s="2">
        <v>83522</v>
      </c>
      <c r="C1068" s="2" t="s">
        <v>1985</v>
      </c>
      <c r="D1068" s="2" t="s">
        <v>1986</v>
      </c>
      <c r="E1068" s="2" t="s">
        <v>118</v>
      </c>
      <c r="F1068" s="2" t="s">
        <v>29</v>
      </c>
      <c r="G1068" s="2" t="s">
        <v>30</v>
      </c>
      <c r="H1068" s="2" t="s">
        <v>218</v>
      </c>
      <c r="I1068" s="2" t="s">
        <v>219</v>
      </c>
      <c r="J1068" s="2" t="s">
        <v>220</v>
      </c>
      <c r="K1068" s="2" t="s">
        <v>267</v>
      </c>
      <c r="L1068" s="3"/>
      <c r="M1068" s="3">
        <v>40755</v>
      </c>
      <c r="N1068" s="3">
        <v>40767</v>
      </c>
      <c r="O1068" s="3">
        <v>40767</v>
      </c>
      <c r="P1068" s="2" t="s">
        <v>749</v>
      </c>
      <c r="Q1068" s="2" t="s">
        <v>76</v>
      </c>
      <c r="R1068" s="2" t="s">
        <v>37</v>
      </c>
      <c r="S1068" s="2" t="s">
        <v>78</v>
      </c>
      <c r="T1068" s="2" t="s">
        <v>47</v>
      </c>
      <c r="U1068" s="2">
        <v>30</v>
      </c>
      <c r="V1068" s="2">
        <v>3330</v>
      </c>
      <c r="W1068" s="2">
        <v>66333.600000000006</v>
      </c>
      <c r="X1068" s="2">
        <v>19.920000000000002</v>
      </c>
      <c r="Y1068" s="2">
        <v>0.66</v>
      </c>
      <c r="Z1068" s="2">
        <v>370</v>
      </c>
      <c r="AA1068" s="2">
        <v>2886.12</v>
      </c>
      <c r="AB1068">
        <v>0</v>
      </c>
      <c r="AC1068">
        <v>2011</v>
      </c>
      <c r="AE1068" s="2">
        <v>2197.8000000000002</v>
      </c>
    </row>
    <row r="1069" spans="2:31" ht="14.5">
      <c r="B1069" s="2">
        <v>83527</v>
      </c>
      <c r="C1069" s="2" t="s">
        <v>1987</v>
      </c>
      <c r="D1069" s="2" t="s">
        <v>1988</v>
      </c>
      <c r="E1069" s="2" t="s">
        <v>118</v>
      </c>
      <c r="F1069" s="2" t="s">
        <v>29</v>
      </c>
      <c r="G1069" s="2" t="s">
        <v>30</v>
      </c>
      <c r="H1069" s="2" t="s">
        <v>218</v>
      </c>
      <c r="I1069" s="2" t="s">
        <v>219</v>
      </c>
      <c r="J1069" s="2" t="s">
        <v>220</v>
      </c>
      <c r="K1069" s="2" t="s">
        <v>267</v>
      </c>
      <c r="L1069" s="3"/>
      <c r="M1069" s="3">
        <v>40791</v>
      </c>
      <c r="N1069" s="3">
        <v>40778</v>
      </c>
      <c r="O1069" s="3">
        <v>40778</v>
      </c>
      <c r="P1069" s="2" t="s">
        <v>112</v>
      </c>
      <c r="Q1069" s="2" t="s">
        <v>113</v>
      </c>
      <c r="R1069" s="2" t="s">
        <v>37</v>
      </c>
      <c r="S1069" s="2" t="s">
        <v>114</v>
      </c>
      <c r="T1069" s="2" t="s">
        <v>47</v>
      </c>
      <c r="U1069" s="2">
        <v>60</v>
      </c>
      <c r="V1069" s="2">
        <v>6139</v>
      </c>
      <c r="W1069" s="2">
        <v>68879.58</v>
      </c>
      <c r="X1069" s="2">
        <v>11.22</v>
      </c>
      <c r="Y1069" s="2">
        <v>0.19</v>
      </c>
      <c r="Z1069" s="2">
        <v>1518</v>
      </c>
      <c r="AA1069" s="2">
        <v>6561.51</v>
      </c>
      <c r="AB1069">
        <v>1</v>
      </c>
      <c r="AC1069">
        <v>2011</v>
      </c>
      <c r="AE1069" s="2">
        <v>1166.4100000000001</v>
      </c>
    </row>
    <row r="1070" spans="2:31" ht="14.5">
      <c r="B1070" s="2">
        <v>83528</v>
      </c>
      <c r="C1070" s="2" t="s">
        <v>1989</v>
      </c>
      <c r="D1070" s="2" t="s">
        <v>1990</v>
      </c>
      <c r="E1070" s="2" t="s">
        <v>118</v>
      </c>
      <c r="F1070" s="2" t="s">
        <v>29</v>
      </c>
      <c r="G1070" s="2" t="s">
        <v>30</v>
      </c>
      <c r="H1070" s="2" t="s">
        <v>218</v>
      </c>
      <c r="I1070" s="2" t="s">
        <v>219</v>
      </c>
      <c r="J1070" s="2" t="s">
        <v>220</v>
      </c>
      <c r="K1070" s="2" t="s">
        <v>267</v>
      </c>
      <c r="L1070" s="3"/>
      <c r="M1070" s="3">
        <v>40808</v>
      </c>
      <c r="N1070" s="3">
        <v>40779</v>
      </c>
      <c r="O1070" s="3">
        <v>40779</v>
      </c>
      <c r="P1070" s="2" t="s">
        <v>706</v>
      </c>
      <c r="Q1070" s="2" t="s">
        <v>707</v>
      </c>
      <c r="R1070" s="2" t="s">
        <v>37</v>
      </c>
      <c r="S1070" s="2" t="s">
        <v>708</v>
      </c>
      <c r="T1070" s="2" t="s">
        <v>47</v>
      </c>
      <c r="U1070" s="2">
        <v>30</v>
      </c>
      <c r="V1070" s="2">
        <v>7441</v>
      </c>
      <c r="W1070" s="2">
        <v>61239.43</v>
      </c>
      <c r="X1070" s="2">
        <v>8.23</v>
      </c>
      <c r="Y1070" s="2">
        <v>0.27</v>
      </c>
      <c r="Z1070" s="2">
        <v>656</v>
      </c>
      <c r="AA1070" s="2">
        <v>4376.5600000000004</v>
      </c>
      <c r="AB1070">
        <v>1</v>
      </c>
      <c r="AC1070">
        <v>2011</v>
      </c>
      <c r="AE1070" s="2">
        <v>2009.0700000000002</v>
      </c>
    </row>
    <row r="1071" spans="2:31" ht="14.5">
      <c r="B1071" s="2">
        <v>83529</v>
      </c>
      <c r="C1071" s="2" t="s">
        <v>1772</v>
      </c>
      <c r="D1071" s="2" t="s">
        <v>1773</v>
      </c>
      <c r="E1071" s="2" t="s">
        <v>118</v>
      </c>
      <c r="F1071" s="2" t="s">
        <v>29</v>
      </c>
      <c r="G1071" s="2" t="s">
        <v>30</v>
      </c>
      <c r="H1071" s="2" t="s">
        <v>218</v>
      </c>
      <c r="I1071" s="2" t="s">
        <v>219</v>
      </c>
      <c r="J1071" s="2" t="s">
        <v>220</v>
      </c>
      <c r="K1071" s="2" t="s">
        <v>267</v>
      </c>
      <c r="L1071" s="3"/>
      <c r="M1071" s="3">
        <v>40760</v>
      </c>
      <c r="N1071" s="3">
        <v>40779</v>
      </c>
      <c r="O1071" s="3">
        <v>40779</v>
      </c>
      <c r="P1071" s="2" t="s">
        <v>112</v>
      </c>
      <c r="Q1071" s="2" t="s">
        <v>113</v>
      </c>
      <c r="R1071" s="2" t="s">
        <v>37</v>
      </c>
      <c r="S1071" s="2" t="s">
        <v>114</v>
      </c>
      <c r="T1071" s="2" t="s">
        <v>47</v>
      </c>
      <c r="U1071" s="2">
        <v>60</v>
      </c>
      <c r="V1071" s="2">
        <v>105000</v>
      </c>
      <c r="W1071" s="2">
        <v>1178100</v>
      </c>
      <c r="X1071" s="2">
        <v>11.22</v>
      </c>
      <c r="Y1071" s="2">
        <v>0.19</v>
      </c>
      <c r="AB1071">
        <v>0</v>
      </c>
      <c r="AC1071">
        <v>2011</v>
      </c>
      <c r="AE1071" s="2">
        <v>19950</v>
      </c>
    </row>
    <row r="1072" spans="2:31" ht="14.5">
      <c r="B1072" s="2">
        <v>83531</v>
      </c>
      <c r="C1072" s="2" t="s">
        <v>1991</v>
      </c>
      <c r="D1072" s="2" t="s">
        <v>1992</v>
      </c>
      <c r="E1072" s="2" t="s">
        <v>28</v>
      </c>
      <c r="F1072" s="2" t="s">
        <v>29</v>
      </c>
      <c r="G1072" s="2" t="s">
        <v>30</v>
      </c>
      <c r="H1072" s="2" t="s">
        <v>218</v>
      </c>
      <c r="I1072" s="2" t="s">
        <v>219</v>
      </c>
      <c r="J1072" s="2" t="s">
        <v>220</v>
      </c>
      <c r="K1072" s="2" t="s">
        <v>267</v>
      </c>
      <c r="L1072" s="3"/>
      <c r="M1072" s="3">
        <v>40819</v>
      </c>
      <c r="N1072" s="3">
        <v>40802</v>
      </c>
      <c r="O1072" s="3">
        <v>40802</v>
      </c>
      <c r="P1072" s="2" t="s">
        <v>749</v>
      </c>
      <c r="Q1072" s="2" t="s">
        <v>76</v>
      </c>
      <c r="R1072" s="2" t="s">
        <v>37</v>
      </c>
      <c r="S1072" s="2" t="s">
        <v>78</v>
      </c>
      <c r="T1072" s="2" t="s">
        <v>47</v>
      </c>
      <c r="U1072" s="2">
        <v>30</v>
      </c>
      <c r="V1072" s="2">
        <v>68235</v>
      </c>
      <c r="W1072" s="2">
        <v>1359241.2</v>
      </c>
      <c r="X1072" s="2">
        <v>19.920000000000002</v>
      </c>
      <c r="Y1072" s="2">
        <v>0.66</v>
      </c>
      <c r="AB1072">
        <v>1</v>
      </c>
      <c r="AC1072">
        <v>2011</v>
      </c>
      <c r="AE1072" s="2">
        <v>45035.1</v>
      </c>
    </row>
    <row r="1073" spans="2:31" ht="14.5">
      <c r="B1073" s="2">
        <v>83536</v>
      </c>
      <c r="C1073" s="2" t="s">
        <v>1993</v>
      </c>
      <c r="D1073" s="2" t="s">
        <v>1994</v>
      </c>
      <c r="E1073" s="2" t="s">
        <v>28</v>
      </c>
      <c r="F1073" s="2" t="s">
        <v>29</v>
      </c>
      <c r="G1073" s="2" t="s">
        <v>30</v>
      </c>
      <c r="H1073" s="2" t="s">
        <v>218</v>
      </c>
      <c r="I1073" s="2" t="s">
        <v>219</v>
      </c>
      <c r="J1073" s="2" t="s">
        <v>220</v>
      </c>
      <c r="K1073" s="2" t="s">
        <v>267</v>
      </c>
      <c r="L1073" s="3"/>
      <c r="M1073" s="3">
        <v>40819</v>
      </c>
      <c r="N1073" s="3">
        <v>40809</v>
      </c>
      <c r="O1073" s="3">
        <v>40809</v>
      </c>
      <c r="P1073" s="2" t="s">
        <v>749</v>
      </c>
      <c r="Q1073" s="2" t="s">
        <v>76</v>
      </c>
      <c r="R1073" s="2" t="s">
        <v>37</v>
      </c>
      <c r="S1073" s="2" t="s">
        <v>78</v>
      </c>
      <c r="T1073" s="2" t="s">
        <v>47</v>
      </c>
      <c r="U1073" s="2">
        <v>30</v>
      </c>
      <c r="V1073" s="2">
        <v>40337</v>
      </c>
      <c r="W1073" s="2">
        <v>803513.04</v>
      </c>
      <c r="X1073" s="2">
        <v>19.920000000000002</v>
      </c>
      <c r="Y1073" s="2">
        <v>0.66</v>
      </c>
      <c r="Z1073" s="2">
        <v>4560</v>
      </c>
      <c r="AA1073" s="2">
        <v>1047.17</v>
      </c>
      <c r="AB1073">
        <v>1</v>
      </c>
      <c r="AC1073">
        <v>2011</v>
      </c>
      <c r="AE1073" s="2">
        <v>26622.420000000002</v>
      </c>
    </row>
    <row r="1074" spans="2:31" ht="14.5">
      <c r="B1074" s="2">
        <v>83540</v>
      </c>
      <c r="C1074" s="2" t="s">
        <v>1995</v>
      </c>
      <c r="D1074" s="2" t="s">
        <v>1996</v>
      </c>
      <c r="E1074" s="2" t="s">
        <v>118</v>
      </c>
      <c r="F1074" s="2" t="s">
        <v>29</v>
      </c>
      <c r="G1074" s="2" t="s">
        <v>50</v>
      </c>
      <c r="H1074" s="2" t="s">
        <v>218</v>
      </c>
      <c r="I1074" s="2" t="s">
        <v>219</v>
      </c>
      <c r="J1074" s="2" t="s">
        <v>220</v>
      </c>
      <c r="K1074" s="2" t="s">
        <v>34</v>
      </c>
      <c r="L1074" s="3"/>
      <c r="M1074" s="3">
        <v>40862</v>
      </c>
      <c r="N1074" s="3">
        <v>40848</v>
      </c>
      <c r="O1074" s="3">
        <v>40848</v>
      </c>
      <c r="P1074" s="2" t="s">
        <v>740</v>
      </c>
      <c r="Q1074" s="2" t="s">
        <v>36</v>
      </c>
      <c r="R1074" s="2" t="s">
        <v>37</v>
      </c>
      <c r="S1074" s="2" t="s">
        <v>226</v>
      </c>
      <c r="T1074" s="2" t="s">
        <v>526</v>
      </c>
      <c r="U1074" s="2">
        <v>240</v>
      </c>
      <c r="V1074" s="2">
        <v>9794</v>
      </c>
      <c r="W1074" s="2">
        <v>19098.3</v>
      </c>
      <c r="X1074" s="2">
        <v>1.95</v>
      </c>
      <c r="Y1074" s="2">
        <v>0.01</v>
      </c>
      <c r="Z1074" s="2">
        <v>3654</v>
      </c>
      <c r="AA1074" s="2">
        <v>19520.77</v>
      </c>
      <c r="AB1074">
        <v>1</v>
      </c>
      <c r="AC1074">
        <v>2011</v>
      </c>
      <c r="AE1074" s="2">
        <v>97.94</v>
      </c>
    </row>
    <row r="1075" spans="2:31" ht="14.5">
      <c r="B1075" s="2">
        <v>83546</v>
      </c>
      <c r="C1075" s="2" t="s">
        <v>1997</v>
      </c>
      <c r="D1075" s="2" t="s">
        <v>1998</v>
      </c>
      <c r="E1075" s="2" t="s">
        <v>28</v>
      </c>
      <c r="F1075" s="2" t="s">
        <v>29</v>
      </c>
      <c r="G1075" s="2" t="s">
        <v>50</v>
      </c>
      <c r="H1075" s="2" t="s">
        <v>218</v>
      </c>
      <c r="I1075" s="2" t="s">
        <v>219</v>
      </c>
      <c r="J1075" s="2" t="s">
        <v>220</v>
      </c>
      <c r="K1075" s="2" t="s">
        <v>267</v>
      </c>
      <c r="L1075" s="3"/>
      <c r="M1075" s="3">
        <v>40906</v>
      </c>
      <c r="N1075" s="3">
        <v>40889</v>
      </c>
      <c r="O1075" s="3">
        <v>40889</v>
      </c>
      <c r="P1075" s="2" t="s">
        <v>740</v>
      </c>
      <c r="Q1075" s="2" t="s">
        <v>36</v>
      </c>
      <c r="R1075" s="2" t="s">
        <v>37</v>
      </c>
      <c r="S1075" s="2" t="s">
        <v>226</v>
      </c>
      <c r="T1075" s="2" t="s">
        <v>526</v>
      </c>
      <c r="U1075" s="2">
        <v>240</v>
      </c>
      <c r="V1075" s="2">
        <v>15000</v>
      </c>
      <c r="W1075" s="2">
        <v>29250</v>
      </c>
      <c r="X1075" s="2">
        <v>1.95</v>
      </c>
      <c r="Y1075" s="2">
        <v>0.01</v>
      </c>
      <c r="Z1075" s="2">
        <v>5641</v>
      </c>
      <c r="AA1075" s="2">
        <v>45291.49</v>
      </c>
      <c r="AB1075">
        <v>1</v>
      </c>
      <c r="AC1075">
        <v>2011</v>
      </c>
      <c r="AE1075" s="2">
        <v>150</v>
      </c>
    </row>
    <row r="1076" spans="2:31" ht="14.5">
      <c r="B1076" s="2">
        <v>83547</v>
      </c>
      <c r="C1076" s="2" t="s">
        <v>1999</v>
      </c>
      <c r="D1076" s="2" t="s">
        <v>2000</v>
      </c>
      <c r="E1076" s="2" t="s">
        <v>118</v>
      </c>
      <c r="F1076" s="2" t="s">
        <v>29</v>
      </c>
      <c r="G1076" s="2" t="s">
        <v>30</v>
      </c>
      <c r="H1076" s="2" t="s">
        <v>218</v>
      </c>
      <c r="I1076" s="2" t="s">
        <v>219</v>
      </c>
      <c r="J1076" s="2" t="s">
        <v>220</v>
      </c>
      <c r="K1076" s="2" t="s">
        <v>267</v>
      </c>
      <c r="L1076" s="3"/>
      <c r="M1076" s="3">
        <v>40949</v>
      </c>
      <c r="N1076" s="3">
        <v>40927</v>
      </c>
      <c r="O1076" s="3">
        <v>40927</v>
      </c>
      <c r="P1076" s="2" t="s">
        <v>44</v>
      </c>
      <c r="Q1076" s="2" t="s">
        <v>45</v>
      </c>
      <c r="R1076" s="2" t="s">
        <v>37</v>
      </c>
      <c r="S1076" s="2" t="s">
        <v>46</v>
      </c>
      <c r="T1076" s="2" t="s">
        <v>47</v>
      </c>
      <c r="U1076" s="2">
        <v>60</v>
      </c>
      <c r="V1076" s="2">
        <v>5471</v>
      </c>
      <c r="W1076" s="2">
        <v>45190.46</v>
      </c>
      <c r="X1076" s="2">
        <v>8.26</v>
      </c>
      <c r="Y1076" s="2">
        <v>0.14000000000000001</v>
      </c>
      <c r="Z1076" s="2">
        <v>521</v>
      </c>
      <c r="AA1076" s="2">
        <v>4237.12</v>
      </c>
      <c r="AB1076">
        <v>1</v>
      </c>
      <c r="AC1076">
        <v>2012</v>
      </c>
      <c r="AE1076" s="2">
        <v>765.94</v>
      </c>
    </row>
    <row r="1077" spans="2:31" ht="14.5">
      <c r="B1077" s="2">
        <v>83549</v>
      </c>
      <c r="C1077" s="2" t="s">
        <v>2001</v>
      </c>
      <c r="D1077" s="2" t="s">
        <v>2002</v>
      </c>
      <c r="E1077" s="2" t="s">
        <v>42</v>
      </c>
      <c r="F1077" s="2" t="s">
        <v>29</v>
      </c>
      <c r="G1077" s="2" t="s">
        <v>50</v>
      </c>
      <c r="H1077" s="2" t="s">
        <v>218</v>
      </c>
      <c r="I1077" s="2" t="s">
        <v>219</v>
      </c>
      <c r="J1077" s="2" t="s">
        <v>220</v>
      </c>
      <c r="K1077" s="2" t="s">
        <v>34</v>
      </c>
      <c r="L1077" s="3"/>
      <c r="M1077" s="3">
        <v>40931</v>
      </c>
      <c r="N1077" s="3">
        <v>40931</v>
      </c>
      <c r="O1077" s="3">
        <v>40931</v>
      </c>
      <c r="P1077" s="2" t="s">
        <v>1288</v>
      </c>
      <c r="Q1077" s="2" t="s">
        <v>165</v>
      </c>
      <c r="R1077" s="2" t="s">
        <v>37</v>
      </c>
      <c r="S1077" s="2" t="s">
        <v>226</v>
      </c>
      <c r="T1077" s="2" t="s">
        <v>87</v>
      </c>
      <c r="U1077" s="2">
        <v>240</v>
      </c>
      <c r="V1077" s="2">
        <v>3000</v>
      </c>
      <c r="W1077" s="2">
        <v>5550</v>
      </c>
      <c r="X1077" s="2">
        <v>1.85</v>
      </c>
      <c r="Y1077" s="2">
        <v>0.01</v>
      </c>
      <c r="Z1077" s="2">
        <v>1076</v>
      </c>
      <c r="AA1077" s="2">
        <v>4474.3100000000004</v>
      </c>
      <c r="AB1077">
        <v>1</v>
      </c>
      <c r="AC1077">
        <v>2012</v>
      </c>
      <c r="AE1077" s="2">
        <v>30</v>
      </c>
    </row>
    <row r="1078" spans="2:31" ht="14.5">
      <c r="B1078" s="2">
        <v>83552</v>
      </c>
      <c r="C1078" s="2" t="s">
        <v>1567</v>
      </c>
      <c r="D1078" s="2" t="s">
        <v>1568</v>
      </c>
      <c r="E1078" s="2" t="s">
        <v>28</v>
      </c>
      <c r="F1078" s="2" t="s">
        <v>29</v>
      </c>
      <c r="G1078" s="2" t="s">
        <v>30</v>
      </c>
      <c r="H1078" s="2" t="s">
        <v>218</v>
      </c>
      <c r="I1078" s="2" t="s">
        <v>219</v>
      </c>
      <c r="J1078" s="2" t="s">
        <v>220</v>
      </c>
      <c r="K1078" s="2" t="s">
        <v>267</v>
      </c>
      <c r="L1078" s="3"/>
      <c r="M1078" s="3">
        <v>40968</v>
      </c>
      <c r="N1078" s="3">
        <v>40944</v>
      </c>
      <c r="O1078" s="3">
        <v>40944</v>
      </c>
      <c r="P1078" s="2" t="s">
        <v>95</v>
      </c>
      <c r="Q1078" s="2" t="s">
        <v>96</v>
      </c>
      <c r="R1078" s="2" t="s">
        <v>37</v>
      </c>
      <c r="S1078" s="2" t="s">
        <v>97</v>
      </c>
      <c r="T1078" s="2" t="s">
        <v>39</v>
      </c>
      <c r="U1078" s="2">
        <v>30</v>
      </c>
      <c r="V1078" s="2">
        <v>65000</v>
      </c>
      <c r="W1078" s="2">
        <v>274300</v>
      </c>
      <c r="X1078" s="2">
        <v>4.22</v>
      </c>
      <c r="Y1078" s="2">
        <v>0.14000000000000001</v>
      </c>
      <c r="AB1078">
        <v>1</v>
      </c>
      <c r="AC1078">
        <v>2012</v>
      </c>
      <c r="AE1078" s="2">
        <v>9100</v>
      </c>
    </row>
    <row r="1079" spans="2:31" ht="14.5">
      <c r="B1079" s="2">
        <v>83577</v>
      </c>
      <c r="C1079" s="2" t="s">
        <v>2003</v>
      </c>
      <c r="D1079" s="2" t="s">
        <v>2004</v>
      </c>
      <c r="E1079" s="2" t="s">
        <v>1581</v>
      </c>
      <c r="F1079" s="2" t="s">
        <v>29</v>
      </c>
      <c r="G1079" s="2" t="s">
        <v>50</v>
      </c>
      <c r="H1079" s="2" t="s">
        <v>218</v>
      </c>
      <c r="I1079" s="2" t="s">
        <v>219</v>
      </c>
      <c r="J1079" s="2" t="s">
        <v>220</v>
      </c>
      <c r="K1079" s="2" t="s">
        <v>34</v>
      </c>
      <c r="L1079" s="3"/>
      <c r="M1079" s="3">
        <v>41025</v>
      </c>
      <c r="N1079" s="3">
        <v>41008</v>
      </c>
      <c r="O1079" s="3">
        <v>41008</v>
      </c>
      <c r="P1079" s="2" t="s">
        <v>1926</v>
      </c>
      <c r="Q1079" s="2" t="s">
        <v>225</v>
      </c>
      <c r="R1079" s="2" t="s">
        <v>37</v>
      </c>
      <c r="S1079" s="2" t="s">
        <v>226</v>
      </c>
      <c r="T1079" s="2" t="s">
        <v>87</v>
      </c>
      <c r="U1079" s="2">
        <v>240</v>
      </c>
      <c r="V1079" s="2">
        <v>180</v>
      </c>
      <c r="W1079" s="2">
        <v>378</v>
      </c>
      <c r="X1079" s="2">
        <v>2.1</v>
      </c>
      <c r="Y1079" s="2">
        <v>0.01</v>
      </c>
      <c r="Z1079" s="2">
        <v>327</v>
      </c>
      <c r="AA1079" s="2">
        <v>5320.13</v>
      </c>
      <c r="AB1079">
        <v>1</v>
      </c>
      <c r="AC1079">
        <v>2012</v>
      </c>
      <c r="AE1079" s="2">
        <v>1.8</v>
      </c>
    </row>
    <row r="1080" spans="2:31" ht="14.5">
      <c r="B1080" s="2">
        <v>83580</v>
      </c>
      <c r="C1080" s="2" t="s">
        <v>2005</v>
      </c>
      <c r="D1080" s="2" t="s">
        <v>2006</v>
      </c>
      <c r="E1080" s="2" t="s">
        <v>118</v>
      </c>
      <c r="F1080" s="2" t="s">
        <v>29</v>
      </c>
      <c r="G1080" s="2" t="s">
        <v>30</v>
      </c>
      <c r="H1080" s="2" t="s">
        <v>218</v>
      </c>
      <c r="I1080" s="2" t="s">
        <v>219</v>
      </c>
      <c r="J1080" s="2" t="s">
        <v>220</v>
      </c>
      <c r="K1080" s="2" t="s">
        <v>267</v>
      </c>
      <c r="L1080" s="3"/>
      <c r="M1080" s="3">
        <v>41045</v>
      </c>
      <c r="N1080" s="3">
        <v>40995</v>
      </c>
      <c r="O1080" s="3">
        <v>40995</v>
      </c>
      <c r="P1080" s="2" t="s">
        <v>112</v>
      </c>
      <c r="Q1080" s="2" t="s">
        <v>113</v>
      </c>
      <c r="R1080" s="2" t="s">
        <v>37</v>
      </c>
      <c r="S1080" s="2" t="s">
        <v>114</v>
      </c>
      <c r="T1080" s="2" t="s">
        <v>47</v>
      </c>
      <c r="U1080" s="2">
        <v>60</v>
      </c>
      <c r="V1080" s="2">
        <v>71568</v>
      </c>
      <c r="W1080" s="2">
        <v>787248</v>
      </c>
      <c r="X1080" s="2">
        <v>11</v>
      </c>
      <c r="Y1080" s="2">
        <v>0.18</v>
      </c>
      <c r="Z1080" s="2">
        <v>11441</v>
      </c>
      <c r="AA1080" s="2">
        <v>55175.61</v>
      </c>
      <c r="AB1080">
        <v>1</v>
      </c>
      <c r="AC1080">
        <v>2012</v>
      </c>
      <c r="AE1080" s="2">
        <v>12882.24</v>
      </c>
    </row>
    <row r="1081" spans="2:31" ht="14.5">
      <c r="B1081" s="2">
        <v>83585</v>
      </c>
      <c r="C1081" s="2" t="s">
        <v>2007</v>
      </c>
      <c r="D1081" s="2" t="s">
        <v>2008</v>
      </c>
      <c r="E1081" s="2" t="s">
        <v>42</v>
      </c>
      <c r="F1081" s="2" t="s">
        <v>29</v>
      </c>
      <c r="G1081" s="2" t="s">
        <v>50</v>
      </c>
      <c r="H1081" s="2" t="s">
        <v>218</v>
      </c>
      <c r="I1081" s="2" t="s">
        <v>219</v>
      </c>
      <c r="J1081" s="2" t="s">
        <v>220</v>
      </c>
      <c r="K1081" s="2" t="s">
        <v>34</v>
      </c>
      <c r="L1081" s="3"/>
      <c r="M1081" s="3">
        <v>41130</v>
      </c>
      <c r="N1081" s="3">
        <v>41016</v>
      </c>
      <c r="O1081" s="3">
        <v>41016</v>
      </c>
      <c r="P1081" s="2" t="s">
        <v>722</v>
      </c>
      <c r="Q1081" s="2" t="s">
        <v>96</v>
      </c>
      <c r="R1081" s="2" t="s">
        <v>37</v>
      </c>
      <c r="S1081" s="2" t="s">
        <v>179</v>
      </c>
      <c r="T1081" s="2" t="s">
        <v>64</v>
      </c>
      <c r="U1081" s="2">
        <v>30</v>
      </c>
      <c r="V1081" s="2">
        <v>1092</v>
      </c>
      <c r="W1081" s="2">
        <v>2446.08</v>
      </c>
      <c r="X1081" s="2">
        <v>2.2400000000000002</v>
      </c>
      <c r="Y1081" s="2">
        <v>7.0000000000000007E-2</v>
      </c>
      <c r="Z1081" s="2">
        <v>7</v>
      </c>
      <c r="AA1081" s="2">
        <v>805.58</v>
      </c>
      <c r="AB1081">
        <v>1</v>
      </c>
      <c r="AC1081">
        <v>2012</v>
      </c>
      <c r="AE1081" s="2">
        <v>76.440000000000012</v>
      </c>
    </row>
    <row r="1082" spans="2:31" ht="14.5">
      <c r="B1082" s="2">
        <v>83586</v>
      </c>
      <c r="C1082" s="2" t="s">
        <v>2009</v>
      </c>
      <c r="D1082" s="2" t="s">
        <v>2010</v>
      </c>
      <c r="E1082" s="2" t="s">
        <v>28</v>
      </c>
      <c r="F1082" s="2" t="s">
        <v>29</v>
      </c>
      <c r="G1082" s="2" t="s">
        <v>50</v>
      </c>
      <c r="H1082" s="2" t="s">
        <v>218</v>
      </c>
      <c r="I1082" s="2" t="s">
        <v>219</v>
      </c>
      <c r="J1082" s="2" t="s">
        <v>220</v>
      </c>
      <c r="K1082" s="2" t="s">
        <v>267</v>
      </c>
      <c r="L1082" s="3"/>
      <c r="M1082" s="3">
        <v>41060</v>
      </c>
      <c r="N1082" s="3">
        <v>41045</v>
      </c>
      <c r="O1082" s="3">
        <v>41045</v>
      </c>
      <c r="P1082" s="2" t="s">
        <v>1632</v>
      </c>
      <c r="Q1082" s="2" t="s">
        <v>140</v>
      </c>
      <c r="R1082" s="2" t="s">
        <v>37</v>
      </c>
      <c r="S1082" s="2" t="s">
        <v>1633</v>
      </c>
      <c r="T1082" s="2" t="s">
        <v>729</v>
      </c>
      <c r="U1082" s="2">
        <v>60</v>
      </c>
      <c r="V1082" s="2">
        <v>15855</v>
      </c>
      <c r="W1082" s="2">
        <v>39478.949999999997</v>
      </c>
      <c r="X1082" s="2">
        <v>2.4900000000000002</v>
      </c>
      <c r="Y1082" s="2">
        <v>0.04</v>
      </c>
      <c r="Z1082" s="2">
        <v>1380</v>
      </c>
      <c r="AA1082" s="2">
        <v>4553.1000000000004</v>
      </c>
      <c r="AB1082">
        <v>1</v>
      </c>
      <c r="AC1082">
        <v>2012</v>
      </c>
      <c r="AE1082" s="2">
        <v>634.20000000000005</v>
      </c>
    </row>
    <row r="1083" spans="2:31" ht="14.5">
      <c r="B1083" s="2">
        <v>83587</v>
      </c>
      <c r="C1083" s="2" t="s">
        <v>2011</v>
      </c>
      <c r="D1083" s="2" t="s">
        <v>2012</v>
      </c>
      <c r="E1083" s="2" t="s">
        <v>1581</v>
      </c>
      <c r="F1083" s="2" t="s">
        <v>29</v>
      </c>
      <c r="G1083" s="2" t="s">
        <v>30</v>
      </c>
      <c r="H1083" s="2" t="s">
        <v>218</v>
      </c>
      <c r="I1083" s="2" t="s">
        <v>219</v>
      </c>
      <c r="J1083" s="2" t="s">
        <v>220</v>
      </c>
      <c r="K1083" s="2" t="s">
        <v>34</v>
      </c>
      <c r="L1083" s="3"/>
      <c r="M1083" s="3">
        <v>41025</v>
      </c>
      <c r="N1083" s="3">
        <v>41033</v>
      </c>
      <c r="O1083" s="3">
        <v>41033</v>
      </c>
      <c r="P1083" s="2" t="s">
        <v>44</v>
      </c>
      <c r="Q1083" s="2" t="s">
        <v>45</v>
      </c>
      <c r="R1083" s="2" t="s">
        <v>37</v>
      </c>
      <c r="S1083" s="2" t="s">
        <v>46</v>
      </c>
      <c r="T1083" s="2" t="s">
        <v>47</v>
      </c>
      <c r="U1083" s="2">
        <v>60</v>
      </c>
      <c r="V1083" s="2">
        <v>1728</v>
      </c>
      <c r="W1083" s="2">
        <v>13824</v>
      </c>
      <c r="X1083" s="2">
        <v>8</v>
      </c>
      <c r="Y1083" s="2">
        <v>0.13</v>
      </c>
      <c r="AB1083">
        <v>0</v>
      </c>
      <c r="AC1083">
        <v>2012</v>
      </c>
      <c r="AE1083" s="2">
        <v>224.64000000000001</v>
      </c>
    </row>
    <row r="1084" spans="2:31" ht="14.5">
      <c r="B1084" s="2">
        <v>83592</v>
      </c>
      <c r="C1084" s="2" t="s">
        <v>2013</v>
      </c>
      <c r="D1084" s="2" t="s">
        <v>2014</v>
      </c>
      <c r="E1084" s="2" t="s">
        <v>118</v>
      </c>
      <c r="F1084" s="2" t="s">
        <v>29</v>
      </c>
      <c r="G1084" s="2" t="s">
        <v>30</v>
      </c>
      <c r="H1084" s="2" t="s">
        <v>218</v>
      </c>
      <c r="I1084" s="2" t="s">
        <v>219</v>
      </c>
      <c r="J1084" s="2" t="s">
        <v>220</v>
      </c>
      <c r="K1084" s="2" t="s">
        <v>267</v>
      </c>
      <c r="L1084" s="3"/>
      <c r="M1084" s="3">
        <v>41094</v>
      </c>
      <c r="N1084" s="3">
        <v>41068</v>
      </c>
      <c r="O1084" s="3">
        <v>41068</v>
      </c>
      <c r="P1084" s="2" t="s">
        <v>35</v>
      </c>
      <c r="Q1084" s="2" t="s">
        <v>36</v>
      </c>
      <c r="R1084" s="2" t="s">
        <v>37</v>
      </c>
      <c r="S1084" s="2" t="s">
        <v>38</v>
      </c>
      <c r="T1084" s="2" t="s">
        <v>39</v>
      </c>
      <c r="U1084" s="2">
        <v>60</v>
      </c>
      <c r="V1084" s="2">
        <v>8333</v>
      </c>
      <c r="W1084" s="2">
        <v>20332.52</v>
      </c>
      <c r="X1084" s="2">
        <v>2.44</v>
      </c>
      <c r="Y1084" s="2">
        <v>0.04</v>
      </c>
      <c r="Z1084" s="2">
        <v>479</v>
      </c>
      <c r="AA1084" s="2">
        <v>4358.72</v>
      </c>
      <c r="AB1084">
        <v>1</v>
      </c>
      <c r="AC1084">
        <v>2012</v>
      </c>
      <c r="AE1084" s="2">
        <v>333.32</v>
      </c>
    </row>
    <row r="1085" spans="2:31" ht="14.5">
      <c r="B1085" s="2">
        <v>83599</v>
      </c>
      <c r="C1085" s="2" t="s">
        <v>2015</v>
      </c>
      <c r="D1085" s="2" t="s">
        <v>2016</v>
      </c>
      <c r="E1085" s="2" t="s">
        <v>118</v>
      </c>
      <c r="F1085" s="2" t="s">
        <v>29</v>
      </c>
      <c r="G1085" s="2" t="s">
        <v>30</v>
      </c>
      <c r="H1085" s="2" t="s">
        <v>218</v>
      </c>
      <c r="I1085" s="2" t="s">
        <v>219</v>
      </c>
      <c r="J1085" s="2" t="s">
        <v>220</v>
      </c>
      <c r="K1085" s="2" t="s">
        <v>34</v>
      </c>
      <c r="L1085" s="3"/>
      <c r="M1085" s="3">
        <v>41101</v>
      </c>
      <c r="N1085" s="3">
        <v>41089</v>
      </c>
      <c r="O1085" s="3">
        <v>41089</v>
      </c>
      <c r="P1085" s="2" t="s">
        <v>759</v>
      </c>
      <c r="Q1085" s="2" t="s">
        <v>84</v>
      </c>
      <c r="R1085" s="2" t="s">
        <v>37</v>
      </c>
      <c r="S1085" s="2" t="s">
        <v>152</v>
      </c>
      <c r="T1085" s="2" t="s">
        <v>39</v>
      </c>
      <c r="U1085" s="2">
        <v>120</v>
      </c>
      <c r="V1085" s="2">
        <v>4001</v>
      </c>
      <c r="W1085" s="2">
        <v>118749.68</v>
      </c>
      <c r="X1085" s="2">
        <v>29.68</v>
      </c>
      <c r="Y1085" s="2">
        <v>0.25</v>
      </c>
      <c r="Z1085" s="2">
        <v>972</v>
      </c>
      <c r="AA1085" s="2">
        <v>17102.560000000001</v>
      </c>
      <c r="AB1085">
        <v>1</v>
      </c>
      <c r="AC1085">
        <v>2012</v>
      </c>
      <c r="AE1085" s="2">
        <v>1000.25</v>
      </c>
    </row>
    <row r="1086" spans="2:31" ht="14.5">
      <c r="B1086" s="2">
        <v>83602</v>
      </c>
      <c r="C1086" s="2" t="s">
        <v>2017</v>
      </c>
      <c r="D1086" s="2" t="s">
        <v>2018</v>
      </c>
      <c r="E1086" s="2" t="s">
        <v>42</v>
      </c>
      <c r="F1086" s="2" t="s">
        <v>29</v>
      </c>
      <c r="G1086" s="2" t="s">
        <v>30</v>
      </c>
      <c r="H1086" s="2" t="s">
        <v>218</v>
      </c>
      <c r="I1086" s="2" t="s">
        <v>219</v>
      </c>
      <c r="J1086" s="2" t="s">
        <v>220</v>
      </c>
      <c r="K1086" s="2" t="s">
        <v>34</v>
      </c>
      <c r="L1086" s="3"/>
      <c r="M1086" s="3">
        <v>41155</v>
      </c>
      <c r="N1086" s="3">
        <v>41102</v>
      </c>
      <c r="O1086" s="3">
        <v>41102</v>
      </c>
      <c r="P1086" s="2" t="s">
        <v>706</v>
      </c>
      <c r="Q1086" s="2" t="s">
        <v>707</v>
      </c>
      <c r="R1086" s="2" t="s">
        <v>37</v>
      </c>
      <c r="S1086" s="2" t="s">
        <v>708</v>
      </c>
      <c r="T1086" s="2" t="s">
        <v>47</v>
      </c>
      <c r="U1086" s="2">
        <v>30</v>
      </c>
      <c r="V1086" s="2">
        <v>35000</v>
      </c>
      <c r="W1086" s="2">
        <v>193900</v>
      </c>
      <c r="X1086" s="2">
        <v>5.54</v>
      </c>
      <c r="Y1086" s="2">
        <v>0.18</v>
      </c>
      <c r="Z1086" s="2">
        <v>2657</v>
      </c>
      <c r="AA1086" s="2">
        <v>14332</v>
      </c>
      <c r="AB1086">
        <v>1</v>
      </c>
      <c r="AC1086">
        <v>2012</v>
      </c>
      <c r="AE1086" s="2">
        <v>6300</v>
      </c>
    </row>
    <row r="1087" spans="2:31" ht="14.5">
      <c r="B1087" s="2">
        <v>83605</v>
      </c>
      <c r="C1087" s="2" t="s">
        <v>2019</v>
      </c>
      <c r="D1087" s="2" t="s">
        <v>2020</v>
      </c>
      <c r="E1087" s="2" t="s">
        <v>42</v>
      </c>
      <c r="F1087" s="2" t="s">
        <v>29</v>
      </c>
      <c r="G1087" s="2" t="s">
        <v>30</v>
      </c>
      <c r="H1087" s="2" t="s">
        <v>218</v>
      </c>
      <c r="I1087" s="2" t="s">
        <v>219</v>
      </c>
      <c r="J1087" s="2" t="s">
        <v>220</v>
      </c>
      <c r="K1087" s="2" t="s">
        <v>34</v>
      </c>
      <c r="L1087" s="3"/>
      <c r="M1087" s="3">
        <v>41137</v>
      </c>
      <c r="N1087" s="3">
        <v>41137</v>
      </c>
      <c r="O1087" s="3">
        <v>41137</v>
      </c>
      <c r="P1087" s="2" t="s">
        <v>484</v>
      </c>
      <c r="Q1087" s="2" t="s">
        <v>105</v>
      </c>
      <c r="R1087" s="2" t="s">
        <v>37</v>
      </c>
      <c r="S1087" s="2" t="s">
        <v>100</v>
      </c>
      <c r="T1087" s="2" t="s">
        <v>39</v>
      </c>
      <c r="U1087" s="2">
        <v>30</v>
      </c>
      <c r="V1087" s="2">
        <v>720</v>
      </c>
      <c r="W1087" s="2">
        <v>3470.4</v>
      </c>
      <c r="X1087" s="2">
        <v>4.82</v>
      </c>
      <c r="Y1087" s="2">
        <v>0.16</v>
      </c>
      <c r="Z1087" s="2">
        <v>49</v>
      </c>
      <c r="AA1087" s="2">
        <v>1110.19</v>
      </c>
      <c r="AB1087">
        <v>1</v>
      </c>
      <c r="AC1087">
        <v>2012</v>
      </c>
      <c r="AE1087" s="2">
        <v>115.2</v>
      </c>
    </row>
    <row r="1088" spans="2:31" ht="14.5">
      <c r="B1088" s="2">
        <v>83606</v>
      </c>
      <c r="C1088" s="2" t="s">
        <v>2021</v>
      </c>
      <c r="D1088" s="2" t="s">
        <v>2022</v>
      </c>
      <c r="E1088" s="2" t="s">
        <v>28</v>
      </c>
      <c r="F1088" s="2" t="s">
        <v>29</v>
      </c>
      <c r="G1088" s="2" t="s">
        <v>30</v>
      </c>
      <c r="H1088" s="2" t="s">
        <v>218</v>
      </c>
      <c r="I1088" s="2" t="s">
        <v>219</v>
      </c>
      <c r="J1088" s="2" t="s">
        <v>220</v>
      </c>
      <c r="K1088" s="2" t="s">
        <v>267</v>
      </c>
      <c r="L1088" s="3"/>
      <c r="M1088" s="3">
        <v>41152</v>
      </c>
      <c r="N1088" s="3">
        <v>41143</v>
      </c>
      <c r="O1088" s="3">
        <v>41143</v>
      </c>
      <c r="P1088" s="2" t="s">
        <v>759</v>
      </c>
      <c r="Q1088" s="2" t="s">
        <v>84</v>
      </c>
      <c r="R1088" s="2" t="s">
        <v>37</v>
      </c>
      <c r="S1088" s="2" t="s">
        <v>152</v>
      </c>
      <c r="T1088" s="2" t="s">
        <v>39</v>
      </c>
      <c r="U1088" s="2">
        <v>120</v>
      </c>
      <c r="V1088" s="2">
        <v>25024</v>
      </c>
      <c r="W1088" s="2">
        <v>733453.44</v>
      </c>
      <c r="X1088" s="2">
        <v>29.31</v>
      </c>
      <c r="Y1088" s="2">
        <v>0.24</v>
      </c>
      <c r="Z1088" s="2">
        <v>30606</v>
      </c>
      <c r="AA1088" s="2">
        <v>9601.3799999999992</v>
      </c>
      <c r="AB1088">
        <v>1</v>
      </c>
      <c r="AC1088">
        <v>2012</v>
      </c>
      <c r="AE1088" s="2">
        <v>6005.76</v>
      </c>
    </row>
    <row r="1089" spans="2:31" ht="14.5">
      <c r="B1089" s="2">
        <v>83609</v>
      </c>
      <c r="C1089" s="2" t="s">
        <v>1810</v>
      </c>
      <c r="D1089" s="2" t="s">
        <v>1811</v>
      </c>
      <c r="E1089" s="2" t="s">
        <v>118</v>
      </c>
      <c r="F1089" s="2" t="s">
        <v>29</v>
      </c>
      <c r="G1089" s="2" t="s">
        <v>30</v>
      </c>
      <c r="H1089" s="2" t="s">
        <v>218</v>
      </c>
      <c r="I1089" s="2" t="s">
        <v>219</v>
      </c>
      <c r="J1089" s="2" t="s">
        <v>220</v>
      </c>
      <c r="K1089" s="2" t="s">
        <v>34</v>
      </c>
      <c r="L1089" s="3"/>
      <c r="M1089" s="3">
        <v>41212</v>
      </c>
      <c r="N1089" s="3">
        <v>41212</v>
      </c>
      <c r="O1089" s="3">
        <v>41212</v>
      </c>
      <c r="P1089" s="2" t="s">
        <v>706</v>
      </c>
      <c r="Q1089" s="2" t="s">
        <v>707</v>
      </c>
      <c r="R1089" s="2" t="s">
        <v>37</v>
      </c>
      <c r="S1089" s="2" t="s">
        <v>708</v>
      </c>
      <c r="T1089" s="2" t="s">
        <v>47</v>
      </c>
      <c r="U1089" s="2">
        <v>30</v>
      </c>
      <c r="V1089" s="2">
        <v>39600</v>
      </c>
      <c r="W1089" s="2">
        <v>219384</v>
      </c>
      <c r="X1089" s="2">
        <v>5.54</v>
      </c>
      <c r="Y1089" s="2">
        <v>0.18</v>
      </c>
      <c r="AB1089">
        <v>1</v>
      </c>
      <c r="AC1089">
        <v>2012</v>
      </c>
      <c r="AE1089" s="2">
        <v>7128</v>
      </c>
    </row>
    <row r="1090" spans="2:31" ht="14.5">
      <c r="B1090" s="2">
        <v>83610</v>
      </c>
      <c r="C1090" s="2" t="s">
        <v>2023</v>
      </c>
      <c r="D1090" s="2" t="s">
        <v>2024</v>
      </c>
      <c r="E1090" s="2" t="s">
        <v>42</v>
      </c>
      <c r="F1090" s="2" t="s">
        <v>29</v>
      </c>
      <c r="G1090" s="2" t="s">
        <v>30</v>
      </c>
      <c r="H1090" s="2" t="s">
        <v>218</v>
      </c>
      <c r="I1090" s="2" t="s">
        <v>219</v>
      </c>
      <c r="J1090" s="2" t="s">
        <v>220</v>
      </c>
      <c r="K1090" s="2" t="s">
        <v>34</v>
      </c>
      <c r="L1090" s="3"/>
      <c r="M1090" s="3">
        <v>41180</v>
      </c>
      <c r="N1090" s="3">
        <v>41138</v>
      </c>
      <c r="O1090" s="3">
        <v>41138</v>
      </c>
      <c r="P1090" s="2" t="s">
        <v>44</v>
      </c>
      <c r="Q1090" s="2" t="s">
        <v>45</v>
      </c>
      <c r="R1090" s="2" t="s">
        <v>37</v>
      </c>
      <c r="S1090" s="2" t="s">
        <v>46</v>
      </c>
      <c r="T1090" s="2" t="s">
        <v>47</v>
      </c>
      <c r="U1090" s="2">
        <v>60</v>
      </c>
      <c r="V1090" s="2">
        <v>29880</v>
      </c>
      <c r="W1090" s="2">
        <v>232466.4</v>
      </c>
      <c r="X1090" s="2">
        <v>7.78</v>
      </c>
      <c r="Y1090" s="2">
        <v>0.13</v>
      </c>
      <c r="Z1090" s="2">
        <v>2699</v>
      </c>
      <c r="AA1090" s="2">
        <v>16152</v>
      </c>
      <c r="AB1090">
        <v>1</v>
      </c>
      <c r="AC1090">
        <v>2012</v>
      </c>
      <c r="AE1090" s="2">
        <v>3884.4</v>
      </c>
    </row>
    <row r="1091" spans="2:31" ht="14.5">
      <c r="B1091" s="2">
        <v>83612</v>
      </c>
      <c r="C1091" s="2" t="s">
        <v>2025</v>
      </c>
      <c r="D1091" s="2" t="s">
        <v>2026</v>
      </c>
      <c r="E1091" s="2" t="s">
        <v>42</v>
      </c>
      <c r="F1091" s="2" t="s">
        <v>29</v>
      </c>
      <c r="G1091" s="2" t="s">
        <v>30</v>
      </c>
      <c r="H1091" s="2" t="s">
        <v>218</v>
      </c>
      <c r="I1091" s="2" t="s">
        <v>219</v>
      </c>
      <c r="J1091" s="2" t="s">
        <v>220</v>
      </c>
      <c r="K1091" s="2" t="s">
        <v>34</v>
      </c>
      <c r="L1091" s="3"/>
      <c r="M1091" s="3">
        <v>41185</v>
      </c>
      <c r="N1091" s="3">
        <v>41138</v>
      </c>
      <c r="O1091" s="3">
        <v>41138</v>
      </c>
      <c r="P1091" s="2" t="s">
        <v>407</v>
      </c>
      <c r="Q1091" s="2" t="s">
        <v>408</v>
      </c>
      <c r="R1091" s="2" t="s">
        <v>37</v>
      </c>
      <c r="S1091" s="2" t="s">
        <v>409</v>
      </c>
      <c r="T1091" s="2" t="s">
        <v>47</v>
      </c>
      <c r="U1091" s="2">
        <v>60</v>
      </c>
      <c r="V1091" s="2">
        <v>7300</v>
      </c>
      <c r="W1091" s="2">
        <v>21535</v>
      </c>
      <c r="X1091" s="2">
        <v>2.95</v>
      </c>
      <c r="Y1091" s="2">
        <v>0.05</v>
      </c>
      <c r="Z1091" s="2">
        <v>375</v>
      </c>
      <c r="AA1091" s="2">
        <v>2719.63</v>
      </c>
      <c r="AB1091">
        <v>1</v>
      </c>
      <c r="AC1091">
        <v>2012</v>
      </c>
      <c r="AE1091" s="2">
        <v>365</v>
      </c>
    </row>
    <row r="1092" spans="2:31" ht="14.5">
      <c r="B1092" s="2">
        <v>83615</v>
      </c>
      <c r="C1092" s="2" t="s">
        <v>2027</v>
      </c>
      <c r="D1092" s="2" t="s">
        <v>2028</v>
      </c>
      <c r="E1092" s="2" t="s">
        <v>42</v>
      </c>
      <c r="F1092" s="2" t="s">
        <v>29</v>
      </c>
      <c r="G1092" s="2" t="s">
        <v>50</v>
      </c>
      <c r="H1092" s="2" t="s">
        <v>218</v>
      </c>
      <c r="I1092" s="2" t="s">
        <v>219</v>
      </c>
      <c r="J1092" s="2" t="s">
        <v>220</v>
      </c>
      <c r="K1092" s="2" t="s">
        <v>34</v>
      </c>
      <c r="L1092" s="3"/>
      <c r="M1092" s="3">
        <v>41152</v>
      </c>
      <c r="N1092" s="3">
        <v>41142</v>
      </c>
      <c r="O1092" s="3">
        <v>41142</v>
      </c>
      <c r="P1092" s="2" t="s">
        <v>740</v>
      </c>
      <c r="Q1092" s="2" t="s">
        <v>36</v>
      </c>
      <c r="R1092" s="2" t="s">
        <v>37</v>
      </c>
      <c r="S1092" s="2" t="s">
        <v>226</v>
      </c>
      <c r="T1092" s="2" t="s">
        <v>526</v>
      </c>
      <c r="U1092" s="2">
        <v>240</v>
      </c>
      <c r="V1092" s="2">
        <v>33792</v>
      </c>
      <c r="W1092" s="2">
        <v>65894.399999999994</v>
      </c>
      <c r="X1092" s="2">
        <v>1.95</v>
      </c>
      <c r="Y1092" s="2">
        <v>0.01</v>
      </c>
      <c r="Z1092" s="2">
        <v>12605</v>
      </c>
      <c r="AA1092" s="2">
        <v>72991.45</v>
      </c>
      <c r="AB1092">
        <v>1</v>
      </c>
      <c r="AC1092">
        <v>2012</v>
      </c>
      <c r="AE1092" s="2">
        <v>337.92</v>
      </c>
    </row>
    <row r="1093" spans="2:31" ht="14.5">
      <c r="B1093" s="2">
        <v>83623</v>
      </c>
      <c r="C1093" s="2" t="s">
        <v>2845</v>
      </c>
      <c r="D1093" s="2" t="s">
        <v>2846</v>
      </c>
      <c r="E1093" s="2" t="s">
        <v>2817</v>
      </c>
      <c r="F1093" s="2" t="s">
        <v>29</v>
      </c>
      <c r="G1093" s="2" t="s">
        <v>50</v>
      </c>
      <c r="H1093" s="2" t="s">
        <v>218</v>
      </c>
      <c r="I1093" s="2" t="s">
        <v>219</v>
      </c>
      <c r="J1093" s="2" t="s">
        <v>220</v>
      </c>
      <c r="K1093" s="2" t="s">
        <v>34</v>
      </c>
      <c r="L1093" s="3"/>
      <c r="M1093" s="3">
        <v>41200</v>
      </c>
      <c r="N1093" s="3">
        <v>41185</v>
      </c>
      <c r="O1093" s="3">
        <v>41185</v>
      </c>
      <c r="P1093" s="2" t="s">
        <v>740</v>
      </c>
      <c r="Q1093" s="2" t="s">
        <v>36</v>
      </c>
      <c r="R1093" s="2" t="s">
        <v>37</v>
      </c>
      <c r="S1093" s="2" t="s">
        <v>226</v>
      </c>
      <c r="T1093" s="2" t="s">
        <v>526</v>
      </c>
      <c r="U1093" s="2">
        <v>240</v>
      </c>
      <c r="V1093" s="2">
        <v>4320</v>
      </c>
      <c r="W1093" s="2">
        <v>8424</v>
      </c>
      <c r="X1093" s="2">
        <v>1.95</v>
      </c>
      <c r="Y1093" s="2">
        <v>0.01</v>
      </c>
      <c r="Z1093" s="2">
        <v>1624</v>
      </c>
      <c r="AA1093" s="2">
        <v>15446.4</v>
      </c>
      <c r="AB1093">
        <v>1</v>
      </c>
      <c r="AC1093">
        <v>2012</v>
      </c>
      <c r="AE1093" s="2">
        <v>43.2</v>
      </c>
    </row>
    <row r="1094" spans="2:31" ht="14.5">
      <c r="B1094" s="2">
        <v>83626</v>
      </c>
      <c r="C1094" s="2" t="s">
        <v>2847</v>
      </c>
      <c r="D1094" s="2" t="s">
        <v>2848</v>
      </c>
      <c r="E1094" s="2" t="s">
        <v>2817</v>
      </c>
      <c r="F1094" s="2" t="s">
        <v>29</v>
      </c>
      <c r="G1094" s="2" t="s">
        <v>30</v>
      </c>
      <c r="H1094" s="2" t="s">
        <v>218</v>
      </c>
      <c r="I1094" s="2" t="s">
        <v>219</v>
      </c>
      <c r="J1094" s="2" t="s">
        <v>220</v>
      </c>
      <c r="K1094" s="2" t="s">
        <v>34</v>
      </c>
      <c r="L1094" s="3"/>
      <c r="M1094" s="3">
        <v>41243</v>
      </c>
      <c r="N1094" s="3">
        <v>41243</v>
      </c>
      <c r="O1094" s="3">
        <v>41243</v>
      </c>
      <c r="P1094" s="2" t="s">
        <v>44</v>
      </c>
      <c r="Q1094" s="2" t="s">
        <v>45</v>
      </c>
      <c r="R1094" s="2" t="s">
        <v>37</v>
      </c>
      <c r="S1094" s="2" t="s">
        <v>46</v>
      </c>
      <c r="T1094" s="2" t="s">
        <v>47</v>
      </c>
      <c r="U1094" s="2">
        <v>60</v>
      </c>
      <c r="V1094" s="2">
        <v>300</v>
      </c>
      <c r="W1094" s="2">
        <v>2316</v>
      </c>
      <c r="X1094" s="2">
        <v>7.72</v>
      </c>
      <c r="Y1094" s="2">
        <v>0.13</v>
      </c>
      <c r="Z1094" s="2">
        <v>39</v>
      </c>
      <c r="AA1094" s="2">
        <v>742.98</v>
      </c>
      <c r="AB1094">
        <v>1</v>
      </c>
      <c r="AC1094">
        <v>2012</v>
      </c>
      <c r="AE1094" s="2">
        <v>39</v>
      </c>
    </row>
    <row r="1095" spans="2:31" ht="14.5">
      <c r="B1095" s="2">
        <v>83627</v>
      </c>
      <c r="C1095" s="2" t="s">
        <v>2029</v>
      </c>
      <c r="D1095" s="2" t="s">
        <v>2030</v>
      </c>
      <c r="E1095" s="2" t="s">
        <v>28</v>
      </c>
      <c r="F1095" s="2" t="s">
        <v>29</v>
      </c>
      <c r="G1095" s="2" t="s">
        <v>30</v>
      </c>
      <c r="H1095" s="2" t="s">
        <v>218</v>
      </c>
      <c r="I1095" s="2" t="s">
        <v>219</v>
      </c>
      <c r="J1095" s="2" t="s">
        <v>220</v>
      </c>
      <c r="K1095" s="2" t="s">
        <v>267</v>
      </c>
      <c r="L1095" s="3"/>
      <c r="M1095" s="3">
        <v>41200</v>
      </c>
      <c r="N1095" s="3">
        <v>41213</v>
      </c>
      <c r="O1095" s="3">
        <v>41213</v>
      </c>
      <c r="P1095" s="2" t="s">
        <v>749</v>
      </c>
      <c r="Q1095" s="2" t="s">
        <v>76</v>
      </c>
      <c r="R1095" s="2" t="s">
        <v>37</v>
      </c>
      <c r="S1095" s="2" t="s">
        <v>78</v>
      </c>
      <c r="T1095" s="2" t="s">
        <v>47</v>
      </c>
      <c r="U1095" s="2">
        <v>30</v>
      </c>
      <c r="V1095" s="2">
        <v>152880</v>
      </c>
      <c r="W1095" s="2">
        <v>2198414.4</v>
      </c>
      <c r="X1095" s="2">
        <v>14.38</v>
      </c>
      <c r="Y1095" s="2">
        <v>0.48</v>
      </c>
      <c r="Z1095" s="2">
        <v>17227</v>
      </c>
      <c r="AA1095" s="2">
        <v>7134.39</v>
      </c>
      <c r="AB1095">
        <v>0</v>
      </c>
      <c r="AC1095">
        <v>2012</v>
      </c>
      <c r="AE1095" s="2">
        <v>73382.399999999994</v>
      </c>
    </row>
    <row r="1096" spans="2:31" ht="14.5">
      <c r="B1096" s="2">
        <v>83628</v>
      </c>
      <c r="C1096" s="2" t="s">
        <v>2031</v>
      </c>
      <c r="D1096" s="2" t="s">
        <v>2032</v>
      </c>
      <c r="E1096" s="2" t="s">
        <v>118</v>
      </c>
      <c r="F1096" s="2" t="s">
        <v>29</v>
      </c>
      <c r="G1096" s="2" t="s">
        <v>30</v>
      </c>
      <c r="H1096" s="2" t="s">
        <v>218</v>
      </c>
      <c r="I1096" s="2" t="s">
        <v>219</v>
      </c>
      <c r="J1096" s="2" t="s">
        <v>220</v>
      </c>
      <c r="K1096" s="2" t="s">
        <v>34</v>
      </c>
      <c r="L1096" s="3"/>
      <c r="M1096" s="3">
        <v>41199</v>
      </c>
      <c r="N1096" s="3">
        <v>41193</v>
      </c>
      <c r="O1096" s="3">
        <v>41193</v>
      </c>
      <c r="P1096" s="2" t="s">
        <v>95</v>
      </c>
      <c r="Q1096" s="2" t="s">
        <v>96</v>
      </c>
      <c r="R1096" s="2" t="s">
        <v>37</v>
      </c>
      <c r="S1096" s="2" t="s">
        <v>97</v>
      </c>
      <c r="T1096" s="2" t="s">
        <v>39</v>
      </c>
      <c r="U1096" s="2">
        <v>30</v>
      </c>
      <c r="V1096" s="2">
        <v>33373</v>
      </c>
      <c r="W1096" s="2">
        <v>121477.72</v>
      </c>
      <c r="X1096" s="2">
        <v>3.64</v>
      </c>
      <c r="Y1096" s="2">
        <v>0.12</v>
      </c>
      <c r="Z1096" s="2">
        <v>2870</v>
      </c>
      <c r="AA1096" s="2">
        <v>14974.6</v>
      </c>
      <c r="AB1096">
        <v>1</v>
      </c>
      <c r="AC1096">
        <v>2012</v>
      </c>
      <c r="AE1096" s="2">
        <v>4004.7599999999998</v>
      </c>
    </row>
    <row r="1097" spans="2:31" ht="14.5">
      <c r="B1097" s="2">
        <v>83630</v>
      </c>
      <c r="C1097" s="2" t="s">
        <v>2033</v>
      </c>
      <c r="D1097" s="2" t="s">
        <v>2034</v>
      </c>
      <c r="E1097" s="2" t="s">
        <v>28</v>
      </c>
      <c r="F1097" s="2" t="s">
        <v>29</v>
      </c>
      <c r="G1097" s="2" t="s">
        <v>30</v>
      </c>
      <c r="H1097" s="2" t="s">
        <v>218</v>
      </c>
      <c r="I1097" s="2" t="s">
        <v>219</v>
      </c>
      <c r="J1097" s="2" t="s">
        <v>220</v>
      </c>
      <c r="K1097" s="2" t="s">
        <v>267</v>
      </c>
      <c r="L1097" s="3"/>
      <c r="M1097" s="3">
        <v>41243</v>
      </c>
      <c r="N1097" s="3">
        <v>41213</v>
      </c>
      <c r="O1097" s="3">
        <v>41213</v>
      </c>
      <c r="P1097" s="2" t="s">
        <v>759</v>
      </c>
      <c r="Q1097" s="2" t="s">
        <v>84</v>
      </c>
      <c r="R1097" s="2" t="s">
        <v>37</v>
      </c>
      <c r="S1097" s="2" t="s">
        <v>152</v>
      </c>
      <c r="T1097" s="2" t="s">
        <v>39</v>
      </c>
      <c r="U1097" s="2">
        <v>120</v>
      </c>
      <c r="V1097" s="2">
        <v>22920</v>
      </c>
      <c r="W1097" s="2">
        <v>611964</v>
      </c>
      <c r="X1097" s="2">
        <v>26.7</v>
      </c>
      <c r="Y1097" s="2">
        <v>0.22</v>
      </c>
      <c r="Z1097" s="2">
        <v>12181</v>
      </c>
      <c r="AA1097" s="2">
        <v>7134.39</v>
      </c>
      <c r="AB1097">
        <v>1</v>
      </c>
      <c r="AC1097">
        <v>2012</v>
      </c>
      <c r="AE1097" s="2">
        <v>5042.3999999999996</v>
      </c>
    </row>
    <row r="1098" spans="2:31" ht="14.5">
      <c r="B1098" s="2">
        <v>83631</v>
      </c>
      <c r="C1098" s="2" t="s">
        <v>2035</v>
      </c>
      <c r="D1098" s="2" t="s">
        <v>2036</v>
      </c>
      <c r="E1098" s="2" t="s">
        <v>28</v>
      </c>
      <c r="F1098" s="2" t="s">
        <v>29</v>
      </c>
      <c r="G1098" s="2" t="s">
        <v>50</v>
      </c>
      <c r="H1098" s="2" t="s">
        <v>218</v>
      </c>
      <c r="I1098" s="2" t="s">
        <v>219</v>
      </c>
      <c r="J1098" s="2" t="s">
        <v>220</v>
      </c>
      <c r="K1098" s="2" t="s">
        <v>267</v>
      </c>
      <c r="L1098" s="3"/>
      <c r="M1098" s="3">
        <v>41243</v>
      </c>
      <c r="N1098" s="3">
        <v>41219</v>
      </c>
      <c r="O1098" s="3">
        <v>41219</v>
      </c>
      <c r="P1098" s="2" t="s">
        <v>2037</v>
      </c>
      <c r="Q1098" s="2" t="s">
        <v>140</v>
      </c>
      <c r="R1098" s="2" t="s">
        <v>37</v>
      </c>
      <c r="S1098" s="2" t="s">
        <v>2038</v>
      </c>
      <c r="T1098" s="2" t="s">
        <v>729</v>
      </c>
      <c r="U1098" s="2">
        <v>60</v>
      </c>
      <c r="V1098" s="2">
        <v>844</v>
      </c>
      <c r="W1098" s="2">
        <v>3629.2</v>
      </c>
      <c r="X1098" s="2">
        <v>4.3</v>
      </c>
      <c r="Y1098" s="2">
        <v>7.0000000000000007E-2</v>
      </c>
      <c r="Z1098" s="2">
        <v>466</v>
      </c>
      <c r="AA1098" s="2">
        <v>1696</v>
      </c>
      <c r="AB1098">
        <v>1</v>
      </c>
      <c r="AC1098">
        <v>2012</v>
      </c>
      <c r="AE1098" s="2">
        <v>59.080000000000005</v>
      </c>
    </row>
    <row r="1099" spans="2:31" ht="14.5">
      <c r="B1099" s="2">
        <v>83636</v>
      </c>
      <c r="C1099" s="2" t="s">
        <v>2039</v>
      </c>
      <c r="D1099" s="2" t="s">
        <v>2040</v>
      </c>
      <c r="E1099" s="2" t="s">
        <v>118</v>
      </c>
      <c r="F1099" s="2" t="s">
        <v>29</v>
      </c>
      <c r="G1099" s="2" t="s">
        <v>30</v>
      </c>
      <c r="H1099" s="2" t="s">
        <v>218</v>
      </c>
      <c r="I1099" s="2" t="s">
        <v>219</v>
      </c>
      <c r="J1099" s="2" t="s">
        <v>220</v>
      </c>
      <c r="K1099" s="2" t="s">
        <v>34</v>
      </c>
      <c r="L1099" s="3"/>
      <c r="M1099" s="3">
        <v>41277</v>
      </c>
      <c r="N1099" s="3">
        <v>41241</v>
      </c>
      <c r="O1099" s="3">
        <v>41241</v>
      </c>
      <c r="P1099" s="2" t="s">
        <v>95</v>
      </c>
      <c r="Q1099" s="2" t="s">
        <v>96</v>
      </c>
      <c r="R1099" s="2" t="s">
        <v>37</v>
      </c>
      <c r="S1099" s="2" t="s">
        <v>97</v>
      </c>
      <c r="T1099" s="2" t="s">
        <v>39</v>
      </c>
      <c r="U1099" s="2">
        <v>30</v>
      </c>
      <c r="V1099" s="2">
        <v>4938</v>
      </c>
      <c r="W1099" s="2">
        <v>17974.32</v>
      </c>
      <c r="X1099" s="2">
        <v>3.64</v>
      </c>
      <c r="Y1099" s="2">
        <v>0.12</v>
      </c>
      <c r="Z1099" s="2">
        <v>430</v>
      </c>
      <c r="AA1099" s="2">
        <v>2154</v>
      </c>
      <c r="AB1099">
        <v>1</v>
      </c>
      <c r="AC1099">
        <v>2012</v>
      </c>
      <c r="AE1099" s="2">
        <v>592.55999999999995</v>
      </c>
    </row>
    <row r="1100" spans="2:31" ht="14.5">
      <c r="B1100" s="2">
        <v>83643</v>
      </c>
      <c r="C1100" s="2" t="s">
        <v>1614</v>
      </c>
      <c r="D1100" s="2" t="s">
        <v>1615</v>
      </c>
      <c r="E1100" s="2" t="s">
        <v>118</v>
      </c>
      <c r="F1100" s="2" t="s">
        <v>29</v>
      </c>
      <c r="G1100" s="2" t="s">
        <v>30</v>
      </c>
      <c r="H1100" s="2" t="s">
        <v>218</v>
      </c>
      <c r="I1100" s="2" t="s">
        <v>219</v>
      </c>
      <c r="J1100" s="2" t="s">
        <v>220</v>
      </c>
      <c r="K1100" s="2" t="s">
        <v>34</v>
      </c>
      <c r="L1100" s="3"/>
      <c r="M1100" s="3">
        <v>41306</v>
      </c>
      <c r="N1100" s="3">
        <v>41306</v>
      </c>
      <c r="O1100" s="3">
        <v>41306</v>
      </c>
      <c r="P1100" s="2" t="s">
        <v>44</v>
      </c>
      <c r="Q1100" s="2" t="s">
        <v>45</v>
      </c>
      <c r="R1100" s="2" t="s">
        <v>37</v>
      </c>
      <c r="S1100" s="2" t="s">
        <v>46</v>
      </c>
      <c r="T1100" s="2" t="s">
        <v>47</v>
      </c>
      <c r="U1100" s="2">
        <v>60</v>
      </c>
      <c r="V1100" s="2">
        <v>1470</v>
      </c>
      <c r="W1100" s="2">
        <v>11348.4</v>
      </c>
      <c r="X1100" s="2">
        <v>7.72</v>
      </c>
      <c r="Y1100" s="2">
        <v>0.13</v>
      </c>
      <c r="AB1100">
        <v>1</v>
      </c>
      <c r="AC1100">
        <v>2013</v>
      </c>
      <c r="AE1100" s="2">
        <v>191.1</v>
      </c>
    </row>
    <row r="1101" spans="2:31" ht="14.5">
      <c r="B1101" s="2">
        <v>83650</v>
      </c>
      <c r="C1101" s="2" t="s">
        <v>2041</v>
      </c>
      <c r="D1101" s="2" t="s">
        <v>2042</v>
      </c>
      <c r="E1101" s="2" t="s">
        <v>118</v>
      </c>
      <c r="F1101" s="2" t="s">
        <v>29</v>
      </c>
      <c r="G1101" s="2" t="s">
        <v>30</v>
      </c>
      <c r="H1101" s="2" t="s">
        <v>218</v>
      </c>
      <c r="I1101" s="2" t="s">
        <v>219</v>
      </c>
      <c r="J1101" s="2" t="s">
        <v>220</v>
      </c>
      <c r="K1101" s="2" t="s">
        <v>34</v>
      </c>
      <c r="L1101" s="3"/>
      <c r="M1101" s="3">
        <v>41327</v>
      </c>
      <c r="N1101" s="3">
        <v>41333</v>
      </c>
      <c r="O1101" s="3">
        <v>41333</v>
      </c>
      <c r="P1101" s="2" t="s">
        <v>112</v>
      </c>
      <c r="Q1101" s="2" t="s">
        <v>113</v>
      </c>
      <c r="R1101" s="2" t="s">
        <v>37</v>
      </c>
      <c r="S1101" s="2" t="s">
        <v>114</v>
      </c>
      <c r="T1101" s="2" t="s">
        <v>47</v>
      </c>
      <c r="U1101" s="2">
        <v>60</v>
      </c>
      <c r="V1101" s="2">
        <v>39792</v>
      </c>
      <c r="W1101" s="2">
        <v>356934.24</v>
      </c>
      <c r="X1101" s="2">
        <v>8.9700000000000006</v>
      </c>
      <c r="Y1101" s="2">
        <v>0.15</v>
      </c>
      <c r="Z1101" s="2">
        <v>4658</v>
      </c>
      <c r="AA1101" s="2">
        <v>41595.5</v>
      </c>
      <c r="AB1101">
        <v>0</v>
      </c>
      <c r="AC1101">
        <v>2013</v>
      </c>
      <c r="AE1101" s="2">
        <v>5968.8</v>
      </c>
    </row>
    <row r="1102" spans="2:31" ht="14.5">
      <c r="B1102" s="2">
        <v>83651</v>
      </c>
      <c r="C1102" s="2" t="s">
        <v>2043</v>
      </c>
      <c r="D1102" s="2" t="s">
        <v>2044</v>
      </c>
      <c r="E1102" s="2" t="s">
        <v>118</v>
      </c>
      <c r="F1102" s="2" t="s">
        <v>29</v>
      </c>
      <c r="G1102" s="2" t="s">
        <v>30</v>
      </c>
      <c r="H1102" s="2" t="s">
        <v>218</v>
      </c>
      <c r="I1102" s="2" t="s">
        <v>219</v>
      </c>
      <c r="J1102" s="2" t="s">
        <v>220</v>
      </c>
      <c r="K1102" s="2" t="s">
        <v>34</v>
      </c>
      <c r="L1102" s="3"/>
      <c r="M1102" s="3">
        <v>41327</v>
      </c>
      <c r="N1102" s="3">
        <v>41325</v>
      </c>
      <c r="O1102" s="3">
        <v>41325</v>
      </c>
      <c r="P1102" s="2" t="s">
        <v>95</v>
      </c>
      <c r="Q1102" s="2" t="s">
        <v>96</v>
      </c>
      <c r="R1102" s="2" t="s">
        <v>37</v>
      </c>
      <c r="S1102" s="2" t="s">
        <v>97</v>
      </c>
      <c r="T1102" s="2" t="s">
        <v>39</v>
      </c>
      <c r="U1102" s="2">
        <v>30</v>
      </c>
      <c r="V1102" s="2">
        <v>24966</v>
      </c>
      <c r="W1102" s="2">
        <v>88878.96</v>
      </c>
      <c r="X1102" s="2">
        <v>3.56</v>
      </c>
      <c r="Y1102" s="2">
        <v>0.12</v>
      </c>
      <c r="Z1102" s="2">
        <v>5391</v>
      </c>
      <c r="AA1102" s="2">
        <v>28382.05</v>
      </c>
      <c r="AB1102">
        <v>1</v>
      </c>
      <c r="AC1102">
        <v>2013</v>
      </c>
      <c r="AE1102" s="2">
        <v>2995.92</v>
      </c>
    </row>
    <row r="1103" spans="2:31" ht="14.5">
      <c r="B1103" s="2">
        <v>83659</v>
      </c>
      <c r="C1103" s="2" t="s">
        <v>2045</v>
      </c>
      <c r="D1103" s="2" t="s">
        <v>2046</v>
      </c>
      <c r="E1103" s="2" t="s">
        <v>118</v>
      </c>
      <c r="F1103" s="2" t="s">
        <v>29</v>
      </c>
      <c r="G1103" s="2" t="s">
        <v>30</v>
      </c>
      <c r="H1103" s="2" t="s">
        <v>218</v>
      </c>
      <c r="I1103" s="2" t="s">
        <v>219</v>
      </c>
      <c r="J1103" s="2" t="s">
        <v>220</v>
      </c>
      <c r="K1103" s="2" t="s">
        <v>34</v>
      </c>
      <c r="L1103" s="3"/>
      <c r="M1103" s="3">
        <v>41348</v>
      </c>
      <c r="N1103" s="3">
        <v>41334</v>
      </c>
      <c r="O1103" s="3">
        <v>41334</v>
      </c>
      <c r="P1103" s="2" t="s">
        <v>1844</v>
      </c>
      <c r="Q1103" s="2" t="s">
        <v>1000</v>
      </c>
      <c r="R1103" s="2" t="s">
        <v>37</v>
      </c>
      <c r="S1103" s="2" t="s">
        <v>1001</v>
      </c>
      <c r="T1103" s="2" t="s">
        <v>47</v>
      </c>
      <c r="U1103" s="2">
        <v>30</v>
      </c>
      <c r="V1103" s="2">
        <v>5009</v>
      </c>
      <c r="W1103" s="2">
        <v>69925.64</v>
      </c>
      <c r="X1103" s="2">
        <v>13.96</v>
      </c>
      <c r="Y1103" s="2">
        <v>0.47</v>
      </c>
      <c r="Z1103" s="2">
        <v>467</v>
      </c>
      <c r="AA1103" s="2">
        <v>6637.16</v>
      </c>
      <c r="AB1103">
        <v>1</v>
      </c>
      <c r="AC1103">
        <v>2013</v>
      </c>
      <c r="AE1103" s="2">
        <v>2354.23</v>
      </c>
    </row>
    <row r="1104" spans="2:31" ht="14.5">
      <c r="B1104" s="2">
        <v>83663</v>
      </c>
      <c r="C1104" s="2" t="s">
        <v>2047</v>
      </c>
      <c r="D1104" s="2" t="s">
        <v>2048</v>
      </c>
      <c r="E1104" s="2" t="s">
        <v>118</v>
      </c>
      <c r="F1104" s="2" t="s">
        <v>29</v>
      </c>
      <c r="G1104" s="2" t="s">
        <v>30</v>
      </c>
      <c r="H1104" s="2" t="s">
        <v>218</v>
      </c>
      <c r="I1104" s="2" t="s">
        <v>219</v>
      </c>
      <c r="J1104" s="2" t="s">
        <v>220</v>
      </c>
      <c r="K1104" s="2" t="s">
        <v>34</v>
      </c>
      <c r="L1104" s="3"/>
      <c r="M1104" s="3">
        <v>41342</v>
      </c>
      <c r="N1104" s="3">
        <v>41340</v>
      </c>
      <c r="O1104" s="3">
        <v>41340</v>
      </c>
      <c r="P1104" s="2" t="s">
        <v>754</v>
      </c>
      <c r="Q1104" s="2" t="s">
        <v>755</v>
      </c>
      <c r="R1104" s="2" t="s">
        <v>37</v>
      </c>
      <c r="S1104" s="2" t="s">
        <v>756</v>
      </c>
      <c r="T1104" s="2" t="s">
        <v>47</v>
      </c>
      <c r="U1104" s="2">
        <v>30</v>
      </c>
      <c r="V1104" s="2">
        <v>5277</v>
      </c>
      <c r="W1104" s="2">
        <v>63904.47</v>
      </c>
      <c r="X1104" s="2">
        <v>12.11</v>
      </c>
      <c r="Y1104" s="2">
        <v>0.4</v>
      </c>
      <c r="Z1104" s="2">
        <v>1366</v>
      </c>
      <c r="AA1104" s="2">
        <v>8507.01</v>
      </c>
      <c r="AB1104">
        <v>1</v>
      </c>
      <c r="AC1104">
        <v>2013</v>
      </c>
      <c r="AE1104" s="2">
        <v>2110.8000000000002</v>
      </c>
    </row>
    <row r="1105" spans="2:31" ht="14.5">
      <c r="B1105" s="2">
        <v>83671</v>
      </c>
      <c r="C1105" s="2" t="s">
        <v>2049</v>
      </c>
      <c r="D1105" s="2" t="s">
        <v>2050</v>
      </c>
      <c r="E1105" s="2" t="s">
        <v>1581</v>
      </c>
      <c r="F1105" s="2" t="s">
        <v>29</v>
      </c>
      <c r="G1105" s="2" t="s">
        <v>50</v>
      </c>
      <c r="H1105" s="2" t="s">
        <v>218</v>
      </c>
      <c r="I1105" s="2" t="s">
        <v>219</v>
      </c>
      <c r="J1105" s="2" t="s">
        <v>220</v>
      </c>
      <c r="K1105" s="2" t="s">
        <v>34</v>
      </c>
      <c r="L1105" s="3"/>
      <c r="M1105" s="3">
        <v>41396</v>
      </c>
      <c r="N1105" s="3">
        <v>41404</v>
      </c>
      <c r="O1105" s="3">
        <v>41404</v>
      </c>
      <c r="P1105" s="2" t="s">
        <v>1926</v>
      </c>
      <c r="Q1105" s="2" t="s">
        <v>225</v>
      </c>
      <c r="R1105" s="2" t="s">
        <v>37</v>
      </c>
      <c r="S1105" s="2" t="s">
        <v>226</v>
      </c>
      <c r="T1105" s="2" t="s">
        <v>87</v>
      </c>
      <c r="U1105" s="2">
        <v>240</v>
      </c>
      <c r="V1105" s="2">
        <v>574</v>
      </c>
      <c r="W1105" s="2">
        <v>1205.4000000000001</v>
      </c>
      <c r="X1105" s="2">
        <v>2.1</v>
      </c>
      <c r="Y1105" s="2">
        <v>0.01</v>
      </c>
      <c r="Z1105" s="2">
        <v>422</v>
      </c>
      <c r="AA1105" s="2">
        <v>5384.96</v>
      </c>
      <c r="AB1105">
        <v>0</v>
      </c>
      <c r="AC1105">
        <v>2013</v>
      </c>
      <c r="AE1105" s="2">
        <v>5.74</v>
      </c>
    </row>
    <row r="1106" spans="2:31" ht="14.5">
      <c r="B1106" s="2">
        <v>83672</v>
      </c>
      <c r="C1106" s="2" t="s">
        <v>2051</v>
      </c>
      <c r="D1106" s="2" t="s">
        <v>2052</v>
      </c>
      <c r="E1106" s="2" t="s">
        <v>28</v>
      </c>
      <c r="F1106" s="2" t="s">
        <v>29</v>
      </c>
      <c r="G1106" s="2" t="s">
        <v>30</v>
      </c>
      <c r="H1106" s="2" t="s">
        <v>218</v>
      </c>
      <c r="I1106" s="2" t="s">
        <v>219</v>
      </c>
      <c r="J1106" s="2" t="s">
        <v>220</v>
      </c>
      <c r="K1106" s="2" t="s">
        <v>267</v>
      </c>
      <c r="L1106" s="3"/>
      <c r="M1106" s="3">
        <v>41425</v>
      </c>
      <c r="N1106" s="3">
        <v>41408</v>
      </c>
      <c r="O1106" s="3">
        <v>41408</v>
      </c>
      <c r="P1106" s="2" t="s">
        <v>759</v>
      </c>
      <c r="Q1106" s="2" t="s">
        <v>84</v>
      </c>
      <c r="R1106" s="2" t="s">
        <v>37</v>
      </c>
      <c r="S1106" s="2" t="s">
        <v>152</v>
      </c>
      <c r="T1106" s="2" t="s">
        <v>39</v>
      </c>
      <c r="U1106" s="2">
        <v>120</v>
      </c>
      <c r="V1106" s="2">
        <v>12837</v>
      </c>
      <c r="W1106" s="2">
        <v>317844.12</v>
      </c>
      <c r="X1106" s="2">
        <v>24.76</v>
      </c>
      <c r="Y1106" s="2">
        <v>0.21</v>
      </c>
      <c r="Z1106" s="2">
        <v>4613</v>
      </c>
      <c r="AA1106" s="2">
        <v>3592.8</v>
      </c>
      <c r="AB1106">
        <v>1</v>
      </c>
      <c r="AC1106">
        <v>2013</v>
      </c>
      <c r="AE1106" s="2">
        <v>2695.77</v>
      </c>
    </row>
    <row r="1107" spans="2:31" ht="14.5">
      <c r="B1107" s="2">
        <v>83673</v>
      </c>
      <c r="C1107" s="2" t="s">
        <v>2053</v>
      </c>
      <c r="D1107" s="2" t="s">
        <v>2054</v>
      </c>
      <c r="E1107" s="2" t="s">
        <v>28</v>
      </c>
      <c r="F1107" s="2" t="s">
        <v>29</v>
      </c>
      <c r="G1107" s="2" t="s">
        <v>30</v>
      </c>
      <c r="H1107" s="2" t="s">
        <v>218</v>
      </c>
      <c r="I1107" s="2" t="s">
        <v>219</v>
      </c>
      <c r="J1107" s="2" t="s">
        <v>220</v>
      </c>
      <c r="K1107" s="2" t="s">
        <v>267</v>
      </c>
      <c r="L1107" s="3"/>
      <c r="M1107" s="3">
        <v>41425</v>
      </c>
      <c r="N1107" s="3">
        <v>41386</v>
      </c>
      <c r="O1107" s="3">
        <v>41386</v>
      </c>
      <c r="P1107" s="2" t="s">
        <v>1457</v>
      </c>
      <c r="Q1107" s="2" t="s">
        <v>236</v>
      </c>
      <c r="R1107" s="2" t="s">
        <v>37</v>
      </c>
      <c r="S1107" s="2" t="s">
        <v>1458</v>
      </c>
      <c r="T1107" s="2" t="s">
        <v>47</v>
      </c>
      <c r="U1107" s="2">
        <v>30</v>
      </c>
      <c r="V1107" s="2">
        <v>24042</v>
      </c>
      <c r="W1107" s="2">
        <v>145934.94</v>
      </c>
      <c r="X1107" s="2">
        <v>6.07</v>
      </c>
      <c r="Y1107" s="2">
        <v>0.2</v>
      </c>
      <c r="Z1107" s="2">
        <v>2006</v>
      </c>
      <c r="AA1107" s="2">
        <v>3300.95</v>
      </c>
      <c r="AB1107">
        <v>1</v>
      </c>
      <c r="AC1107">
        <v>2013</v>
      </c>
      <c r="AE1107" s="2">
        <v>4808.4000000000005</v>
      </c>
    </row>
    <row r="1108" spans="2:31" ht="14.5">
      <c r="B1108" s="2">
        <v>83674</v>
      </c>
      <c r="C1108" s="2" t="s">
        <v>2055</v>
      </c>
      <c r="D1108" s="2" t="s">
        <v>2056</v>
      </c>
      <c r="E1108" s="2" t="s">
        <v>118</v>
      </c>
      <c r="F1108" s="2" t="s">
        <v>29</v>
      </c>
      <c r="G1108" s="2" t="s">
        <v>30</v>
      </c>
      <c r="H1108" s="2" t="s">
        <v>218</v>
      </c>
      <c r="I1108" s="2" t="s">
        <v>219</v>
      </c>
      <c r="J1108" s="2" t="s">
        <v>220</v>
      </c>
      <c r="K1108" s="2" t="s">
        <v>267</v>
      </c>
      <c r="L1108" s="3"/>
      <c r="M1108" s="3">
        <v>41402</v>
      </c>
      <c r="N1108" s="3">
        <v>41403</v>
      </c>
      <c r="O1108" s="3">
        <v>41403</v>
      </c>
      <c r="P1108" s="2" t="s">
        <v>112</v>
      </c>
      <c r="Q1108" s="2" t="s">
        <v>113</v>
      </c>
      <c r="R1108" s="2" t="s">
        <v>37</v>
      </c>
      <c r="S1108" s="2" t="s">
        <v>114</v>
      </c>
      <c r="T1108" s="2" t="s">
        <v>47</v>
      </c>
      <c r="U1108" s="2">
        <v>60</v>
      </c>
      <c r="V1108" s="2">
        <v>15795</v>
      </c>
      <c r="W1108" s="2">
        <v>135521.1</v>
      </c>
      <c r="X1108" s="2">
        <v>8.58</v>
      </c>
      <c r="Y1108" s="2">
        <v>0.14000000000000001</v>
      </c>
      <c r="Z1108" s="2">
        <v>2234</v>
      </c>
      <c r="AA1108" s="2">
        <v>6582.95</v>
      </c>
      <c r="AB1108">
        <v>0</v>
      </c>
      <c r="AC1108">
        <v>2013</v>
      </c>
      <c r="AE1108" s="2">
        <v>2211.3000000000002</v>
      </c>
    </row>
    <row r="1109" spans="2:31" ht="14.5">
      <c r="B1109" s="2">
        <v>83675</v>
      </c>
      <c r="C1109" s="2" t="s">
        <v>2057</v>
      </c>
      <c r="D1109" s="2" t="s">
        <v>2058</v>
      </c>
      <c r="E1109" s="2" t="s">
        <v>118</v>
      </c>
      <c r="F1109" s="2" t="s">
        <v>29</v>
      </c>
      <c r="G1109" s="2" t="s">
        <v>30</v>
      </c>
      <c r="H1109" s="2" t="s">
        <v>218</v>
      </c>
      <c r="I1109" s="2" t="s">
        <v>219</v>
      </c>
      <c r="J1109" s="2" t="s">
        <v>220</v>
      </c>
      <c r="K1109" s="2" t="s">
        <v>34</v>
      </c>
      <c r="L1109" s="3"/>
      <c r="M1109" s="3">
        <v>41394</v>
      </c>
      <c r="N1109" s="3">
        <v>41403</v>
      </c>
      <c r="O1109" s="3">
        <v>41403</v>
      </c>
      <c r="P1109" s="2" t="s">
        <v>754</v>
      </c>
      <c r="Q1109" s="2" t="s">
        <v>755</v>
      </c>
      <c r="R1109" s="2" t="s">
        <v>37</v>
      </c>
      <c r="S1109" s="2" t="s">
        <v>756</v>
      </c>
      <c r="T1109" s="2" t="s">
        <v>47</v>
      </c>
      <c r="U1109" s="2">
        <v>30</v>
      </c>
      <c r="V1109" s="2">
        <v>52127</v>
      </c>
      <c r="W1109" s="2">
        <v>548376.04</v>
      </c>
      <c r="X1109" s="2">
        <v>10.52</v>
      </c>
      <c r="Y1109" s="2">
        <v>0.35</v>
      </c>
      <c r="Z1109" s="2">
        <v>6874</v>
      </c>
      <c r="AA1109" s="2">
        <v>16177.09</v>
      </c>
      <c r="AB1109">
        <v>0</v>
      </c>
      <c r="AC1109">
        <v>2013</v>
      </c>
      <c r="AE1109" s="2">
        <v>18244.449999999997</v>
      </c>
    </row>
    <row r="1110" spans="2:31" ht="14.5">
      <c r="B1110" s="2">
        <v>83676</v>
      </c>
      <c r="C1110" s="2" t="s">
        <v>2059</v>
      </c>
      <c r="D1110" s="2" t="s">
        <v>2060</v>
      </c>
      <c r="E1110" s="2" t="s">
        <v>118</v>
      </c>
      <c r="F1110" s="2" t="s">
        <v>29</v>
      </c>
      <c r="G1110" s="2" t="s">
        <v>30</v>
      </c>
      <c r="H1110" s="2" t="s">
        <v>218</v>
      </c>
      <c r="I1110" s="2" t="s">
        <v>219</v>
      </c>
      <c r="J1110" s="2" t="s">
        <v>220</v>
      </c>
      <c r="K1110" s="2" t="s">
        <v>34</v>
      </c>
      <c r="L1110" s="3"/>
      <c r="M1110" s="3">
        <v>41394</v>
      </c>
      <c r="N1110" s="3">
        <v>41403</v>
      </c>
      <c r="O1110" s="3">
        <v>41403</v>
      </c>
      <c r="P1110" s="2" t="s">
        <v>754</v>
      </c>
      <c r="Q1110" s="2" t="s">
        <v>755</v>
      </c>
      <c r="R1110" s="2" t="s">
        <v>37</v>
      </c>
      <c r="S1110" s="2" t="s">
        <v>756</v>
      </c>
      <c r="T1110" s="2" t="s">
        <v>47</v>
      </c>
      <c r="U1110" s="2">
        <v>30</v>
      </c>
      <c r="V1110" s="2">
        <v>17310</v>
      </c>
      <c r="W1110" s="2">
        <v>182101.2</v>
      </c>
      <c r="X1110" s="2">
        <v>10.52</v>
      </c>
      <c r="Y1110" s="2">
        <v>0.35</v>
      </c>
      <c r="Z1110" s="2">
        <v>2291</v>
      </c>
      <c r="AA1110" s="2">
        <v>10542.15</v>
      </c>
      <c r="AB1110">
        <v>0</v>
      </c>
      <c r="AC1110">
        <v>2013</v>
      </c>
      <c r="AE1110" s="2">
        <v>6058.5</v>
      </c>
    </row>
    <row r="1111" spans="2:31" ht="14.5">
      <c r="B1111" s="2">
        <v>83677</v>
      </c>
      <c r="C1111" s="2" t="s">
        <v>2061</v>
      </c>
      <c r="D1111" s="2" t="s">
        <v>2062</v>
      </c>
      <c r="E1111" s="2" t="s">
        <v>118</v>
      </c>
      <c r="F1111" s="2" t="s">
        <v>29</v>
      </c>
      <c r="G1111" s="2" t="s">
        <v>30</v>
      </c>
      <c r="H1111" s="2" t="s">
        <v>218</v>
      </c>
      <c r="I1111" s="2" t="s">
        <v>219</v>
      </c>
      <c r="J1111" s="2" t="s">
        <v>220</v>
      </c>
      <c r="K1111" s="2" t="s">
        <v>34</v>
      </c>
      <c r="L1111" s="3"/>
      <c r="M1111" s="3">
        <v>41495</v>
      </c>
      <c r="N1111" s="3">
        <v>41495</v>
      </c>
      <c r="O1111" s="3">
        <v>41495</v>
      </c>
      <c r="P1111" s="2" t="s">
        <v>706</v>
      </c>
      <c r="Q1111" s="2" t="s">
        <v>707</v>
      </c>
      <c r="R1111" s="2" t="s">
        <v>37</v>
      </c>
      <c r="S1111" s="2" t="s">
        <v>708</v>
      </c>
      <c r="T1111" s="2" t="s">
        <v>47</v>
      </c>
      <c r="U1111" s="2">
        <v>30</v>
      </c>
      <c r="V1111" s="2">
        <v>30685</v>
      </c>
      <c r="W1111" s="2">
        <v>144219.5</v>
      </c>
      <c r="X1111" s="2">
        <v>4.7</v>
      </c>
      <c r="Y1111" s="2">
        <v>0.16</v>
      </c>
      <c r="Z1111" s="2">
        <v>5426</v>
      </c>
      <c r="AA1111" s="2">
        <v>6506.75</v>
      </c>
      <c r="AB1111">
        <v>1</v>
      </c>
      <c r="AC1111">
        <v>2013</v>
      </c>
      <c r="AE1111" s="2">
        <v>4909.6000000000004</v>
      </c>
    </row>
    <row r="1112" spans="2:31" ht="14.5">
      <c r="B1112" s="2">
        <v>83678</v>
      </c>
      <c r="C1112" s="2" t="s">
        <v>2832</v>
      </c>
      <c r="D1112" s="2" t="s">
        <v>2833</v>
      </c>
      <c r="E1112" s="2" t="s">
        <v>2817</v>
      </c>
      <c r="F1112" s="2" t="s">
        <v>29</v>
      </c>
      <c r="G1112" s="2" t="s">
        <v>30</v>
      </c>
      <c r="H1112" s="2" t="s">
        <v>218</v>
      </c>
      <c r="I1112" s="2" t="s">
        <v>219</v>
      </c>
      <c r="J1112" s="2" t="s">
        <v>220</v>
      </c>
      <c r="K1112" s="2" t="s">
        <v>34</v>
      </c>
      <c r="L1112" s="3"/>
      <c r="M1112" s="3">
        <v>41394</v>
      </c>
      <c r="N1112" s="3">
        <v>41388</v>
      </c>
      <c r="O1112" s="3">
        <v>41388</v>
      </c>
      <c r="P1112" s="2" t="s">
        <v>112</v>
      </c>
      <c r="Q1112" s="2" t="s">
        <v>113</v>
      </c>
      <c r="R1112" s="2" t="s">
        <v>37</v>
      </c>
      <c r="S1112" s="2" t="s">
        <v>114</v>
      </c>
      <c r="T1112" s="2" t="s">
        <v>47</v>
      </c>
      <c r="U1112" s="2">
        <v>60</v>
      </c>
      <c r="V1112" s="2">
        <v>3746</v>
      </c>
      <c r="W1112" s="2">
        <v>32140.68</v>
      </c>
      <c r="X1112" s="2">
        <v>8.58</v>
      </c>
      <c r="Y1112" s="2">
        <v>0.14000000000000001</v>
      </c>
      <c r="AB1112">
        <v>1</v>
      </c>
      <c r="AC1112">
        <v>2013</v>
      </c>
      <c r="AE1112" s="2">
        <v>524.44000000000005</v>
      </c>
    </row>
    <row r="1113" spans="2:31" ht="14.5">
      <c r="B1113" s="2">
        <v>83679</v>
      </c>
      <c r="C1113" s="2" t="s">
        <v>2832</v>
      </c>
      <c r="D1113" s="2" t="s">
        <v>2833</v>
      </c>
      <c r="E1113" s="2" t="s">
        <v>2817</v>
      </c>
      <c r="F1113" s="2" t="s">
        <v>29</v>
      </c>
      <c r="G1113" s="2" t="s">
        <v>30</v>
      </c>
      <c r="H1113" s="2" t="s">
        <v>218</v>
      </c>
      <c r="I1113" s="2" t="s">
        <v>219</v>
      </c>
      <c r="J1113" s="2" t="s">
        <v>220</v>
      </c>
      <c r="K1113" s="2" t="s">
        <v>34</v>
      </c>
      <c r="L1113" s="3"/>
      <c r="M1113" s="3">
        <v>41394</v>
      </c>
      <c r="N1113" s="3">
        <v>41388</v>
      </c>
      <c r="O1113" s="3">
        <v>41388</v>
      </c>
      <c r="P1113" s="2" t="s">
        <v>35</v>
      </c>
      <c r="Q1113" s="2" t="s">
        <v>36</v>
      </c>
      <c r="R1113" s="2" t="s">
        <v>37</v>
      </c>
      <c r="S1113" s="2" t="s">
        <v>38</v>
      </c>
      <c r="T1113" s="2" t="s">
        <v>39</v>
      </c>
      <c r="U1113" s="2">
        <v>60</v>
      </c>
      <c r="V1113" s="2">
        <v>378</v>
      </c>
      <c r="W1113" s="2">
        <v>854.28</v>
      </c>
      <c r="X1113" s="2">
        <v>2.2599999999999998</v>
      </c>
      <c r="Y1113" s="2">
        <v>0.04</v>
      </c>
      <c r="AB1113">
        <v>1</v>
      </c>
      <c r="AC1113">
        <v>2013</v>
      </c>
      <c r="AE1113" s="2">
        <v>15.120000000000001</v>
      </c>
    </row>
    <row r="1114" spans="2:31" ht="14.5">
      <c r="B1114" s="2">
        <v>83684</v>
      </c>
      <c r="C1114" s="2" t="s">
        <v>2063</v>
      </c>
      <c r="D1114" s="2" t="s">
        <v>2064</v>
      </c>
      <c r="E1114" s="2" t="s">
        <v>42</v>
      </c>
      <c r="F1114" s="2" t="s">
        <v>29</v>
      </c>
      <c r="G1114" s="2" t="s">
        <v>50</v>
      </c>
      <c r="H1114" s="2" t="s">
        <v>218</v>
      </c>
      <c r="I1114" s="2" t="s">
        <v>219</v>
      </c>
      <c r="J1114" s="2" t="s">
        <v>220</v>
      </c>
      <c r="K1114" s="2" t="s">
        <v>34</v>
      </c>
      <c r="L1114" s="3"/>
      <c r="M1114" s="3">
        <v>41453</v>
      </c>
      <c r="N1114" s="3">
        <v>41421</v>
      </c>
      <c r="O1114" s="3">
        <v>41421</v>
      </c>
      <c r="P1114" s="2" t="s">
        <v>1926</v>
      </c>
      <c r="Q1114" s="2" t="s">
        <v>225</v>
      </c>
      <c r="R1114" s="2" t="s">
        <v>37</v>
      </c>
      <c r="S1114" s="2" t="s">
        <v>226</v>
      </c>
      <c r="T1114" s="2" t="s">
        <v>87</v>
      </c>
      <c r="U1114" s="2">
        <v>240</v>
      </c>
      <c r="V1114" s="2">
        <v>1500</v>
      </c>
      <c r="W1114" s="2">
        <v>3150</v>
      </c>
      <c r="X1114" s="2">
        <v>2.1</v>
      </c>
      <c r="Y1114" s="2">
        <v>0.01</v>
      </c>
      <c r="Z1114" s="2">
        <v>575</v>
      </c>
      <c r="AA1114" s="2">
        <v>4095.24</v>
      </c>
      <c r="AB1114">
        <v>1</v>
      </c>
      <c r="AC1114">
        <v>2013</v>
      </c>
      <c r="AE1114" s="2">
        <v>15</v>
      </c>
    </row>
    <row r="1115" spans="2:31" ht="14.5">
      <c r="B1115" s="2">
        <v>83694</v>
      </c>
      <c r="C1115" s="2" t="s">
        <v>2065</v>
      </c>
      <c r="D1115" s="2" t="s">
        <v>2066</v>
      </c>
      <c r="E1115" s="2" t="s">
        <v>28</v>
      </c>
      <c r="F1115" s="2" t="s">
        <v>29</v>
      </c>
      <c r="G1115" s="2" t="s">
        <v>30</v>
      </c>
      <c r="H1115" s="2" t="s">
        <v>218</v>
      </c>
      <c r="I1115" s="2" t="s">
        <v>219</v>
      </c>
      <c r="J1115" s="2" t="s">
        <v>220</v>
      </c>
      <c r="K1115" s="2" t="s">
        <v>34</v>
      </c>
      <c r="L1115" s="3"/>
      <c r="M1115" s="3">
        <v>41425</v>
      </c>
      <c r="N1115" s="3">
        <v>41443</v>
      </c>
      <c r="O1115" s="3">
        <v>41443</v>
      </c>
      <c r="P1115" s="2" t="s">
        <v>749</v>
      </c>
      <c r="Q1115" s="2" t="s">
        <v>76</v>
      </c>
      <c r="R1115" s="2" t="s">
        <v>37</v>
      </c>
      <c r="S1115" s="2" t="s">
        <v>78</v>
      </c>
      <c r="T1115" s="2" t="s">
        <v>47</v>
      </c>
      <c r="U1115" s="2">
        <v>30</v>
      </c>
      <c r="V1115" s="2">
        <v>30598</v>
      </c>
      <c r="W1115" s="2">
        <v>396550.08</v>
      </c>
      <c r="X1115" s="2">
        <v>12.96</v>
      </c>
      <c r="Y1115" s="2">
        <v>0.43</v>
      </c>
      <c r="Z1115" s="2">
        <v>3637</v>
      </c>
      <c r="AA1115" s="2">
        <v>22904.02</v>
      </c>
      <c r="AB1115">
        <v>0</v>
      </c>
      <c r="AC1115">
        <v>2013</v>
      </c>
      <c r="AE1115" s="2">
        <v>13157.14</v>
      </c>
    </row>
    <row r="1116" spans="2:31" ht="14.5">
      <c r="B1116" s="2">
        <v>83695</v>
      </c>
      <c r="C1116" s="2" t="s">
        <v>2067</v>
      </c>
      <c r="D1116" s="2" t="s">
        <v>2068</v>
      </c>
      <c r="E1116" s="2" t="s">
        <v>28</v>
      </c>
      <c r="F1116" s="2" t="s">
        <v>29</v>
      </c>
      <c r="G1116" s="2" t="s">
        <v>30</v>
      </c>
      <c r="H1116" s="2" t="s">
        <v>218</v>
      </c>
      <c r="I1116" s="2" t="s">
        <v>219</v>
      </c>
      <c r="J1116" s="2" t="s">
        <v>220</v>
      </c>
      <c r="K1116" s="2" t="s">
        <v>267</v>
      </c>
      <c r="L1116" s="3"/>
      <c r="M1116" s="3">
        <v>41509</v>
      </c>
      <c r="N1116" s="3">
        <v>41443</v>
      </c>
      <c r="O1116" s="3">
        <v>41443</v>
      </c>
      <c r="P1116" s="2" t="s">
        <v>98</v>
      </c>
      <c r="Q1116" s="2" t="s">
        <v>99</v>
      </c>
      <c r="R1116" s="2" t="s">
        <v>37</v>
      </c>
      <c r="S1116" s="2" t="s">
        <v>100</v>
      </c>
      <c r="T1116" s="2" t="s">
        <v>39</v>
      </c>
      <c r="U1116" s="2">
        <v>60</v>
      </c>
      <c r="V1116" s="2">
        <v>10347</v>
      </c>
      <c r="W1116" s="2">
        <v>134097.12</v>
      </c>
      <c r="X1116" s="2">
        <v>12.96</v>
      </c>
      <c r="Y1116" s="2">
        <v>0.22</v>
      </c>
      <c r="Z1116" s="2">
        <v>1064</v>
      </c>
      <c r="AA1116" s="2">
        <v>4203</v>
      </c>
      <c r="AB1116">
        <v>1</v>
      </c>
      <c r="AC1116">
        <v>2013</v>
      </c>
      <c r="AE1116" s="2">
        <v>2276.34</v>
      </c>
    </row>
    <row r="1117" spans="2:31" ht="14.5">
      <c r="B1117" s="2">
        <v>83699</v>
      </c>
      <c r="C1117" s="2" t="s">
        <v>2069</v>
      </c>
      <c r="D1117" s="2" t="s">
        <v>2070</v>
      </c>
      <c r="E1117" s="2" t="s">
        <v>118</v>
      </c>
      <c r="F1117" s="2" t="s">
        <v>29</v>
      </c>
      <c r="G1117" s="2" t="s">
        <v>30</v>
      </c>
      <c r="H1117" s="2" t="s">
        <v>218</v>
      </c>
      <c r="I1117" s="2" t="s">
        <v>219</v>
      </c>
      <c r="J1117" s="2" t="s">
        <v>220</v>
      </c>
      <c r="K1117" s="2" t="s">
        <v>267</v>
      </c>
      <c r="L1117" s="3"/>
      <c r="M1117" s="3">
        <v>41486</v>
      </c>
      <c r="N1117" s="3">
        <v>41473</v>
      </c>
      <c r="O1117" s="3">
        <v>41473</v>
      </c>
      <c r="P1117" s="2" t="s">
        <v>754</v>
      </c>
      <c r="Q1117" s="2" t="s">
        <v>755</v>
      </c>
      <c r="R1117" s="2" t="s">
        <v>37</v>
      </c>
      <c r="S1117" s="2" t="s">
        <v>756</v>
      </c>
      <c r="T1117" s="2" t="s">
        <v>47</v>
      </c>
      <c r="U1117" s="2">
        <v>30</v>
      </c>
      <c r="V1117" s="2">
        <v>36273</v>
      </c>
      <c r="W1117" s="2">
        <v>381591.96</v>
      </c>
      <c r="X1117" s="2">
        <v>10.52</v>
      </c>
      <c r="Y1117" s="2">
        <v>0.35</v>
      </c>
      <c r="Z1117" s="2">
        <v>4846</v>
      </c>
      <c r="AA1117" s="2">
        <v>13743.46</v>
      </c>
      <c r="AB1117">
        <v>1</v>
      </c>
      <c r="AC1117">
        <v>2013</v>
      </c>
      <c r="AE1117" s="2">
        <v>12695.55</v>
      </c>
    </row>
    <row r="1118" spans="2:31" ht="14.5">
      <c r="B1118" s="2">
        <v>83700</v>
      </c>
      <c r="C1118" s="2" t="s">
        <v>2071</v>
      </c>
      <c r="D1118" s="2" t="s">
        <v>2072</v>
      </c>
      <c r="E1118" s="2" t="s">
        <v>118</v>
      </c>
      <c r="F1118" s="2" t="s">
        <v>29</v>
      </c>
      <c r="G1118" s="2" t="s">
        <v>30</v>
      </c>
      <c r="H1118" s="2" t="s">
        <v>218</v>
      </c>
      <c r="I1118" s="2" t="s">
        <v>219</v>
      </c>
      <c r="J1118" s="2" t="s">
        <v>220</v>
      </c>
      <c r="K1118" s="2" t="s">
        <v>267</v>
      </c>
      <c r="L1118" s="3"/>
      <c r="M1118" s="3">
        <v>41486</v>
      </c>
      <c r="N1118" s="3">
        <v>41512</v>
      </c>
      <c r="O1118" s="3">
        <v>41512</v>
      </c>
      <c r="P1118" s="2" t="s">
        <v>112</v>
      </c>
      <c r="Q1118" s="2" t="s">
        <v>113</v>
      </c>
      <c r="R1118" s="2" t="s">
        <v>37</v>
      </c>
      <c r="S1118" s="2" t="s">
        <v>114</v>
      </c>
      <c r="T1118" s="2" t="s">
        <v>47</v>
      </c>
      <c r="U1118" s="2">
        <v>60</v>
      </c>
      <c r="V1118" s="2">
        <v>15117</v>
      </c>
      <c r="W1118" s="2">
        <v>124866.42</v>
      </c>
      <c r="X1118" s="2">
        <v>8.26</v>
      </c>
      <c r="Y1118" s="2">
        <v>0.14000000000000001</v>
      </c>
      <c r="Z1118" s="2">
        <v>8057</v>
      </c>
      <c r="AA1118" s="2">
        <v>10734.13</v>
      </c>
      <c r="AB1118">
        <v>0</v>
      </c>
      <c r="AC1118">
        <v>2013</v>
      </c>
      <c r="AE1118" s="2">
        <v>2116.38</v>
      </c>
    </row>
    <row r="1119" spans="2:31" ht="14.5">
      <c r="B1119" s="2">
        <v>83704</v>
      </c>
      <c r="C1119" s="2" t="s">
        <v>1859</v>
      </c>
      <c r="D1119" s="2" t="s">
        <v>1860</v>
      </c>
      <c r="E1119" s="2" t="s">
        <v>118</v>
      </c>
      <c r="F1119" s="2" t="s">
        <v>29</v>
      </c>
      <c r="G1119" s="2" t="s">
        <v>30</v>
      </c>
      <c r="H1119" s="2" t="s">
        <v>218</v>
      </c>
      <c r="I1119" s="2" t="s">
        <v>219</v>
      </c>
      <c r="J1119" s="2" t="s">
        <v>220</v>
      </c>
      <c r="K1119" s="2" t="s">
        <v>34</v>
      </c>
      <c r="L1119" s="3"/>
      <c r="M1119" s="3">
        <v>41492</v>
      </c>
      <c r="N1119" s="3">
        <v>41506</v>
      </c>
      <c r="O1119" s="3">
        <v>41506</v>
      </c>
      <c r="P1119" s="2" t="s">
        <v>95</v>
      </c>
      <c r="Q1119" s="2" t="s">
        <v>96</v>
      </c>
      <c r="R1119" s="2" t="s">
        <v>37</v>
      </c>
      <c r="S1119" s="2" t="s">
        <v>97</v>
      </c>
      <c r="T1119" s="2" t="s">
        <v>39</v>
      </c>
      <c r="U1119" s="2">
        <v>30</v>
      </c>
      <c r="V1119" s="2">
        <v>96480</v>
      </c>
      <c r="W1119" s="2">
        <v>321278.40000000002</v>
      </c>
      <c r="X1119" s="2">
        <v>3.33</v>
      </c>
      <c r="Y1119" s="2">
        <v>0.11</v>
      </c>
      <c r="AB1119">
        <v>0</v>
      </c>
      <c r="AC1119">
        <v>2013</v>
      </c>
      <c r="AE1119" s="2">
        <v>10612.8</v>
      </c>
    </row>
    <row r="1120" spans="2:31" ht="14.5">
      <c r="B1120" s="2">
        <v>83705</v>
      </c>
      <c r="C1120" s="2" t="s">
        <v>1859</v>
      </c>
      <c r="D1120" s="2" t="s">
        <v>1860</v>
      </c>
      <c r="E1120" s="2" t="s">
        <v>118</v>
      </c>
      <c r="F1120" s="2" t="s">
        <v>29</v>
      </c>
      <c r="G1120" s="2" t="s">
        <v>30</v>
      </c>
      <c r="H1120" s="2" t="s">
        <v>218</v>
      </c>
      <c r="I1120" s="2" t="s">
        <v>219</v>
      </c>
      <c r="J1120" s="2" t="s">
        <v>220</v>
      </c>
      <c r="K1120" s="2" t="s">
        <v>34</v>
      </c>
      <c r="L1120" s="3"/>
      <c r="M1120" s="3">
        <v>41492</v>
      </c>
      <c r="N1120" s="3">
        <v>41506</v>
      </c>
      <c r="O1120" s="3">
        <v>41506</v>
      </c>
      <c r="P1120" s="2" t="s">
        <v>44</v>
      </c>
      <c r="Q1120" s="2" t="s">
        <v>45</v>
      </c>
      <c r="R1120" s="2" t="s">
        <v>37</v>
      </c>
      <c r="S1120" s="2" t="s">
        <v>46</v>
      </c>
      <c r="T1120" s="2" t="s">
        <v>47</v>
      </c>
      <c r="U1120" s="2">
        <v>60</v>
      </c>
      <c r="V1120" s="2">
        <v>7619</v>
      </c>
      <c r="W1120" s="2">
        <v>53333</v>
      </c>
      <c r="X1120" s="2">
        <v>7</v>
      </c>
      <c r="Y1120" s="2">
        <v>0.12</v>
      </c>
      <c r="AB1120">
        <v>0</v>
      </c>
      <c r="AC1120">
        <v>2013</v>
      </c>
      <c r="AE1120" s="2">
        <v>914.28</v>
      </c>
    </row>
    <row r="1121" spans="2:31" ht="14.5">
      <c r="B1121" s="2">
        <v>83707</v>
      </c>
      <c r="C1121" s="2" t="s">
        <v>1861</v>
      </c>
      <c r="D1121" s="2" t="s">
        <v>1862</v>
      </c>
      <c r="E1121" s="2" t="s">
        <v>118</v>
      </c>
      <c r="F1121" s="2" t="s">
        <v>29</v>
      </c>
      <c r="G1121" s="2" t="s">
        <v>30</v>
      </c>
      <c r="H1121" s="2" t="s">
        <v>218</v>
      </c>
      <c r="I1121" s="2" t="s">
        <v>219</v>
      </c>
      <c r="J1121" s="2" t="s">
        <v>220</v>
      </c>
      <c r="K1121" s="2" t="s">
        <v>34</v>
      </c>
      <c r="L1121" s="3"/>
      <c r="M1121" s="3">
        <v>41544</v>
      </c>
      <c r="N1121" s="3">
        <v>41544</v>
      </c>
      <c r="O1121" s="3">
        <v>41544</v>
      </c>
      <c r="P1121" s="2" t="s">
        <v>706</v>
      </c>
      <c r="Q1121" s="2" t="s">
        <v>707</v>
      </c>
      <c r="R1121" s="2" t="s">
        <v>37</v>
      </c>
      <c r="S1121" s="2" t="s">
        <v>708</v>
      </c>
      <c r="T1121" s="2" t="s">
        <v>47</v>
      </c>
      <c r="U1121" s="2">
        <v>30</v>
      </c>
      <c r="V1121" s="2">
        <v>65615</v>
      </c>
      <c r="W1121" s="2">
        <v>308390.5</v>
      </c>
      <c r="X1121" s="2">
        <v>4.7</v>
      </c>
      <c r="Y1121" s="2">
        <v>0.16</v>
      </c>
      <c r="AB1121">
        <v>1</v>
      </c>
      <c r="AC1121">
        <v>2013</v>
      </c>
      <c r="AE1121" s="2">
        <v>10498.4</v>
      </c>
    </row>
    <row r="1122" spans="2:31" ht="14.5">
      <c r="B1122" s="2">
        <v>83708</v>
      </c>
      <c r="C1122" s="2" t="s">
        <v>2073</v>
      </c>
      <c r="D1122" s="2" t="s">
        <v>2074</v>
      </c>
      <c r="E1122" s="2" t="s">
        <v>118</v>
      </c>
      <c r="F1122" s="2" t="s">
        <v>29</v>
      </c>
      <c r="G1122" s="2" t="s">
        <v>30</v>
      </c>
      <c r="H1122" s="2" t="s">
        <v>218</v>
      </c>
      <c r="I1122" s="2" t="s">
        <v>219</v>
      </c>
      <c r="J1122" s="2" t="s">
        <v>220</v>
      </c>
      <c r="K1122" s="2" t="s">
        <v>34</v>
      </c>
      <c r="L1122" s="3"/>
      <c r="M1122" s="3">
        <v>41515</v>
      </c>
      <c r="N1122" s="3">
        <v>41530</v>
      </c>
      <c r="O1122" s="3">
        <v>41530</v>
      </c>
      <c r="P1122" s="2" t="s">
        <v>95</v>
      </c>
      <c r="Q1122" s="2" t="s">
        <v>96</v>
      </c>
      <c r="R1122" s="2" t="s">
        <v>37</v>
      </c>
      <c r="S1122" s="2" t="s">
        <v>97</v>
      </c>
      <c r="T1122" s="2" t="s">
        <v>39</v>
      </c>
      <c r="U1122" s="2">
        <v>30</v>
      </c>
      <c r="V1122" s="2">
        <v>36007</v>
      </c>
      <c r="W1122" s="2">
        <v>119903.31</v>
      </c>
      <c r="X1122" s="2">
        <v>3.33</v>
      </c>
      <c r="Y1122" s="2">
        <v>0.11</v>
      </c>
      <c r="Z1122" s="2">
        <v>19158</v>
      </c>
      <c r="AA1122" s="2">
        <v>106022.37</v>
      </c>
      <c r="AB1122">
        <v>0</v>
      </c>
      <c r="AC1122">
        <v>2013</v>
      </c>
      <c r="AE1122" s="2">
        <v>3960.77</v>
      </c>
    </row>
    <row r="1123" spans="2:31" ht="14.5">
      <c r="B1123" s="2">
        <v>83713</v>
      </c>
      <c r="C1123" s="2" t="s">
        <v>2075</v>
      </c>
      <c r="D1123" s="2" t="s">
        <v>2076</v>
      </c>
      <c r="E1123" s="2" t="s">
        <v>28</v>
      </c>
      <c r="F1123" s="2" t="s">
        <v>29</v>
      </c>
      <c r="G1123" s="2" t="s">
        <v>30</v>
      </c>
      <c r="H1123" s="2" t="s">
        <v>218</v>
      </c>
      <c r="I1123" s="2" t="s">
        <v>219</v>
      </c>
      <c r="J1123" s="2" t="s">
        <v>220</v>
      </c>
      <c r="K1123" s="2" t="s">
        <v>267</v>
      </c>
      <c r="L1123" s="3"/>
      <c r="M1123" s="3">
        <v>41598</v>
      </c>
      <c r="N1123" s="3">
        <v>41526</v>
      </c>
      <c r="O1123" s="3">
        <v>41526</v>
      </c>
      <c r="P1123" s="2" t="s">
        <v>98</v>
      </c>
      <c r="Q1123" s="2" t="s">
        <v>99</v>
      </c>
      <c r="R1123" s="2" t="s">
        <v>37</v>
      </c>
      <c r="S1123" s="2" t="s">
        <v>100</v>
      </c>
      <c r="T1123" s="2" t="s">
        <v>39</v>
      </c>
      <c r="U1123" s="2">
        <v>60</v>
      </c>
      <c r="V1123" s="2">
        <v>2788</v>
      </c>
      <c r="W1123" s="2">
        <v>31950.48</v>
      </c>
      <c r="X1123" s="2">
        <v>11.46</v>
      </c>
      <c r="Y1123" s="2">
        <v>0.19</v>
      </c>
      <c r="Z1123" s="2">
        <v>285</v>
      </c>
      <c r="AA1123" s="2">
        <v>1883</v>
      </c>
      <c r="AB1123">
        <v>1</v>
      </c>
      <c r="AC1123">
        <v>2013</v>
      </c>
      <c r="AE1123" s="2">
        <v>529.72</v>
      </c>
    </row>
    <row r="1124" spans="2:31" ht="14.5">
      <c r="B1124" s="2">
        <v>83714</v>
      </c>
      <c r="C1124" s="2" t="s">
        <v>2077</v>
      </c>
      <c r="D1124" s="2" t="s">
        <v>2078</v>
      </c>
      <c r="E1124" s="2" t="s">
        <v>118</v>
      </c>
      <c r="F1124" s="2" t="s">
        <v>29</v>
      </c>
      <c r="G1124" s="2" t="s">
        <v>50</v>
      </c>
      <c r="H1124" s="2" t="s">
        <v>218</v>
      </c>
      <c r="I1124" s="2" t="s">
        <v>219</v>
      </c>
      <c r="J1124" s="2" t="s">
        <v>220</v>
      </c>
      <c r="K1124" s="2" t="s">
        <v>34</v>
      </c>
      <c r="L1124" s="3"/>
      <c r="M1124" s="3">
        <v>41607</v>
      </c>
      <c r="N1124" s="3">
        <v>41563</v>
      </c>
      <c r="O1124" s="3">
        <v>41570</v>
      </c>
      <c r="P1124" s="2" t="s">
        <v>1644</v>
      </c>
      <c r="Q1124" s="2" t="s">
        <v>408</v>
      </c>
      <c r="R1124" s="2" t="s">
        <v>37</v>
      </c>
      <c r="S1124" s="2" t="s">
        <v>1645</v>
      </c>
      <c r="T1124" s="2" t="s">
        <v>729</v>
      </c>
      <c r="U1124" s="2">
        <v>60</v>
      </c>
      <c r="V1124" s="2">
        <v>638</v>
      </c>
      <c r="W1124" s="2">
        <v>1212.2</v>
      </c>
      <c r="X1124" s="2">
        <v>1.9</v>
      </c>
      <c r="Y1124" s="2">
        <v>0.03</v>
      </c>
      <c r="Z1124" s="2">
        <v>45</v>
      </c>
      <c r="AA1124" s="2">
        <v>747.76</v>
      </c>
      <c r="AB1124">
        <v>1</v>
      </c>
      <c r="AC1124">
        <v>2013</v>
      </c>
      <c r="AE1124" s="2">
        <v>19.14</v>
      </c>
    </row>
    <row r="1125" spans="2:31" ht="14.5">
      <c r="B1125" s="2">
        <v>83715</v>
      </c>
      <c r="C1125" s="2" t="s">
        <v>2079</v>
      </c>
      <c r="D1125" s="2" t="s">
        <v>2080</v>
      </c>
      <c r="E1125" s="2" t="s">
        <v>28</v>
      </c>
      <c r="F1125" s="2" t="s">
        <v>29</v>
      </c>
      <c r="G1125" s="2" t="s">
        <v>50</v>
      </c>
      <c r="H1125" s="2" t="s">
        <v>218</v>
      </c>
      <c r="I1125" s="2" t="s">
        <v>219</v>
      </c>
      <c r="J1125" s="2" t="s">
        <v>220</v>
      </c>
      <c r="K1125" s="2" t="s">
        <v>267</v>
      </c>
      <c r="L1125" s="3"/>
      <c r="M1125" s="3">
        <v>41562</v>
      </c>
      <c r="N1125" s="3">
        <v>41535</v>
      </c>
      <c r="O1125" s="3">
        <v>41535</v>
      </c>
      <c r="P1125" s="2" t="s">
        <v>740</v>
      </c>
      <c r="Q1125" s="2" t="s">
        <v>36</v>
      </c>
      <c r="R1125" s="2" t="s">
        <v>37</v>
      </c>
      <c r="S1125" s="2" t="s">
        <v>226</v>
      </c>
      <c r="T1125" s="2" t="s">
        <v>526</v>
      </c>
      <c r="U1125" s="2">
        <v>240</v>
      </c>
      <c r="V1125" s="2">
        <v>2191</v>
      </c>
      <c r="W1125" s="2">
        <v>4272.45</v>
      </c>
      <c r="X1125" s="2">
        <v>1.95</v>
      </c>
      <c r="Y1125" s="2">
        <v>0.01</v>
      </c>
      <c r="Z1125" s="2">
        <v>823</v>
      </c>
      <c r="AA1125" s="2">
        <v>3524</v>
      </c>
      <c r="AB1125">
        <v>1</v>
      </c>
      <c r="AC1125">
        <v>2013</v>
      </c>
      <c r="AE1125" s="2">
        <v>21.91</v>
      </c>
    </row>
    <row r="1126" spans="2:31" ht="14.5">
      <c r="B1126" s="2">
        <v>83735</v>
      </c>
      <c r="C1126" s="2" t="s">
        <v>2081</v>
      </c>
      <c r="D1126" s="2" t="s">
        <v>2082</v>
      </c>
      <c r="E1126" s="2" t="s">
        <v>118</v>
      </c>
      <c r="F1126" s="2" t="s">
        <v>29</v>
      </c>
      <c r="G1126" s="2" t="s">
        <v>50</v>
      </c>
      <c r="H1126" s="2" t="s">
        <v>218</v>
      </c>
      <c r="I1126" s="2" t="s">
        <v>219</v>
      </c>
      <c r="J1126" s="2" t="s">
        <v>220</v>
      </c>
      <c r="K1126" s="2" t="s">
        <v>267</v>
      </c>
      <c r="L1126" s="3"/>
      <c r="M1126" s="3">
        <v>41624</v>
      </c>
      <c r="N1126" s="3">
        <v>41628</v>
      </c>
      <c r="O1126" s="3">
        <v>41656</v>
      </c>
      <c r="P1126" s="2" t="s">
        <v>842</v>
      </c>
      <c r="Q1126" s="2" t="s">
        <v>113</v>
      </c>
      <c r="R1126" s="2" t="s">
        <v>37</v>
      </c>
      <c r="S1126" s="2" t="s">
        <v>843</v>
      </c>
      <c r="T1126" s="2" t="s">
        <v>729</v>
      </c>
      <c r="U1126" s="2">
        <v>60</v>
      </c>
      <c r="V1126" s="2">
        <v>4637</v>
      </c>
      <c r="W1126" s="2">
        <v>18037.93</v>
      </c>
      <c r="X1126" s="2">
        <v>3.89</v>
      </c>
      <c r="Y1126" s="2">
        <v>0.06</v>
      </c>
      <c r="Z1126" s="2">
        <v>426</v>
      </c>
      <c r="AA1126" s="2">
        <v>1761.5</v>
      </c>
      <c r="AB1126">
        <v>0</v>
      </c>
      <c r="AC1126">
        <v>2014</v>
      </c>
      <c r="AE1126" s="2">
        <v>278.21999999999997</v>
      </c>
    </row>
    <row r="1127" spans="2:31" ht="14.5">
      <c r="B1127" s="2">
        <v>83746</v>
      </c>
      <c r="C1127" s="2" t="s">
        <v>1885</v>
      </c>
      <c r="D1127" s="2" t="s">
        <v>1886</v>
      </c>
      <c r="E1127" s="2" t="s">
        <v>28</v>
      </c>
      <c r="F1127" s="2" t="s">
        <v>29</v>
      </c>
      <c r="G1127" s="2" t="s">
        <v>50</v>
      </c>
      <c r="H1127" s="2" t="s">
        <v>218</v>
      </c>
      <c r="I1127" s="2" t="s">
        <v>219</v>
      </c>
      <c r="J1127" s="2" t="s">
        <v>220</v>
      </c>
      <c r="K1127" s="2" t="s">
        <v>267</v>
      </c>
      <c r="L1127" s="3"/>
      <c r="M1127" s="3">
        <v>41639</v>
      </c>
      <c r="N1127" s="3">
        <v>41695</v>
      </c>
      <c r="O1127" s="3">
        <v>41711</v>
      </c>
      <c r="P1127" s="2" t="s">
        <v>802</v>
      </c>
      <c r="Q1127" s="2" t="s">
        <v>96</v>
      </c>
      <c r="R1127" s="2" t="s">
        <v>37</v>
      </c>
      <c r="S1127" s="2" t="s">
        <v>38</v>
      </c>
      <c r="T1127" s="2" t="s">
        <v>39</v>
      </c>
      <c r="U1127" s="2">
        <v>90</v>
      </c>
      <c r="V1127" s="2">
        <v>5687</v>
      </c>
      <c r="W1127" s="2">
        <v>52889.1</v>
      </c>
      <c r="X1127" s="2">
        <v>9.3000000000000007</v>
      </c>
      <c r="Y1127" s="2">
        <v>0.1</v>
      </c>
      <c r="AB1127">
        <v>0</v>
      </c>
      <c r="AC1127">
        <v>2014</v>
      </c>
      <c r="AE1127" s="2">
        <v>568.70000000000005</v>
      </c>
    </row>
    <row r="1128" spans="2:31" ht="14.5">
      <c r="B1128" s="2">
        <v>83751</v>
      </c>
      <c r="C1128" s="2" t="s">
        <v>2083</v>
      </c>
      <c r="D1128" s="2" t="s">
        <v>2084</v>
      </c>
      <c r="E1128" s="2" t="s">
        <v>42</v>
      </c>
      <c r="F1128" s="2" t="s">
        <v>29</v>
      </c>
      <c r="G1128" s="2" t="s">
        <v>30</v>
      </c>
      <c r="H1128" s="2" t="s">
        <v>218</v>
      </c>
      <c r="I1128" s="2" t="s">
        <v>219</v>
      </c>
      <c r="J1128" s="2" t="s">
        <v>220</v>
      </c>
      <c r="K1128" s="2" t="s">
        <v>267</v>
      </c>
      <c r="L1128" s="3"/>
      <c r="M1128" s="3">
        <v>41670</v>
      </c>
      <c r="N1128" s="3">
        <v>41662</v>
      </c>
      <c r="O1128" s="3">
        <v>41670</v>
      </c>
      <c r="P1128" s="2" t="s">
        <v>754</v>
      </c>
      <c r="Q1128" s="2" t="s">
        <v>755</v>
      </c>
      <c r="R1128" s="2" t="s">
        <v>37</v>
      </c>
      <c r="S1128" s="2" t="s">
        <v>756</v>
      </c>
      <c r="T1128" s="2" t="s">
        <v>47</v>
      </c>
      <c r="U1128" s="2">
        <v>30</v>
      </c>
      <c r="V1128" s="2">
        <v>83000</v>
      </c>
      <c r="W1128" s="2">
        <v>925450</v>
      </c>
      <c r="X1128" s="2">
        <v>11.15</v>
      </c>
      <c r="Y1128" s="2">
        <v>0.37</v>
      </c>
      <c r="Z1128" s="2">
        <v>10998</v>
      </c>
      <c r="AA1128" s="2">
        <v>75824.42</v>
      </c>
      <c r="AB1128">
        <v>1</v>
      </c>
      <c r="AC1128">
        <v>2014</v>
      </c>
      <c r="AE1128" s="2">
        <v>30710</v>
      </c>
    </row>
    <row r="1129" spans="2:31" ht="14.5">
      <c r="B1129" s="2">
        <v>83760</v>
      </c>
      <c r="C1129" s="2" t="s">
        <v>2085</v>
      </c>
      <c r="D1129" s="2" t="s">
        <v>2086</v>
      </c>
      <c r="E1129" s="2" t="s">
        <v>42</v>
      </c>
      <c r="F1129" s="2" t="s">
        <v>29</v>
      </c>
      <c r="G1129" s="2" t="s">
        <v>30</v>
      </c>
      <c r="H1129" s="2" t="s">
        <v>218</v>
      </c>
      <c r="I1129" s="2" t="s">
        <v>219</v>
      </c>
      <c r="J1129" s="2" t="s">
        <v>220</v>
      </c>
      <c r="K1129" s="2" t="s">
        <v>267</v>
      </c>
      <c r="L1129" s="3"/>
      <c r="M1129" s="3">
        <v>41670</v>
      </c>
      <c r="N1129" s="3">
        <v>41695</v>
      </c>
      <c r="O1129" s="3">
        <v>41710</v>
      </c>
      <c r="P1129" s="2" t="s">
        <v>44</v>
      </c>
      <c r="Q1129" s="2" t="s">
        <v>45</v>
      </c>
      <c r="R1129" s="2" t="s">
        <v>37</v>
      </c>
      <c r="S1129" s="2" t="s">
        <v>46</v>
      </c>
      <c r="T1129" s="2" t="s">
        <v>47</v>
      </c>
      <c r="U1129" s="2">
        <v>60</v>
      </c>
      <c r="V1129" s="2">
        <v>8600</v>
      </c>
      <c r="W1129" s="2">
        <v>57878</v>
      </c>
      <c r="X1129" s="2">
        <v>6.73</v>
      </c>
      <c r="Y1129" s="2">
        <v>0.11</v>
      </c>
      <c r="Z1129" s="2">
        <v>770</v>
      </c>
      <c r="AA1129" s="2">
        <v>9828.73</v>
      </c>
      <c r="AB1129">
        <v>0</v>
      </c>
      <c r="AC1129">
        <v>2014</v>
      </c>
      <c r="AE1129" s="2">
        <v>946</v>
      </c>
    </row>
    <row r="1130" spans="2:31" ht="14.5">
      <c r="B1130" s="2">
        <v>83761</v>
      </c>
      <c r="C1130" s="2" t="s">
        <v>2087</v>
      </c>
      <c r="D1130" s="2" t="s">
        <v>2088</v>
      </c>
      <c r="E1130" s="2" t="s">
        <v>28</v>
      </c>
      <c r="F1130" s="2" t="s">
        <v>29</v>
      </c>
      <c r="G1130" s="2" t="s">
        <v>30</v>
      </c>
      <c r="H1130" s="2" t="s">
        <v>218</v>
      </c>
      <c r="I1130" s="2" t="s">
        <v>219</v>
      </c>
      <c r="J1130" s="2" t="s">
        <v>220</v>
      </c>
      <c r="K1130" s="2" t="s">
        <v>267</v>
      </c>
      <c r="L1130" s="3"/>
      <c r="M1130" s="3">
        <v>41670</v>
      </c>
      <c r="N1130" s="3">
        <v>41689</v>
      </c>
      <c r="O1130" s="3">
        <v>41694</v>
      </c>
      <c r="P1130" s="2" t="s">
        <v>1457</v>
      </c>
      <c r="Q1130" s="2" t="s">
        <v>236</v>
      </c>
      <c r="R1130" s="2" t="s">
        <v>37</v>
      </c>
      <c r="S1130" s="2" t="s">
        <v>1458</v>
      </c>
      <c r="T1130" s="2" t="s">
        <v>47</v>
      </c>
      <c r="U1130" s="2">
        <v>30</v>
      </c>
      <c r="V1130" s="2">
        <v>40000</v>
      </c>
      <c r="W1130" s="2">
        <v>234800</v>
      </c>
      <c r="X1130" s="2">
        <v>5.87</v>
      </c>
      <c r="Y1130" s="2">
        <v>0.2</v>
      </c>
      <c r="Z1130" s="2">
        <v>7393</v>
      </c>
      <c r="AA1130" s="2">
        <v>7083.18</v>
      </c>
      <c r="AB1130">
        <v>0</v>
      </c>
      <c r="AC1130">
        <v>2014</v>
      </c>
      <c r="AE1130" s="2">
        <v>8000</v>
      </c>
    </row>
    <row r="1131" spans="2:31" ht="14.5">
      <c r="B1131" s="2">
        <v>83773</v>
      </c>
      <c r="C1131" s="2" t="s">
        <v>1668</v>
      </c>
      <c r="D1131" s="2" t="s">
        <v>1669</v>
      </c>
      <c r="E1131" s="2" t="s">
        <v>28</v>
      </c>
      <c r="F1131" s="2" t="s">
        <v>29</v>
      </c>
      <c r="G1131" s="2" t="s">
        <v>50</v>
      </c>
      <c r="H1131" s="2" t="s">
        <v>218</v>
      </c>
      <c r="I1131" s="2" t="s">
        <v>219</v>
      </c>
      <c r="J1131" s="2" t="s">
        <v>220</v>
      </c>
      <c r="K1131" s="2" t="s">
        <v>267</v>
      </c>
      <c r="L1131" s="3"/>
      <c r="M1131" s="3">
        <v>41759</v>
      </c>
      <c r="N1131" s="3">
        <v>41761</v>
      </c>
      <c r="O1131" s="3">
        <v>41766</v>
      </c>
      <c r="P1131" s="2" t="s">
        <v>842</v>
      </c>
      <c r="Q1131" s="2" t="s">
        <v>113</v>
      </c>
      <c r="R1131" s="2" t="s">
        <v>37</v>
      </c>
      <c r="S1131" s="2" t="s">
        <v>843</v>
      </c>
      <c r="T1131" s="2" t="s">
        <v>729</v>
      </c>
      <c r="U1131" s="2">
        <v>60</v>
      </c>
      <c r="V1131" s="2">
        <v>43460</v>
      </c>
      <c r="W1131" s="2">
        <v>162975</v>
      </c>
      <c r="X1131" s="2">
        <v>3.75</v>
      </c>
      <c r="Y1131" s="2">
        <v>0.06</v>
      </c>
      <c r="AB1131">
        <v>0</v>
      </c>
      <c r="AC1131">
        <v>2014</v>
      </c>
      <c r="AE1131" s="2">
        <v>2607.6</v>
      </c>
    </row>
    <row r="1132" spans="2:31" ht="14.5">
      <c r="B1132" s="2">
        <v>83777</v>
      </c>
      <c r="C1132" s="2" t="s">
        <v>2089</v>
      </c>
      <c r="D1132" s="2" t="s">
        <v>2090</v>
      </c>
      <c r="E1132" s="2" t="s">
        <v>118</v>
      </c>
      <c r="F1132" s="2" t="s">
        <v>29</v>
      </c>
      <c r="G1132" s="2" t="s">
        <v>30</v>
      </c>
      <c r="H1132" s="2" t="s">
        <v>218</v>
      </c>
      <c r="I1132" s="2" t="s">
        <v>219</v>
      </c>
      <c r="J1132" s="2" t="s">
        <v>220</v>
      </c>
      <c r="K1132" s="2" t="s">
        <v>267</v>
      </c>
      <c r="L1132" s="3"/>
      <c r="M1132" s="3">
        <v>41759</v>
      </c>
      <c r="N1132" s="3">
        <v>41747</v>
      </c>
      <c r="O1132" s="3">
        <v>41766</v>
      </c>
      <c r="P1132" s="2" t="s">
        <v>35</v>
      </c>
      <c r="Q1132" s="2" t="s">
        <v>36</v>
      </c>
      <c r="R1132" s="2" t="s">
        <v>37</v>
      </c>
      <c r="S1132" s="2" t="s">
        <v>38</v>
      </c>
      <c r="T1132" s="2" t="s">
        <v>39</v>
      </c>
      <c r="U1132" s="2">
        <v>60</v>
      </c>
      <c r="V1132" s="2">
        <v>12965</v>
      </c>
      <c r="W1132" s="2">
        <v>29300.9</v>
      </c>
      <c r="X1132" s="2">
        <v>2.2599999999999998</v>
      </c>
      <c r="Y1132" s="2">
        <v>0.04</v>
      </c>
      <c r="Z1132" s="2">
        <v>1243</v>
      </c>
      <c r="AB1132">
        <v>1</v>
      </c>
      <c r="AC1132">
        <v>2014</v>
      </c>
      <c r="AE1132" s="2">
        <v>518.6</v>
      </c>
    </row>
    <row r="1133" spans="2:31" ht="14.5">
      <c r="B1133" s="2">
        <v>83779</v>
      </c>
      <c r="C1133" s="2" t="s">
        <v>2091</v>
      </c>
      <c r="D1133" s="2" t="s">
        <v>2092</v>
      </c>
      <c r="E1133" s="2" t="s">
        <v>28</v>
      </c>
      <c r="F1133" s="2" t="s">
        <v>29</v>
      </c>
      <c r="G1133" s="2" t="s">
        <v>30</v>
      </c>
      <c r="H1133" s="2" t="s">
        <v>218</v>
      </c>
      <c r="I1133" s="2" t="s">
        <v>219</v>
      </c>
      <c r="J1133" s="2" t="s">
        <v>220</v>
      </c>
      <c r="K1133" s="2" t="s">
        <v>267</v>
      </c>
      <c r="L1133" s="3"/>
      <c r="M1133" s="3">
        <v>41768</v>
      </c>
      <c r="N1133" s="3">
        <v>41769</v>
      </c>
      <c r="O1133" s="3">
        <v>41810</v>
      </c>
      <c r="P1133" s="2" t="s">
        <v>749</v>
      </c>
      <c r="Q1133" s="2" t="s">
        <v>76</v>
      </c>
      <c r="R1133" s="2" t="s">
        <v>37</v>
      </c>
      <c r="S1133" s="2" t="s">
        <v>78</v>
      </c>
      <c r="T1133" s="2" t="s">
        <v>47</v>
      </c>
      <c r="U1133" s="2">
        <v>30</v>
      </c>
      <c r="V1133" s="2">
        <v>206508</v>
      </c>
      <c r="W1133" s="2">
        <v>2455380.12</v>
      </c>
      <c r="X1133" s="2">
        <v>11.89</v>
      </c>
      <c r="Y1133" s="2">
        <v>0.4</v>
      </c>
      <c r="Z1133" s="2">
        <v>22895</v>
      </c>
      <c r="AA1133" s="2">
        <v>13649.14</v>
      </c>
      <c r="AB1133">
        <v>0</v>
      </c>
      <c r="AC1133">
        <v>2014</v>
      </c>
      <c r="AE1133" s="2">
        <v>82603.200000000012</v>
      </c>
    </row>
    <row r="1134" spans="2:31" ht="14.5">
      <c r="B1134" s="2">
        <v>83795</v>
      </c>
      <c r="C1134" s="2" t="s">
        <v>2093</v>
      </c>
      <c r="D1134" s="2" t="s">
        <v>2094</v>
      </c>
      <c r="E1134" s="2" t="s">
        <v>1581</v>
      </c>
      <c r="F1134" s="2" t="s">
        <v>29</v>
      </c>
      <c r="G1134" s="2" t="s">
        <v>30</v>
      </c>
      <c r="H1134" s="2" t="s">
        <v>218</v>
      </c>
      <c r="I1134" s="2" t="s">
        <v>219</v>
      </c>
      <c r="J1134" s="2" t="s">
        <v>220</v>
      </c>
      <c r="K1134" s="2" t="s">
        <v>34</v>
      </c>
      <c r="L1134" s="3"/>
      <c r="M1134" s="3">
        <v>41789</v>
      </c>
      <c r="N1134" s="3">
        <v>41815</v>
      </c>
      <c r="O1134" s="3">
        <v>41821</v>
      </c>
      <c r="P1134" s="2" t="s">
        <v>754</v>
      </c>
      <c r="Q1134" s="2" t="s">
        <v>755</v>
      </c>
      <c r="R1134" s="2" t="s">
        <v>37</v>
      </c>
      <c r="S1134" s="2" t="s">
        <v>756</v>
      </c>
      <c r="T1134" s="2" t="s">
        <v>47</v>
      </c>
      <c r="U1134" s="2">
        <v>30</v>
      </c>
      <c r="V1134" s="2">
        <v>2880</v>
      </c>
      <c r="W1134" s="2">
        <v>31046.400000000001</v>
      </c>
      <c r="X1134" s="2">
        <v>10.78</v>
      </c>
      <c r="Y1134" s="2">
        <v>0.36</v>
      </c>
      <c r="Z1134" s="2">
        <v>546</v>
      </c>
      <c r="AA1134" s="2">
        <v>4195.6400000000003</v>
      </c>
      <c r="AB1134">
        <v>0</v>
      </c>
      <c r="AC1134">
        <v>2014</v>
      </c>
      <c r="AE1134" s="2">
        <v>1036.8</v>
      </c>
    </row>
    <row r="1135" spans="2:31" ht="14.5">
      <c r="B1135" s="2">
        <v>83796</v>
      </c>
      <c r="C1135" s="2" t="s">
        <v>2093</v>
      </c>
      <c r="D1135" s="2" t="s">
        <v>2094</v>
      </c>
      <c r="E1135" s="2" t="s">
        <v>1581</v>
      </c>
      <c r="F1135" s="2" t="s">
        <v>29</v>
      </c>
      <c r="G1135" s="2" t="s">
        <v>30</v>
      </c>
      <c r="H1135" s="2" t="s">
        <v>218</v>
      </c>
      <c r="I1135" s="2" t="s">
        <v>219</v>
      </c>
      <c r="J1135" s="2" t="s">
        <v>220</v>
      </c>
      <c r="K1135" s="2" t="s">
        <v>34</v>
      </c>
      <c r="L1135" s="3"/>
      <c r="M1135" s="3">
        <v>41789</v>
      </c>
      <c r="N1135" s="3">
        <v>41815</v>
      </c>
      <c r="O1135" s="3">
        <v>41821</v>
      </c>
      <c r="P1135" s="2" t="s">
        <v>112</v>
      </c>
      <c r="Q1135" s="2" t="s">
        <v>113</v>
      </c>
      <c r="R1135" s="2" t="s">
        <v>37</v>
      </c>
      <c r="S1135" s="2" t="s">
        <v>114</v>
      </c>
      <c r="T1135" s="2" t="s">
        <v>47</v>
      </c>
      <c r="U1135" s="2">
        <v>60</v>
      </c>
      <c r="V1135" s="2">
        <v>1152</v>
      </c>
      <c r="W1135" s="2">
        <v>9342.7199999999993</v>
      </c>
      <c r="X1135" s="2">
        <v>8.11</v>
      </c>
      <c r="Y1135" s="2">
        <v>0.14000000000000001</v>
      </c>
      <c r="AB1135">
        <v>0</v>
      </c>
      <c r="AC1135">
        <v>2014</v>
      </c>
      <c r="AE1135" s="2">
        <v>161.28000000000003</v>
      </c>
    </row>
    <row r="1136" spans="2:31" ht="14.5">
      <c r="B1136" s="2">
        <v>83797</v>
      </c>
      <c r="C1136" s="2" t="s">
        <v>2093</v>
      </c>
      <c r="D1136" s="2" t="s">
        <v>2094</v>
      </c>
      <c r="E1136" s="2" t="s">
        <v>1581</v>
      </c>
      <c r="F1136" s="2" t="s">
        <v>29</v>
      </c>
      <c r="G1136" s="2" t="s">
        <v>30</v>
      </c>
      <c r="H1136" s="2" t="s">
        <v>218</v>
      </c>
      <c r="I1136" s="2" t="s">
        <v>219</v>
      </c>
      <c r="J1136" s="2" t="s">
        <v>220</v>
      </c>
      <c r="K1136" s="2" t="s">
        <v>34</v>
      </c>
      <c r="L1136" s="3"/>
      <c r="M1136" s="3">
        <v>41789</v>
      </c>
      <c r="N1136" s="3">
        <v>41815</v>
      </c>
      <c r="O1136" s="3">
        <v>41821</v>
      </c>
      <c r="P1136" s="2" t="s">
        <v>35</v>
      </c>
      <c r="Q1136" s="2" t="s">
        <v>36</v>
      </c>
      <c r="R1136" s="2" t="s">
        <v>37</v>
      </c>
      <c r="S1136" s="2" t="s">
        <v>38</v>
      </c>
      <c r="T1136" s="2" t="s">
        <v>39</v>
      </c>
      <c r="U1136" s="2">
        <v>60</v>
      </c>
      <c r="V1136" s="2">
        <v>450</v>
      </c>
      <c r="W1136" s="2">
        <v>994.5</v>
      </c>
      <c r="X1136" s="2">
        <v>2.21</v>
      </c>
      <c r="Y1136" s="2">
        <v>0.04</v>
      </c>
      <c r="AB1136">
        <v>0</v>
      </c>
      <c r="AC1136">
        <v>2014</v>
      </c>
      <c r="AE1136" s="2">
        <v>18</v>
      </c>
    </row>
    <row r="1137" spans="2:31" ht="14.5">
      <c r="B1137" s="2">
        <v>83804</v>
      </c>
      <c r="C1137" s="2" t="s">
        <v>2095</v>
      </c>
      <c r="D1137" s="2" t="s">
        <v>2096</v>
      </c>
      <c r="E1137" s="2" t="s">
        <v>1581</v>
      </c>
      <c r="F1137" s="2" t="s">
        <v>29</v>
      </c>
      <c r="G1137" s="2" t="s">
        <v>30</v>
      </c>
      <c r="H1137" s="2" t="s">
        <v>218</v>
      </c>
      <c r="I1137" s="2" t="s">
        <v>219</v>
      </c>
      <c r="J1137" s="2" t="s">
        <v>220</v>
      </c>
      <c r="K1137" s="2" t="s">
        <v>34</v>
      </c>
      <c r="L1137" s="3"/>
      <c r="M1137" s="3">
        <v>41806</v>
      </c>
      <c r="N1137" s="3">
        <v>41794</v>
      </c>
      <c r="O1137" s="3">
        <v>41829</v>
      </c>
      <c r="P1137" s="2" t="s">
        <v>44</v>
      </c>
      <c r="Q1137" s="2" t="s">
        <v>45</v>
      </c>
      <c r="R1137" s="2" t="s">
        <v>37</v>
      </c>
      <c r="S1137" s="2" t="s">
        <v>46</v>
      </c>
      <c r="T1137" s="2" t="s">
        <v>47</v>
      </c>
      <c r="U1137" s="2">
        <v>60</v>
      </c>
      <c r="V1137" s="2">
        <v>790</v>
      </c>
      <c r="W1137" s="2">
        <v>5150.8</v>
      </c>
      <c r="X1137" s="2">
        <v>6.52</v>
      </c>
      <c r="Y1137" s="2">
        <v>0.11</v>
      </c>
      <c r="Z1137" s="2">
        <v>186</v>
      </c>
      <c r="AA1137" s="2">
        <v>29.21</v>
      </c>
      <c r="AB1137">
        <v>1</v>
      </c>
      <c r="AC1137">
        <v>2014</v>
      </c>
      <c r="AE1137" s="2">
        <v>86.9</v>
      </c>
    </row>
    <row r="1138" spans="2:31" ht="14.5">
      <c r="B1138" s="2">
        <v>83806</v>
      </c>
      <c r="C1138" s="2" t="s">
        <v>2097</v>
      </c>
      <c r="D1138" s="2" t="s">
        <v>2098</v>
      </c>
      <c r="E1138" s="2" t="s">
        <v>42</v>
      </c>
      <c r="F1138" s="2" t="s">
        <v>29</v>
      </c>
      <c r="G1138" s="2" t="s">
        <v>50</v>
      </c>
      <c r="H1138" s="2" t="s">
        <v>218</v>
      </c>
      <c r="I1138" s="2" t="s">
        <v>219</v>
      </c>
      <c r="J1138" s="2" t="s">
        <v>220</v>
      </c>
      <c r="K1138" s="2" t="s">
        <v>267</v>
      </c>
      <c r="L1138" s="3"/>
      <c r="M1138" s="3">
        <v>41820</v>
      </c>
      <c r="N1138" s="3">
        <v>41802</v>
      </c>
      <c r="O1138" s="3">
        <v>41830</v>
      </c>
      <c r="P1138" s="2" t="s">
        <v>1288</v>
      </c>
      <c r="Q1138" s="2" t="s">
        <v>165</v>
      </c>
      <c r="R1138" s="2" t="s">
        <v>37</v>
      </c>
      <c r="S1138" s="2" t="s">
        <v>226</v>
      </c>
      <c r="T1138" s="2" t="s">
        <v>87</v>
      </c>
      <c r="U1138" s="2">
        <v>240</v>
      </c>
      <c r="V1138" s="2">
        <v>507</v>
      </c>
      <c r="W1138" s="2">
        <v>937.95</v>
      </c>
      <c r="X1138" s="2">
        <v>1.85</v>
      </c>
      <c r="Y1138" s="2">
        <v>0.01</v>
      </c>
      <c r="Z1138" s="2">
        <v>185</v>
      </c>
      <c r="AA1138" s="2">
        <v>2342.16</v>
      </c>
      <c r="AB1138">
        <v>1</v>
      </c>
      <c r="AC1138">
        <v>2014</v>
      </c>
      <c r="AE1138" s="2">
        <v>5.07</v>
      </c>
    </row>
    <row r="1139" spans="2:31" ht="14.5">
      <c r="B1139" s="2">
        <v>83808</v>
      </c>
      <c r="C1139" s="2" t="s">
        <v>2099</v>
      </c>
      <c r="D1139" s="2" t="s">
        <v>2100</v>
      </c>
      <c r="E1139" s="2" t="s">
        <v>118</v>
      </c>
      <c r="F1139" s="2" t="s">
        <v>29</v>
      </c>
      <c r="G1139" s="2" t="s">
        <v>30</v>
      </c>
      <c r="H1139" s="2" t="s">
        <v>218</v>
      </c>
      <c r="I1139" s="2" t="s">
        <v>219</v>
      </c>
      <c r="J1139" s="2" t="s">
        <v>220</v>
      </c>
      <c r="K1139" s="2" t="s">
        <v>34</v>
      </c>
      <c r="L1139" s="3"/>
      <c r="M1139" s="3">
        <v>41820</v>
      </c>
      <c r="N1139" s="3">
        <v>41810</v>
      </c>
      <c r="O1139" s="3">
        <v>41829</v>
      </c>
      <c r="P1139" s="2" t="s">
        <v>150</v>
      </c>
      <c r="Q1139" s="2" t="s">
        <v>84</v>
      </c>
      <c r="R1139" s="2" t="s">
        <v>151</v>
      </c>
      <c r="S1139" s="2" t="s">
        <v>152</v>
      </c>
      <c r="T1139" s="2" t="s">
        <v>39</v>
      </c>
      <c r="U1139" s="2">
        <v>120</v>
      </c>
      <c r="V1139" s="2">
        <v>84</v>
      </c>
      <c r="W1139" s="2">
        <v>1587.6</v>
      </c>
      <c r="X1139" s="2">
        <v>18.899999999999999</v>
      </c>
      <c r="Y1139" s="2">
        <v>0.16</v>
      </c>
      <c r="Z1139" s="2">
        <v>9014</v>
      </c>
      <c r="AA1139" s="2">
        <v>892.92</v>
      </c>
      <c r="AB1139">
        <v>1</v>
      </c>
      <c r="AC1139">
        <v>2014</v>
      </c>
      <c r="AE1139" s="2">
        <v>13.44</v>
      </c>
    </row>
    <row r="1140" spans="2:31" ht="14.5">
      <c r="B1140" s="2">
        <v>83810</v>
      </c>
      <c r="C1140" s="2" t="s">
        <v>2101</v>
      </c>
      <c r="D1140" s="2" t="s">
        <v>2102</v>
      </c>
      <c r="E1140" s="2" t="s">
        <v>118</v>
      </c>
      <c r="F1140" s="2" t="s">
        <v>29</v>
      </c>
      <c r="G1140" s="2" t="s">
        <v>50</v>
      </c>
      <c r="H1140" s="2" t="s">
        <v>218</v>
      </c>
      <c r="I1140" s="2" t="s">
        <v>219</v>
      </c>
      <c r="J1140" s="2" t="s">
        <v>220</v>
      </c>
      <c r="K1140" s="2" t="s">
        <v>267</v>
      </c>
      <c r="L1140" s="3"/>
      <c r="M1140" s="3">
        <v>41820</v>
      </c>
      <c r="N1140" s="3">
        <v>41810</v>
      </c>
      <c r="O1140" s="3">
        <v>41829</v>
      </c>
      <c r="P1140" s="2" t="s">
        <v>818</v>
      </c>
      <c r="Q1140" s="2" t="s">
        <v>36</v>
      </c>
      <c r="R1140" s="2" t="s">
        <v>37</v>
      </c>
      <c r="S1140" s="2" t="s">
        <v>226</v>
      </c>
      <c r="T1140" s="2" t="s">
        <v>526</v>
      </c>
      <c r="U1140" s="2">
        <v>100</v>
      </c>
      <c r="V1140" s="2">
        <v>45000</v>
      </c>
      <c r="W1140" s="2">
        <v>58500</v>
      </c>
      <c r="X1140" s="2">
        <v>1.3</v>
      </c>
      <c r="Y1140" s="2">
        <v>0.01</v>
      </c>
      <c r="Z1140" s="2">
        <v>9014</v>
      </c>
      <c r="AA1140" s="2">
        <v>52211.42</v>
      </c>
      <c r="AB1140">
        <v>1</v>
      </c>
      <c r="AC1140">
        <v>2014</v>
      </c>
      <c r="AE1140" s="2">
        <v>450</v>
      </c>
    </row>
    <row r="1141" spans="2:31" ht="14.5">
      <c r="B1141" s="2">
        <v>83813</v>
      </c>
      <c r="C1141" s="2" t="s">
        <v>2103</v>
      </c>
      <c r="D1141" s="2" t="s">
        <v>2104</v>
      </c>
      <c r="E1141" s="2" t="s">
        <v>60</v>
      </c>
      <c r="F1141" s="2" t="s">
        <v>29</v>
      </c>
      <c r="G1141" s="2" t="s">
        <v>50</v>
      </c>
      <c r="H1141" s="2" t="s">
        <v>218</v>
      </c>
      <c r="I1141" s="2" t="s">
        <v>219</v>
      </c>
      <c r="J1141" s="2" t="s">
        <v>220</v>
      </c>
      <c r="K1141" s="2" t="s">
        <v>34</v>
      </c>
      <c r="L1141" s="3"/>
      <c r="M1141" s="3">
        <v>41897</v>
      </c>
      <c r="N1141" s="3">
        <v>41880</v>
      </c>
      <c r="O1141" s="3">
        <v>41947</v>
      </c>
      <c r="P1141" s="2" t="s">
        <v>1917</v>
      </c>
      <c r="Q1141" s="2" t="s">
        <v>1000</v>
      </c>
      <c r="R1141" s="2" t="s">
        <v>37</v>
      </c>
      <c r="S1141" s="2" t="s">
        <v>1665</v>
      </c>
      <c r="T1141" s="2" t="s">
        <v>729</v>
      </c>
      <c r="U1141" s="2">
        <v>60</v>
      </c>
      <c r="V1141" s="2">
        <v>429</v>
      </c>
      <c r="W1141" s="2">
        <v>2415.27</v>
      </c>
      <c r="X1141" s="2">
        <v>5.63</v>
      </c>
      <c r="Y1141" s="2">
        <v>0.09</v>
      </c>
      <c r="Z1141" s="2">
        <v>39</v>
      </c>
      <c r="AA1141" s="2">
        <v>792.12</v>
      </c>
      <c r="AB1141">
        <v>1</v>
      </c>
      <c r="AC1141">
        <v>2014</v>
      </c>
      <c r="AE1141" s="2">
        <v>38.61</v>
      </c>
    </row>
    <row r="1142" spans="2:31" ht="14.5">
      <c r="B1142" s="2">
        <v>83818</v>
      </c>
      <c r="C1142" s="2" t="s">
        <v>2105</v>
      </c>
      <c r="D1142" s="2" t="s">
        <v>2106</v>
      </c>
      <c r="E1142" s="2" t="s">
        <v>42</v>
      </c>
      <c r="F1142" s="2" t="s">
        <v>29</v>
      </c>
      <c r="G1142" s="2" t="s">
        <v>50</v>
      </c>
      <c r="H1142" s="2" t="s">
        <v>218</v>
      </c>
      <c r="I1142" s="2" t="s">
        <v>219</v>
      </c>
      <c r="J1142" s="2" t="s">
        <v>220</v>
      </c>
      <c r="K1142" s="2" t="s">
        <v>267</v>
      </c>
      <c r="L1142" s="3"/>
      <c r="M1142" s="3">
        <v>41870</v>
      </c>
      <c r="N1142" s="3">
        <v>41864</v>
      </c>
      <c r="O1142" s="3">
        <v>41865</v>
      </c>
      <c r="P1142" s="2" t="s">
        <v>802</v>
      </c>
      <c r="Q1142" s="2" t="s">
        <v>96</v>
      </c>
      <c r="R1142" s="2" t="s">
        <v>37</v>
      </c>
      <c r="S1142" s="2" t="s">
        <v>38</v>
      </c>
      <c r="T1142" s="2" t="s">
        <v>39</v>
      </c>
      <c r="U1142" s="2">
        <v>90</v>
      </c>
      <c r="V1142" s="2">
        <v>2900</v>
      </c>
      <c r="W1142" s="2">
        <v>23954</v>
      </c>
      <c r="X1142" s="2">
        <v>8.26</v>
      </c>
      <c r="Y1142" s="2">
        <v>0.09</v>
      </c>
      <c r="Z1142" s="2">
        <v>5621</v>
      </c>
      <c r="AA1142" s="2">
        <v>10640.81</v>
      </c>
      <c r="AB1142">
        <v>1</v>
      </c>
      <c r="AC1142">
        <v>2014</v>
      </c>
      <c r="AE1142" s="2">
        <v>261</v>
      </c>
    </row>
    <row r="1143" spans="2:31" ht="14.5">
      <c r="B1143" s="2">
        <v>83826</v>
      </c>
      <c r="C1143" s="2" t="s">
        <v>2849</v>
      </c>
      <c r="D1143" s="2" t="s">
        <v>2850</v>
      </c>
      <c r="E1143" s="2" t="s">
        <v>2817</v>
      </c>
      <c r="F1143" s="2" t="s">
        <v>29</v>
      </c>
      <c r="G1143" s="2" t="s">
        <v>50</v>
      </c>
      <c r="H1143" s="2" t="s">
        <v>218</v>
      </c>
      <c r="I1143" s="2" t="s">
        <v>219</v>
      </c>
      <c r="J1143" s="2" t="s">
        <v>220</v>
      </c>
      <c r="K1143" s="2" t="s">
        <v>34</v>
      </c>
      <c r="L1143" s="3"/>
      <c r="M1143" s="3">
        <v>41870</v>
      </c>
      <c r="N1143" s="3">
        <v>41929</v>
      </c>
      <c r="O1143" s="3">
        <v>41964</v>
      </c>
      <c r="P1143" s="2" t="s">
        <v>740</v>
      </c>
      <c r="Q1143" s="2" t="s">
        <v>36</v>
      </c>
      <c r="R1143" s="2" t="s">
        <v>37</v>
      </c>
      <c r="S1143" s="2" t="s">
        <v>226</v>
      </c>
      <c r="T1143" s="2" t="s">
        <v>526</v>
      </c>
      <c r="U1143" s="2">
        <v>240</v>
      </c>
      <c r="V1143" s="2">
        <v>2125</v>
      </c>
      <c r="W1143" s="2">
        <v>3463.75</v>
      </c>
      <c r="X1143" s="2">
        <v>1.63</v>
      </c>
      <c r="Y1143" s="2">
        <v>0.01</v>
      </c>
      <c r="Z1143" s="2">
        <v>759</v>
      </c>
      <c r="AA1143" s="2">
        <v>9664.7900000000009</v>
      </c>
      <c r="AB1143">
        <v>0</v>
      </c>
      <c r="AC1143">
        <v>2014</v>
      </c>
      <c r="AE1143" s="2">
        <v>21.25</v>
      </c>
    </row>
    <row r="1144" spans="2:31" ht="14.5">
      <c r="B1144" s="2">
        <v>83827</v>
      </c>
      <c r="C1144" s="2" t="s">
        <v>2834</v>
      </c>
      <c r="D1144" s="2" t="s">
        <v>2835</v>
      </c>
      <c r="E1144" s="2" t="s">
        <v>2817</v>
      </c>
      <c r="F1144" s="2" t="s">
        <v>29</v>
      </c>
      <c r="G1144" s="2" t="s">
        <v>50</v>
      </c>
      <c r="H1144" s="2" t="s">
        <v>218</v>
      </c>
      <c r="I1144" s="2" t="s">
        <v>219</v>
      </c>
      <c r="J1144" s="2" t="s">
        <v>220</v>
      </c>
      <c r="K1144" s="2" t="s">
        <v>34</v>
      </c>
      <c r="L1144" s="3"/>
      <c r="M1144" s="3">
        <v>41883</v>
      </c>
      <c r="N1144" s="3">
        <v>41883</v>
      </c>
      <c r="O1144" s="3">
        <v>41884</v>
      </c>
      <c r="P1144" s="2" t="s">
        <v>802</v>
      </c>
      <c r="Q1144" s="2" t="s">
        <v>96</v>
      </c>
      <c r="R1144" s="2" t="s">
        <v>37</v>
      </c>
      <c r="S1144" s="2" t="s">
        <v>38</v>
      </c>
      <c r="T1144" s="2" t="s">
        <v>39</v>
      </c>
      <c r="U1144" s="2">
        <v>90</v>
      </c>
      <c r="V1144" s="2">
        <v>1016</v>
      </c>
      <c r="W1144" s="2">
        <v>9448.7999999999993</v>
      </c>
      <c r="X1144" s="2">
        <v>9.3000000000000007</v>
      </c>
      <c r="Y1144" s="2">
        <v>0.1</v>
      </c>
      <c r="AB1144">
        <v>1</v>
      </c>
      <c r="AC1144">
        <v>2014</v>
      </c>
      <c r="AE1144" s="2">
        <v>101.60000000000001</v>
      </c>
    </row>
    <row r="1145" spans="2:31" ht="14.5">
      <c r="B1145" s="2">
        <v>83830</v>
      </c>
      <c r="C1145" s="2" t="s">
        <v>2107</v>
      </c>
      <c r="D1145" s="2" t="s">
        <v>2108</v>
      </c>
      <c r="E1145" s="2" t="s">
        <v>42</v>
      </c>
      <c r="F1145" s="2" t="s">
        <v>29</v>
      </c>
      <c r="G1145" s="2" t="s">
        <v>30</v>
      </c>
      <c r="H1145" s="2" t="s">
        <v>218</v>
      </c>
      <c r="I1145" s="2" t="s">
        <v>219</v>
      </c>
      <c r="J1145" s="2" t="s">
        <v>220</v>
      </c>
      <c r="K1145" s="2" t="s">
        <v>267</v>
      </c>
      <c r="L1145" s="3"/>
      <c r="M1145" s="3">
        <v>41898</v>
      </c>
      <c r="N1145" s="3">
        <v>41852</v>
      </c>
      <c r="O1145" s="3">
        <v>41873</v>
      </c>
      <c r="P1145" s="2" t="s">
        <v>484</v>
      </c>
      <c r="Q1145" s="2" t="s">
        <v>105</v>
      </c>
      <c r="R1145" s="2" t="s">
        <v>37</v>
      </c>
      <c r="S1145" s="2" t="s">
        <v>100</v>
      </c>
      <c r="T1145" s="2" t="s">
        <v>39</v>
      </c>
      <c r="U1145" s="2">
        <v>30</v>
      </c>
      <c r="V1145" s="2">
        <v>715</v>
      </c>
      <c r="W1145" s="2">
        <v>2888.6</v>
      </c>
      <c r="X1145" s="2">
        <v>4.04</v>
      </c>
      <c r="Y1145" s="2">
        <v>0.13</v>
      </c>
      <c r="Z1145" s="2">
        <v>44</v>
      </c>
      <c r="AA1145" s="2">
        <v>1171.2</v>
      </c>
      <c r="AB1145">
        <v>1</v>
      </c>
      <c r="AC1145">
        <v>2014</v>
      </c>
      <c r="AE1145" s="2">
        <v>92.95</v>
      </c>
    </row>
    <row r="1146" spans="2:31" ht="14.5">
      <c r="B1146" s="2">
        <v>83833</v>
      </c>
      <c r="C1146" s="2" t="s">
        <v>2109</v>
      </c>
      <c r="D1146" s="2" t="s">
        <v>2110</v>
      </c>
      <c r="E1146" s="2" t="s">
        <v>1581</v>
      </c>
      <c r="F1146" s="2" t="s">
        <v>29</v>
      </c>
      <c r="G1146" s="2" t="s">
        <v>30</v>
      </c>
      <c r="H1146" s="2" t="s">
        <v>218</v>
      </c>
      <c r="I1146" s="2" t="s">
        <v>219</v>
      </c>
      <c r="J1146" s="2" t="s">
        <v>220</v>
      </c>
      <c r="K1146" s="2" t="s">
        <v>34</v>
      </c>
      <c r="L1146" s="3"/>
      <c r="M1146" s="3">
        <v>41912</v>
      </c>
      <c r="N1146" s="3">
        <v>41887</v>
      </c>
      <c r="O1146" s="3">
        <v>41900</v>
      </c>
      <c r="P1146" s="2" t="s">
        <v>759</v>
      </c>
      <c r="Q1146" s="2" t="s">
        <v>84</v>
      </c>
      <c r="R1146" s="2" t="s">
        <v>37</v>
      </c>
      <c r="S1146" s="2" t="s">
        <v>152</v>
      </c>
      <c r="T1146" s="2" t="s">
        <v>39</v>
      </c>
      <c r="U1146" s="2">
        <v>120</v>
      </c>
      <c r="V1146" s="2">
        <v>280</v>
      </c>
      <c r="W1146" s="2">
        <v>5518.8</v>
      </c>
      <c r="X1146" s="2">
        <v>19.71</v>
      </c>
      <c r="Y1146" s="2">
        <v>0.16</v>
      </c>
      <c r="Z1146" s="2">
        <v>75</v>
      </c>
      <c r="AA1146" s="2">
        <v>1855.34</v>
      </c>
      <c r="AB1146">
        <v>1</v>
      </c>
      <c r="AC1146">
        <v>2014</v>
      </c>
      <c r="AE1146" s="2">
        <v>44.800000000000004</v>
      </c>
    </row>
    <row r="1147" spans="2:31" ht="14.5">
      <c r="B1147" s="2">
        <v>83843</v>
      </c>
      <c r="C1147" s="2" t="s">
        <v>2111</v>
      </c>
      <c r="D1147" s="2" t="s">
        <v>2112</v>
      </c>
      <c r="E1147" s="2" t="s">
        <v>118</v>
      </c>
      <c r="F1147" s="2" t="s">
        <v>29</v>
      </c>
      <c r="G1147" s="2" t="s">
        <v>30</v>
      </c>
      <c r="H1147" s="2" t="s">
        <v>218</v>
      </c>
      <c r="I1147" s="2" t="s">
        <v>219</v>
      </c>
      <c r="J1147" s="2" t="s">
        <v>220</v>
      </c>
      <c r="K1147" s="2" t="s">
        <v>267</v>
      </c>
      <c r="L1147" s="3"/>
      <c r="M1147" s="3">
        <v>41893</v>
      </c>
      <c r="N1147" s="3">
        <v>41860</v>
      </c>
      <c r="O1147" s="3">
        <v>41864</v>
      </c>
      <c r="P1147" s="2" t="s">
        <v>150</v>
      </c>
      <c r="Q1147" s="2" t="s">
        <v>84</v>
      </c>
      <c r="R1147" s="2" t="s">
        <v>151</v>
      </c>
      <c r="S1147" s="2" t="s">
        <v>152</v>
      </c>
      <c r="T1147" s="2" t="s">
        <v>39</v>
      </c>
      <c r="U1147" s="2">
        <v>120</v>
      </c>
      <c r="V1147" s="2">
        <v>12713</v>
      </c>
      <c r="W1147" s="2">
        <v>240275.7</v>
      </c>
      <c r="X1147" s="2">
        <v>18.899999999999999</v>
      </c>
      <c r="Y1147" s="2">
        <v>0.16</v>
      </c>
      <c r="Z1147" s="2">
        <v>2630</v>
      </c>
      <c r="AA1147" s="2">
        <v>6926.9</v>
      </c>
      <c r="AB1147">
        <v>1</v>
      </c>
      <c r="AC1147">
        <v>2014</v>
      </c>
      <c r="AE1147" s="2">
        <v>2034.0800000000002</v>
      </c>
    </row>
    <row r="1148" spans="2:31" ht="14.5">
      <c r="B1148" s="2">
        <v>83844</v>
      </c>
      <c r="C1148" s="2" t="s">
        <v>2113</v>
      </c>
      <c r="D1148" s="2" t="s">
        <v>2114</v>
      </c>
      <c r="E1148" s="2" t="s">
        <v>118</v>
      </c>
      <c r="F1148" s="2" t="s">
        <v>29</v>
      </c>
      <c r="G1148" s="2" t="s">
        <v>50</v>
      </c>
      <c r="H1148" s="2" t="s">
        <v>218</v>
      </c>
      <c r="I1148" s="2" t="s">
        <v>219</v>
      </c>
      <c r="J1148" s="2" t="s">
        <v>220</v>
      </c>
      <c r="K1148" s="2" t="s">
        <v>267</v>
      </c>
      <c r="L1148" s="3"/>
      <c r="M1148" s="3">
        <v>41912</v>
      </c>
      <c r="N1148" s="3">
        <v>41899</v>
      </c>
      <c r="O1148" s="3">
        <v>41900</v>
      </c>
      <c r="P1148" s="2" t="s">
        <v>842</v>
      </c>
      <c r="Q1148" s="2" t="s">
        <v>113</v>
      </c>
      <c r="R1148" s="2" t="s">
        <v>37</v>
      </c>
      <c r="S1148" s="2" t="s">
        <v>843</v>
      </c>
      <c r="T1148" s="2" t="s">
        <v>729</v>
      </c>
      <c r="U1148" s="2">
        <v>60</v>
      </c>
      <c r="V1148" s="2">
        <v>11553</v>
      </c>
      <c r="W1148" s="2">
        <v>43092.69</v>
      </c>
      <c r="X1148" s="2">
        <v>3.73</v>
      </c>
      <c r="Y1148" s="2">
        <v>0.06</v>
      </c>
      <c r="Z1148" s="2">
        <v>516</v>
      </c>
      <c r="AA1148" s="2">
        <v>2042.9</v>
      </c>
      <c r="AB1148">
        <v>1</v>
      </c>
      <c r="AC1148">
        <v>2014</v>
      </c>
      <c r="AE1148" s="2">
        <v>693.18</v>
      </c>
    </row>
    <row r="1149" spans="2:31" ht="14.5">
      <c r="B1149" s="2">
        <v>83847</v>
      </c>
      <c r="C1149" s="2" t="s">
        <v>2115</v>
      </c>
      <c r="D1149" s="2" t="s">
        <v>2116</v>
      </c>
      <c r="E1149" s="2" t="s">
        <v>28</v>
      </c>
      <c r="F1149" s="2" t="s">
        <v>29</v>
      </c>
      <c r="G1149" s="2" t="s">
        <v>50</v>
      </c>
      <c r="H1149" s="2" t="s">
        <v>218</v>
      </c>
      <c r="I1149" s="2" t="s">
        <v>219</v>
      </c>
      <c r="J1149" s="2" t="s">
        <v>220</v>
      </c>
      <c r="K1149" s="2" t="s">
        <v>267</v>
      </c>
      <c r="L1149" s="3"/>
      <c r="M1149" s="3">
        <v>41971</v>
      </c>
      <c r="N1149" s="3">
        <v>41963</v>
      </c>
      <c r="O1149" s="3">
        <v>41964</v>
      </c>
      <c r="P1149" s="2" t="s">
        <v>842</v>
      </c>
      <c r="Q1149" s="2" t="s">
        <v>113</v>
      </c>
      <c r="R1149" s="2" t="s">
        <v>37</v>
      </c>
      <c r="S1149" s="2" t="s">
        <v>843</v>
      </c>
      <c r="T1149" s="2" t="s">
        <v>729</v>
      </c>
      <c r="U1149" s="2">
        <v>60</v>
      </c>
      <c r="V1149" s="2">
        <v>18317</v>
      </c>
      <c r="W1149" s="2">
        <v>71253.13</v>
      </c>
      <c r="X1149" s="2">
        <v>3.89</v>
      </c>
      <c r="Y1149" s="2">
        <v>0.06</v>
      </c>
      <c r="Z1149" s="2">
        <v>581</v>
      </c>
      <c r="AA1149" s="2">
        <v>6311.88</v>
      </c>
      <c r="AB1149">
        <v>1</v>
      </c>
      <c r="AC1149">
        <v>2014</v>
      </c>
      <c r="AE1149" s="2">
        <v>1099.02</v>
      </c>
    </row>
    <row r="1150" spans="2:31" ht="14.5">
      <c r="B1150" s="2">
        <v>83848</v>
      </c>
      <c r="C1150" s="2" t="s">
        <v>2117</v>
      </c>
      <c r="D1150" s="2" t="s">
        <v>2118</v>
      </c>
      <c r="E1150" s="2" t="s">
        <v>28</v>
      </c>
      <c r="F1150" s="2" t="s">
        <v>29</v>
      </c>
      <c r="G1150" s="2" t="s">
        <v>50</v>
      </c>
      <c r="H1150" s="2" t="s">
        <v>218</v>
      </c>
      <c r="I1150" s="2" t="s">
        <v>219</v>
      </c>
      <c r="J1150" s="2" t="s">
        <v>220</v>
      </c>
      <c r="K1150" s="2" t="s">
        <v>34</v>
      </c>
      <c r="L1150" s="3"/>
      <c r="M1150" s="3">
        <v>42034</v>
      </c>
      <c r="N1150" s="3">
        <v>41990</v>
      </c>
      <c r="O1150" s="3">
        <v>41991</v>
      </c>
      <c r="P1150" s="2" t="s">
        <v>842</v>
      </c>
      <c r="Q1150" s="2" t="s">
        <v>113</v>
      </c>
      <c r="R1150" s="2" t="s">
        <v>37</v>
      </c>
      <c r="S1150" s="2" t="s">
        <v>843</v>
      </c>
      <c r="T1150" s="2" t="s">
        <v>729</v>
      </c>
      <c r="U1150" s="2">
        <v>60</v>
      </c>
      <c r="V1150" s="2">
        <v>31153</v>
      </c>
      <c r="W1150" s="2">
        <v>116823.75</v>
      </c>
      <c r="X1150" s="2">
        <v>3.75</v>
      </c>
      <c r="Y1150" s="2">
        <v>0.06</v>
      </c>
      <c r="Z1150" s="2">
        <v>1739</v>
      </c>
      <c r="AA1150" s="2">
        <v>10506.44</v>
      </c>
      <c r="AB1150">
        <v>1</v>
      </c>
      <c r="AC1150">
        <v>2014</v>
      </c>
      <c r="AE1150" s="2">
        <v>1869.1799999999998</v>
      </c>
    </row>
    <row r="1151" spans="2:31" ht="14.5">
      <c r="B1151" s="2">
        <v>83860</v>
      </c>
      <c r="C1151" s="2" t="s">
        <v>1696</v>
      </c>
      <c r="D1151" s="2" t="s">
        <v>1697</v>
      </c>
      <c r="E1151" s="2" t="s">
        <v>42</v>
      </c>
      <c r="F1151" s="2" t="s">
        <v>29</v>
      </c>
      <c r="G1151" s="2" t="s">
        <v>30</v>
      </c>
      <c r="H1151" s="2" t="s">
        <v>218</v>
      </c>
      <c r="I1151" s="2" t="s">
        <v>219</v>
      </c>
      <c r="J1151" s="2" t="s">
        <v>220</v>
      </c>
      <c r="K1151" s="2" t="s">
        <v>267</v>
      </c>
      <c r="L1151" s="3"/>
      <c r="M1151" s="3">
        <v>42051</v>
      </c>
      <c r="N1151" s="3">
        <v>42018</v>
      </c>
      <c r="O1151" s="3">
        <v>42023</v>
      </c>
      <c r="P1151" s="2" t="s">
        <v>35</v>
      </c>
      <c r="Q1151" s="2" t="s">
        <v>36</v>
      </c>
      <c r="R1151" s="2" t="s">
        <v>37</v>
      </c>
      <c r="S1151" s="2" t="s">
        <v>38</v>
      </c>
      <c r="T1151" s="2" t="s">
        <v>39</v>
      </c>
      <c r="U1151" s="2">
        <v>60</v>
      </c>
      <c r="V1151" s="2">
        <v>49941</v>
      </c>
      <c r="W1151" s="2">
        <v>110369.61</v>
      </c>
      <c r="X1151" s="2">
        <v>2.21</v>
      </c>
      <c r="Y1151" s="2">
        <v>0.04</v>
      </c>
      <c r="AB1151">
        <v>1</v>
      </c>
      <c r="AC1151">
        <v>2015</v>
      </c>
      <c r="AE1151" s="2">
        <v>1997.64</v>
      </c>
    </row>
    <row r="1152" spans="2:31" ht="14.5">
      <c r="B1152" s="2">
        <v>83864</v>
      </c>
      <c r="C1152" s="2" t="s">
        <v>2119</v>
      </c>
      <c r="D1152" s="2" t="s">
        <v>2120</v>
      </c>
      <c r="E1152" s="2" t="s">
        <v>118</v>
      </c>
      <c r="F1152" s="2" t="s">
        <v>29</v>
      </c>
      <c r="G1152" s="2" t="s">
        <v>30</v>
      </c>
      <c r="H1152" s="2" t="s">
        <v>218</v>
      </c>
      <c r="I1152" s="2" t="s">
        <v>219</v>
      </c>
      <c r="J1152" s="2" t="s">
        <v>220</v>
      </c>
      <c r="K1152" s="2" t="s">
        <v>267</v>
      </c>
      <c r="L1152" s="3"/>
      <c r="M1152" s="3">
        <v>42170</v>
      </c>
      <c r="N1152" s="3">
        <v>42020</v>
      </c>
      <c r="O1152" s="3">
        <v>42030</v>
      </c>
      <c r="P1152" s="2" t="s">
        <v>754</v>
      </c>
      <c r="Q1152" s="2" t="s">
        <v>755</v>
      </c>
      <c r="R1152" s="2" t="s">
        <v>37</v>
      </c>
      <c r="S1152" s="2" t="s">
        <v>756</v>
      </c>
      <c r="T1152" s="2" t="s">
        <v>47</v>
      </c>
      <c r="U1152" s="2">
        <v>30</v>
      </c>
      <c r="V1152" s="2">
        <v>350000</v>
      </c>
      <c r="W1152" s="2">
        <v>3416000</v>
      </c>
      <c r="X1152" s="2">
        <v>9.76</v>
      </c>
      <c r="Y1152" s="2">
        <v>0.33</v>
      </c>
      <c r="Z1152" s="2">
        <v>41041</v>
      </c>
      <c r="AA1152" s="2">
        <v>40616.15</v>
      </c>
      <c r="AB1152">
        <v>1</v>
      </c>
      <c r="AC1152">
        <v>2015</v>
      </c>
      <c r="AE1152" s="2">
        <v>115500</v>
      </c>
    </row>
    <row r="1153" spans="2:31" ht="14.5">
      <c r="B1153" s="2">
        <v>83867</v>
      </c>
      <c r="C1153" s="2" t="s">
        <v>2121</v>
      </c>
      <c r="D1153" s="2" t="s">
        <v>2122</v>
      </c>
      <c r="E1153" s="2" t="s">
        <v>118</v>
      </c>
      <c r="F1153" s="2" t="s">
        <v>29</v>
      </c>
      <c r="G1153" s="2" t="s">
        <v>30</v>
      </c>
      <c r="H1153" s="2" t="s">
        <v>218</v>
      </c>
      <c r="I1153" s="2" t="s">
        <v>219</v>
      </c>
      <c r="J1153" s="2" t="s">
        <v>220</v>
      </c>
      <c r="K1153" s="2" t="s">
        <v>267</v>
      </c>
      <c r="L1153" s="3"/>
      <c r="M1153" s="3">
        <v>42051</v>
      </c>
      <c r="N1153" s="3">
        <v>42028</v>
      </c>
      <c r="O1153" s="3">
        <v>42038</v>
      </c>
      <c r="P1153" s="2" t="s">
        <v>95</v>
      </c>
      <c r="Q1153" s="2" t="s">
        <v>96</v>
      </c>
      <c r="R1153" s="2" t="s">
        <v>37</v>
      </c>
      <c r="S1153" s="2" t="s">
        <v>97</v>
      </c>
      <c r="T1153" s="2" t="s">
        <v>39</v>
      </c>
      <c r="U1153" s="2">
        <v>30</v>
      </c>
      <c r="V1153" s="2">
        <v>37500</v>
      </c>
      <c r="W1153" s="2">
        <v>120375</v>
      </c>
      <c r="X1153" s="2">
        <v>3.21</v>
      </c>
      <c r="Y1153" s="2">
        <v>0.11</v>
      </c>
      <c r="Z1153" s="2">
        <v>3961</v>
      </c>
      <c r="AA1153" s="2">
        <v>3562.44</v>
      </c>
      <c r="AB1153">
        <v>1</v>
      </c>
      <c r="AC1153">
        <v>2015</v>
      </c>
      <c r="AE1153" s="2">
        <v>4125</v>
      </c>
    </row>
    <row r="1154" spans="2:31" ht="14.5">
      <c r="B1154" s="2">
        <v>83868</v>
      </c>
      <c r="C1154" s="2" t="s">
        <v>2123</v>
      </c>
      <c r="D1154" s="2" t="s">
        <v>2124</v>
      </c>
      <c r="E1154" s="2" t="s">
        <v>118</v>
      </c>
      <c r="F1154" s="2" t="s">
        <v>29</v>
      </c>
      <c r="G1154" s="2" t="s">
        <v>30</v>
      </c>
      <c r="H1154" s="2" t="s">
        <v>218</v>
      </c>
      <c r="I1154" s="2" t="s">
        <v>219</v>
      </c>
      <c r="J1154" s="2" t="s">
        <v>220</v>
      </c>
      <c r="K1154" s="2" t="s">
        <v>267</v>
      </c>
      <c r="L1154" s="3"/>
      <c r="M1154" s="3">
        <v>42037</v>
      </c>
      <c r="N1154" s="3">
        <v>42028</v>
      </c>
      <c r="O1154" s="3">
        <v>42031</v>
      </c>
      <c r="P1154" s="2" t="s">
        <v>706</v>
      </c>
      <c r="Q1154" s="2" t="s">
        <v>707</v>
      </c>
      <c r="R1154" s="2" t="s">
        <v>37</v>
      </c>
      <c r="S1154" s="2" t="s">
        <v>708</v>
      </c>
      <c r="T1154" s="2" t="s">
        <v>47</v>
      </c>
      <c r="U1154" s="2">
        <v>30</v>
      </c>
      <c r="V1154" s="2">
        <v>14420</v>
      </c>
      <c r="W1154" s="2">
        <v>66764.600000000006</v>
      </c>
      <c r="X1154" s="2">
        <v>4.63</v>
      </c>
      <c r="Y1154" s="2">
        <v>0.15</v>
      </c>
      <c r="Z1154" s="2">
        <v>1467</v>
      </c>
      <c r="AA1154" s="2">
        <v>1319.21</v>
      </c>
      <c r="AB1154">
        <v>1</v>
      </c>
      <c r="AC1154">
        <v>2015</v>
      </c>
      <c r="AE1154" s="2">
        <v>2163</v>
      </c>
    </row>
    <row r="1155" spans="2:31" ht="14.5">
      <c r="B1155" s="2">
        <v>83876</v>
      </c>
      <c r="C1155" s="2" t="s">
        <v>2125</v>
      </c>
      <c r="D1155" s="2" t="s">
        <v>2126</v>
      </c>
      <c r="E1155" s="2" t="s">
        <v>28</v>
      </c>
      <c r="F1155" s="2" t="s">
        <v>29</v>
      </c>
      <c r="G1155" s="2" t="s">
        <v>50</v>
      </c>
      <c r="H1155" s="2" t="s">
        <v>218</v>
      </c>
      <c r="I1155" s="2" t="s">
        <v>219</v>
      </c>
      <c r="J1155" s="2" t="s">
        <v>220</v>
      </c>
      <c r="K1155" s="2" t="s">
        <v>267</v>
      </c>
      <c r="L1155" s="3"/>
      <c r="M1155" s="3">
        <v>42060</v>
      </c>
      <c r="N1155" s="3">
        <v>42031</v>
      </c>
      <c r="O1155" s="3">
        <v>42038</v>
      </c>
      <c r="P1155" s="2" t="s">
        <v>727</v>
      </c>
      <c r="Q1155" s="2" t="s">
        <v>45</v>
      </c>
      <c r="R1155" s="2" t="s">
        <v>37</v>
      </c>
      <c r="S1155" s="2" t="s">
        <v>728</v>
      </c>
      <c r="T1155" s="2" t="s">
        <v>729</v>
      </c>
      <c r="U1155" s="2">
        <v>60</v>
      </c>
      <c r="V1155" s="2">
        <v>20000</v>
      </c>
      <c r="W1155" s="2">
        <v>40000</v>
      </c>
      <c r="X1155" s="2">
        <v>2</v>
      </c>
      <c r="Y1155" s="2">
        <v>0.03</v>
      </c>
      <c r="Z1155" s="2">
        <v>1386</v>
      </c>
      <c r="AA1155" s="2">
        <v>7061.2</v>
      </c>
      <c r="AB1155">
        <v>1</v>
      </c>
      <c r="AC1155">
        <v>2015</v>
      </c>
      <c r="AE1155" s="2">
        <v>600</v>
      </c>
    </row>
    <row r="1156" spans="2:31" ht="14.5">
      <c r="B1156" s="2">
        <v>83878</v>
      </c>
      <c r="C1156" s="2" t="s">
        <v>1704</v>
      </c>
      <c r="D1156" s="2" t="s">
        <v>1705</v>
      </c>
      <c r="E1156" s="2" t="s">
        <v>118</v>
      </c>
      <c r="F1156" s="2" t="s">
        <v>29</v>
      </c>
      <c r="G1156" s="2" t="s">
        <v>50</v>
      </c>
      <c r="H1156" s="2" t="s">
        <v>218</v>
      </c>
      <c r="I1156" s="2" t="s">
        <v>219</v>
      </c>
      <c r="J1156" s="2" t="s">
        <v>220</v>
      </c>
      <c r="K1156" s="2" t="s">
        <v>267</v>
      </c>
      <c r="L1156" s="3"/>
      <c r="M1156" s="3">
        <v>42062</v>
      </c>
      <c r="N1156" s="3">
        <v>42060</v>
      </c>
      <c r="O1156" s="3">
        <v>42068</v>
      </c>
      <c r="P1156" s="2" t="s">
        <v>1664</v>
      </c>
      <c r="Q1156" s="2" t="s">
        <v>1000</v>
      </c>
      <c r="R1156" s="2" t="s">
        <v>37</v>
      </c>
      <c r="S1156" s="2" t="s">
        <v>1665</v>
      </c>
      <c r="T1156" s="2" t="s">
        <v>47</v>
      </c>
      <c r="U1156" s="2">
        <v>60</v>
      </c>
      <c r="V1156" s="2">
        <v>11106</v>
      </c>
      <c r="W1156" s="2">
        <v>45423.54</v>
      </c>
      <c r="X1156" s="2">
        <v>4.09</v>
      </c>
      <c r="Y1156" s="2">
        <v>7.0000000000000007E-2</v>
      </c>
      <c r="AB1156">
        <v>1</v>
      </c>
      <c r="AC1156">
        <v>2015</v>
      </c>
      <c r="AE1156" s="2">
        <v>777.42000000000007</v>
      </c>
    </row>
    <row r="1157" spans="2:31" ht="14.5">
      <c r="B1157" s="2">
        <v>83880</v>
      </c>
      <c r="C1157" s="2" t="s">
        <v>2127</v>
      </c>
      <c r="D1157" s="2" t="s">
        <v>2128</v>
      </c>
      <c r="E1157" s="2" t="s">
        <v>118</v>
      </c>
      <c r="F1157" s="2" t="s">
        <v>29</v>
      </c>
      <c r="G1157" s="2" t="s">
        <v>30</v>
      </c>
      <c r="H1157" s="2" t="s">
        <v>218</v>
      </c>
      <c r="I1157" s="2" t="s">
        <v>219</v>
      </c>
      <c r="J1157" s="2" t="s">
        <v>220</v>
      </c>
      <c r="K1157" s="2" t="s">
        <v>267</v>
      </c>
      <c r="L1157" s="3"/>
      <c r="M1157" s="3">
        <v>42062</v>
      </c>
      <c r="N1157" s="3">
        <v>42059</v>
      </c>
      <c r="O1157" s="3">
        <v>42059</v>
      </c>
      <c r="P1157" s="2" t="s">
        <v>754</v>
      </c>
      <c r="Q1157" s="2" t="s">
        <v>755</v>
      </c>
      <c r="R1157" s="2" t="s">
        <v>37</v>
      </c>
      <c r="S1157" s="2" t="s">
        <v>756</v>
      </c>
      <c r="T1157" s="2" t="s">
        <v>47</v>
      </c>
      <c r="U1157" s="2">
        <v>30</v>
      </c>
      <c r="V1157" s="2">
        <v>2361</v>
      </c>
      <c r="W1157" s="2">
        <v>24200.25</v>
      </c>
      <c r="X1157" s="2">
        <v>10.25</v>
      </c>
      <c r="Y1157" s="2">
        <v>0.34</v>
      </c>
      <c r="Z1157" s="2">
        <v>1255</v>
      </c>
      <c r="AA1157" s="2">
        <v>4438</v>
      </c>
      <c r="AB1157">
        <v>1</v>
      </c>
      <c r="AC1157">
        <v>2015</v>
      </c>
      <c r="AE1157" s="2">
        <v>802.74</v>
      </c>
    </row>
    <row r="1158" spans="2:31" ht="14.5">
      <c r="B1158" s="2">
        <v>83881</v>
      </c>
      <c r="C1158" s="2" t="s">
        <v>2129</v>
      </c>
      <c r="D1158" s="2" t="s">
        <v>2130</v>
      </c>
      <c r="E1158" s="2" t="s">
        <v>118</v>
      </c>
      <c r="F1158" s="2" t="s">
        <v>29</v>
      </c>
      <c r="G1158" s="2" t="s">
        <v>30</v>
      </c>
      <c r="H1158" s="2" t="s">
        <v>218</v>
      </c>
      <c r="I1158" s="2" t="s">
        <v>219</v>
      </c>
      <c r="J1158" s="2" t="s">
        <v>220</v>
      </c>
      <c r="K1158" s="2" t="s">
        <v>267</v>
      </c>
      <c r="L1158" s="3"/>
      <c r="M1158" s="3">
        <v>42052</v>
      </c>
      <c r="N1158" s="3">
        <v>42035</v>
      </c>
      <c r="O1158" s="3">
        <v>42037</v>
      </c>
      <c r="P1158" s="2" t="s">
        <v>35</v>
      </c>
      <c r="Q1158" s="2" t="s">
        <v>36</v>
      </c>
      <c r="R1158" s="2" t="s">
        <v>37</v>
      </c>
      <c r="S1158" s="2" t="s">
        <v>38</v>
      </c>
      <c r="T1158" s="2" t="s">
        <v>39</v>
      </c>
      <c r="U1158" s="2">
        <v>60</v>
      </c>
      <c r="V1158" s="2">
        <v>10059</v>
      </c>
      <c r="W1158" s="2">
        <v>21928.62</v>
      </c>
      <c r="X1158" s="2">
        <v>2.1800000000000002</v>
      </c>
      <c r="Y1158" s="2">
        <v>0.04</v>
      </c>
      <c r="Z1158" s="2">
        <v>632</v>
      </c>
      <c r="AA1158" s="2">
        <v>2643.5</v>
      </c>
      <c r="AB1158">
        <v>1</v>
      </c>
      <c r="AC1158">
        <v>2015</v>
      </c>
      <c r="AE1158" s="2">
        <v>402.36</v>
      </c>
    </row>
    <row r="1159" spans="2:31" ht="14.5">
      <c r="B1159" s="2">
        <v>83891</v>
      </c>
      <c r="C1159" s="2" t="s">
        <v>2131</v>
      </c>
      <c r="D1159" s="2" t="s">
        <v>2132</v>
      </c>
      <c r="E1159" s="2" t="s">
        <v>118</v>
      </c>
      <c r="F1159" s="2" t="s">
        <v>29</v>
      </c>
      <c r="G1159" s="2" t="s">
        <v>50</v>
      </c>
      <c r="H1159" s="2" t="s">
        <v>218</v>
      </c>
      <c r="I1159" s="2" t="s">
        <v>219</v>
      </c>
      <c r="J1159" s="2" t="s">
        <v>220</v>
      </c>
      <c r="K1159" s="2" t="s">
        <v>267</v>
      </c>
      <c r="L1159" s="3"/>
      <c r="M1159" s="3">
        <v>42079</v>
      </c>
      <c r="N1159" s="3">
        <v>42075</v>
      </c>
      <c r="O1159" s="3">
        <v>42080</v>
      </c>
      <c r="P1159" s="2" t="s">
        <v>842</v>
      </c>
      <c r="Q1159" s="2" t="s">
        <v>113</v>
      </c>
      <c r="R1159" s="2" t="s">
        <v>37</v>
      </c>
      <c r="S1159" s="2" t="s">
        <v>843</v>
      </c>
      <c r="T1159" s="2" t="s">
        <v>729</v>
      </c>
      <c r="U1159" s="2">
        <v>60</v>
      </c>
      <c r="V1159" s="2">
        <v>6384</v>
      </c>
      <c r="W1159" s="2">
        <v>22982.400000000001</v>
      </c>
      <c r="X1159" s="2">
        <v>3.6</v>
      </c>
      <c r="Y1159" s="2">
        <v>0.06</v>
      </c>
      <c r="Z1159" s="2">
        <v>382</v>
      </c>
      <c r="AA1159" s="2">
        <v>1587.3</v>
      </c>
      <c r="AB1159">
        <v>1</v>
      </c>
      <c r="AC1159">
        <v>2015</v>
      </c>
      <c r="AE1159" s="2">
        <v>383.03999999999996</v>
      </c>
    </row>
    <row r="1160" spans="2:31" ht="14.5">
      <c r="B1160" s="2">
        <v>83894</v>
      </c>
      <c r="C1160" s="2" t="s">
        <v>1706</v>
      </c>
      <c r="D1160" s="2" t="s">
        <v>1707</v>
      </c>
      <c r="E1160" s="2" t="s">
        <v>1581</v>
      </c>
      <c r="F1160" s="2" t="s">
        <v>29</v>
      </c>
      <c r="G1160" s="2" t="s">
        <v>30</v>
      </c>
      <c r="H1160" s="2" t="s">
        <v>218</v>
      </c>
      <c r="I1160" s="2" t="s">
        <v>219</v>
      </c>
      <c r="J1160" s="2" t="s">
        <v>220</v>
      </c>
      <c r="K1160" s="2" t="s">
        <v>34</v>
      </c>
      <c r="L1160" s="3"/>
      <c r="M1160" s="3">
        <v>42062</v>
      </c>
      <c r="N1160" s="3">
        <v>42063</v>
      </c>
      <c r="O1160" s="3">
        <v>42068</v>
      </c>
      <c r="P1160" s="2" t="s">
        <v>150</v>
      </c>
      <c r="Q1160" s="2" t="s">
        <v>84</v>
      </c>
      <c r="R1160" s="2" t="s">
        <v>151</v>
      </c>
      <c r="S1160" s="2" t="s">
        <v>152</v>
      </c>
      <c r="T1160" s="2" t="s">
        <v>39</v>
      </c>
      <c r="U1160" s="2">
        <v>120</v>
      </c>
      <c r="V1160" s="2">
        <v>320</v>
      </c>
      <c r="W1160" s="2">
        <v>6048</v>
      </c>
      <c r="X1160" s="2">
        <v>18.899999999999999</v>
      </c>
      <c r="Y1160" s="2">
        <v>0.16</v>
      </c>
      <c r="AB1160">
        <v>0</v>
      </c>
      <c r="AC1160">
        <v>2015</v>
      </c>
      <c r="AE1160" s="2">
        <v>51.2</v>
      </c>
    </row>
    <row r="1161" spans="2:31" ht="14.5">
      <c r="B1161" s="2">
        <v>83897</v>
      </c>
      <c r="C1161" s="2" t="s">
        <v>1710</v>
      </c>
      <c r="D1161" s="2" t="s">
        <v>1711</v>
      </c>
      <c r="E1161" s="2" t="s">
        <v>42</v>
      </c>
      <c r="F1161" s="2" t="s">
        <v>29</v>
      </c>
      <c r="G1161" s="2" t="s">
        <v>50</v>
      </c>
      <c r="H1161" s="2" t="s">
        <v>218</v>
      </c>
      <c r="I1161" s="2" t="s">
        <v>219</v>
      </c>
      <c r="J1161" s="2" t="s">
        <v>220</v>
      </c>
      <c r="K1161" s="2" t="s">
        <v>267</v>
      </c>
      <c r="L1161" s="3"/>
      <c r="M1161" s="3">
        <v>42094</v>
      </c>
      <c r="N1161" s="3">
        <v>42087</v>
      </c>
      <c r="O1161" s="3">
        <v>42087</v>
      </c>
      <c r="P1161" s="2" t="s">
        <v>1917</v>
      </c>
      <c r="Q1161" s="2" t="s">
        <v>1000</v>
      </c>
      <c r="R1161" s="2" t="s">
        <v>37</v>
      </c>
      <c r="S1161" s="2" t="s">
        <v>1665</v>
      </c>
      <c r="T1161" s="2" t="s">
        <v>729</v>
      </c>
      <c r="U1161" s="2">
        <v>60</v>
      </c>
      <c r="V1161" s="2">
        <v>24174</v>
      </c>
      <c r="W1161" s="2">
        <v>123045.66</v>
      </c>
      <c r="X1161" s="2">
        <v>5.09</v>
      </c>
      <c r="Y1161" s="2">
        <v>0.08</v>
      </c>
      <c r="AB1161">
        <v>1</v>
      </c>
      <c r="AC1161">
        <v>2015</v>
      </c>
      <c r="AE1161" s="2">
        <v>1933.92</v>
      </c>
    </row>
    <row r="1162" spans="2:31" ht="14.5">
      <c r="B1162" s="2">
        <v>83899</v>
      </c>
      <c r="C1162" s="2" t="s">
        <v>2133</v>
      </c>
      <c r="D1162" s="2" t="s">
        <v>2134</v>
      </c>
      <c r="E1162" s="2" t="s">
        <v>42</v>
      </c>
      <c r="F1162" s="2" t="s">
        <v>29</v>
      </c>
      <c r="G1162" s="2" t="s">
        <v>50</v>
      </c>
      <c r="H1162" s="2" t="s">
        <v>218</v>
      </c>
      <c r="I1162" s="2" t="s">
        <v>219</v>
      </c>
      <c r="J1162" s="2" t="s">
        <v>220</v>
      </c>
      <c r="K1162" s="2" t="s">
        <v>34</v>
      </c>
      <c r="L1162" s="3"/>
      <c r="M1162" s="3">
        <v>42124</v>
      </c>
      <c r="N1162" s="3">
        <v>42090</v>
      </c>
      <c r="O1162" s="3">
        <v>42101</v>
      </c>
      <c r="P1162" s="2" t="s">
        <v>727</v>
      </c>
      <c r="Q1162" s="2" t="s">
        <v>45</v>
      </c>
      <c r="R1162" s="2" t="s">
        <v>37</v>
      </c>
      <c r="S1162" s="2" t="s">
        <v>728</v>
      </c>
      <c r="T1162" s="2" t="s">
        <v>729</v>
      </c>
      <c r="U1162" s="2">
        <v>60</v>
      </c>
      <c r="V1162" s="2">
        <v>3813</v>
      </c>
      <c r="W1162" s="2">
        <v>7435.35</v>
      </c>
      <c r="X1162" s="2">
        <v>1.95</v>
      </c>
      <c r="Y1162" s="2">
        <v>0.03</v>
      </c>
      <c r="AB1162">
        <v>1</v>
      </c>
      <c r="AC1162">
        <v>2015</v>
      </c>
      <c r="AE1162" s="2">
        <v>114.39</v>
      </c>
    </row>
    <row r="1163" spans="2:31" ht="14.5">
      <c r="B1163" s="2">
        <v>83903</v>
      </c>
      <c r="C1163" s="2" t="s">
        <v>1927</v>
      </c>
      <c r="D1163" s="2" t="s">
        <v>1928</v>
      </c>
      <c r="E1163" s="2" t="s">
        <v>118</v>
      </c>
      <c r="F1163" s="2" t="s">
        <v>29</v>
      </c>
      <c r="G1163" s="2" t="s">
        <v>50</v>
      </c>
      <c r="H1163" s="2" t="s">
        <v>218</v>
      </c>
      <c r="I1163" s="2" t="s">
        <v>219</v>
      </c>
      <c r="J1163" s="2" t="s">
        <v>220</v>
      </c>
      <c r="K1163" s="2" t="s">
        <v>267</v>
      </c>
      <c r="L1163" s="3"/>
      <c r="M1163" s="3">
        <v>42170</v>
      </c>
      <c r="N1163" s="3">
        <v>42138</v>
      </c>
      <c r="O1163" s="3">
        <v>42139</v>
      </c>
      <c r="P1163" s="2" t="s">
        <v>1664</v>
      </c>
      <c r="Q1163" s="2" t="s">
        <v>1000</v>
      </c>
      <c r="R1163" s="2" t="s">
        <v>37</v>
      </c>
      <c r="S1163" s="2" t="s">
        <v>1665</v>
      </c>
      <c r="T1163" s="2" t="s">
        <v>47</v>
      </c>
      <c r="U1163" s="2">
        <v>60</v>
      </c>
      <c r="V1163" s="2">
        <v>28524</v>
      </c>
      <c r="W1163" s="2">
        <v>112669.8</v>
      </c>
      <c r="X1163" s="2">
        <v>3.95</v>
      </c>
      <c r="Y1163" s="2">
        <v>7.0000000000000007E-2</v>
      </c>
      <c r="AB1163">
        <v>1</v>
      </c>
      <c r="AC1163">
        <v>2015</v>
      </c>
      <c r="AE1163" s="2">
        <v>1996.6800000000003</v>
      </c>
    </row>
    <row r="1164" spans="2:31" ht="14.5">
      <c r="B1164" s="2">
        <v>83904</v>
      </c>
      <c r="C1164" s="2" t="s">
        <v>2135</v>
      </c>
      <c r="D1164" s="2" t="s">
        <v>2136</v>
      </c>
      <c r="E1164" s="2" t="s">
        <v>118</v>
      </c>
      <c r="F1164" s="2" t="s">
        <v>29</v>
      </c>
      <c r="G1164" s="2" t="s">
        <v>50</v>
      </c>
      <c r="H1164" s="2" t="s">
        <v>218</v>
      </c>
      <c r="I1164" s="2" t="s">
        <v>219</v>
      </c>
      <c r="J1164" s="2" t="s">
        <v>220</v>
      </c>
      <c r="K1164" s="2" t="s">
        <v>267</v>
      </c>
      <c r="L1164" s="3"/>
      <c r="M1164" s="3">
        <v>42124</v>
      </c>
      <c r="N1164" s="3">
        <v>42116</v>
      </c>
      <c r="O1164" s="3">
        <v>42118</v>
      </c>
      <c r="P1164" s="2" t="s">
        <v>842</v>
      </c>
      <c r="Q1164" s="2" t="s">
        <v>113</v>
      </c>
      <c r="R1164" s="2" t="s">
        <v>37</v>
      </c>
      <c r="S1164" s="2" t="s">
        <v>843</v>
      </c>
      <c r="T1164" s="2" t="s">
        <v>729</v>
      </c>
      <c r="U1164" s="2">
        <v>60</v>
      </c>
      <c r="V1164" s="2">
        <v>832</v>
      </c>
      <c r="W1164" s="2">
        <v>2995.2</v>
      </c>
      <c r="X1164" s="2">
        <v>3.6</v>
      </c>
      <c r="Y1164" s="2">
        <v>0.06</v>
      </c>
      <c r="AB1164">
        <v>1</v>
      </c>
      <c r="AC1164">
        <v>2015</v>
      </c>
      <c r="AE1164" s="2">
        <v>49.92</v>
      </c>
    </row>
    <row r="1165" spans="2:31" ht="14.5">
      <c r="B1165" s="2">
        <v>83905</v>
      </c>
      <c r="C1165" s="2" t="s">
        <v>1927</v>
      </c>
      <c r="D1165" s="2" t="s">
        <v>1928</v>
      </c>
      <c r="E1165" s="2" t="s">
        <v>118</v>
      </c>
      <c r="F1165" s="2" t="s">
        <v>29</v>
      </c>
      <c r="G1165" s="2" t="s">
        <v>30</v>
      </c>
      <c r="H1165" s="2" t="s">
        <v>218</v>
      </c>
      <c r="I1165" s="2" t="s">
        <v>219</v>
      </c>
      <c r="J1165" s="2" t="s">
        <v>220</v>
      </c>
      <c r="K1165" s="2" t="s">
        <v>267</v>
      </c>
      <c r="L1165" s="3"/>
      <c r="M1165" s="3">
        <v>42170</v>
      </c>
      <c r="N1165" s="3">
        <v>42138</v>
      </c>
      <c r="O1165" s="3">
        <v>42139</v>
      </c>
      <c r="P1165" s="2" t="s">
        <v>706</v>
      </c>
      <c r="Q1165" s="2" t="s">
        <v>707</v>
      </c>
      <c r="R1165" s="2" t="s">
        <v>37</v>
      </c>
      <c r="S1165" s="2" t="s">
        <v>708</v>
      </c>
      <c r="T1165" s="2" t="s">
        <v>47</v>
      </c>
      <c r="U1165" s="2">
        <v>30</v>
      </c>
      <c r="V1165" s="2">
        <v>120742</v>
      </c>
      <c r="W1165" s="2">
        <v>554205.78</v>
      </c>
      <c r="X1165" s="2">
        <v>4.59</v>
      </c>
      <c r="Y1165" s="2">
        <v>0.15</v>
      </c>
      <c r="AB1165">
        <v>1</v>
      </c>
      <c r="AC1165">
        <v>2015</v>
      </c>
      <c r="AE1165" s="2">
        <v>18111.3</v>
      </c>
    </row>
    <row r="1166" spans="2:31" ht="14.5">
      <c r="B1166" s="2">
        <v>83906</v>
      </c>
      <c r="C1166" s="2" t="s">
        <v>2137</v>
      </c>
      <c r="D1166" s="2" t="s">
        <v>2138</v>
      </c>
      <c r="E1166" s="2" t="s">
        <v>1581</v>
      </c>
      <c r="F1166" s="2" t="s">
        <v>29</v>
      </c>
      <c r="G1166" s="2" t="s">
        <v>30</v>
      </c>
      <c r="H1166" s="2" t="s">
        <v>218</v>
      </c>
      <c r="I1166" s="2" t="s">
        <v>219</v>
      </c>
      <c r="J1166" s="2" t="s">
        <v>220</v>
      </c>
      <c r="K1166" s="2" t="s">
        <v>34</v>
      </c>
      <c r="L1166" s="3"/>
      <c r="M1166" s="3">
        <v>42185</v>
      </c>
      <c r="N1166" s="3">
        <v>42116</v>
      </c>
      <c r="O1166" s="3">
        <v>42117</v>
      </c>
      <c r="P1166" s="2" t="s">
        <v>754</v>
      </c>
      <c r="Q1166" s="2" t="s">
        <v>755</v>
      </c>
      <c r="R1166" s="2" t="s">
        <v>37</v>
      </c>
      <c r="S1166" s="2" t="s">
        <v>756</v>
      </c>
      <c r="T1166" s="2" t="s">
        <v>47</v>
      </c>
      <c r="U1166" s="2">
        <v>30</v>
      </c>
      <c r="V1166" s="2">
        <v>8190</v>
      </c>
      <c r="W1166" s="2">
        <v>78624</v>
      </c>
      <c r="X1166" s="2">
        <v>9.6</v>
      </c>
      <c r="Y1166" s="2">
        <v>0.32</v>
      </c>
      <c r="Z1166" s="2">
        <v>1208</v>
      </c>
      <c r="AA1166" s="2">
        <v>7564.47</v>
      </c>
      <c r="AB1166">
        <v>1</v>
      </c>
      <c r="AC1166">
        <v>2015</v>
      </c>
      <c r="AE1166" s="2">
        <v>2620.8000000000002</v>
      </c>
    </row>
    <row r="1167" spans="2:31" ht="14.5">
      <c r="B1167" s="2">
        <v>83909</v>
      </c>
      <c r="C1167" s="2" t="s">
        <v>2139</v>
      </c>
      <c r="D1167" s="2" t="s">
        <v>2140</v>
      </c>
      <c r="E1167" s="2" t="s">
        <v>118</v>
      </c>
      <c r="F1167" s="2" t="s">
        <v>29</v>
      </c>
      <c r="G1167" s="2" t="s">
        <v>30</v>
      </c>
      <c r="H1167" s="2" t="s">
        <v>218</v>
      </c>
      <c r="I1167" s="2" t="s">
        <v>219</v>
      </c>
      <c r="J1167" s="2" t="s">
        <v>220</v>
      </c>
      <c r="K1167" s="2" t="s">
        <v>267</v>
      </c>
      <c r="L1167" s="3"/>
      <c r="M1167" s="3">
        <v>42124</v>
      </c>
      <c r="N1167" s="3">
        <v>42139</v>
      </c>
      <c r="O1167" s="3">
        <v>42141</v>
      </c>
      <c r="P1167" s="2" t="s">
        <v>44</v>
      </c>
      <c r="Q1167" s="2" t="s">
        <v>45</v>
      </c>
      <c r="R1167" s="2" t="s">
        <v>37</v>
      </c>
      <c r="S1167" s="2" t="s">
        <v>46</v>
      </c>
      <c r="T1167" s="2" t="s">
        <v>47</v>
      </c>
      <c r="U1167" s="2">
        <v>60</v>
      </c>
      <c r="V1167" s="2">
        <v>45671</v>
      </c>
      <c r="W1167" s="2">
        <v>297774.92</v>
      </c>
      <c r="X1167" s="2">
        <v>6.52</v>
      </c>
      <c r="Y1167" s="2">
        <v>0.11</v>
      </c>
      <c r="Z1167" s="2">
        <v>4055</v>
      </c>
      <c r="AA1167" s="2">
        <v>4112.5600000000004</v>
      </c>
      <c r="AB1167">
        <v>0</v>
      </c>
      <c r="AC1167">
        <v>2015</v>
      </c>
      <c r="AE1167" s="2">
        <v>5023.8100000000004</v>
      </c>
    </row>
    <row r="1168" spans="2:31" ht="14.5">
      <c r="B1168" s="2">
        <v>83914</v>
      </c>
      <c r="C1168" s="2" t="s">
        <v>2851</v>
      </c>
      <c r="D1168" s="2" t="s">
        <v>2852</v>
      </c>
      <c r="E1168" s="2" t="s">
        <v>2817</v>
      </c>
      <c r="F1168" s="2" t="s">
        <v>29</v>
      </c>
      <c r="G1168" s="2" t="s">
        <v>30</v>
      </c>
      <c r="H1168" s="2" t="s">
        <v>218</v>
      </c>
      <c r="I1168" s="2" t="s">
        <v>219</v>
      </c>
      <c r="J1168" s="2" t="s">
        <v>220</v>
      </c>
      <c r="K1168" s="2" t="s">
        <v>34</v>
      </c>
      <c r="L1168" s="3"/>
      <c r="M1168" s="3">
        <v>42213</v>
      </c>
      <c r="N1168" s="3">
        <v>42174</v>
      </c>
      <c r="O1168" s="3">
        <v>42178</v>
      </c>
      <c r="P1168" s="2" t="s">
        <v>754</v>
      </c>
      <c r="Q1168" s="2" t="s">
        <v>755</v>
      </c>
      <c r="R1168" s="2" t="s">
        <v>37</v>
      </c>
      <c r="S1168" s="2" t="s">
        <v>756</v>
      </c>
      <c r="T1168" s="2" t="s">
        <v>47</v>
      </c>
      <c r="U1168" s="2">
        <v>30</v>
      </c>
      <c r="V1168" s="2">
        <v>56400</v>
      </c>
      <c r="W1168" s="2">
        <v>541440</v>
      </c>
      <c r="X1168" s="2">
        <v>9.6</v>
      </c>
      <c r="Y1168" s="2">
        <v>0.32</v>
      </c>
      <c r="AB1168">
        <v>1</v>
      </c>
      <c r="AC1168">
        <v>2015</v>
      </c>
      <c r="AE1168" s="2">
        <v>18048</v>
      </c>
    </row>
    <row r="1169" spans="2:31" ht="14.5">
      <c r="B1169" s="2">
        <v>83916</v>
      </c>
      <c r="C1169" s="2" t="s">
        <v>2141</v>
      </c>
      <c r="D1169" s="2" t="s">
        <v>2142</v>
      </c>
      <c r="E1169" s="2" t="s">
        <v>1581</v>
      </c>
      <c r="F1169" s="2" t="s">
        <v>29</v>
      </c>
      <c r="G1169" s="2" t="s">
        <v>30</v>
      </c>
      <c r="H1169" s="2" t="s">
        <v>218</v>
      </c>
      <c r="I1169" s="2" t="s">
        <v>219</v>
      </c>
      <c r="J1169" s="2" t="s">
        <v>220</v>
      </c>
      <c r="K1169" s="2" t="s">
        <v>34</v>
      </c>
      <c r="L1169" s="3"/>
      <c r="M1169" s="3">
        <v>42216</v>
      </c>
      <c r="N1169" s="3">
        <v>42195</v>
      </c>
      <c r="O1169" s="3">
        <v>42198</v>
      </c>
      <c r="P1169" s="2" t="s">
        <v>759</v>
      </c>
      <c r="Q1169" s="2" t="s">
        <v>84</v>
      </c>
      <c r="R1169" s="2" t="s">
        <v>37</v>
      </c>
      <c r="S1169" s="2" t="s">
        <v>152</v>
      </c>
      <c r="T1169" s="2" t="s">
        <v>39</v>
      </c>
      <c r="U1169" s="2">
        <v>120</v>
      </c>
      <c r="V1169" s="2">
        <v>240</v>
      </c>
      <c r="W1169" s="2">
        <v>4646.3999999999996</v>
      </c>
      <c r="X1169" s="2">
        <v>19.36</v>
      </c>
      <c r="Y1169" s="2">
        <v>0.16</v>
      </c>
      <c r="Z1169" s="2">
        <v>58</v>
      </c>
      <c r="AA1169" s="2">
        <v>1289.48</v>
      </c>
      <c r="AB1169">
        <v>1</v>
      </c>
      <c r="AC1169">
        <v>2015</v>
      </c>
      <c r="AE1169" s="2">
        <v>38.4</v>
      </c>
    </row>
    <row r="1170" spans="2:31" ht="14.5">
      <c r="B1170" s="2">
        <v>83917</v>
      </c>
      <c r="C1170" s="2" t="s">
        <v>2143</v>
      </c>
      <c r="D1170" s="2" t="s">
        <v>2144</v>
      </c>
      <c r="E1170" s="2" t="s">
        <v>42</v>
      </c>
      <c r="F1170" s="2" t="s">
        <v>29</v>
      </c>
      <c r="G1170" s="2" t="s">
        <v>50</v>
      </c>
      <c r="H1170" s="2" t="s">
        <v>218</v>
      </c>
      <c r="I1170" s="2" t="s">
        <v>219</v>
      </c>
      <c r="J1170" s="2" t="s">
        <v>220</v>
      </c>
      <c r="K1170" s="2" t="s">
        <v>267</v>
      </c>
      <c r="L1170" s="3"/>
      <c r="M1170" s="3">
        <v>42185</v>
      </c>
      <c r="N1170" s="3">
        <v>42184</v>
      </c>
      <c r="O1170" s="3">
        <v>42185</v>
      </c>
      <c r="P1170" s="2" t="s">
        <v>1917</v>
      </c>
      <c r="Q1170" s="2" t="s">
        <v>1000</v>
      </c>
      <c r="R1170" s="2" t="s">
        <v>37</v>
      </c>
      <c r="S1170" s="2" t="s">
        <v>1665</v>
      </c>
      <c r="T1170" s="2" t="s">
        <v>729</v>
      </c>
      <c r="U1170" s="2">
        <v>60</v>
      </c>
      <c r="V1170" s="2">
        <v>11584</v>
      </c>
      <c r="W1170" s="2">
        <v>58962.559999999998</v>
      </c>
      <c r="X1170" s="2">
        <v>5.09</v>
      </c>
      <c r="Y1170" s="2">
        <v>0.08</v>
      </c>
      <c r="Z1170" s="2">
        <v>1043</v>
      </c>
      <c r="AA1170" s="2">
        <v>8819.61</v>
      </c>
      <c r="AB1170">
        <v>1</v>
      </c>
      <c r="AC1170">
        <v>2015</v>
      </c>
      <c r="AE1170" s="2">
        <v>926.72</v>
      </c>
    </row>
    <row r="1171" spans="2:31" ht="14.5">
      <c r="B1171" s="2">
        <v>83932</v>
      </c>
      <c r="C1171" s="2" t="s">
        <v>2145</v>
      </c>
      <c r="D1171" s="2" t="s">
        <v>2146</v>
      </c>
      <c r="E1171" s="2" t="s">
        <v>42</v>
      </c>
      <c r="F1171" s="2" t="s">
        <v>29</v>
      </c>
      <c r="G1171" s="2" t="s">
        <v>50</v>
      </c>
      <c r="H1171" s="2" t="s">
        <v>218</v>
      </c>
      <c r="I1171" s="2" t="s">
        <v>219</v>
      </c>
      <c r="J1171" s="2" t="s">
        <v>220</v>
      </c>
      <c r="K1171" s="2" t="s">
        <v>34</v>
      </c>
      <c r="L1171" s="3"/>
      <c r="M1171" s="3">
        <v>42255</v>
      </c>
      <c r="N1171" s="3">
        <v>42242</v>
      </c>
      <c r="O1171" s="3">
        <v>42248</v>
      </c>
      <c r="P1171" s="2" t="s">
        <v>842</v>
      </c>
      <c r="Q1171" s="2" t="s">
        <v>113</v>
      </c>
      <c r="R1171" s="2" t="s">
        <v>37</v>
      </c>
      <c r="S1171" s="2" t="s">
        <v>843</v>
      </c>
      <c r="T1171" s="2" t="s">
        <v>729</v>
      </c>
      <c r="U1171" s="2">
        <v>60</v>
      </c>
      <c r="V1171" s="2">
        <v>3408</v>
      </c>
      <c r="W1171" s="2">
        <v>12098.4</v>
      </c>
      <c r="X1171" s="2">
        <v>3.55</v>
      </c>
      <c r="Y1171" s="2">
        <v>0.06</v>
      </c>
      <c r="AB1171">
        <v>1</v>
      </c>
      <c r="AC1171">
        <v>2015</v>
      </c>
      <c r="AE1171" s="2">
        <v>204.48</v>
      </c>
    </row>
    <row r="1172" spans="2:31" ht="14.5">
      <c r="B1172" s="2">
        <v>83960</v>
      </c>
      <c r="C1172" s="2" t="s">
        <v>2147</v>
      </c>
      <c r="D1172" s="2" t="s">
        <v>2148</v>
      </c>
      <c r="E1172" s="2" t="s">
        <v>118</v>
      </c>
      <c r="F1172" s="2" t="s">
        <v>29</v>
      </c>
      <c r="G1172" s="2" t="s">
        <v>30</v>
      </c>
      <c r="H1172" s="2" t="s">
        <v>218</v>
      </c>
      <c r="I1172" s="2" t="s">
        <v>219</v>
      </c>
      <c r="J1172" s="2" t="s">
        <v>220</v>
      </c>
      <c r="K1172" s="2" t="s">
        <v>34</v>
      </c>
      <c r="L1172" s="3"/>
      <c r="M1172" s="3">
        <v>40138</v>
      </c>
      <c r="N1172" s="3">
        <v>40129</v>
      </c>
      <c r="O1172" s="3">
        <v>40129</v>
      </c>
      <c r="P1172" s="2" t="s">
        <v>95</v>
      </c>
      <c r="Q1172" s="2" t="s">
        <v>96</v>
      </c>
      <c r="R1172" s="2" t="s">
        <v>37</v>
      </c>
      <c r="S1172" s="2" t="s">
        <v>97</v>
      </c>
      <c r="T1172" s="2" t="s">
        <v>39</v>
      </c>
      <c r="U1172" s="2">
        <v>30</v>
      </c>
      <c r="V1172" s="2">
        <v>200</v>
      </c>
      <c r="W1172" s="2">
        <v>1156</v>
      </c>
      <c r="X1172" s="2">
        <v>5.78</v>
      </c>
      <c r="Y1172" s="2">
        <v>0.19</v>
      </c>
      <c r="Z1172" s="2">
        <v>22</v>
      </c>
      <c r="AA1172" s="2">
        <v>709.02</v>
      </c>
      <c r="AB1172">
        <v>1</v>
      </c>
      <c r="AC1172">
        <v>2009</v>
      </c>
      <c r="AE1172" s="2">
        <v>38</v>
      </c>
    </row>
    <row r="1173" spans="2:31" ht="14.5">
      <c r="B1173" s="2">
        <v>83967</v>
      </c>
      <c r="C1173" s="2" t="s">
        <v>1726</v>
      </c>
      <c r="D1173" s="2" t="s">
        <v>1727</v>
      </c>
      <c r="E1173" s="2" t="s">
        <v>118</v>
      </c>
      <c r="F1173" s="2" t="s">
        <v>29</v>
      </c>
      <c r="G1173" s="2" t="s">
        <v>30</v>
      </c>
      <c r="H1173" s="2" t="s">
        <v>218</v>
      </c>
      <c r="I1173" s="2" t="s">
        <v>219</v>
      </c>
      <c r="J1173" s="2" t="s">
        <v>220</v>
      </c>
      <c r="K1173" s="2" t="s">
        <v>34</v>
      </c>
      <c r="L1173" s="3"/>
      <c r="M1173" s="3">
        <v>40154</v>
      </c>
      <c r="N1173" s="3">
        <v>40147</v>
      </c>
      <c r="O1173" s="3">
        <v>40147</v>
      </c>
      <c r="P1173" s="2" t="s">
        <v>44</v>
      </c>
      <c r="Q1173" s="2" t="s">
        <v>45</v>
      </c>
      <c r="R1173" s="2" t="s">
        <v>37</v>
      </c>
      <c r="S1173" s="2" t="s">
        <v>46</v>
      </c>
      <c r="T1173" s="2" t="s">
        <v>47</v>
      </c>
      <c r="U1173" s="2">
        <v>60</v>
      </c>
      <c r="V1173" s="2">
        <v>3350</v>
      </c>
      <c r="W1173" s="2">
        <v>29346</v>
      </c>
      <c r="X1173" s="2">
        <v>8.76</v>
      </c>
      <c r="Y1173" s="2">
        <v>0.15</v>
      </c>
      <c r="AB1173">
        <v>1</v>
      </c>
      <c r="AC1173">
        <v>2009</v>
      </c>
      <c r="AE1173" s="2">
        <v>502.5</v>
      </c>
    </row>
    <row r="1174" spans="2:31" ht="14.5">
      <c r="B1174" s="2">
        <v>83970</v>
      </c>
      <c r="C1174" s="2" t="s">
        <v>2149</v>
      </c>
      <c r="D1174" s="2" t="s">
        <v>2150</v>
      </c>
      <c r="E1174" s="2" t="s">
        <v>118</v>
      </c>
      <c r="F1174" s="2" t="s">
        <v>29</v>
      </c>
      <c r="G1174" s="2" t="s">
        <v>30</v>
      </c>
      <c r="H1174" s="2" t="s">
        <v>218</v>
      </c>
      <c r="I1174" s="2" t="s">
        <v>219</v>
      </c>
      <c r="J1174" s="2" t="s">
        <v>220</v>
      </c>
      <c r="K1174" s="2" t="s">
        <v>34</v>
      </c>
      <c r="L1174" s="3"/>
      <c r="M1174" s="3">
        <v>40212</v>
      </c>
      <c r="N1174" s="3">
        <v>40170</v>
      </c>
      <c r="O1174" s="3">
        <v>40170</v>
      </c>
      <c r="P1174" s="2" t="s">
        <v>61</v>
      </c>
      <c r="Q1174" s="2" t="s">
        <v>62</v>
      </c>
      <c r="R1174" s="2" t="s">
        <v>37</v>
      </c>
      <c r="S1174" s="2" t="s">
        <v>63</v>
      </c>
      <c r="T1174" s="2" t="s">
        <v>64</v>
      </c>
      <c r="U1174" s="2">
        <v>60</v>
      </c>
      <c r="V1174" s="2">
        <v>100</v>
      </c>
      <c r="W1174" s="2">
        <v>146</v>
      </c>
      <c r="X1174" s="2">
        <v>1.46</v>
      </c>
      <c r="Y1174" s="2">
        <v>0.02</v>
      </c>
      <c r="Z1174" s="2">
        <v>7</v>
      </c>
      <c r="AA1174" s="2">
        <v>523.64</v>
      </c>
      <c r="AB1174">
        <v>1</v>
      </c>
      <c r="AC1174">
        <v>2009</v>
      </c>
      <c r="AE1174" s="2">
        <v>2</v>
      </c>
    </row>
    <row r="1175" spans="2:31" ht="14.5">
      <c r="B1175" s="2">
        <v>83973</v>
      </c>
      <c r="C1175" s="2" t="s">
        <v>2151</v>
      </c>
      <c r="D1175" s="2" t="s">
        <v>2152</v>
      </c>
      <c r="E1175" s="2" t="s">
        <v>60</v>
      </c>
      <c r="F1175" s="2" t="s">
        <v>29</v>
      </c>
      <c r="G1175" s="2" t="s">
        <v>30</v>
      </c>
      <c r="H1175" s="2" t="s">
        <v>218</v>
      </c>
      <c r="I1175" s="2" t="s">
        <v>219</v>
      </c>
      <c r="J1175" s="2" t="s">
        <v>220</v>
      </c>
      <c r="K1175" s="2" t="s">
        <v>34</v>
      </c>
      <c r="L1175" s="3"/>
      <c r="M1175" s="3">
        <v>40237</v>
      </c>
      <c r="N1175" s="3">
        <v>40193</v>
      </c>
      <c r="O1175" s="3">
        <v>40193</v>
      </c>
      <c r="P1175" s="2" t="s">
        <v>44</v>
      </c>
      <c r="Q1175" s="2" t="s">
        <v>45</v>
      </c>
      <c r="R1175" s="2" t="s">
        <v>37</v>
      </c>
      <c r="S1175" s="2" t="s">
        <v>46</v>
      </c>
      <c r="T1175" s="2" t="s">
        <v>47</v>
      </c>
      <c r="U1175" s="2">
        <v>60</v>
      </c>
      <c r="V1175" s="2">
        <v>16019</v>
      </c>
      <c r="W1175" s="2">
        <v>140326.44</v>
      </c>
      <c r="X1175" s="2">
        <v>8.76</v>
      </c>
      <c r="Y1175" s="2">
        <v>0.15</v>
      </c>
      <c r="Z1175" s="2">
        <v>1454</v>
      </c>
      <c r="AA1175" s="2">
        <v>5187.5</v>
      </c>
      <c r="AB1175">
        <v>1</v>
      </c>
      <c r="AC1175">
        <v>2010</v>
      </c>
      <c r="AE1175" s="2">
        <v>2402.85</v>
      </c>
    </row>
    <row r="1176" spans="2:31" ht="14.5">
      <c r="B1176" s="2">
        <v>83975</v>
      </c>
      <c r="C1176" s="2" t="s">
        <v>2153</v>
      </c>
      <c r="D1176" s="2" t="s">
        <v>2154</v>
      </c>
      <c r="E1176" s="2" t="s">
        <v>118</v>
      </c>
      <c r="F1176" s="2" t="s">
        <v>29</v>
      </c>
      <c r="G1176" s="2" t="s">
        <v>30</v>
      </c>
      <c r="H1176" s="2" t="s">
        <v>218</v>
      </c>
      <c r="I1176" s="2" t="s">
        <v>219</v>
      </c>
      <c r="J1176" s="2" t="s">
        <v>220</v>
      </c>
      <c r="K1176" s="2" t="s">
        <v>267</v>
      </c>
      <c r="L1176" s="3"/>
      <c r="M1176" s="3">
        <v>40220</v>
      </c>
      <c r="N1176" s="3">
        <v>40207</v>
      </c>
      <c r="O1176" s="3">
        <v>40207</v>
      </c>
      <c r="P1176" s="2" t="s">
        <v>44</v>
      </c>
      <c r="Q1176" s="2" t="s">
        <v>45</v>
      </c>
      <c r="R1176" s="2" t="s">
        <v>37</v>
      </c>
      <c r="S1176" s="2" t="s">
        <v>46</v>
      </c>
      <c r="T1176" s="2" t="s">
        <v>47</v>
      </c>
      <c r="U1176" s="2">
        <v>60</v>
      </c>
      <c r="V1176" s="2">
        <v>380</v>
      </c>
      <c r="W1176" s="2">
        <v>3328.8</v>
      </c>
      <c r="X1176" s="2">
        <v>8.76</v>
      </c>
      <c r="Y1176" s="2">
        <v>0.15</v>
      </c>
      <c r="Z1176" s="2">
        <v>67</v>
      </c>
      <c r="AA1176" s="2">
        <v>1549.83</v>
      </c>
      <c r="AB1176">
        <v>1</v>
      </c>
      <c r="AC1176">
        <v>2010</v>
      </c>
      <c r="AE1176" s="2">
        <v>57</v>
      </c>
    </row>
    <row r="1177" spans="2:31" ht="14.5">
      <c r="B1177" s="2">
        <v>83985</v>
      </c>
      <c r="C1177" s="2" t="s">
        <v>2155</v>
      </c>
      <c r="D1177" s="2" t="s">
        <v>2156</v>
      </c>
      <c r="E1177" s="2" t="s">
        <v>118</v>
      </c>
      <c r="F1177" s="2" t="s">
        <v>29</v>
      </c>
      <c r="G1177" s="2" t="s">
        <v>30</v>
      </c>
      <c r="H1177" s="2" t="s">
        <v>218</v>
      </c>
      <c r="I1177" s="2" t="s">
        <v>219</v>
      </c>
      <c r="J1177" s="2" t="s">
        <v>220</v>
      </c>
      <c r="K1177" s="2" t="s">
        <v>34</v>
      </c>
      <c r="L1177" s="3"/>
      <c r="M1177" s="3">
        <v>40259</v>
      </c>
      <c r="N1177" s="3">
        <v>40254</v>
      </c>
      <c r="O1177" s="3">
        <v>40254</v>
      </c>
      <c r="P1177" s="2" t="s">
        <v>95</v>
      </c>
      <c r="Q1177" s="2" t="s">
        <v>96</v>
      </c>
      <c r="R1177" s="2" t="s">
        <v>37</v>
      </c>
      <c r="S1177" s="2" t="s">
        <v>97</v>
      </c>
      <c r="T1177" s="2" t="s">
        <v>39</v>
      </c>
      <c r="U1177" s="2">
        <v>30</v>
      </c>
      <c r="V1177" s="2">
        <v>5000</v>
      </c>
      <c r="W1177" s="2">
        <v>25650</v>
      </c>
      <c r="X1177" s="2">
        <v>5.13</v>
      </c>
      <c r="Y1177" s="2">
        <v>0.17</v>
      </c>
      <c r="Z1177" s="2">
        <v>456</v>
      </c>
      <c r="AA1177" s="2">
        <v>5186.68</v>
      </c>
      <c r="AB1177">
        <v>1</v>
      </c>
      <c r="AC1177">
        <v>2010</v>
      </c>
      <c r="AE1177" s="2">
        <v>850.00000000000011</v>
      </c>
    </row>
    <row r="1178" spans="2:31" ht="14.5">
      <c r="B1178" s="2">
        <v>83992</v>
      </c>
      <c r="C1178" s="2" t="s">
        <v>2157</v>
      </c>
      <c r="D1178" s="2" t="s">
        <v>2158</v>
      </c>
      <c r="E1178" s="2" t="s">
        <v>118</v>
      </c>
      <c r="F1178" s="2" t="s">
        <v>29</v>
      </c>
      <c r="G1178" s="2" t="s">
        <v>30</v>
      </c>
      <c r="H1178" s="2" t="s">
        <v>218</v>
      </c>
      <c r="I1178" s="2" t="s">
        <v>219</v>
      </c>
      <c r="J1178" s="2" t="s">
        <v>220</v>
      </c>
      <c r="K1178" s="2" t="s">
        <v>267</v>
      </c>
      <c r="L1178" s="3"/>
      <c r="M1178" s="3">
        <v>40280</v>
      </c>
      <c r="N1178" s="3">
        <v>40262</v>
      </c>
      <c r="O1178" s="3">
        <v>40262</v>
      </c>
      <c r="P1178" s="2" t="s">
        <v>44</v>
      </c>
      <c r="Q1178" s="2" t="s">
        <v>45</v>
      </c>
      <c r="R1178" s="2" t="s">
        <v>37</v>
      </c>
      <c r="S1178" s="2" t="s">
        <v>46</v>
      </c>
      <c r="T1178" s="2" t="s">
        <v>47</v>
      </c>
      <c r="U1178" s="2">
        <v>60</v>
      </c>
      <c r="V1178" s="2">
        <v>4200</v>
      </c>
      <c r="W1178" s="2">
        <v>36792</v>
      </c>
      <c r="X1178" s="2">
        <v>8.76</v>
      </c>
      <c r="Y1178" s="2">
        <v>0.15</v>
      </c>
      <c r="Z1178" s="2">
        <v>275</v>
      </c>
      <c r="AA1178" s="2">
        <v>11991.12</v>
      </c>
      <c r="AB1178">
        <v>1</v>
      </c>
      <c r="AC1178">
        <v>2010</v>
      </c>
      <c r="AE1178" s="2">
        <v>630</v>
      </c>
    </row>
    <row r="1179" spans="2:31" ht="14.5">
      <c r="B1179" s="2">
        <v>83993</v>
      </c>
      <c r="C1179" s="2" t="s">
        <v>2159</v>
      </c>
      <c r="D1179" s="2" t="s">
        <v>2160</v>
      </c>
      <c r="E1179" s="2" t="s">
        <v>118</v>
      </c>
      <c r="F1179" s="2" t="s">
        <v>29</v>
      </c>
      <c r="G1179" s="2" t="s">
        <v>30</v>
      </c>
      <c r="H1179" s="2" t="s">
        <v>218</v>
      </c>
      <c r="I1179" s="2" t="s">
        <v>219</v>
      </c>
      <c r="J1179" s="2" t="s">
        <v>220</v>
      </c>
      <c r="K1179" s="2" t="s">
        <v>34</v>
      </c>
      <c r="L1179" s="3"/>
      <c r="M1179" s="3">
        <v>40333</v>
      </c>
      <c r="N1179" s="3">
        <v>40280</v>
      </c>
      <c r="O1179" s="3">
        <v>40280</v>
      </c>
      <c r="P1179" s="2" t="s">
        <v>333</v>
      </c>
      <c r="Q1179" s="2" t="s">
        <v>225</v>
      </c>
      <c r="R1179" s="2" t="s">
        <v>37</v>
      </c>
      <c r="S1179" s="2" t="s">
        <v>100</v>
      </c>
      <c r="T1179" s="2" t="s">
        <v>39</v>
      </c>
      <c r="U1179" s="2">
        <v>60</v>
      </c>
      <c r="V1179" s="2">
        <v>90</v>
      </c>
      <c r="W1179" s="2">
        <v>675</v>
      </c>
      <c r="X1179" s="2">
        <v>7.5</v>
      </c>
      <c r="Y1179" s="2">
        <v>0.12</v>
      </c>
      <c r="Z1179" s="2">
        <v>4</v>
      </c>
      <c r="AA1179" s="2">
        <v>521.52</v>
      </c>
      <c r="AB1179">
        <v>1</v>
      </c>
      <c r="AC1179">
        <v>2010</v>
      </c>
      <c r="AE1179" s="2">
        <v>10.799999999999999</v>
      </c>
    </row>
    <row r="1180" spans="2:31" ht="14.5">
      <c r="B1180" s="2">
        <v>83995</v>
      </c>
      <c r="C1180" s="2" t="s">
        <v>2161</v>
      </c>
      <c r="D1180" s="2" t="s">
        <v>2162</v>
      </c>
      <c r="E1180" s="2" t="s">
        <v>42</v>
      </c>
      <c r="F1180" s="2" t="s">
        <v>29</v>
      </c>
      <c r="G1180" s="2" t="s">
        <v>30</v>
      </c>
      <c r="H1180" s="2" t="s">
        <v>218</v>
      </c>
      <c r="I1180" s="2" t="s">
        <v>219</v>
      </c>
      <c r="J1180" s="2" t="s">
        <v>220</v>
      </c>
      <c r="K1180" s="2" t="s">
        <v>34</v>
      </c>
      <c r="L1180" s="3"/>
      <c r="M1180" s="3">
        <v>40344</v>
      </c>
      <c r="N1180" s="3">
        <v>40287</v>
      </c>
      <c r="O1180" s="3">
        <v>40287</v>
      </c>
      <c r="P1180" s="2" t="s">
        <v>112</v>
      </c>
      <c r="Q1180" s="2" t="s">
        <v>113</v>
      </c>
      <c r="R1180" s="2" t="s">
        <v>37</v>
      </c>
      <c r="S1180" s="2" t="s">
        <v>114</v>
      </c>
      <c r="T1180" s="2" t="s">
        <v>47</v>
      </c>
      <c r="U1180" s="2">
        <v>60</v>
      </c>
      <c r="V1180" s="2">
        <v>25000</v>
      </c>
      <c r="W1180" s="2">
        <v>280500</v>
      </c>
      <c r="X1180" s="2">
        <v>11.22</v>
      </c>
      <c r="Y1180" s="2">
        <v>0.19</v>
      </c>
      <c r="Z1180" s="2">
        <v>2930</v>
      </c>
      <c r="AA1180" s="2">
        <v>42573.95</v>
      </c>
      <c r="AB1180">
        <v>1</v>
      </c>
      <c r="AC1180">
        <v>2010</v>
      </c>
      <c r="AE1180" s="2">
        <v>4750</v>
      </c>
    </row>
    <row r="1181" spans="2:31" ht="14.5">
      <c r="B1181" s="2">
        <v>84004</v>
      </c>
      <c r="C1181" s="2" t="s">
        <v>2163</v>
      </c>
      <c r="D1181" s="2" t="s">
        <v>2164</v>
      </c>
      <c r="E1181" s="2" t="s">
        <v>118</v>
      </c>
      <c r="F1181" s="2" t="s">
        <v>29</v>
      </c>
      <c r="G1181" s="2" t="s">
        <v>30</v>
      </c>
      <c r="H1181" s="2" t="s">
        <v>218</v>
      </c>
      <c r="I1181" s="2" t="s">
        <v>219</v>
      </c>
      <c r="J1181" s="2" t="s">
        <v>220</v>
      </c>
      <c r="K1181" s="2" t="s">
        <v>34</v>
      </c>
      <c r="L1181" s="3"/>
      <c r="M1181" s="3">
        <v>40329</v>
      </c>
      <c r="N1181" s="3">
        <v>40317</v>
      </c>
      <c r="O1181" s="3">
        <v>40317</v>
      </c>
      <c r="P1181" s="2" t="s">
        <v>139</v>
      </c>
      <c r="Q1181" s="2" t="s">
        <v>140</v>
      </c>
      <c r="R1181" s="2" t="s">
        <v>37</v>
      </c>
      <c r="S1181" s="2" t="s">
        <v>141</v>
      </c>
      <c r="T1181" s="2" t="s">
        <v>47</v>
      </c>
      <c r="U1181" s="2">
        <v>60</v>
      </c>
      <c r="V1181" s="2">
        <v>7800</v>
      </c>
      <c r="W1181" s="2">
        <v>47658</v>
      </c>
      <c r="X1181" s="2">
        <v>6.11</v>
      </c>
      <c r="Y1181" s="2">
        <v>0.1</v>
      </c>
      <c r="Z1181" s="2">
        <v>580</v>
      </c>
      <c r="AA1181" s="2">
        <v>6637.05</v>
      </c>
      <c r="AB1181">
        <v>1</v>
      </c>
      <c r="AC1181">
        <v>2010</v>
      </c>
      <c r="AE1181" s="2">
        <v>780</v>
      </c>
    </row>
    <row r="1182" spans="2:31" ht="14.5">
      <c r="B1182" s="2">
        <v>84006</v>
      </c>
      <c r="C1182" s="2" t="s">
        <v>2165</v>
      </c>
      <c r="D1182" s="2" t="s">
        <v>2166</v>
      </c>
      <c r="E1182" s="2" t="s">
        <v>118</v>
      </c>
      <c r="F1182" s="2" t="s">
        <v>29</v>
      </c>
      <c r="G1182" s="2" t="s">
        <v>30</v>
      </c>
      <c r="H1182" s="2" t="s">
        <v>218</v>
      </c>
      <c r="I1182" s="2" t="s">
        <v>219</v>
      </c>
      <c r="J1182" s="2" t="s">
        <v>220</v>
      </c>
      <c r="K1182" s="2" t="s">
        <v>34</v>
      </c>
      <c r="L1182" s="3"/>
      <c r="M1182" s="3">
        <v>40338</v>
      </c>
      <c r="N1182" s="3">
        <v>40323</v>
      </c>
      <c r="O1182" s="3">
        <v>40323</v>
      </c>
      <c r="P1182" s="2" t="s">
        <v>112</v>
      </c>
      <c r="Q1182" s="2" t="s">
        <v>113</v>
      </c>
      <c r="R1182" s="2" t="s">
        <v>37</v>
      </c>
      <c r="S1182" s="2" t="s">
        <v>114</v>
      </c>
      <c r="T1182" s="2" t="s">
        <v>47</v>
      </c>
      <c r="U1182" s="2">
        <v>60</v>
      </c>
      <c r="V1182" s="2">
        <v>4782</v>
      </c>
      <c r="W1182" s="2">
        <v>53654.04</v>
      </c>
      <c r="X1182" s="2">
        <v>11.22</v>
      </c>
      <c r="Y1182" s="2">
        <v>0.19</v>
      </c>
      <c r="Z1182" s="2">
        <v>617</v>
      </c>
      <c r="AA1182" s="2">
        <v>8676.9</v>
      </c>
      <c r="AB1182">
        <v>1</v>
      </c>
      <c r="AC1182">
        <v>2010</v>
      </c>
      <c r="AE1182" s="2">
        <v>908.58</v>
      </c>
    </row>
    <row r="1183" spans="2:31" ht="14.5">
      <c r="B1183" s="2">
        <v>84008</v>
      </c>
      <c r="C1183" s="2" t="s">
        <v>2167</v>
      </c>
      <c r="D1183" s="2" t="s">
        <v>2168</v>
      </c>
      <c r="E1183" s="2" t="s">
        <v>118</v>
      </c>
      <c r="F1183" s="2" t="s">
        <v>29</v>
      </c>
      <c r="G1183" s="2" t="s">
        <v>30</v>
      </c>
      <c r="H1183" s="2" t="s">
        <v>218</v>
      </c>
      <c r="I1183" s="2" t="s">
        <v>219</v>
      </c>
      <c r="J1183" s="2" t="s">
        <v>220</v>
      </c>
      <c r="K1183" s="2" t="s">
        <v>34</v>
      </c>
      <c r="L1183" s="3"/>
      <c r="M1183" s="3">
        <v>40338</v>
      </c>
      <c r="N1183" s="3">
        <v>40344</v>
      </c>
      <c r="O1183" s="3">
        <v>40344</v>
      </c>
      <c r="P1183" s="2" t="s">
        <v>1457</v>
      </c>
      <c r="Q1183" s="2" t="s">
        <v>236</v>
      </c>
      <c r="R1183" s="2" t="s">
        <v>37</v>
      </c>
      <c r="S1183" s="2" t="s">
        <v>1458</v>
      </c>
      <c r="T1183" s="2" t="s">
        <v>47</v>
      </c>
      <c r="U1183" s="2">
        <v>30</v>
      </c>
      <c r="V1183" s="2">
        <v>2797</v>
      </c>
      <c r="W1183" s="2">
        <v>32864.75</v>
      </c>
      <c r="X1183" s="2">
        <v>11.75</v>
      </c>
      <c r="Y1183" s="2">
        <v>0.39</v>
      </c>
      <c r="Z1183" s="2">
        <v>210</v>
      </c>
      <c r="AA1183" s="2">
        <v>5841.92</v>
      </c>
      <c r="AB1183">
        <v>0</v>
      </c>
      <c r="AC1183">
        <v>2010</v>
      </c>
      <c r="AE1183" s="2">
        <v>1090.83</v>
      </c>
    </row>
    <row r="1184" spans="2:31" ht="14.5">
      <c r="B1184" s="2">
        <v>84009</v>
      </c>
      <c r="C1184" s="2" t="s">
        <v>2169</v>
      </c>
      <c r="D1184" s="2" t="s">
        <v>2170</v>
      </c>
      <c r="E1184" s="2" t="s">
        <v>60</v>
      </c>
      <c r="F1184" s="2" t="s">
        <v>29</v>
      </c>
      <c r="G1184" s="2" t="s">
        <v>30</v>
      </c>
      <c r="H1184" s="2" t="s">
        <v>218</v>
      </c>
      <c r="I1184" s="2" t="s">
        <v>219</v>
      </c>
      <c r="J1184" s="2" t="s">
        <v>220</v>
      </c>
      <c r="K1184" s="2" t="s">
        <v>34</v>
      </c>
      <c r="L1184" s="3"/>
      <c r="M1184" s="3">
        <v>40359</v>
      </c>
      <c r="N1184" s="3">
        <v>40347</v>
      </c>
      <c r="O1184" s="3">
        <v>40347</v>
      </c>
      <c r="P1184" s="2" t="s">
        <v>164</v>
      </c>
      <c r="Q1184" s="2" t="s">
        <v>165</v>
      </c>
      <c r="R1184" s="2" t="s">
        <v>37</v>
      </c>
      <c r="S1184" s="2" t="s">
        <v>166</v>
      </c>
      <c r="T1184" s="2" t="s">
        <v>39</v>
      </c>
      <c r="U1184" s="2">
        <v>60</v>
      </c>
      <c r="V1184" s="2">
        <v>20000</v>
      </c>
      <c r="W1184" s="2">
        <v>46600</v>
      </c>
      <c r="X1184" s="2">
        <v>2.33</v>
      </c>
      <c r="Y1184" s="2">
        <v>0.04</v>
      </c>
      <c r="Z1184" s="2">
        <v>955</v>
      </c>
      <c r="AA1184" s="2">
        <v>6154.8</v>
      </c>
      <c r="AB1184">
        <v>1</v>
      </c>
      <c r="AC1184">
        <v>2010</v>
      </c>
      <c r="AE1184" s="2">
        <v>800</v>
      </c>
    </row>
    <row r="1185" spans="2:31" ht="14.5">
      <c r="B1185" s="2">
        <v>84010</v>
      </c>
      <c r="C1185" s="2" t="s">
        <v>2171</v>
      </c>
      <c r="D1185" s="2" t="s">
        <v>2172</v>
      </c>
      <c r="E1185" s="2" t="s">
        <v>42</v>
      </c>
      <c r="F1185" s="2" t="s">
        <v>29</v>
      </c>
      <c r="G1185" s="2" t="s">
        <v>30</v>
      </c>
      <c r="H1185" s="2" t="s">
        <v>218</v>
      </c>
      <c r="I1185" s="2" t="s">
        <v>219</v>
      </c>
      <c r="J1185" s="2" t="s">
        <v>220</v>
      </c>
      <c r="K1185" s="2" t="s">
        <v>34</v>
      </c>
      <c r="L1185" s="3"/>
      <c r="M1185" s="3">
        <v>40374</v>
      </c>
      <c r="N1185" s="3">
        <v>40366</v>
      </c>
      <c r="O1185" s="3">
        <v>40366</v>
      </c>
      <c r="P1185" s="2" t="s">
        <v>112</v>
      </c>
      <c r="Q1185" s="2" t="s">
        <v>113</v>
      </c>
      <c r="R1185" s="2" t="s">
        <v>37</v>
      </c>
      <c r="S1185" s="2" t="s">
        <v>114</v>
      </c>
      <c r="T1185" s="2" t="s">
        <v>47</v>
      </c>
      <c r="U1185" s="2">
        <v>60</v>
      </c>
      <c r="V1185" s="2">
        <v>5869</v>
      </c>
      <c r="W1185" s="2">
        <v>65850.179999999993</v>
      </c>
      <c r="X1185" s="2">
        <v>11.22</v>
      </c>
      <c r="Y1185" s="2">
        <v>0.19</v>
      </c>
      <c r="Z1185" s="2">
        <v>758</v>
      </c>
      <c r="AA1185" s="2">
        <v>8929.51</v>
      </c>
      <c r="AB1185">
        <v>1</v>
      </c>
      <c r="AC1185">
        <v>2010</v>
      </c>
      <c r="AE1185" s="2">
        <v>1115.1099999999999</v>
      </c>
    </row>
    <row r="1186" spans="2:31" ht="14.5">
      <c r="B1186" s="2">
        <v>84011</v>
      </c>
      <c r="C1186" s="2" t="s">
        <v>2173</v>
      </c>
      <c r="D1186" s="2" t="s">
        <v>2174</v>
      </c>
      <c r="E1186" s="2" t="s">
        <v>118</v>
      </c>
      <c r="F1186" s="2" t="s">
        <v>29</v>
      </c>
      <c r="G1186" s="2" t="s">
        <v>30</v>
      </c>
      <c r="H1186" s="2" t="s">
        <v>218</v>
      </c>
      <c r="I1186" s="2" t="s">
        <v>219</v>
      </c>
      <c r="J1186" s="2" t="s">
        <v>220</v>
      </c>
      <c r="K1186" s="2" t="s">
        <v>34</v>
      </c>
      <c r="L1186" s="3"/>
      <c r="M1186" s="3">
        <v>40387</v>
      </c>
      <c r="N1186" s="3">
        <v>40381</v>
      </c>
      <c r="O1186" s="3">
        <v>40381</v>
      </c>
      <c r="P1186" s="2" t="s">
        <v>95</v>
      </c>
      <c r="Q1186" s="2" t="s">
        <v>96</v>
      </c>
      <c r="R1186" s="2" t="s">
        <v>37</v>
      </c>
      <c r="S1186" s="2" t="s">
        <v>97</v>
      </c>
      <c r="T1186" s="2" t="s">
        <v>39</v>
      </c>
      <c r="U1186" s="2">
        <v>30</v>
      </c>
      <c r="V1186" s="2">
        <v>950</v>
      </c>
      <c r="W1186" s="2">
        <v>4370</v>
      </c>
      <c r="X1186" s="2">
        <v>4.5999999999999996</v>
      </c>
      <c r="Y1186" s="2">
        <v>0.15</v>
      </c>
      <c r="Z1186" s="2">
        <v>76</v>
      </c>
      <c r="AA1186" s="2">
        <v>1017.15</v>
      </c>
      <c r="AB1186">
        <v>1</v>
      </c>
      <c r="AC1186">
        <v>2010</v>
      </c>
      <c r="AE1186" s="2">
        <v>142.5</v>
      </c>
    </row>
    <row r="1187" spans="2:31" ht="14.5">
      <c r="B1187" s="2">
        <v>84019</v>
      </c>
      <c r="C1187" s="2" t="s">
        <v>2175</v>
      </c>
      <c r="D1187" s="2" t="s">
        <v>2176</v>
      </c>
      <c r="E1187" s="2" t="s">
        <v>28</v>
      </c>
      <c r="F1187" s="2" t="s">
        <v>29</v>
      </c>
      <c r="G1187" s="2" t="s">
        <v>30</v>
      </c>
      <c r="H1187" s="2" t="s">
        <v>218</v>
      </c>
      <c r="I1187" s="2" t="s">
        <v>219</v>
      </c>
      <c r="J1187" s="2" t="s">
        <v>220</v>
      </c>
      <c r="K1187" s="2" t="s">
        <v>34</v>
      </c>
      <c r="L1187" s="3"/>
      <c r="M1187" s="3">
        <v>40378</v>
      </c>
      <c r="N1187" s="3">
        <v>40394</v>
      </c>
      <c r="O1187" s="3">
        <v>40394</v>
      </c>
      <c r="P1187" s="2" t="s">
        <v>98</v>
      </c>
      <c r="Q1187" s="2" t="s">
        <v>99</v>
      </c>
      <c r="R1187" s="2" t="s">
        <v>37</v>
      </c>
      <c r="S1187" s="2" t="s">
        <v>100</v>
      </c>
      <c r="T1187" s="2" t="s">
        <v>39</v>
      </c>
      <c r="U1187" s="2">
        <v>60</v>
      </c>
      <c r="V1187" s="2">
        <v>23358</v>
      </c>
      <c r="W1187" s="2">
        <v>400356.12</v>
      </c>
      <c r="X1187" s="2">
        <v>17.14</v>
      </c>
      <c r="Y1187" s="2">
        <v>0.28999999999999998</v>
      </c>
      <c r="Z1187" s="2">
        <v>2344</v>
      </c>
      <c r="AA1187" s="2">
        <v>9309.52</v>
      </c>
      <c r="AB1187">
        <v>0</v>
      </c>
      <c r="AC1187">
        <v>2010</v>
      </c>
      <c r="AE1187" s="2">
        <v>6773.82</v>
      </c>
    </row>
    <row r="1188" spans="2:31" ht="14.5">
      <c r="B1188" s="2">
        <v>84022</v>
      </c>
      <c r="C1188" s="2" t="s">
        <v>2177</v>
      </c>
      <c r="D1188" s="2" t="s">
        <v>2178</v>
      </c>
      <c r="E1188" s="2" t="s">
        <v>28</v>
      </c>
      <c r="F1188" s="2" t="s">
        <v>29</v>
      </c>
      <c r="G1188" s="2" t="s">
        <v>30</v>
      </c>
      <c r="H1188" s="2" t="s">
        <v>218</v>
      </c>
      <c r="I1188" s="2" t="s">
        <v>219</v>
      </c>
      <c r="J1188" s="2" t="s">
        <v>220</v>
      </c>
      <c r="K1188" s="2" t="s">
        <v>34</v>
      </c>
      <c r="L1188" s="3"/>
      <c r="M1188" s="3">
        <v>40380</v>
      </c>
      <c r="N1188" s="3">
        <v>40380</v>
      </c>
      <c r="O1188" s="3">
        <v>40380</v>
      </c>
      <c r="P1188" s="2" t="s">
        <v>35</v>
      </c>
      <c r="Q1188" s="2" t="s">
        <v>36</v>
      </c>
      <c r="R1188" s="2" t="s">
        <v>37</v>
      </c>
      <c r="S1188" s="2" t="s">
        <v>38</v>
      </c>
      <c r="T1188" s="2" t="s">
        <v>39</v>
      </c>
      <c r="U1188" s="2">
        <v>60</v>
      </c>
      <c r="V1188" s="2">
        <v>38500</v>
      </c>
      <c r="W1188" s="2">
        <v>105105</v>
      </c>
      <c r="X1188" s="2">
        <v>2.73</v>
      </c>
      <c r="Y1188" s="2">
        <v>0.05</v>
      </c>
      <c r="Z1188" s="2">
        <v>2695</v>
      </c>
      <c r="AA1188" s="2">
        <v>13457.25</v>
      </c>
      <c r="AB1188">
        <v>1</v>
      </c>
      <c r="AC1188">
        <v>2010</v>
      </c>
      <c r="AE1188" s="2">
        <v>1925</v>
      </c>
    </row>
    <row r="1189" spans="2:31" ht="14.5">
      <c r="B1189" s="2">
        <v>84026</v>
      </c>
      <c r="C1189" s="2" t="s">
        <v>2179</v>
      </c>
      <c r="D1189" s="2" t="s">
        <v>2180</v>
      </c>
      <c r="E1189" s="2" t="s">
        <v>60</v>
      </c>
      <c r="F1189" s="2" t="s">
        <v>29</v>
      </c>
      <c r="G1189" s="2" t="s">
        <v>30</v>
      </c>
      <c r="H1189" s="2" t="s">
        <v>218</v>
      </c>
      <c r="I1189" s="2" t="s">
        <v>219</v>
      </c>
      <c r="J1189" s="2" t="s">
        <v>220</v>
      </c>
      <c r="K1189" s="2" t="s">
        <v>34</v>
      </c>
      <c r="L1189" s="3"/>
      <c r="M1189" s="3">
        <v>40442</v>
      </c>
      <c r="N1189" s="3">
        <v>40378</v>
      </c>
      <c r="O1189" s="3">
        <v>40378</v>
      </c>
      <c r="P1189" s="2" t="s">
        <v>139</v>
      </c>
      <c r="Q1189" s="2" t="s">
        <v>140</v>
      </c>
      <c r="R1189" s="2" t="s">
        <v>37</v>
      </c>
      <c r="S1189" s="2" t="s">
        <v>141</v>
      </c>
      <c r="T1189" s="2" t="s">
        <v>47</v>
      </c>
      <c r="U1189" s="2">
        <v>60</v>
      </c>
      <c r="V1189" s="2">
        <v>29315</v>
      </c>
      <c r="W1189" s="2">
        <v>167974.95</v>
      </c>
      <c r="X1189" s="2">
        <v>5.73</v>
      </c>
      <c r="Y1189" s="2">
        <v>0.1</v>
      </c>
      <c r="Z1189" s="2">
        <v>3931</v>
      </c>
      <c r="AA1189" s="2">
        <v>13215.67</v>
      </c>
      <c r="AB1189">
        <v>1</v>
      </c>
      <c r="AC1189">
        <v>2010</v>
      </c>
      <c r="AE1189" s="2">
        <v>2931.5</v>
      </c>
    </row>
    <row r="1190" spans="2:31" ht="14.5">
      <c r="B1190" s="2">
        <v>84031</v>
      </c>
      <c r="C1190" s="2" t="s">
        <v>2181</v>
      </c>
      <c r="D1190" s="2" t="s">
        <v>2182</v>
      </c>
      <c r="E1190" s="2" t="s">
        <v>60</v>
      </c>
      <c r="F1190" s="2" t="s">
        <v>29</v>
      </c>
      <c r="G1190" s="2" t="s">
        <v>30</v>
      </c>
      <c r="H1190" s="2" t="s">
        <v>218</v>
      </c>
      <c r="I1190" s="2" t="s">
        <v>219</v>
      </c>
      <c r="J1190" s="2" t="s">
        <v>220</v>
      </c>
      <c r="K1190" s="2" t="s">
        <v>34</v>
      </c>
      <c r="L1190" s="3"/>
      <c r="M1190" s="3">
        <v>40407</v>
      </c>
      <c r="N1190" s="3">
        <v>40399</v>
      </c>
      <c r="O1190" s="3">
        <v>40399</v>
      </c>
      <c r="P1190" s="2" t="s">
        <v>333</v>
      </c>
      <c r="Q1190" s="2" t="s">
        <v>225</v>
      </c>
      <c r="R1190" s="2" t="s">
        <v>37</v>
      </c>
      <c r="S1190" s="2" t="s">
        <v>100</v>
      </c>
      <c r="T1190" s="2" t="s">
        <v>39</v>
      </c>
      <c r="U1190" s="2">
        <v>60</v>
      </c>
      <c r="V1190" s="2">
        <v>5000</v>
      </c>
      <c r="W1190" s="2">
        <v>36050</v>
      </c>
      <c r="X1190" s="2">
        <v>7.21</v>
      </c>
      <c r="Y1190" s="2">
        <v>0.12</v>
      </c>
      <c r="Z1190" s="2">
        <v>196</v>
      </c>
      <c r="AA1190" s="2">
        <v>1229.52</v>
      </c>
      <c r="AB1190">
        <v>1</v>
      </c>
      <c r="AC1190">
        <v>2010</v>
      </c>
      <c r="AE1190" s="2">
        <v>600</v>
      </c>
    </row>
    <row r="1191" spans="2:31" ht="14.5">
      <c r="B1191" s="2">
        <v>84038</v>
      </c>
      <c r="C1191" s="2" t="s">
        <v>2183</v>
      </c>
      <c r="D1191" s="2" t="s">
        <v>2184</v>
      </c>
      <c r="E1191" s="2" t="s">
        <v>28</v>
      </c>
      <c r="F1191" s="2" t="s">
        <v>29</v>
      </c>
      <c r="G1191" s="2" t="s">
        <v>30</v>
      </c>
      <c r="H1191" s="2" t="s">
        <v>218</v>
      </c>
      <c r="I1191" s="2" t="s">
        <v>219</v>
      </c>
      <c r="J1191" s="2" t="s">
        <v>220</v>
      </c>
      <c r="K1191" s="2" t="s">
        <v>34</v>
      </c>
      <c r="L1191" s="3"/>
      <c r="M1191" s="3">
        <v>40451</v>
      </c>
      <c r="N1191" s="3">
        <v>40431</v>
      </c>
      <c r="O1191" s="3">
        <v>40431</v>
      </c>
      <c r="P1191" s="2" t="s">
        <v>95</v>
      </c>
      <c r="Q1191" s="2" t="s">
        <v>96</v>
      </c>
      <c r="R1191" s="2" t="s">
        <v>37</v>
      </c>
      <c r="S1191" s="2" t="s">
        <v>97</v>
      </c>
      <c r="T1191" s="2" t="s">
        <v>39</v>
      </c>
      <c r="U1191" s="2">
        <v>30</v>
      </c>
      <c r="V1191" s="2">
        <v>15331</v>
      </c>
      <c r="W1191" s="2">
        <v>68222.95</v>
      </c>
      <c r="X1191" s="2">
        <v>4.45</v>
      </c>
      <c r="Y1191" s="2">
        <v>0.15</v>
      </c>
      <c r="Z1191" s="2">
        <v>4729</v>
      </c>
      <c r="AA1191" s="2">
        <v>18390.419999999998</v>
      </c>
      <c r="AB1191">
        <v>1</v>
      </c>
      <c r="AC1191">
        <v>2010</v>
      </c>
      <c r="AE1191" s="2">
        <v>2299.65</v>
      </c>
    </row>
    <row r="1192" spans="2:31" ht="14.5">
      <c r="B1192" s="2">
        <v>84047</v>
      </c>
      <c r="C1192" s="2" t="s">
        <v>2185</v>
      </c>
      <c r="D1192" s="2" t="s">
        <v>2186</v>
      </c>
      <c r="E1192" s="2" t="s">
        <v>118</v>
      </c>
      <c r="F1192" s="2" t="s">
        <v>29</v>
      </c>
      <c r="G1192" s="2" t="s">
        <v>30</v>
      </c>
      <c r="H1192" s="2" t="s">
        <v>218</v>
      </c>
      <c r="I1192" s="2" t="s">
        <v>219</v>
      </c>
      <c r="J1192" s="2" t="s">
        <v>220</v>
      </c>
      <c r="K1192" s="2" t="s">
        <v>34</v>
      </c>
      <c r="L1192" s="3"/>
      <c r="M1192" s="3">
        <v>40471</v>
      </c>
      <c r="N1192" s="3">
        <v>40476</v>
      </c>
      <c r="O1192" s="3">
        <v>40476</v>
      </c>
      <c r="P1192" s="2" t="s">
        <v>95</v>
      </c>
      <c r="Q1192" s="2" t="s">
        <v>96</v>
      </c>
      <c r="R1192" s="2" t="s">
        <v>37</v>
      </c>
      <c r="S1192" s="2" t="s">
        <v>97</v>
      </c>
      <c r="T1192" s="2" t="s">
        <v>39</v>
      </c>
      <c r="U1192" s="2">
        <v>30</v>
      </c>
      <c r="V1192" s="2">
        <v>27304</v>
      </c>
      <c r="W1192" s="2">
        <v>118499.36</v>
      </c>
      <c r="X1192" s="2">
        <v>4.34</v>
      </c>
      <c r="Y1192" s="2">
        <v>0.14000000000000001</v>
      </c>
      <c r="Z1192" s="2">
        <v>13087</v>
      </c>
      <c r="AA1192" s="2">
        <v>56372.66</v>
      </c>
      <c r="AB1192">
        <v>0</v>
      </c>
      <c r="AC1192">
        <v>2010</v>
      </c>
      <c r="AE1192" s="2">
        <v>3822.5600000000004</v>
      </c>
    </row>
    <row r="1193" spans="2:31" ht="14.5">
      <c r="B1193" s="2">
        <v>84048</v>
      </c>
      <c r="C1193" s="2" t="s">
        <v>2185</v>
      </c>
      <c r="D1193" s="2" t="s">
        <v>2186</v>
      </c>
      <c r="E1193" s="2" t="s">
        <v>118</v>
      </c>
      <c r="F1193" s="2" t="s">
        <v>29</v>
      </c>
      <c r="G1193" s="2" t="s">
        <v>30</v>
      </c>
      <c r="H1193" s="2" t="s">
        <v>218</v>
      </c>
      <c r="I1193" s="2" t="s">
        <v>219</v>
      </c>
      <c r="J1193" s="2" t="s">
        <v>220</v>
      </c>
      <c r="K1193" s="2" t="s">
        <v>34</v>
      </c>
      <c r="L1193" s="3"/>
      <c r="M1193" s="3">
        <v>40471</v>
      </c>
      <c r="N1193" s="3">
        <v>40476</v>
      </c>
      <c r="O1193" s="3">
        <v>40476</v>
      </c>
      <c r="P1193" s="2" t="s">
        <v>112</v>
      </c>
      <c r="Q1193" s="2" t="s">
        <v>113</v>
      </c>
      <c r="R1193" s="2" t="s">
        <v>37</v>
      </c>
      <c r="S1193" s="2" t="s">
        <v>114</v>
      </c>
      <c r="T1193" s="2" t="s">
        <v>47</v>
      </c>
      <c r="U1193" s="2">
        <v>60</v>
      </c>
      <c r="V1193" s="2">
        <v>31084</v>
      </c>
      <c r="W1193" s="2">
        <v>348762.48</v>
      </c>
      <c r="X1193" s="2">
        <v>11.22</v>
      </c>
      <c r="Y1193" s="2">
        <v>0.19</v>
      </c>
      <c r="AB1193">
        <v>0</v>
      </c>
      <c r="AC1193">
        <v>2010</v>
      </c>
      <c r="AE1193" s="2">
        <v>5905.96</v>
      </c>
    </row>
    <row r="1194" spans="2:31" ht="14.5">
      <c r="B1194" s="2">
        <v>84051</v>
      </c>
      <c r="C1194" s="2" t="s">
        <v>2187</v>
      </c>
      <c r="D1194" s="2" t="s">
        <v>2188</v>
      </c>
      <c r="E1194" s="2" t="s">
        <v>60</v>
      </c>
      <c r="F1194" s="2" t="s">
        <v>29</v>
      </c>
      <c r="G1194" s="2" t="s">
        <v>30</v>
      </c>
      <c r="H1194" s="2" t="s">
        <v>218</v>
      </c>
      <c r="I1194" s="2" t="s">
        <v>219</v>
      </c>
      <c r="J1194" s="2" t="s">
        <v>220</v>
      </c>
      <c r="K1194" s="2" t="s">
        <v>34</v>
      </c>
      <c r="L1194" s="3"/>
      <c r="M1194" s="3">
        <v>40501</v>
      </c>
      <c r="N1194" s="3">
        <v>40499</v>
      </c>
      <c r="O1194" s="3">
        <v>40499</v>
      </c>
      <c r="P1194" s="2" t="s">
        <v>333</v>
      </c>
      <c r="Q1194" s="2" t="s">
        <v>225</v>
      </c>
      <c r="R1194" s="2" t="s">
        <v>37</v>
      </c>
      <c r="S1194" s="2" t="s">
        <v>100</v>
      </c>
      <c r="T1194" s="2" t="s">
        <v>39</v>
      </c>
      <c r="U1194" s="2">
        <v>60</v>
      </c>
      <c r="V1194" s="2">
        <v>1660</v>
      </c>
      <c r="W1194" s="2">
        <v>11968.6</v>
      </c>
      <c r="X1194" s="2">
        <v>7.21</v>
      </c>
      <c r="Y1194" s="2">
        <v>0.12</v>
      </c>
      <c r="Z1194" s="2">
        <v>90</v>
      </c>
      <c r="AA1194" s="2">
        <v>866.71</v>
      </c>
      <c r="AB1194">
        <v>1</v>
      </c>
      <c r="AC1194">
        <v>2010</v>
      </c>
      <c r="AE1194" s="2">
        <v>199.2</v>
      </c>
    </row>
    <row r="1195" spans="2:31" ht="14.5">
      <c r="B1195" s="2">
        <v>84056</v>
      </c>
      <c r="C1195" s="2" t="s">
        <v>2189</v>
      </c>
      <c r="D1195" s="2" t="s">
        <v>2190</v>
      </c>
      <c r="E1195" s="2" t="s">
        <v>118</v>
      </c>
      <c r="F1195" s="2" t="s">
        <v>29</v>
      </c>
      <c r="G1195" s="2" t="s">
        <v>30</v>
      </c>
      <c r="H1195" s="2" t="s">
        <v>218</v>
      </c>
      <c r="I1195" s="2" t="s">
        <v>219</v>
      </c>
      <c r="J1195" s="2" t="s">
        <v>220</v>
      </c>
      <c r="K1195" s="2" t="s">
        <v>267</v>
      </c>
      <c r="L1195" s="3"/>
      <c r="M1195" s="3">
        <v>40581</v>
      </c>
      <c r="N1195" s="3">
        <v>40557</v>
      </c>
      <c r="O1195" s="3">
        <v>40557</v>
      </c>
      <c r="P1195" s="2" t="s">
        <v>112</v>
      </c>
      <c r="Q1195" s="2" t="s">
        <v>113</v>
      </c>
      <c r="R1195" s="2" t="s">
        <v>37</v>
      </c>
      <c r="S1195" s="2" t="s">
        <v>114</v>
      </c>
      <c r="T1195" s="2" t="s">
        <v>47</v>
      </c>
      <c r="U1195" s="2">
        <v>60</v>
      </c>
      <c r="V1195" s="2">
        <v>69202</v>
      </c>
      <c r="W1195" s="2">
        <v>776446.44</v>
      </c>
      <c r="X1195" s="2">
        <v>11.22</v>
      </c>
      <c r="Y1195" s="2">
        <v>0.19</v>
      </c>
      <c r="Z1195" s="2">
        <v>9299</v>
      </c>
      <c r="AA1195" s="2">
        <v>54009.25</v>
      </c>
      <c r="AB1195">
        <v>1</v>
      </c>
      <c r="AC1195">
        <v>2011</v>
      </c>
      <c r="AE1195" s="2">
        <v>13148.380000000001</v>
      </c>
    </row>
    <row r="1196" spans="2:31" ht="14.5">
      <c r="B1196" s="2">
        <v>84060</v>
      </c>
      <c r="C1196" s="2" t="s">
        <v>2191</v>
      </c>
      <c r="D1196" s="2" t="s">
        <v>2192</v>
      </c>
      <c r="E1196" s="2" t="s">
        <v>60</v>
      </c>
      <c r="F1196" s="2" t="s">
        <v>29</v>
      </c>
      <c r="G1196" s="2" t="s">
        <v>30</v>
      </c>
      <c r="H1196" s="2" t="s">
        <v>218</v>
      </c>
      <c r="I1196" s="2" t="s">
        <v>219</v>
      </c>
      <c r="J1196" s="2" t="s">
        <v>220</v>
      </c>
      <c r="K1196" s="2" t="s">
        <v>34</v>
      </c>
      <c r="L1196" s="3"/>
      <c r="M1196" s="3">
        <v>40583</v>
      </c>
      <c r="N1196" s="3">
        <v>40581</v>
      </c>
      <c r="O1196" s="3">
        <v>40581</v>
      </c>
      <c r="P1196" s="2" t="s">
        <v>484</v>
      </c>
      <c r="Q1196" s="2" t="s">
        <v>105</v>
      </c>
      <c r="R1196" s="2" t="s">
        <v>37</v>
      </c>
      <c r="S1196" s="2" t="s">
        <v>100</v>
      </c>
      <c r="T1196" s="2" t="s">
        <v>39</v>
      </c>
      <c r="U1196" s="2">
        <v>30</v>
      </c>
      <c r="V1196" s="2">
        <v>6020</v>
      </c>
      <c r="W1196" s="2">
        <v>39551.4</v>
      </c>
      <c r="X1196" s="2">
        <v>6.57</v>
      </c>
      <c r="Y1196" s="2">
        <v>0.22</v>
      </c>
      <c r="Z1196" s="2">
        <v>542</v>
      </c>
      <c r="AA1196" s="2">
        <v>3935.92</v>
      </c>
      <c r="AB1196">
        <v>1</v>
      </c>
      <c r="AC1196">
        <v>2011</v>
      </c>
      <c r="AE1196" s="2">
        <v>1324.4</v>
      </c>
    </row>
    <row r="1197" spans="2:31" ht="14.5">
      <c r="B1197" s="2">
        <v>84068</v>
      </c>
      <c r="C1197" s="2" t="s">
        <v>2193</v>
      </c>
      <c r="D1197" s="2" t="s">
        <v>2194</v>
      </c>
      <c r="E1197" s="2" t="s">
        <v>28</v>
      </c>
      <c r="F1197" s="2" t="s">
        <v>29</v>
      </c>
      <c r="G1197" s="2" t="s">
        <v>30</v>
      </c>
      <c r="H1197" s="2" t="s">
        <v>218</v>
      </c>
      <c r="I1197" s="2" t="s">
        <v>219</v>
      </c>
      <c r="J1197" s="2" t="s">
        <v>220</v>
      </c>
      <c r="K1197" s="2" t="s">
        <v>34</v>
      </c>
      <c r="L1197" s="3"/>
      <c r="M1197" s="3">
        <v>40640</v>
      </c>
      <c r="N1197" s="3">
        <v>40633</v>
      </c>
      <c r="O1197" s="3">
        <v>40633</v>
      </c>
      <c r="P1197" s="2" t="s">
        <v>95</v>
      </c>
      <c r="Q1197" s="2" t="s">
        <v>96</v>
      </c>
      <c r="R1197" s="2" t="s">
        <v>37</v>
      </c>
      <c r="S1197" s="2" t="s">
        <v>97</v>
      </c>
      <c r="T1197" s="2" t="s">
        <v>39</v>
      </c>
      <c r="U1197" s="2">
        <v>30</v>
      </c>
      <c r="V1197" s="2">
        <v>3493</v>
      </c>
      <c r="W1197" s="2">
        <v>14740.46</v>
      </c>
      <c r="X1197" s="2">
        <v>4.22</v>
      </c>
      <c r="Y1197" s="2">
        <v>0.14000000000000001</v>
      </c>
      <c r="Z1197" s="2">
        <v>2996</v>
      </c>
      <c r="AA1197" s="2">
        <v>9639.1</v>
      </c>
      <c r="AB1197">
        <v>1</v>
      </c>
      <c r="AC1197">
        <v>2011</v>
      </c>
      <c r="AE1197" s="2">
        <v>489.02000000000004</v>
      </c>
    </row>
    <row r="1198" spans="2:31" ht="14.5">
      <c r="B1198" s="2">
        <v>84087</v>
      </c>
      <c r="C1198" s="2" t="s">
        <v>2195</v>
      </c>
      <c r="D1198" s="2" t="s">
        <v>2196</v>
      </c>
      <c r="E1198" s="2" t="s">
        <v>60</v>
      </c>
      <c r="F1198" s="2" t="s">
        <v>29</v>
      </c>
      <c r="G1198" s="2" t="s">
        <v>30</v>
      </c>
      <c r="H1198" s="2" t="s">
        <v>218</v>
      </c>
      <c r="I1198" s="2" t="s">
        <v>219</v>
      </c>
      <c r="J1198" s="2" t="s">
        <v>220</v>
      </c>
      <c r="K1198" s="2" t="s">
        <v>34</v>
      </c>
      <c r="L1198" s="3"/>
      <c r="M1198" s="3">
        <v>40694</v>
      </c>
      <c r="N1198" s="3">
        <v>40693</v>
      </c>
      <c r="O1198" s="3">
        <v>40693</v>
      </c>
      <c r="P1198" s="2" t="s">
        <v>484</v>
      </c>
      <c r="Q1198" s="2" t="s">
        <v>105</v>
      </c>
      <c r="R1198" s="2" t="s">
        <v>37</v>
      </c>
      <c r="S1198" s="2" t="s">
        <v>100</v>
      </c>
      <c r="T1198" s="2" t="s">
        <v>39</v>
      </c>
      <c r="U1198" s="2">
        <v>30</v>
      </c>
      <c r="V1198" s="2">
        <v>10000</v>
      </c>
      <c r="W1198" s="2">
        <v>65700</v>
      </c>
      <c r="X1198" s="2">
        <v>6.57</v>
      </c>
      <c r="Y1198" s="2">
        <v>0.22</v>
      </c>
      <c r="Z1198" s="2">
        <v>716</v>
      </c>
      <c r="AA1198" s="2">
        <v>2976.29</v>
      </c>
      <c r="AB1198">
        <v>1</v>
      </c>
      <c r="AC1198">
        <v>2011</v>
      </c>
      <c r="AE1198" s="2">
        <v>2200</v>
      </c>
    </row>
    <row r="1199" spans="2:31" ht="14.5">
      <c r="B1199" s="2">
        <v>84092</v>
      </c>
      <c r="C1199" s="2" t="s">
        <v>2197</v>
      </c>
      <c r="D1199" s="2" t="s">
        <v>2198</v>
      </c>
      <c r="E1199" s="2" t="s">
        <v>42</v>
      </c>
      <c r="F1199" s="2" t="s">
        <v>29</v>
      </c>
      <c r="G1199" s="2" t="s">
        <v>50</v>
      </c>
      <c r="H1199" s="2" t="s">
        <v>218</v>
      </c>
      <c r="I1199" s="2" t="s">
        <v>219</v>
      </c>
      <c r="J1199" s="2" t="s">
        <v>220</v>
      </c>
      <c r="K1199" s="2" t="s">
        <v>2199</v>
      </c>
      <c r="L1199" s="3"/>
      <c r="M1199" s="3">
        <v>40769</v>
      </c>
      <c r="N1199" s="3">
        <v>40688</v>
      </c>
      <c r="O1199" s="3">
        <v>40688</v>
      </c>
      <c r="P1199" s="2" t="s">
        <v>1288</v>
      </c>
      <c r="Q1199" s="2" t="s">
        <v>165</v>
      </c>
      <c r="R1199" s="2" t="s">
        <v>37</v>
      </c>
      <c r="S1199" s="2" t="s">
        <v>226</v>
      </c>
      <c r="T1199" s="2" t="s">
        <v>87</v>
      </c>
      <c r="U1199" s="2">
        <v>240</v>
      </c>
      <c r="V1199" s="2">
        <v>1800</v>
      </c>
      <c r="W1199" s="2">
        <v>3330</v>
      </c>
      <c r="X1199" s="2">
        <v>1.85</v>
      </c>
      <c r="Y1199" s="2">
        <v>0.01</v>
      </c>
      <c r="Z1199" s="2">
        <v>718</v>
      </c>
      <c r="AA1199" s="2">
        <v>4370.8</v>
      </c>
      <c r="AB1199">
        <v>1</v>
      </c>
      <c r="AC1199">
        <v>2011</v>
      </c>
      <c r="AE1199" s="2">
        <v>18</v>
      </c>
    </row>
    <row r="1200" spans="2:31" ht="14.5">
      <c r="B1200" s="2">
        <v>84121</v>
      </c>
      <c r="C1200" s="2" t="s">
        <v>2200</v>
      </c>
      <c r="D1200" s="2" t="s">
        <v>2201</v>
      </c>
      <c r="E1200" s="2" t="s">
        <v>118</v>
      </c>
      <c r="F1200" s="2" t="s">
        <v>29</v>
      </c>
      <c r="G1200" s="2" t="s">
        <v>30</v>
      </c>
      <c r="H1200" s="2" t="s">
        <v>218</v>
      </c>
      <c r="I1200" s="2" t="s">
        <v>219</v>
      </c>
      <c r="J1200" s="2" t="s">
        <v>220</v>
      </c>
      <c r="K1200" s="2" t="s">
        <v>267</v>
      </c>
      <c r="L1200" s="3"/>
      <c r="M1200" s="3">
        <v>40917</v>
      </c>
      <c r="N1200" s="3">
        <v>40878</v>
      </c>
      <c r="O1200" s="3">
        <v>40878</v>
      </c>
      <c r="P1200" s="2" t="s">
        <v>95</v>
      </c>
      <c r="Q1200" s="2" t="s">
        <v>96</v>
      </c>
      <c r="R1200" s="2" t="s">
        <v>37</v>
      </c>
      <c r="S1200" s="2" t="s">
        <v>97</v>
      </c>
      <c r="T1200" s="2" t="s">
        <v>39</v>
      </c>
      <c r="U1200" s="2">
        <v>30</v>
      </c>
      <c r="V1200" s="2">
        <v>10000</v>
      </c>
      <c r="W1200" s="2">
        <v>41200</v>
      </c>
      <c r="X1200" s="2">
        <v>4.12</v>
      </c>
      <c r="Y1200" s="2">
        <v>0.14000000000000001</v>
      </c>
      <c r="Z1200" s="2">
        <v>1051</v>
      </c>
      <c r="AA1200" s="2">
        <v>39130.379999999997</v>
      </c>
      <c r="AB1200">
        <v>1</v>
      </c>
      <c r="AC1200">
        <v>2011</v>
      </c>
      <c r="AE1200" s="2">
        <v>1400.0000000000002</v>
      </c>
    </row>
    <row r="1201" spans="2:31" ht="14.5">
      <c r="B1201" s="2">
        <v>84122</v>
      </c>
      <c r="C1201" s="2" t="s">
        <v>2202</v>
      </c>
      <c r="D1201" s="2" t="s">
        <v>2203</v>
      </c>
      <c r="E1201" s="2" t="s">
        <v>28</v>
      </c>
      <c r="F1201" s="2" t="s">
        <v>29</v>
      </c>
      <c r="G1201" s="2" t="s">
        <v>30</v>
      </c>
      <c r="H1201" s="2" t="s">
        <v>218</v>
      </c>
      <c r="I1201" s="2" t="s">
        <v>219</v>
      </c>
      <c r="J1201" s="2" t="s">
        <v>220</v>
      </c>
      <c r="K1201" s="2" t="s">
        <v>267</v>
      </c>
      <c r="L1201" s="3"/>
      <c r="M1201" s="3">
        <v>40918</v>
      </c>
      <c r="N1201" s="3">
        <v>40899</v>
      </c>
      <c r="O1201" s="3">
        <v>40899</v>
      </c>
      <c r="P1201" s="2" t="s">
        <v>1457</v>
      </c>
      <c r="Q1201" s="2" t="s">
        <v>236</v>
      </c>
      <c r="R1201" s="2" t="s">
        <v>37</v>
      </c>
      <c r="S1201" s="2" t="s">
        <v>1458</v>
      </c>
      <c r="T1201" s="2" t="s">
        <v>47</v>
      </c>
      <c r="U1201" s="2">
        <v>30</v>
      </c>
      <c r="V1201" s="2">
        <v>23940</v>
      </c>
      <c r="W1201" s="2">
        <v>214741.8</v>
      </c>
      <c r="X1201" s="2">
        <v>8.9700000000000006</v>
      </c>
      <c r="Y1201" s="2">
        <v>0.3</v>
      </c>
      <c r="AB1201">
        <v>1</v>
      </c>
      <c r="AC1201">
        <v>2011</v>
      </c>
      <c r="AE1201" s="2">
        <v>7182</v>
      </c>
    </row>
    <row r="1202" spans="2:31" ht="14.5">
      <c r="B1202" s="2">
        <v>84123</v>
      </c>
      <c r="C1202" s="2" t="s">
        <v>2204</v>
      </c>
      <c r="D1202" s="2" t="s">
        <v>2205</v>
      </c>
      <c r="E1202" s="2" t="s">
        <v>28</v>
      </c>
      <c r="F1202" s="2" t="s">
        <v>29</v>
      </c>
      <c r="G1202" s="2" t="s">
        <v>30</v>
      </c>
      <c r="H1202" s="2" t="s">
        <v>218</v>
      </c>
      <c r="I1202" s="2" t="s">
        <v>219</v>
      </c>
      <c r="J1202" s="2" t="s">
        <v>220</v>
      </c>
      <c r="K1202" s="2" t="s">
        <v>267</v>
      </c>
      <c r="L1202" s="3"/>
      <c r="M1202" s="3">
        <v>40946</v>
      </c>
      <c r="N1202" s="3">
        <v>40896</v>
      </c>
      <c r="O1202" s="3">
        <v>40896</v>
      </c>
      <c r="P1202" s="2" t="s">
        <v>333</v>
      </c>
      <c r="Q1202" s="2" t="s">
        <v>225</v>
      </c>
      <c r="R1202" s="2" t="s">
        <v>37</v>
      </c>
      <c r="S1202" s="2" t="s">
        <v>100</v>
      </c>
      <c r="T1202" s="2" t="s">
        <v>39</v>
      </c>
      <c r="U1202" s="2">
        <v>60</v>
      </c>
      <c r="V1202" s="2">
        <v>6400</v>
      </c>
      <c r="W1202" s="2">
        <v>44928</v>
      </c>
      <c r="X1202" s="2">
        <v>7.02</v>
      </c>
      <c r="Y1202" s="2">
        <v>0.12</v>
      </c>
      <c r="Z1202" s="2">
        <v>355</v>
      </c>
      <c r="AA1202" s="2">
        <v>2682.2</v>
      </c>
      <c r="AB1202">
        <v>1</v>
      </c>
      <c r="AC1202">
        <v>2011</v>
      </c>
      <c r="AE1202" s="2">
        <v>768</v>
      </c>
    </row>
    <row r="1203" spans="2:31" ht="14.5">
      <c r="B1203" s="2">
        <v>84124</v>
      </c>
      <c r="C1203" s="2" t="s">
        <v>1562</v>
      </c>
      <c r="D1203" s="2" t="s">
        <v>1563</v>
      </c>
      <c r="E1203" s="2" t="s">
        <v>28</v>
      </c>
      <c r="F1203" s="2" t="s">
        <v>29</v>
      </c>
      <c r="G1203" s="2" t="s">
        <v>30</v>
      </c>
      <c r="H1203" s="2" t="s">
        <v>218</v>
      </c>
      <c r="I1203" s="2" t="s">
        <v>219</v>
      </c>
      <c r="J1203" s="2" t="s">
        <v>220</v>
      </c>
      <c r="K1203" s="2" t="s">
        <v>34</v>
      </c>
      <c r="L1203" s="3"/>
      <c r="M1203" s="3">
        <v>40938</v>
      </c>
      <c r="N1203" s="3">
        <v>40899</v>
      </c>
      <c r="O1203" s="3">
        <v>40899</v>
      </c>
      <c r="P1203" s="2" t="s">
        <v>749</v>
      </c>
      <c r="Q1203" s="2" t="s">
        <v>76</v>
      </c>
      <c r="R1203" s="2" t="s">
        <v>37</v>
      </c>
      <c r="S1203" s="2" t="s">
        <v>78</v>
      </c>
      <c r="T1203" s="2" t="s">
        <v>47</v>
      </c>
      <c r="U1203" s="2">
        <v>30</v>
      </c>
      <c r="V1203" s="2">
        <v>80000</v>
      </c>
      <c r="W1203" s="2">
        <v>1593600</v>
      </c>
      <c r="X1203" s="2">
        <v>19.920000000000002</v>
      </c>
      <c r="Y1203" s="2">
        <v>0.66</v>
      </c>
      <c r="AB1203">
        <v>1</v>
      </c>
      <c r="AC1203">
        <v>2011</v>
      </c>
      <c r="AE1203" s="2">
        <v>52800</v>
      </c>
    </row>
    <row r="1204" spans="2:31" ht="14.5">
      <c r="B1204" s="2">
        <v>84125</v>
      </c>
      <c r="C1204" s="2" t="s">
        <v>2206</v>
      </c>
      <c r="D1204" s="2" t="s">
        <v>2207</v>
      </c>
      <c r="E1204" s="2" t="s">
        <v>28</v>
      </c>
      <c r="F1204" s="2" t="s">
        <v>29</v>
      </c>
      <c r="G1204" s="2" t="s">
        <v>30</v>
      </c>
      <c r="H1204" s="2" t="s">
        <v>218</v>
      </c>
      <c r="I1204" s="2" t="s">
        <v>219</v>
      </c>
      <c r="J1204" s="2" t="s">
        <v>220</v>
      </c>
      <c r="K1204" s="2" t="s">
        <v>267</v>
      </c>
      <c r="L1204" s="3"/>
      <c r="M1204" s="3">
        <v>40918</v>
      </c>
      <c r="N1204" s="3">
        <v>40899</v>
      </c>
      <c r="O1204" s="3">
        <v>40899</v>
      </c>
      <c r="P1204" s="2" t="s">
        <v>754</v>
      </c>
      <c r="Q1204" s="2" t="s">
        <v>755</v>
      </c>
      <c r="R1204" s="2" t="s">
        <v>37</v>
      </c>
      <c r="S1204" s="2" t="s">
        <v>756</v>
      </c>
      <c r="T1204" s="2" t="s">
        <v>47</v>
      </c>
      <c r="U1204" s="2">
        <v>30</v>
      </c>
      <c r="V1204" s="2">
        <v>20000</v>
      </c>
      <c r="W1204" s="2">
        <v>341600</v>
      </c>
      <c r="X1204" s="2">
        <v>17.079999999999998</v>
      </c>
      <c r="Y1204" s="2">
        <v>0.56999999999999995</v>
      </c>
      <c r="Z1204" s="2">
        <v>2302</v>
      </c>
      <c r="AB1204">
        <v>1</v>
      </c>
      <c r="AC1204">
        <v>2011</v>
      </c>
      <c r="AE1204" s="2">
        <v>11399.999999999998</v>
      </c>
    </row>
    <row r="1205" spans="2:31" ht="14.5">
      <c r="B1205" s="2">
        <v>84145</v>
      </c>
      <c r="C1205" s="2" t="s">
        <v>2208</v>
      </c>
      <c r="D1205" s="2" t="s">
        <v>2209</v>
      </c>
      <c r="E1205" s="2" t="s">
        <v>28</v>
      </c>
      <c r="F1205" s="2" t="s">
        <v>29</v>
      </c>
      <c r="G1205" s="2" t="s">
        <v>30</v>
      </c>
      <c r="H1205" s="2" t="s">
        <v>218</v>
      </c>
      <c r="I1205" s="2" t="s">
        <v>219</v>
      </c>
      <c r="J1205" s="2" t="s">
        <v>220</v>
      </c>
      <c r="K1205" s="2" t="s">
        <v>267</v>
      </c>
      <c r="L1205" s="3"/>
      <c r="M1205" s="3">
        <v>40998</v>
      </c>
      <c r="N1205" s="3">
        <v>40980</v>
      </c>
      <c r="O1205" s="3">
        <v>40980</v>
      </c>
      <c r="P1205" s="2" t="s">
        <v>484</v>
      </c>
      <c r="Q1205" s="2" t="s">
        <v>105</v>
      </c>
      <c r="R1205" s="2" t="s">
        <v>37</v>
      </c>
      <c r="S1205" s="2" t="s">
        <v>100</v>
      </c>
      <c r="T1205" s="2" t="s">
        <v>39</v>
      </c>
      <c r="U1205" s="2">
        <v>30</v>
      </c>
      <c r="V1205" s="2">
        <v>17440</v>
      </c>
      <c r="W1205" s="2">
        <v>95920</v>
      </c>
      <c r="X1205" s="2">
        <v>5.5</v>
      </c>
      <c r="Y1205" s="2">
        <v>0.18</v>
      </c>
      <c r="Z1205" s="2">
        <v>2612</v>
      </c>
      <c r="AA1205" s="2">
        <v>1698.83</v>
      </c>
      <c r="AB1205">
        <v>1</v>
      </c>
      <c r="AC1205">
        <v>2012</v>
      </c>
      <c r="AE1205" s="2">
        <v>3139.2</v>
      </c>
    </row>
    <row r="1206" spans="2:31" ht="14.5">
      <c r="B1206" s="2">
        <v>84146</v>
      </c>
      <c r="C1206" s="2" t="s">
        <v>2208</v>
      </c>
      <c r="D1206" s="2" t="s">
        <v>2209</v>
      </c>
      <c r="E1206" s="2" t="s">
        <v>28</v>
      </c>
      <c r="F1206" s="2" t="s">
        <v>29</v>
      </c>
      <c r="G1206" s="2" t="s">
        <v>30</v>
      </c>
      <c r="H1206" s="2" t="s">
        <v>218</v>
      </c>
      <c r="I1206" s="2" t="s">
        <v>219</v>
      </c>
      <c r="J1206" s="2" t="s">
        <v>220</v>
      </c>
      <c r="K1206" s="2" t="s">
        <v>267</v>
      </c>
      <c r="L1206" s="3"/>
      <c r="M1206" s="3">
        <v>40998</v>
      </c>
      <c r="N1206" s="3">
        <v>40980</v>
      </c>
      <c r="O1206" s="3">
        <v>40980</v>
      </c>
      <c r="P1206" s="2" t="s">
        <v>98</v>
      </c>
      <c r="Q1206" s="2" t="s">
        <v>99</v>
      </c>
      <c r="R1206" s="2" t="s">
        <v>37</v>
      </c>
      <c r="S1206" s="2" t="s">
        <v>100</v>
      </c>
      <c r="T1206" s="2" t="s">
        <v>39</v>
      </c>
      <c r="U1206" s="2">
        <v>60</v>
      </c>
      <c r="V1206" s="2">
        <v>15003</v>
      </c>
      <c r="W1206" s="2">
        <v>219493.89</v>
      </c>
      <c r="X1206" s="2">
        <v>14.63</v>
      </c>
      <c r="Y1206" s="2">
        <v>0.24</v>
      </c>
      <c r="AB1206">
        <v>1</v>
      </c>
      <c r="AC1206">
        <v>2012</v>
      </c>
      <c r="AE1206" s="2">
        <v>3600.72</v>
      </c>
    </row>
    <row r="1207" spans="2:31" ht="14.5">
      <c r="B1207" s="2">
        <v>84147</v>
      </c>
      <c r="C1207" s="2" t="s">
        <v>2210</v>
      </c>
      <c r="D1207" s="2" t="s">
        <v>2211</v>
      </c>
      <c r="E1207" s="2" t="s">
        <v>118</v>
      </c>
      <c r="F1207" s="2" t="s">
        <v>29</v>
      </c>
      <c r="G1207" s="2" t="s">
        <v>30</v>
      </c>
      <c r="H1207" s="2" t="s">
        <v>218</v>
      </c>
      <c r="I1207" s="2" t="s">
        <v>219</v>
      </c>
      <c r="J1207" s="2" t="s">
        <v>220</v>
      </c>
      <c r="K1207" s="2" t="s">
        <v>267</v>
      </c>
      <c r="L1207" s="3"/>
      <c r="M1207" s="3">
        <v>40977</v>
      </c>
      <c r="N1207" s="3">
        <v>40954</v>
      </c>
      <c r="O1207" s="3">
        <v>40954</v>
      </c>
      <c r="P1207" s="2" t="s">
        <v>35</v>
      </c>
      <c r="Q1207" s="2" t="s">
        <v>36</v>
      </c>
      <c r="R1207" s="2" t="s">
        <v>37</v>
      </c>
      <c r="S1207" s="2" t="s">
        <v>38</v>
      </c>
      <c r="T1207" s="2" t="s">
        <v>39</v>
      </c>
      <c r="U1207" s="2">
        <v>60</v>
      </c>
      <c r="V1207" s="2">
        <v>534</v>
      </c>
      <c r="W1207" s="2">
        <v>1377.72</v>
      </c>
      <c r="X1207" s="2">
        <v>2.58</v>
      </c>
      <c r="Y1207" s="2">
        <v>0.04</v>
      </c>
      <c r="Z1207" s="2">
        <v>30</v>
      </c>
      <c r="AA1207" s="2">
        <v>2030</v>
      </c>
      <c r="AB1207">
        <v>1</v>
      </c>
      <c r="AC1207">
        <v>2012</v>
      </c>
      <c r="AE1207" s="2">
        <v>21.36</v>
      </c>
    </row>
    <row r="1208" spans="2:31" ht="14.5">
      <c r="B1208" s="2">
        <v>84149</v>
      </c>
      <c r="C1208" s="2" t="s">
        <v>2212</v>
      </c>
      <c r="D1208" s="2" t="s">
        <v>2213</v>
      </c>
      <c r="E1208" s="2" t="s">
        <v>28</v>
      </c>
      <c r="F1208" s="2" t="s">
        <v>29</v>
      </c>
      <c r="G1208" s="2" t="s">
        <v>50</v>
      </c>
      <c r="H1208" s="2" t="s">
        <v>218</v>
      </c>
      <c r="I1208" s="2" t="s">
        <v>219</v>
      </c>
      <c r="J1208" s="2" t="s">
        <v>220</v>
      </c>
      <c r="K1208" s="2" t="s">
        <v>267</v>
      </c>
      <c r="L1208" s="3"/>
      <c r="M1208" s="3">
        <v>41010</v>
      </c>
      <c r="N1208" s="3">
        <v>41010</v>
      </c>
      <c r="O1208" s="3">
        <v>41010</v>
      </c>
      <c r="P1208" s="2" t="s">
        <v>740</v>
      </c>
      <c r="Q1208" s="2" t="s">
        <v>36</v>
      </c>
      <c r="R1208" s="2" t="s">
        <v>37</v>
      </c>
      <c r="S1208" s="2" t="s">
        <v>226</v>
      </c>
      <c r="T1208" s="2" t="s">
        <v>526</v>
      </c>
      <c r="U1208" s="2">
        <v>240</v>
      </c>
      <c r="V1208" s="2">
        <v>19026</v>
      </c>
      <c r="W1208" s="2">
        <v>37100.699999999997</v>
      </c>
      <c r="X1208" s="2">
        <v>1.95</v>
      </c>
      <c r="Y1208" s="2">
        <v>0.01</v>
      </c>
      <c r="Z1208" s="2">
        <v>7096</v>
      </c>
      <c r="AA1208" s="2">
        <v>3279.29</v>
      </c>
      <c r="AB1208">
        <v>1</v>
      </c>
      <c r="AC1208">
        <v>2012</v>
      </c>
      <c r="AE1208" s="2">
        <v>190.26</v>
      </c>
    </row>
    <row r="1209" spans="2:31" ht="14.5">
      <c r="B1209" s="2">
        <v>84150</v>
      </c>
      <c r="C1209" s="2" t="s">
        <v>2214</v>
      </c>
      <c r="D1209" s="2" t="s">
        <v>2215</v>
      </c>
      <c r="E1209" s="2" t="s">
        <v>28</v>
      </c>
      <c r="F1209" s="2" t="s">
        <v>29</v>
      </c>
      <c r="G1209" s="2" t="s">
        <v>50</v>
      </c>
      <c r="H1209" s="2" t="s">
        <v>218</v>
      </c>
      <c r="I1209" s="2" t="s">
        <v>219</v>
      </c>
      <c r="J1209" s="2" t="s">
        <v>220</v>
      </c>
      <c r="K1209" s="2" t="s">
        <v>267</v>
      </c>
      <c r="L1209" s="3"/>
      <c r="M1209" s="3">
        <v>40998</v>
      </c>
      <c r="N1209" s="3">
        <v>40980</v>
      </c>
      <c r="O1209" s="3">
        <v>40980</v>
      </c>
      <c r="P1209" s="2" t="s">
        <v>842</v>
      </c>
      <c r="Q1209" s="2" t="s">
        <v>113</v>
      </c>
      <c r="R1209" s="2" t="s">
        <v>37</v>
      </c>
      <c r="S1209" s="2" t="s">
        <v>843</v>
      </c>
      <c r="T1209" s="2" t="s">
        <v>729</v>
      </c>
      <c r="U1209" s="2">
        <v>60</v>
      </c>
      <c r="V1209" s="2">
        <v>163735</v>
      </c>
      <c r="W1209" s="2">
        <v>695873.75</v>
      </c>
      <c r="X1209" s="2">
        <v>4.25</v>
      </c>
      <c r="Y1209" s="2">
        <v>7.0000000000000007E-2</v>
      </c>
      <c r="Z1209" s="2">
        <v>9208</v>
      </c>
      <c r="AA1209" s="2">
        <v>3825.8</v>
      </c>
      <c r="AB1209">
        <v>1</v>
      </c>
      <c r="AC1209">
        <v>2012</v>
      </c>
      <c r="AE1209" s="2">
        <v>11461.45</v>
      </c>
    </row>
    <row r="1210" spans="2:31" ht="14.5">
      <c r="B1210" s="2">
        <v>84151</v>
      </c>
      <c r="C1210" s="2" t="s">
        <v>2822</v>
      </c>
      <c r="D1210" s="2" t="s">
        <v>2823</v>
      </c>
      <c r="E1210" s="2" t="s">
        <v>2817</v>
      </c>
      <c r="F1210" s="2" t="s">
        <v>29</v>
      </c>
      <c r="G1210" s="2" t="s">
        <v>30</v>
      </c>
      <c r="H1210" s="2" t="s">
        <v>218</v>
      </c>
      <c r="I1210" s="2" t="s">
        <v>219</v>
      </c>
      <c r="J1210" s="2" t="s">
        <v>220</v>
      </c>
      <c r="K1210" s="2" t="s">
        <v>34</v>
      </c>
      <c r="L1210" s="3"/>
      <c r="M1210" s="3">
        <v>40989</v>
      </c>
      <c r="N1210" s="3">
        <v>40976</v>
      </c>
      <c r="O1210" s="3">
        <v>40976</v>
      </c>
      <c r="P1210" s="2" t="s">
        <v>35</v>
      </c>
      <c r="Q1210" s="2" t="s">
        <v>36</v>
      </c>
      <c r="R1210" s="2" t="s">
        <v>37</v>
      </c>
      <c r="S1210" s="2" t="s">
        <v>38</v>
      </c>
      <c r="T1210" s="2" t="s">
        <v>39</v>
      </c>
      <c r="U1210" s="2">
        <v>60</v>
      </c>
      <c r="V1210" s="2">
        <v>200</v>
      </c>
      <c r="W1210" s="2">
        <v>516</v>
      </c>
      <c r="X1210" s="2">
        <v>2.58</v>
      </c>
      <c r="Y1210" s="2">
        <v>0.04</v>
      </c>
      <c r="AB1210">
        <v>1</v>
      </c>
      <c r="AC1210">
        <v>2012</v>
      </c>
      <c r="AE1210" s="2">
        <v>8</v>
      </c>
    </row>
    <row r="1211" spans="2:31" ht="14.5">
      <c r="B1211" s="2">
        <v>84152</v>
      </c>
      <c r="C1211" s="2" t="s">
        <v>2822</v>
      </c>
      <c r="D1211" s="2" t="s">
        <v>2823</v>
      </c>
      <c r="E1211" s="2" t="s">
        <v>2817</v>
      </c>
      <c r="F1211" s="2" t="s">
        <v>29</v>
      </c>
      <c r="G1211" s="2" t="s">
        <v>30</v>
      </c>
      <c r="H1211" s="2" t="s">
        <v>218</v>
      </c>
      <c r="I1211" s="2" t="s">
        <v>219</v>
      </c>
      <c r="J1211" s="2" t="s">
        <v>220</v>
      </c>
      <c r="K1211" s="2" t="s">
        <v>34</v>
      </c>
      <c r="L1211" s="3"/>
      <c r="M1211" s="3">
        <v>40989</v>
      </c>
      <c r="N1211" s="3">
        <v>40976</v>
      </c>
      <c r="O1211" s="3">
        <v>40976</v>
      </c>
      <c r="P1211" s="2" t="s">
        <v>164</v>
      </c>
      <c r="Q1211" s="2" t="s">
        <v>165</v>
      </c>
      <c r="R1211" s="2" t="s">
        <v>37</v>
      </c>
      <c r="S1211" s="2" t="s">
        <v>166</v>
      </c>
      <c r="T1211" s="2" t="s">
        <v>39</v>
      </c>
      <c r="U1211" s="2">
        <v>60</v>
      </c>
      <c r="V1211" s="2">
        <v>200</v>
      </c>
      <c r="W1211" s="2">
        <v>466</v>
      </c>
      <c r="X1211" s="2">
        <v>2.33</v>
      </c>
      <c r="Y1211" s="2">
        <v>0.04</v>
      </c>
      <c r="AB1211">
        <v>1</v>
      </c>
      <c r="AC1211">
        <v>2012</v>
      </c>
      <c r="AE1211" s="2">
        <v>8</v>
      </c>
    </row>
    <row r="1212" spans="2:31" ht="14.5">
      <c r="B1212" s="2">
        <v>84154</v>
      </c>
      <c r="C1212" s="2" t="s">
        <v>1792</v>
      </c>
      <c r="D1212" s="2" t="s">
        <v>1793</v>
      </c>
      <c r="E1212" s="2" t="s">
        <v>1581</v>
      </c>
      <c r="F1212" s="2" t="s">
        <v>29</v>
      </c>
      <c r="G1212" s="2" t="s">
        <v>30</v>
      </c>
      <c r="H1212" s="2" t="s">
        <v>218</v>
      </c>
      <c r="I1212" s="2" t="s">
        <v>219</v>
      </c>
      <c r="J1212" s="2" t="s">
        <v>220</v>
      </c>
      <c r="K1212" s="2" t="s">
        <v>34</v>
      </c>
      <c r="L1212" s="3"/>
      <c r="M1212" s="3">
        <v>41025</v>
      </c>
      <c r="N1212" s="3">
        <v>41033</v>
      </c>
      <c r="O1212" s="3">
        <v>41033</v>
      </c>
      <c r="P1212" s="2" t="s">
        <v>35</v>
      </c>
      <c r="Q1212" s="2" t="s">
        <v>36</v>
      </c>
      <c r="R1212" s="2" t="s">
        <v>37</v>
      </c>
      <c r="S1212" s="2" t="s">
        <v>38</v>
      </c>
      <c r="T1212" s="2" t="s">
        <v>39</v>
      </c>
      <c r="U1212" s="2">
        <v>60</v>
      </c>
      <c r="V1212" s="2">
        <v>1800</v>
      </c>
      <c r="W1212" s="2">
        <v>4518</v>
      </c>
      <c r="X1212" s="2">
        <v>2.5099999999999998</v>
      </c>
      <c r="Y1212" s="2">
        <v>0.04</v>
      </c>
      <c r="AB1212">
        <v>0</v>
      </c>
      <c r="AC1212">
        <v>2012</v>
      </c>
      <c r="AE1212" s="2">
        <v>72</v>
      </c>
    </row>
    <row r="1213" spans="2:31" ht="14.5">
      <c r="B1213" s="2">
        <v>84155</v>
      </c>
      <c r="C1213" s="2" t="s">
        <v>2003</v>
      </c>
      <c r="D1213" s="2" t="s">
        <v>2004</v>
      </c>
      <c r="E1213" s="2" t="s">
        <v>1581</v>
      </c>
      <c r="F1213" s="2" t="s">
        <v>29</v>
      </c>
      <c r="G1213" s="2" t="s">
        <v>30</v>
      </c>
      <c r="H1213" s="2" t="s">
        <v>218</v>
      </c>
      <c r="I1213" s="2" t="s">
        <v>219</v>
      </c>
      <c r="J1213" s="2" t="s">
        <v>220</v>
      </c>
      <c r="K1213" s="2" t="s">
        <v>34</v>
      </c>
      <c r="L1213" s="3"/>
      <c r="M1213" s="3">
        <v>41025</v>
      </c>
      <c r="N1213" s="3">
        <v>41008</v>
      </c>
      <c r="O1213" s="3">
        <v>41008</v>
      </c>
      <c r="P1213" s="2" t="s">
        <v>1457</v>
      </c>
      <c r="Q1213" s="2" t="s">
        <v>236</v>
      </c>
      <c r="R1213" s="2" t="s">
        <v>37</v>
      </c>
      <c r="S1213" s="2" t="s">
        <v>1458</v>
      </c>
      <c r="T1213" s="2" t="s">
        <v>47</v>
      </c>
      <c r="U1213" s="2">
        <v>30</v>
      </c>
      <c r="V1213" s="2">
        <v>5150</v>
      </c>
      <c r="W1213" s="2">
        <v>45062.5</v>
      </c>
      <c r="X1213" s="2">
        <v>8.75</v>
      </c>
      <c r="Y1213" s="2">
        <v>0.28999999999999998</v>
      </c>
      <c r="AB1213">
        <v>1</v>
      </c>
      <c r="AC1213">
        <v>2012</v>
      </c>
      <c r="AE1213" s="2">
        <v>1493.5</v>
      </c>
    </row>
    <row r="1214" spans="2:31" ht="14.5">
      <c r="B1214" s="2">
        <v>84159</v>
      </c>
      <c r="C1214" s="2" t="s">
        <v>2216</v>
      </c>
      <c r="D1214" s="2" t="s">
        <v>2217</v>
      </c>
      <c r="E1214" s="2" t="s">
        <v>42</v>
      </c>
      <c r="F1214" s="2" t="s">
        <v>29</v>
      </c>
      <c r="G1214" s="2" t="s">
        <v>50</v>
      </c>
      <c r="H1214" s="2" t="s">
        <v>218</v>
      </c>
      <c r="I1214" s="2" t="s">
        <v>219</v>
      </c>
      <c r="J1214" s="2" t="s">
        <v>220</v>
      </c>
      <c r="K1214" s="2" t="s">
        <v>34</v>
      </c>
      <c r="L1214" s="3"/>
      <c r="M1214" s="3">
        <v>41008</v>
      </c>
      <c r="N1214" s="3">
        <v>40997</v>
      </c>
      <c r="O1214" s="3">
        <v>40997</v>
      </c>
      <c r="P1214" s="2" t="s">
        <v>1564</v>
      </c>
      <c r="Q1214" s="2" t="s">
        <v>99</v>
      </c>
      <c r="R1214" s="2" t="s">
        <v>37</v>
      </c>
      <c r="S1214" s="2" t="s">
        <v>172</v>
      </c>
      <c r="T1214" s="2" t="s">
        <v>87</v>
      </c>
      <c r="U1214" s="2">
        <v>240</v>
      </c>
      <c r="V1214" s="2">
        <v>1489</v>
      </c>
      <c r="W1214" s="2">
        <v>18612.5</v>
      </c>
      <c r="X1214" s="2">
        <v>12.5</v>
      </c>
      <c r="Y1214" s="2">
        <v>0.05</v>
      </c>
      <c r="Z1214" s="2">
        <v>557</v>
      </c>
      <c r="AA1214" s="2">
        <v>5044.26</v>
      </c>
      <c r="AB1214">
        <v>1</v>
      </c>
      <c r="AC1214">
        <v>2012</v>
      </c>
      <c r="AE1214" s="2">
        <v>74.45</v>
      </c>
    </row>
    <row r="1215" spans="2:31" ht="14.5">
      <c r="B1215" s="2">
        <v>84161</v>
      </c>
      <c r="C1215" s="2" t="s">
        <v>2218</v>
      </c>
      <c r="D1215" s="2" t="s">
        <v>2219</v>
      </c>
      <c r="E1215" s="2" t="s">
        <v>42</v>
      </c>
      <c r="F1215" s="2" t="s">
        <v>29</v>
      </c>
      <c r="G1215" s="2" t="s">
        <v>50</v>
      </c>
      <c r="H1215" s="2" t="s">
        <v>218</v>
      </c>
      <c r="I1215" s="2" t="s">
        <v>219</v>
      </c>
      <c r="J1215" s="2" t="s">
        <v>220</v>
      </c>
      <c r="K1215" s="2" t="s">
        <v>34</v>
      </c>
      <c r="L1215" s="3"/>
      <c r="M1215" s="3">
        <v>41089</v>
      </c>
      <c r="N1215" s="3">
        <v>41025</v>
      </c>
      <c r="O1215" s="3">
        <v>41025</v>
      </c>
      <c r="P1215" s="2" t="s">
        <v>547</v>
      </c>
      <c r="Q1215" s="2" t="s">
        <v>96</v>
      </c>
      <c r="R1215" s="2" t="s">
        <v>37</v>
      </c>
      <c r="S1215" s="2" t="s">
        <v>38</v>
      </c>
      <c r="T1215" s="2" t="s">
        <v>64</v>
      </c>
      <c r="U1215" s="2">
        <v>90</v>
      </c>
      <c r="V1215" s="2">
        <v>993</v>
      </c>
      <c r="W1215" s="2">
        <v>8579.52</v>
      </c>
      <c r="X1215" s="2">
        <v>8.64</v>
      </c>
      <c r="Y1215" s="2">
        <v>0.1</v>
      </c>
      <c r="Z1215" s="2">
        <v>126</v>
      </c>
      <c r="AA1215" s="2">
        <v>1675</v>
      </c>
      <c r="AB1215">
        <v>1</v>
      </c>
      <c r="AC1215">
        <v>2012</v>
      </c>
      <c r="AE1215" s="2">
        <v>99.300000000000011</v>
      </c>
    </row>
    <row r="1216" spans="2:31" ht="14.5">
      <c r="B1216" s="2">
        <v>84162</v>
      </c>
      <c r="C1216" s="2" t="s">
        <v>2220</v>
      </c>
      <c r="D1216" s="2" t="s">
        <v>2221</v>
      </c>
      <c r="E1216" s="2" t="s">
        <v>28</v>
      </c>
      <c r="F1216" s="2" t="s">
        <v>29</v>
      </c>
      <c r="G1216" s="2" t="s">
        <v>50</v>
      </c>
      <c r="H1216" s="2" t="s">
        <v>218</v>
      </c>
      <c r="I1216" s="2" t="s">
        <v>219</v>
      </c>
      <c r="J1216" s="2" t="s">
        <v>220</v>
      </c>
      <c r="K1216" s="2" t="s">
        <v>267</v>
      </c>
      <c r="L1216" s="3"/>
      <c r="M1216" s="3">
        <v>41061</v>
      </c>
      <c r="N1216" s="3">
        <v>41061</v>
      </c>
      <c r="O1216" s="3">
        <v>41061</v>
      </c>
      <c r="P1216" s="2" t="s">
        <v>2037</v>
      </c>
      <c r="Q1216" s="2" t="s">
        <v>140</v>
      </c>
      <c r="R1216" s="2" t="s">
        <v>37</v>
      </c>
      <c r="S1216" s="2" t="s">
        <v>2038</v>
      </c>
      <c r="T1216" s="2" t="s">
        <v>729</v>
      </c>
      <c r="U1216" s="2">
        <v>60</v>
      </c>
      <c r="V1216" s="2">
        <v>26300</v>
      </c>
      <c r="W1216" s="2">
        <v>119402</v>
      </c>
      <c r="X1216" s="2">
        <v>4.54</v>
      </c>
      <c r="Y1216" s="2">
        <v>0.08</v>
      </c>
      <c r="Z1216" s="2">
        <v>2278</v>
      </c>
      <c r="AA1216" s="2">
        <v>7865.4</v>
      </c>
      <c r="AB1216">
        <v>1</v>
      </c>
      <c r="AC1216">
        <v>2012</v>
      </c>
      <c r="AE1216" s="2">
        <v>2104</v>
      </c>
    </row>
    <row r="1217" spans="2:31" ht="14.5">
      <c r="B1217" s="2">
        <v>84163</v>
      </c>
      <c r="C1217" s="2" t="s">
        <v>2222</v>
      </c>
      <c r="D1217" s="2" t="s">
        <v>2223</v>
      </c>
      <c r="E1217" s="2" t="s">
        <v>28</v>
      </c>
      <c r="F1217" s="2" t="s">
        <v>29</v>
      </c>
      <c r="G1217" s="2" t="s">
        <v>50</v>
      </c>
      <c r="H1217" s="2" t="s">
        <v>218</v>
      </c>
      <c r="I1217" s="2" t="s">
        <v>219</v>
      </c>
      <c r="J1217" s="2" t="s">
        <v>220</v>
      </c>
      <c r="K1217" s="2" t="s">
        <v>267</v>
      </c>
      <c r="L1217" s="3"/>
      <c r="M1217" s="3">
        <v>41060</v>
      </c>
      <c r="N1217" s="3">
        <v>41029</v>
      </c>
      <c r="O1217" s="3">
        <v>41029</v>
      </c>
      <c r="P1217" s="2" t="s">
        <v>740</v>
      </c>
      <c r="Q1217" s="2" t="s">
        <v>36</v>
      </c>
      <c r="R1217" s="2" t="s">
        <v>37</v>
      </c>
      <c r="S1217" s="2" t="s">
        <v>226</v>
      </c>
      <c r="T1217" s="2" t="s">
        <v>526</v>
      </c>
      <c r="U1217" s="2">
        <v>240</v>
      </c>
      <c r="V1217" s="2">
        <v>24307</v>
      </c>
      <c r="W1217" s="2">
        <v>47398.65</v>
      </c>
      <c r="X1217" s="2">
        <v>1.95</v>
      </c>
      <c r="Y1217" s="2">
        <v>0.01</v>
      </c>
      <c r="AB1217">
        <v>1</v>
      </c>
      <c r="AC1217">
        <v>2012</v>
      </c>
      <c r="AE1217" s="2">
        <v>243.07</v>
      </c>
    </row>
    <row r="1218" spans="2:31" ht="14.5">
      <c r="B1218" s="2">
        <v>84167</v>
      </c>
      <c r="C1218" s="2" t="s">
        <v>1582</v>
      </c>
      <c r="D1218" s="2" t="s">
        <v>1583</v>
      </c>
      <c r="E1218" s="2" t="s">
        <v>118</v>
      </c>
      <c r="F1218" s="2" t="s">
        <v>29</v>
      </c>
      <c r="G1218" s="2" t="s">
        <v>30</v>
      </c>
      <c r="H1218" s="2" t="s">
        <v>218</v>
      </c>
      <c r="I1218" s="2" t="s">
        <v>219</v>
      </c>
      <c r="J1218" s="2" t="s">
        <v>220</v>
      </c>
      <c r="K1218" s="2" t="s">
        <v>267</v>
      </c>
      <c r="L1218" s="3"/>
      <c r="M1218" s="3">
        <v>41093</v>
      </c>
      <c r="N1218" s="3">
        <v>41047</v>
      </c>
      <c r="O1218" s="3">
        <v>41047</v>
      </c>
      <c r="P1218" s="2" t="s">
        <v>44</v>
      </c>
      <c r="Q1218" s="2" t="s">
        <v>45</v>
      </c>
      <c r="R1218" s="2" t="s">
        <v>37</v>
      </c>
      <c r="S1218" s="2" t="s">
        <v>46</v>
      </c>
      <c r="T1218" s="2" t="s">
        <v>47</v>
      </c>
      <c r="U1218" s="2">
        <v>60</v>
      </c>
      <c r="V1218" s="2">
        <v>2000</v>
      </c>
      <c r="W1218" s="2">
        <v>15560</v>
      </c>
      <c r="X1218" s="2">
        <v>7.78</v>
      </c>
      <c r="Y1218" s="2">
        <v>0.13</v>
      </c>
      <c r="AB1218">
        <v>1</v>
      </c>
      <c r="AC1218">
        <v>2012</v>
      </c>
      <c r="AE1218" s="2">
        <v>260</v>
      </c>
    </row>
    <row r="1219" spans="2:31" ht="14.5">
      <c r="B1219" s="2">
        <v>84176</v>
      </c>
      <c r="C1219" s="2" t="s">
        <v>2224</v>
      </c>
      <c r="D1219" s="2" t="s">
        <v>2225</v>
      </c>
      <c r="E1219" s="2" t="s">
        <v>28</v>
      </c>
      <c r="F1219" s="2" t="s">
        <v>29</v>
      </c>
      <c r="G1219" s="2" t="s">
        <v>30</v>
      </c>
      <c r="H1219" s="2" t="s">
        <v>218</v>
      </c>
      <c r="I1219" s="2" t="s">
        <v>219</v>
      </c>
      <c r="J1219" s="2" t="s">
        <v>220</v>
      </c>
      <c r="K1219" s="2" t="s">
        <v>267</v>
      </c>
      <c r="L1219" s="3"/>
      <c r="M1219" s="3">
        <v>41122</v>
      </c>
      <c r="N1219" s="3">
        <v>41115</v>
      </c>
      <c r="O1219" s="3">
        <v>41115</v>
      </c>
      <c r="P1219" s="2" t="s">
        <v>484</v>
      </c>
      <c r="Q1219" s="2" t="s">
        <v>105</v>
      </c>
      <c r="R1219" s="2" t="s">
        <v>37</v>
      </c>
      <c r="S1219" s="2" t="s">
        <v>100</v>
      </c>
      <c r="T1219" s="2" t="s">
        <v>39</v>
      </c>
      <c r="U1219" s="2">
        <v>30</v>
      </c>
      <c r="V1219" s="2">
        <v>80</v>
      </c>
      <c r="W1219" s="2">
        <v>440</v>
      </c>
      <c r="X1219" s="2">
        <v>5.5</v>
      </c>
      <c r="Y1219" s="2">
        <v>0.18</v>
      </c>
      <c r="Z1219" s="2">
        <v>841</v>
      </c>
      <c r="AA1219" s="2">
        <v>3549.9</v>
      </c>
      <c r="AB1219">
        <v>1</v>
      </c>
      <c r="AC1219">
        <v>2012</v>
      </c>
      <c r="AE1219" s="2">
        <v>14.399999999999999</v>
      </c>
    </row>
    <row r="1220" spans="2:31" ht="14.5">
      <c r="B1220" s="2">
        <v>84178</v>
      </c>
      <c r="C1220" s="2" t="s">
        <v>2226</v>
      </c>
      <c r="D1220" s="2" t="s">
        <v>2227</v>
      </c>
      <c r="E1220" s="2" t="s">
        <v>118</v>
      </c>
      <c r="F1220" s="2" t="s">
        <v>29</v>
      </c>
      <c r="G1220" s="2" t="s">
        <v>30</v>
      </c>
      <c r="H1220" s="2" t="s">
        <v>218</v>
      </c>
      <c r="I1220" s="2" t="s">
        <v>219</v>
      </c>
      <c r="J1220" s="2" t="s">
        <v>220</v>
      </c>
      <c r="K1220" s="2" t="s">
        <v>267</v>
      </c>
      <c r="L1220" s="3"/>
      <c r="M1220" s="3">
        <v>41157</v>
      </c>
      <c r="N1220" s="3">
        <v>41089</v>
      </c>
      <c r="O1220" s="3">
        <v>41089</v>
      </c>
      <c r="P1220" s="2" t="s">
        <v>35</v>
      </c>
      <c r="Q1220" s="2" t="s">
        <v>36</v>
      </c>
      <c r="R1220" s="2" t="s">
        <v>37</v>
      </c>
      <c r="S1220" s="2" t="s">
        <v>38</v>
      </c>
      <c r="T1220" s="2" t="s">
        <v>39</v>
      </c>
      <c r="U1220" s="2">
        <v>60</v>
      </c>
      <c r="V1220" s="2">
        <v>3262</v>
      </c>
      <c r="W1220" s="2">
        <v>8187.62</v>
      </c>
      <c r="X1220" s="2">
        <v>2.5099999999999998</v>
      </c>
      <c r="Y1220" s="2">
        <v>0.04</v>
      </c>
      <c r="Z1220" s="2">
        <v>190</v>
      </c>
      <c r="AA1220" s="2">
        <v>1095.22</v>
      </c>
      <c r="AB1220">
        <v>1</v>
      </c>
      <c r="AC1220">
        <v>2012</v>
      </c>
      <c r="AE1220" s="2">
        <v>130.47999999999999</v>
      </c>
    </row>
    <row r="1221" spans="2:31" ht="14.5">
      <c r="B1221" s="2">
        <v>84188</v>
      </c>
      <c r="C1221" s="2" t="s">
        <v>2228</v>
      </c>
      <c r="D1221" s="2" t="s">
        <v>2229</v>
      </c>
      <c r="E1221" s="2" t="s">
        <v>118</v>
      </c>
      <c r="F1221" s="2" t="s">
        <v>29</v>
      </c>
      <c r="G1221" s="2" t="s">
        <v>30</v>
      </c>
      <c r="H1221" s="2" t="s">
        <v>218</v>
      </c>
      <c r="I1221" s="2" t="s">
        <v>219</v>
      </c>
      <c r="J1221" s="2" t="s">
        <v>220</v>
      </c>
      <c r="K1221" s="2" t="s">
        <v>267</v>
      </c>
      <c r="L1221" s="3"/>
      <c r="M1221" s="3">
        <v>41180</v>
      </c>
      <c r="N1221" s="3">
        <v>41188</v>
      </c>
      <c r="O1221" s="3">
        <v>41188</v>
      </c>
      <c r="P1221" s="2" t="s">
        <v>35</v>
      </c>
      <c r="Q1221" s="2" t="s">
        <v>36</v>
      </c>
      <c r="R1221" s="2" t="s">
        <v>37</v>
      </c>
      <c r="S1221" s="2" t="s">
        <v>38</v>
      </c>
      <c r="T1221" s="2" t="s">
        <v>39</v>
      </c>
      <c r="U1221" s="2">
        <v>60</v>
      </c>
      <c r="V1221" s="2">
        <v>18350</v>
      </c>
      <c r="W1221" s="2">
        <v>44774</v>
      </c>
      <c r="X1221" s="2">
        <v>2.44</v>
      </c>
      <c r="Y1221" s="2">
        <v>0.04</v>
      </c>
      <c r="Z1221" s="2">
        <v>1331</v>
      </c>
      <c r="AA1221" s="2">
        <v>7504</v>
      </c>
      <c r="AB1221">
        <v>0</v>
      </c>
      <c r="AC1221">
        <v>2012</v>
      </c>
      <c r="AE1221" s="2">
        <v>734</v>
      </c>
    </row>
    <row r="1222" spans="2:31" ht="14.5">
      <c r="B1222" s="2">
        <v>84189</v>
      </c>
      <c r="C1222" s="2" t="s">
        <v>2228</v>
      </c>
      <c r="D1222" s="2" t="s">
        <v>2229</v>
      </c>
      <c r="E1222" s="2" t="s">
        <v>118</v>
      </c>
      <c r="F1222" s="2" t="s">
        <v>29</v>
      </c>
      <c r="G1222" s="2" t="s">
        <v>30</v>
      </c>
      <c r="H1222" s="2" t="s">
        <v>218</v>
      </c>
      <c r="I1222" s="2" t="s">
        <v>219</v>
      </c>
      <c r="J1222" s="2" t="s">
        <v>220</v>
      </c>
      <c r="K1222" s="2" t="s">
        <v>267</v>
      </c>
      <c r="L1222" s="3"/>
      <c r="M1222" s="3">
        <v>41180</v>
      </c>
      <c r="N1222" s="3">
        <v>41188</v>
      </c>
      <c r="O1222" s="3">
        <v>41188</v>
      </c>
      <c r="P1222" s="2" t="s">
        <v>759</v>
      </c>
      <c r="Q1222" s="2" t="s">
        <v>84</v>
      </c>
      <c r="R1222" s="2" t="s">
        <v>37</v>
      </c>
      <c r="S1222" s="2" t="s">
        <v>152</v>
      </c>
      <c r="T1222" s="2" t="s">
        <v>39</v>
      </c>
      <c r="U1222" s="2">
        <v>120</v>
      </c>
      <c r="V1222" s="2">
        <v>5000</v>
      </c>
      <c r="W1222" s="2">
        <v>148400</v>
      </c>
      <c r="X1222" s="2">
        <v>29.68</v>
      </c>
      <c r="Y1222" s="2">
        <v>0.25</v>
      </c>
      <c r="AB1222">
        <v>0</v>
      </c>
      <c r="AC1222">
        <v>2012</v>
      </c>
      <c r="AE1222" s="2">
        <v>1250</v>
      </c>
    </row>
    <row r="1223" spans="2:31" ht="14.5">
      <c r="B1223" s="2">
        <v>84190</v>
      </c>
      <c r="C1223" s="2" t="s">
        <v>2230</v>
      </c>
      <c r="D1223" s="2" t="s">
        <v>2231</v>
      </c>
      <c r="E1223" s="2" t="s">
        <v>118</v>
      </c>
      <c r="F1223" s="2" t="s">
        <v>29</v>
      </c>
      <c r="G1223" s="2" t="s">
        <v>30</v>
      </c>
      <c r="H1223" s="2" t="s">
        <v>218</v>
      </c>
      <c r="I1223" s="2" t="s">
        <v>219</v>
      </c>
      <c r="J1223" s="2" t="s">
        <v>220</v>
      </c>
      <c r="K1223" s="2" t="s">
        <v>267</v>
      </c>
      <c r="L1223" s="3"/>
      <c r="M1223" s="3">
        <v>41187</v>
      </c>
      <c r="N1223" s="3">
        <v>41176</v>
      </c>
      <c r="O1223" s="3">
        <v>41176</v>
      </c>
      <c r="P1223" s="2" t="s">
        <v>706</v>
      </c>
      <c r="Q1223" s="2" t="s">
        <v>707</v>
      </c>
      <c r="R1223" s="2" t="s">
        <v>37</v>
      </c>
      <c r="S1223" s="2" t="s">
        <v>708</v>
      </c>
      <c r="T1223" s="2" t="s">
        <v>47</v>
      </c>
      <c r="U1223" s="2">
        <v>30</v>
      </c>
      <c r="V1223" s="2">
        <v>5619</v>
      </c>
      <c r="W1223" s="2">
        <v>30117.84</v>
      </c>
      <c r="X1223" s="2">
        <v>5.36</v>
      </c>
      <c r="Y1223" s="2">
        <v>0.18</v>
      </c>
      <c r="Z1223" s="2">
        <v>596</v>
      </c>
      <c r="AA1223" s="2">
        <v>2175.0700000000002</v>
      </c>
      <c r="AB1223">
        <v>1</v>
      </c>
      <c r="AC1223">
        <v>2012</v>
      </c>
      <c r="AE1223" s="2">
        <v>1011.42</v>
      </c>
    </row>
    <row r="1224" spans="2:31" ht="14.5">
      <c r="B1224" s="2">
        <v>84193</v>
      </c>
      <c r="C1224" s="2" t="s">
        <v>2232</v>
      </c>
      <c r="D1224" s="2" t="s">
        <v>2233</v>
      </c>
      <c r="E1224" s="2" t="s">
        <v>118</v>
      </c>
      <c r="F1224" s="2" t="s">
        <v>29</v>
      </c>
      <c r="G1224" s="2" t="s">
        <v>30</v>
      </c>
      <c r="H1224" s="2" t="s">
        <v>218</v>
      </c>
      <c r="I1224" s="2" t="s">
        <v>219</v>
      </c>
      <c r="J1224" s="2" t="s">
        <v>220</v>
      </c>
      <c r="K1224" s="2" t="s">
        <v>267</v>
      </c>
      <c r="L1224" s="3"/>
      <c r="M1224" s="3">
        <v>41221</v>
      </c>
      <c r="N1224" s="3">
        <v>41221</v>
      </c>
      <c r="O1224" s="3">
        <v>41221</v>
      </c>
      <c r="P1224" s="2" t="s">
        <v>95</v>
      </c>
      <c r="Q1224" s="2" t="s">
        <v>96</v>
      </c>
      <c r="R1224" s="2" t="s">
        <v>37</v>
      </c>
      <c r="S1224" s="2" t="s">
        <v>97</v>
      </c>
      <c r="T1224" s="2" t="s">
        <v>39</v>
      </c>
      <c r="U1224" s="2">
        <v>30</v>
      </c>
      <c r="V1224" s="2">
        <v>8132</v>
      </c>
      <c r="W1224" s="2">
        <v>29600.48</v>
      </c>
      <c r="X1224" s="2">
        <v>3.64</v>
      </c>
      <c r="Y1224" s="2">
        <v>0.12</v>
      </c>
      <c r="Z1224" s="2">
        <v>690</v>
      </c>
      <c r="AA1224" s="2">
        <v>3990</v>
      </c>
      <c r="AB1224">
        <v>1</v>
      </c>
      <c r="AC1224">
        <v>2012</v>
      </c>
      <c r="AE1224" s="2">
        <v>975.83999999999992</v>
      </c>
    </row>
    <row r="1225" spans="2:31" ht="14.5">
      <c r="B1225" s="2">
        <v>84195</v>
      </c>
      <c r="C1225" s="2" t="s">
        <v>2033</v>
      </c>
      <c r="D1225" s="2" t="s">
        <v>2034</v>
      </c>
      <c r="E1225" s="2" t="s">
        <v>28</v>
      </c>
      <c r="F1225" s="2" t="s">
        <v>29</v>
      </c>
      <c r="G1225" s="2" t="s">
        <v>50</v>
      </c>
      <c r="H1225" s="2" t="s">
        <v>218</v>
      </c>
      <c r="I1225" s="2" t="s">
        <v>219</v>
      </c>
      <c r="J1225" s="2" t="s">
        <v>220</v>
      </c>
      <c r="K1225" s="2" t="s">
        <v>267</v>
      </c>
      <c r="L1225" s="3"/>
      <c r="M1225" s="3">
        <v>41243</v>
      </c>
      <c r="N1225" s="3">
        <v>41213</v>
      </c>
      <c r="O1225" s="3">
        <v>41213</v>
      </c>
      <c r="P1225" s="2" t="s">
        <v>2037</v>
      </c>
      <c r="Q1225" s="2" t="s">
        <v>140</v>
      </c>
      <c r="R1225" s="2" t="s">
        <v>37</v>
      </c>
      <c r="S1225" s="2" t="s">
        <v>2038</v>
      </c>
      <c r="T1225" s="2" t="s">
        <v>729</v>
      </c>
      <c r="U1225" s="2">
        <v>60</v>
      </c>
      <c r="V1225" s="2">
        <v>13499</v>
      </c>
      <c r="W1225" s="2">
        <v>58045.7</v>
      </c>
      <c r="X1225" s="2">
        <v>4.3</v>
      </c>
      <c r="Y1225" s="2">
        <v>7.0000000000000007E-2</v>
      </c>
      <c r="AB1225">
        <v>1</v>
      </c>
      <c r="AC1225">
        <v>2012</v>
      </c>
      <c r="AE1225" s="2">
        <v>944.93000000000006</v>
      </c>
    </row>
    <row r="1226" spans="2:31" ht="14.5">
      <c r="B1226" s="2">
        <v>84198</v>
      </c>
      <c r="C1226" s="2" t="s">
        <v>2234</v>
      </c>
      <c r="D1226" s="2" t="s">
        <v>2235</v>
      </c>
      <c r="E1226" s="2" t="s">
        <v>118</v>
      </c>
      <c r="F1226" s="2" t="s">
        <v>29</v>
      </c>
      <c r="G1226" s="2" t="s">
        <v>30</v>
      </c>
      <c r="H1226" s="2" t="s">
        <v>218</v>
      </c>
      <c r="I1226" s="2" t="s">
        <v>219</v>
      </c>
      <c r="J1226" s="2" t="s">
        <v>220</v>
      </c>
      <c r="K1226" s="2" t="s">
        <v>34</v>
      </c>
      <c r="L1226" s="3"/>
      <c r="M1226" s="3">
        <v>41249</v>
      </c>
      <c r="N1226" s="3">
        <v>41211</v>
      </c>
      <c r="O1226" s="3">
        <v>41211</v>
      </c>
      <c r="P1226" s="2" t="s">
        <v>95</v>
      </c>
      <c r="Q1226" s="2" t="s">
        <v>96</v>
      </c>
      <c r="R1226" s="2" t="s">
        <v>37</v>
      </c>
      <c r="S1226" s="2" t="s">
        <v>97</v>
      </c>
      <c r="T1226" s="2" t="s">
        <v>39</v>
      </c>
      <c r="U1226" s="2">
        <v>30</v>
      </c>
      <c r="V1226" s="2">
        <v>2445</v>
      </c>
      <c r="W1226" s="2">
        <v>9315.4500000000007</v>
      </c>
      <c r="X1226" s="2">
        <v>3.81</v>
      </c>
      <c r="Y1226" s="2">
        <v>0.13</v>
      </c>
      <c r="Z1226" s="2">
        <v>244</v>
      </c>
      <c r="AA1226" s="2">
        <v>2159.1</v>
      </c>
      <c r="AB1226">
        <v>1</v>
      </c>
      <c r="AC1226">
        <v>2012</v>
      </c>
      <c r="AE1226" s="2">
        <v>317.85000000000002</v>
      </c>
    </row>
    <row r="1227" spans="2:31" ht="14.5">
      <c r="B1227" s="2">
        <v>84210</v>
      </c>
      <c r="C1227" s="2" t="s">
        <v>1832</v>
      </c>
      <c r="D1227" s="2" t="s">
        <v>1833</v>
      </c>
      <c r="E1227" s="2" t="s">
        <v>42</v>
      </c>
      <c r="F1227" s="2" t="s">
        <v>29</v>
      </c>
      <c r="G1227" s="2" t="s">
        <v>30</v>
      </c>
      <c r="H1227" s="2" t="s">
        <v>218</v>
      </c>
      <c r="I1227" s="2" t="s">
        <v>219</v>
      </c>
      <c r="J1227" s="2" t="s">
        <v>220</v>
      </c>
      <c r="K1227" s="2" t="s">
        <v>34</v>
      </c>
      <c r="L1227" s="3"/>
      <c r="M1227" s="3">
        <v>41311</v>
      </c>
      <c r="N1227" s="3">
        <v>41311</v>
      </c>
      <c r="O1227" s="3">
        <v>41311</v>
      </c>
      <c r="P1227" s="2" t="s">
        <v>706</v>
      </c>
      <c r="Q1227" s="2" t="s">
        <v>707</v>
      </c>
      <c r="R1227" s="2" t="s">
        <v>37</v>
      </c>
      <c r="S1227" s="2" t="s">
        <v>708</v>
      </c>
      <c r="T1227" s="2" t="s">
        <v>47</v>
      </c>
      <c r="U1227" s="2">
        <v>30</v>
      </c>
      <c r="V1227" s="2">
        <v>69691</v>
      </c>
      <c r="W1227" s="2">
        <v>373543.76</v>
      </c>
      <c r="X1227" s="2">
        <v>5.36</v>
      </c>
      <c r="Y1227" s="2">
        <v>0.18</v>
      </c>
      <c r="AB1227">
        <v>1</v>
      </c>
      <c r="AC1227">
        <v>2013</v>
      </c>
      <c r="AE1227" s="2">
        <v>12544.38</v>
      </c>
    </row>
    <row r="1228" spans="2:31" ht="14.5">
      <c r="B1228" s="2">
        <v>84212</v>
      </c>
      <c r="C1228" s="2" t="s">
        <v>2236</v>
      </c>
      <c r="D1228" s="2" t="s">
        <v>2237</v>
      </c>
      <c r="E1228" s="2" t="s">
        <v>118</v>
      </c>
      <c r="F1228" s="2" t="s">
        <v>29</v>
      </c>
      <c r="G1228" s="2" t="s">
        <v>30</v>
      </c>
      <c r="H1228" s="2" t="s">
        <v>218</v>
      </c>
      <c r="I1228" s="2" t="s">
        <v>219</v>
      </c>
      <c r="J1228" s="2" t="s">
        <v>220</v>
      </c>
      <c r="K1228" s="2" t="s">
        <v>34</v>
      </c>
      <c r="L1228" s="3"/>
      <c r="M1228" s="3">
        <v>41305</v>
      </c>
      <c r="N1228" s="3">
        <v>41306</v>
      </c>
      <c r="O1228" s="3">
        <v>41306</v>
      </c>
      <c r="P1228" s="2" t="s">
        <v>35</v>
      </c>
      <c r="Q1228" s="2" t="s">
        <v>36</v>
      </c>
      <c r="R1228" s="2" t="s">
        <v>37</v>
      </c>
      <c r="S1228" s="2" t="s">
        <v>38</v>
      </c>
      <c r="T1228" s="2" t="s">
        <v>39</v>
      </c>
      <c r="U1228" s="2">
        <v>60</v>
      </c>
      <c r="V1228" s="2">
        <v>4535</v>
      </c>
      <c r="W1228" s="2">
        <v>10974.7</v>
      </c>
      <c r="X1228" s="2">
        <v>2.42</v>
      </c>
      <c r="Y1228" s="2">
        <v>0.04</v>
      </c>
      <c r="Z1228" s="2">
        <v>491</v>
      </c>
      <c r="AA1228" s="2">
        <v>4002.01</v>
      </c>
      <c r="AB1228">
        <v>0</v>
      </c>
      <c r="AC1228">
        <v>2013</v>
      </c>
      <c r="AE1228" s="2">
        <v>181.4</v>
      </c>
    </row>
    <row r="1229" spans="2:31" ht="14.5">
      <c r="B1229" s="2">
        <v>84213</v>
      </c>
      <c r="C1229" s="2" t="s">
        <v>2238</v>
      </c>
      <c r="D1229" s="2" t="s">
        <v>2239</v>
      </c>
      <c r="E1229" s="2" t="s">
        <v>42</v>
      </c>
      <c r="F1229" s="2" t="s">
        <v>29</v>
      </c>
      <c r="G1229" s="2" t="s">
        <v>30</v>
      </c>
      <c r="H1229" s="2" t="s">
        <v>218</v>
      </c>
      <c r="I1229" s="2" t="s">
        <v>219</v>
      </c>
      <c r="J1229" s="2" t="s">
        <v>220</v>
      </c>
      <c r="K1229" s="2" t="s">
        <v>34</v>
      </c>
      <c r="L1229" s="3"/>
      <c r="M1229" s="3">
        <v>41312</v>
      </c>
      <c r="N1229" s="3">
        <v>41312</v>
      </c>
      <c r="O1229" s="3">
        <v>41312</v>
      </c>
      <c r="P1229" s="2" t="s">
        <v>754</v>
      </c>
      <c r="Q1229" s="2" t="s">
        <v>755</v>
      </c>
      <c r="R1229" s="2" t="s">
        <v>37</v>
      </c>
      <c r="S1229" s="2" t="s">
        <v>756</v>
      </c>
      <c r="T1229" s="2" t="s">
        <v>47</v>
      </c>
      <c r="U1229" s="2">
        <v>30</v>
      </c>
      <c r="V1229" s="2">
        <v>112007</v>
      </c>
      <c r="W1229" s="2">
        <v>1356404.77</v>
      </c>
      <c r="X1229" s="2">
        <v>12.11</v>
      </c>
      <c r="Y1229" s="2">
        <v>0.4</v>
      </c>
      <c r="Z1229" s="2">
        <v>12757</v>
      </c>
      <c r="AA1229" s="2">
        <v>20994.85</v>
      </c>
      <c r="AB1229">
        <v>1</v>
      </c>
      <c r="AC1229">
        <v>2013</v>
      </c>
      <c r="AE1229" s="2">
        <v>44802.8</v>
      </c>
    </row>
    <row r="1230" spans="2:31" ht="14.5">
      <c r="B1230" s="2">
        <v>84214</v>
      </c>
      <c r="C1230" s="2" t="s">
        <v>2240</v>
      </c>
      <c r="D1230" s="2" t="s">
        <v>2241</v>
      </c>
      <c r="E1230" s="2" t="s">
        <v>118</v>
      </c>
      <c r="F1230" s="2" t="s">
        <v>29</v>
      </c>
      <c r="G1230" s="2" t="s">
        <v>30</v>
      </c>
      <c r="H1230" s="2" t="s">
        <v>218</v>
      </c>
      <c r="I1230" s="2" t="s">
        <v>219</v>
      </c>
      <c r="J1230" s="2" t="s">
        <v>220</v>
      </c>
      <c r="K1230" s="2" t="s">
        <v>267</v>
      </c>
      <c r="L1230" s="3"/>
      <c r="M1230" s="3">
        <v>41310</v>
      </c>
      <c r="N1230" s="3">
        <v>41310</v>
      </c>
      <c r="O1230" s="3">
        <v>41310</v>
      </c>
      <c r="P1230" s="2" t="s">
        <v>754</v>
      </c>
      <c r="Q1230" s="2" t="s">
        <v>755</v>
      </c>
      <c r="R1230" s="2" t="s">
        <v>37</v>
      </c>
      <c r="S1230" s="2" t="s">
        <v>756</v>
      </c>
      <c r="T1230" s="2" t="s">
        <v>47</v>
      </c>
      <c r="U1230" s="2">
        <v>30</v>
      </c>
      <c r="V1230" s="2">
        <v>112873</v>
      </c>
      <c r="W1230" s="2">
        <v>1366892.03</v>
      </c>
      <c r="X1230" s="2">
        <v>12.11</v>
      </c>
      <c r="Y1230" s="2">
        <v>0.4</v>
      </c>
      <c r="Z1230" s="2">
        <v>12838</v>
      </c>
      <c r="AA1230" s="2">
        <v>111318.14</v>
      </c>
      <c r="AB1230">
        <v>1</v>
      </c>
      <c r="AC1230">
        <v>2013</v>
      </c>
      <c r="AE1230" s="2">
        <v>45149.200000000004</v>
      </c>
    </row>
    <row r="1231" spans="2:31" ht="14.5">
      <c r="B1231" s="2">
        <v>84228</v>
      </c>
      <c r="C1231" s="2" t="s">
        <v>1836</v>
      </c>
      <c r="D1231" s="2" t="s">
        <v>1837</v>
      </c>
      <c r="E1231" s="2" t="s">
        <v>118</v>
      </c>
      <c r="F1231" s="2" t="s">
        <v>29</v>
      </c>
      <c r="G1231" s="2" t="s">
        <v>30</v>
      </c>
      <c r="H1231" s="2" t="s">
        <v>218</v>
      </c>
      <c r="I1231" s="2" t="s">
        <v>219</v>
      </c>
      <c r="J1231" s="2" t="s">
        <v>220</v>
      </c>
      <c r="K1231" s="2" t="s">
        <v>34</v>
      </c>
      <c r="L1231" s="3"/>
      <c r="M1231" s="3">
        <v>41351</v>
      </c>
      <c r="N1231" s="3">
        <v>41340</v>
      </c>
      <c r="O1231" s="3">
        <v>41340</v>
      </c>
      <c r="P1231" s="2" t="s">
        <v>112</v>
      </c>
      <c r="Q1231" s="2" t="s">
        <v>113</v>
      </c>
      <c r="R1231" s="2" t="s">
        <v>37</v>
      </c>
      <c r="S1231" s="2" t="s">
        <v>114</v>
      </c>
      <c r="T1231" s="2" t="s">
        <v>47</v>
      </c>
      <c r="U1231" s="2">
        <v>60</v>
      </c>
      <c r="V1231" s="2">
        <v>7253</v>
      </c>
      <c r="W1231" s="2">
        <v>62230.74</v>
      </c>
      <c r="X1231" s="2">
        <v>8.58</v>
      </c>
      <c r="Y1231" s="2">
        <v>0.14000000000000001</v>
      </c>
      <c r="AB1231">
        <v>1</v>
      </c>
      <c r="AC1231">
        <v>2013</v>
      </c>
      <c r="AE1231" s="2">
        <v>1015.4200000000001</v>
      </c>
    </row>
    <row r="1232" spans="2:31" ht="14.5">
      <c r="B1232" s="2">
        <v>84229</v>
      </c>
      <c r="C1232" s="2" t="s">
        <v>1620</v>
      </c>
      <c r="D1232" s="2" t="s">
        <v>1621</v>
      </c>
      <c r="E1232" s="2" t="s">
        <v>118</v>
      </c>
      <c r="F1232" s="2" t="s">
        <v>29</v>
      </c>
      <c r="G1232" s="2" t="s">
        <v>30</v>
      </c>
      <c r="H1232" s="2" t="s">
        <v>218</v>
      </c>
      <c r="I1232" s="2" t="s">
        <v>219</v>
      </c>
      <c r="J1232" s="2" t="s">
        <v>220</v>
      </c>
      <c r="K1232" s="2" t="s">
        <v>34</v>
      </c>
      <c r="L1232" s="3"/>
      <c r="M1232" s="3">
        <v>41368</v>
      </c>
      <c r="N1232" s="3">
        <v>41340</v>
      </c>
      <c r="O1232" s="3">
        <v>41340</v>
      </c>
      <c r="P1232" s="2" t="s">
        <v>706</v>
      </c>
      <c r="Q1232" s="2" t="s">
        <v>707</v>
      </c>
      <c r="R1232" s="2" t="s">
        <v>37</v>
      </c>
      <c r="S1232" s="2" t="s">
        <v>708</v>
      </c>
      <c r="T1232" s="2" t="s">
        <v>47</v>
      </c>
      <c r="U1232" s="2">
        <v>30</v>
      </c>
      <c r="V1232" s="2">
        <v>32298</v>
      </c>
      <c r="W1232" s="2">
        <v>151800.6</v>
      </c>
      <c r="X1232" s="2">
        <v>4.7</v>
      </c>
      <c r="Y1232" s="2">
        <v>0.16</v>
      </c>
      <c r="AB1232">
        <v>1</v>
      </c>
      <c r="AC1232">
        <v>2013</v>
      </c>
      <c r="AE1232" s="2">
        <v>5167.68</v>
      </c>
    </row>
    <row r="1233" spans="2:31" ht="14.5">
      <c r="B1233" s="2">
        <v>84232</v>
      </c>
      <c r="C1233" s="2" t="s">
        <v>2242</v>
      </c>
      <c r="D1233" s="2" t="s">
        <v>2243</v>
      </c>
      <c r="E1233" s="2" t="s">
        <v>118</v>
      </c>
      <c r="F1233" s="2" t="s">
        <v>29</v>
      </c>
      <c r="G1233" s="2" t="s">
        <v>30</v>
      </c>
      <c r="H1233" s="2" t="s">
        <v>218</v>
      </c>
      <c r="I1233" s="2" t="s">
        <v>219</v>
      </c>
      <c r="J1233" s="2" t="s">
        <v>220</v>
      </c>
      <c r="K1233" s="2" t="s">
        <v>267</v>
      </c>
      <c r="L1233" s="3"/>
      <c r="M1233" s="3">
        <v>41341</v>
      </c>
      <c r="N1233" s="3">
        <v>41340</v>
      </c>
      <c r="O1233" s="3">
        <v>41340</v>
      </c>
      <c r="P1233" s="2" t="s">
        <v>112</v>
      </c>
      <c r="Q1233" s="2" t="s">
        <v>113</v>
      </c>
      <c r="R1233" s="2" t="s">
        <v>37</v>
      </c>
      <c r="S1233" s="2" t="s">
        <v>114</v>
      </c>
      <c r="T1233" s="2" t="s">
        <v>47</v>
      </c>
      <c r="U1233" s="2">
        <v>60</v>
      </c>
      <c r="V1233" s="2">
        <v>42717</v>
      </c>
      <c r="W1233" s="2">
        <v>366511.86</v>
      </c>
      <c r="X1233" s="2">
        <v>8.58</v>
      </c>
      <c r="Y1233" s="2">
        <v>0.14000000000000001</v>
      </c>
      <c r="Z1233" s="2">
        <v>5732</v>
      </c>
      <c r="AA1233" s="2">
        <v>25118.880000000001</v>
      </c>
      <c r="AB1233">
        <v>1</v>
      </c>
      <c r="AC1233">
        <v>2013</v>
      </c>
      <c r="AE1233" s="2">
        <v>5980.380000000001</v>
      </c>
    </row>
    <row r="1234" spans="2:31" ht="14.5">
      <c r="B1234" s="2">
        <v>84241</v>
      </c>
      <c r="C1234" s="2" t="s">
        <v>1845</v>
      </c>
      <c r="D1234" s="2" t="s">
        <v>1846</v>
      </c>
      <c r="E1234" s="2" t="s">
        <v>118</v>
      </c>
      <c r="F1234" s="2" t="s">
        <v>29</v>
      </c>
      <c r="G1234" s="2" t="s">
        <v>30</v>
      </c>
      <c r="H1234" s="2" t="s">
        <v>218</v>
      </c>
      <c r="I1234" s="2" t="s">
        <v>219</v>
      </c>
      <c r="J1234" s="2" t="s">
        <v>220</v>
      </c>
      <c r="K1234" s="2" t="s">
        <v>34</v>
      </c>
      <c r="L1234" s="3"/>
      <c r="M1234" s="3">
        <v>41389</v>
      </c>
      <c r="N1234" s="3">
        <v>41389</v>
      </c>
      <c r="O1234" s="3">
        <v>41389</v>
      </c>
      <c r="P1234" s="2" t="s">
        <v>1844</v>
      </c>
      <c r="Q1234" s="2" t="s">
        <v>1000</v>
      </c>
      <c r="R1234" s="2" t="s">
        <v>37</v>
      </c>
      <c r="S1234" s="2" t="s">
        <v>1001</v>
      </c>
      <c r="T1234" s="2" t="s">
        <v>47</v>
      </c>
      <c r="U1234" s="2">
        <v>30</v>
      </c>
      <c r="V1234" s="2">
        <v>7051</v>
      </c>
      <c r="W1234" s="2">
        <v>98431.96</v>
      </c>
      <c r="X1234" s="2">
        <v>13.96</v>
      </c>
      <c r="Y1234" s="2">
        <v>0.47</v>
      </c>
      <c r="AB1234">
        <v>1</v>
      </c>
      <c r="AC1234">
        <v>2013</v>
      </c>
      <c r="AE1234" s="2">
        <v>3313.97</v>
      </c>
    </row>
    <row r="1235" spans="2:31" ht="14.5">
      <c r="B1235" s="2">
        <v>84244</v>
      </c>
      <c r="C1235" s="2" t="s">
        <v>2051</v>
      </c>
      <c r="D1235" s="2" t="s">
        <v>2052</v>
      </c>
      <c r="E1235" s="2" t="s">
        <v>28</v>
      </c>
      <c r="F1235" s="2" t="s">
        <v>29</v>
      </c>
      <c r="G1235" s="2" t="s">
        <v>50</v>
      </c>
      <c r="H1235" s="2" t="s">
        <v>218</v>
      </c>
      <c r="I1235" s="2" t="s">
        <v>219</v>
      </c>
      <c r="J1235" s="2" t="s">
        <v>220</v>
      </c>
      <c r="K1235" s="2" t="s">
        <v>267</v>
      </c>
      <c r="L1235" s="3"/>
      <c r="M1235" s="3">
        <v>41425</v>
      </c>
      <c r="N1235" s="3">
        <v>41408</v>
      </c>
      <c r="O1235" s="3">
        <v>41408</v>
      </c>
      <c r="P1235" s="2" t="s">
        <v>1632</v>
      </c>
      <c r="Q1235" s="2" t="s">
        <v>140</v>
      </c>
      <c r="R1235" s="2" t="s">
        <v>37</v>
      </c>
      <c r="S1235" s="2" t="s">
        <v>1633</v>
      </c>
      <c r="T1235" s="2" t="s">
        <v>729</v>
      </c>
      <c r="U1235" s="2">
        <v>60</v>
      </c>
      <c r="V1235" s="2">
        <v>11606</v>
      </c>
      <c r="W1235" s="2">
        <v>26693.8</v>
      </c>
      <c r="X1235" s="2">
        <v>2.2999999999999998</v>
      </c>
      <c r="Y1235" s="2">
        <v>0.04</v>
      </c>
      <c r="AB1235">
        <v>1</v>
      </c>
      <c r="AC1235">
        <v>2013</v>
      </c>
      <c r="AE1235" s="2">
        <v>464.24</v>
      </c>
    </row>
    <row r="1236" spans="2:31" ht="14.5">
      <c r="B1236" s="2">
        <v>84247</v>
      </c>
      <c r="C1236" s="2" t="s">
        <v>1624</v>
      </c>
      <c r="D1236" s="2" t="s">
        <v>1625</v>
      </c>
      <c r="E1236" s="2" t="s">
        <v>1581</v>
      </c>
      <c r="F1236" s="2" t="s">
        <v>29</v>
      </c>
      <c r="G1236" s="2" t="s">
        <v>30</v>
      </c>
      <c r="H1236" s="2" t="s">
        <v>218</v>
      </c>
      <c r="I1236" s="2" t="s">
        <v>219</v>
      </c>
      <c r="J1236" s="2" t="s">
        <v>220</v>
      </c>
      <c r="K1236" s="2" t="s">
        <v>34</v>
      </c>
      <c r="L1236" s="3"/>
      <c r="M1236" s="3">
        <v>41425</v>
      </c>
      <c r="N1236" s="3">
        <v>41417</v>
      </c>
      <c r="O1236" s="3">
        <v>41417</v>
      </c>
      <c r="P1236" s="2" t="s">
        <v>759</v>
      </c>
      <c r="Q1236" s="2" t="s">
        <v>84</v>
      </c>
      <c r="R1236" s="2" t="s">
        <v>37</v>
      </c>
      <c r="S1236" s="2" t="s">
        <v>152</v>
      </c>
      <c r="T1236" s="2" t="s">
        <v>39</v>
      </c>
      <c r="U1236" s="2">
        <v>120</v>
      </c>
      <c r="V1236" s="2">
        <v>240</v>
      </c>
      <c r="W1236" s="2">
        <v>5942.4</v>
      </c>
      <c r="X1236" s="2">
        <v>24.76</v>
      </c>
      <c r="Y1236" s="2">
        <v>0.21</v>
      </c>
      <c r="AB1236">
        <v>1</v>
      </c>
      <c r="AC1236">
        <v>2013</v>
      </c>
      <c r="AE1236" s="2">
        <v>50.4</v>
      </c>
    </row>
    <row r="1237" spans="2:31" ht="14.5">
      <c r="B1237" s="2">
        <v>84249</v>
      </c>
      <c r="C1237" s="2" t="s">
        <v>2853</v>
      </c>
      <c r="D1237" s="2" t="s">
        <v>2854</v>
      </c>
      <c r="E1237" s="2" t="s">
        <v>2817</v>
      </c>
      <c r="F1237" s="2" t="s">
        <v>29</v>
      </c>
      <c r="G1237" s="2" t="s">
        <v>30</v>
      </c>
      <c r="H1237" s="2" t="s">
        <v>218</v>
      </c>
      <c r="I1237" s="2" t="s">
        <v>219</v>
      </c>
      <c r="J1237" s="2" t="s">
        <v>220</v>
      </c>
      <c r="K1237" s="2" t="s">
        <v>34</v>
      </c>
      <c r="L1237" s="3"/>
      <c r="M1237" s="3">
        <v>41394</v>
      </c>
      <c r="N1237" s="3">
        <v>41381</v>
      </c>
      <c r="O1237" s="3">
        <v>41381</v>
      </c>
      <c r="P1237" s="2" t="s">
        <v>333</v>
      </c>
      <c r="Q1237" s="2" t="s">
        <v>225</v>
      </c>
      <c r="R1237" s="2" t="s">
        <v>37</v>
      </c>
      <c r="S1237" s="2" t="s">
        <v>100</v>
      </c>
      <c r="T1237" s="2" t="s">
        <v>39</v>
      </c>
      <c r="U1237" s="2">
        <v>60</v>
      </c>
      <c r="V1237" s="2">
        <v>1466</v>
      </c>
      <c r="W1237" s="2">
        <v>9910.16</v>
      </c>
      <c r="X1237" s="2">
        <v>6.76</v>
      </c>
      <c r="Y1237" s="2">
        <v>0.11</v>
      </c>
      <c r="Z1237" s="2">
        <v>83</v>
      </c>
      <c r="AA1237" s="2">
        <v>2089</v>
      </c>
      <c r="AB1237">
        <v>1</v>
      </c>
      <c r="AC1237">
        <v>2013</v>
      </c>
      <c r="AE1237" s="2">
        <v>161.26</v>
      </c>
    </row>
    <row r="1238" spans="2:31" ht="14.5">
      <c r="B1238" s="2">
        <v>84251</v>
      </c>
      <c r="C1238" s="2" t="s">
        <v>1849</v>
      </c>
      <c r="D1238" s="2" t="s">
        <v>1850</v>
      </c>
      <c r="E1238" s="2" t="s">
        <v>1581</v>
      </c>
      <c r="F1238" s="2" t="s">
        <v>29</v>
      </c>
      <c r="G1238" s="2" t="s">
        <v>30</v>
      </c>
      <c r="H1238" s="2" t="s">
        <v>218</v>
      </c>
      <c r="I1238" s="2" t="s">
        <v>219</v>
      </c>
      <c r="J1238" s="2" t="s">
        <v>220</v>
      </c>
      <c r="K1238" s="2" t="s">
        <v>34</v>
      </c>
      <c r="L1238" s="3"/>
      <c r="M1238" s="3">
        <v>41455</v>
      </c>
      <c r="N1238" s="3">
        <v>41403</v>
      </c>
      <c r="O1238" s="3">
        <v>41403</v>
      </c>
      <c r="P1238" s="2" t="s">
        <v>1457</v>
      </c>
      <c r="Q1238" s="2" t="s">
        <v>236</v>
      </c>
      <c r="R1238" s="2" t="s">
        <v>37</v>
      </c>
      <c r="S1238" s="2" t="s">
        <v>1458</v>
      </c>
      <c r="T1238" s="2" t="s">
        <v>47</v>
      </c>
      <c r="U1238" s="2">
        <v>30</v>
      </c>
      <c r="V1238" s="2">
        <v>1080</v>
      </c>
      <c r="W1238" s="2">
        <v>6555.6</v>
      </c>
      <c r="X1238" s="2">
        <v>6.07</v>
      </c>
      <c r="Y1238" s="2">
        <v>0.2</v>
      </c>
      <c r="AB1238">
        <v>1</v>
      </c>
      <c r="AC1238">
        <v>2013</v>
      </c>
      <c r="AE1238" s="2">
        <v>216</v>
      </c>
    </row>
    <row r="1239" spans="2:31" ht="14.5">
      <c r="B1239" s="2">
        <v>84260</v>
      </c>
      <c r="C1239" s="2" t="s">
        <v>2244</v>
      </c>
      <c r="D1239" s="2" t="s">
        <v>2245</v>
      </c>
      <c r="E1239" s="2" t="s">
        <v>28</v>
      </c>
      <c r="F1239" s="2" t="s">
        <v>29</v>
      </c>
      <c r="G1239" s="2" t="s">
        <v>50</v>
      </c>
      <c r="H1239" s="2" t="s">
        <v>218</v>
      </c>
      <c r="I1239" s="2" t="s">
        <v>219</v>
      </c>
      <c r="J1239" s="2" t="s">
        <v>220</v>
      </c>
      <c r="K1239" s="2" t="s">
        <v>267</v>
      </c>
      <c r="L1239" s="3"/>
      <c r="M1239" s="3">
        <v>41509</v>
      </c>
      <c r="N1239" s="3">
        <v>41408</v>
      </c>
      <c r="O1239" s="3">
        <v>41408</v>
      </c>
      <c r="P1239" s="2" t="s">
        <v>1632</v>
      </c>
      <c r="Q1239" s="2" t="s">
        <v>140</v>
      </c>
      <c r="R1239" s="2" t="s">
        <v>37</v>
      </c>
      <c r="S1239" s="2" t="s">
        <v>1633</v>
      </c>
      <c r="T1239" s="2" t="s">
        <v>729</v>
      </c>
      <c r="U1239" s="2">
        <v>60</v>
      </c>
      <c r="V1239" s="2">
        <v>12917</v>
      </c>
      <c r="W1239" s="2">
        <v>29709.1</v>
      </c>
      <c r="X1239" s="2">
        <v>2.2999999999999998</v>
      </c>
      <c r="Y1239" s="2">
        <v>0.04</v>
      </c>
      <c r="Z1239" s="2">
        <v>2461</v>
      </c>
      <c r="AA1239" s="2">
        <v>3592.8</v>
      </c>
      <c r="AB1239">
        <v>1</v>
      </c>
      <c r="AC1239">
        <v>2013</v>
      </c>
      <c r="AE1239" s="2">
        <v>516.68000000000006</v>
      </c>
    </row>
    <row r="1240" spans="2:31" ht="14.5">
      <c r="B1240" s="2">
        <v>84274</v>
      </c>
      <c r="C1240" s="2" t="s">
        <v>2246</v>
      </c>
      <c r="D1240" s="2" t="s">
        <v>2247</v>
      </c>
      <c r="E1240" s="2" t="s">
        <v>118</v>
      </c>
      <c r="F1240" s="2" t="s">
        <v>29</v>
      </c>
      <c r="G1240" s="2" t="s">
        <v>30</v>
      </c>
      <c r="H1240" s="2" t="s">
        <v>218</v>
      </c>
      <c r="I1240" s="2" t="s">
        <v>219</v>
      </c>
      <c r="J1240" s="2" t="s">
        <v>220</v>
      </c>
      <c r="K1240" s="2" t="s">
        <v>34</v>
      </c>
      <c r="L1240" s="3"/>
      <c r="M1240" s="3">
        <v>41486</v>
      </c>
      <c r="N1240" s="3">
        <v>41478</v>
      </c>
      <c r="O1240" s="3">
        <v>41478</v>
      </c>
      <c r="P1240" s="2" t="s">
        <v>754</v>
      </c>
      <c r="Q1240" s="2" t="s">
        <v>755</v>
      </c>
      <c r="R1240" s="2" t="s">
        <v>37</v>
      </c>
      <c r="S1240" s="2" t="s">
        <v>756</v>
      </c>
      <c r="T1240" s="2" t="s">
        <v>47</v>
      </c>
      <c r="U1240" s="2">
        <v>30</v>
      </c>
      <c r="V1240" s="2">
        <v>35930</v>
      </c>
      <c r="W1240" s="2">
        <v>377983.6</v>
      </c>
      <c r="X1240" s="2">
        <v>10.52</v>
      </c>
      <c r="Y1240" s="2">
        <v>0.35</v>
      </c>
      <c r="Z1240" s="2">
        <v>4811</v>
      </c>
      <c r="AA1240" s="2">
        <v>2486.5</v>
      </c>
      <c r="AB1240">
        <v>1</v>
      </c>
      <c r="AC1240">
        <v>2013</v>
      </c>
      <c r="AE1240" s="2">
        <v>12575.5</v>
      </c>
    </row>
    <row r="1241" spans="2:31" ht="14.5">
      <c r="B1241" s="2">
        <v>84275</v>
      </c>
      <c r="C1241" s="2" t="s">
        <v>2071</v>
      </c>
      <c r="D1241" s="2" t="s">
        <v>2072</v>
      </c>
      <c r="E1241" s="2" t="s">
        <v>118</v>
      </c>
      <c r="F1241" s="2" t="s">
        <v>29</v>
      </c>
      <c r="G1241" s="2" t="s">
        <v>30</v>
      </c>
      <c r="H1241" s="2" t="s">
        <v>218</v>
      </c>
      <c r="I1241" s="2" t="s">
        <v>219</v>
      </c>
      <c r="J1241" s="2" t="s">
        <v>220</v>
      </c>
      <c r="K1241" s="2" t="s">
        <v>267</v>
      </c>
      <c r="L1241" s="3"/>
      <c r="M1241" s="3">
        <v>41486</v>
      </c>
      <c r="N1241" s="3">
        <v>41512</v>
      </c>
      <c r="O1241" s="3">
        <v>41512</v>
      </c>
      <c r="P1241" s="2" t="s">
        <v>112</v>
      </c>
      <c r="Q1241" s="2" t="s">
        <v>113</v>
      </c>
      <c r="R1241" s="2" t="s">
        <v>37</v>
      </c>
      <c r="S1241" s="2" t="s">
        <v>114</v>
      </c>
      <c r="T1241" s="2" t="s">
        <v>47</v>
      </c>
      <c r="U1241" s="2">
        <v>60</v>
      </c>
      <c r="V1241" s="2">
        <v>44017</v>
      </c>
      <c r="W1241" s="2">
        <v>363580.42</v>
      </c>
      <c r="X1241" s="2">
        <v>8.26</v>
      </c>
      <c r="Y1241" s="2">
        <v>0.14000000000000001</v>
      </c>
      <c r="AB1241">
        <v>0</v>
      </c>
      <c r="AC1241">
        <v>2013</v>
      </c>
      <c r="AE1241" s="2">
        <v>6162.380000000001</v>
      </c>
    </row>
    <row r="1242" spans="2:31" ht="14.5">
      <c r="B1242" s="2">
        <v>84280</v>
      </c>
      <c r="C1242" s="2" t="s">
        <v>2248</v>
      </c>
      <c r="D1242" s="2" t="s">
        <v>2249</v>
      </c>
      <c r="E1242" s="2" t="s">
        <v>118</v>
      </c>
      <c r="F1242" s="2" t="s">
        <v>29</v>
      </c>
      <c r="G1242" s="2" t="s">
        <v>30</v>
      </c>
      <c r="H1242" s="2" t="s">
        <v>218</v>
      </c>
      <c r="I1242" s="2" t="s">
        <v>219</v>
      </c>
      <c r="J1242" s="2" t="s">
        <v>220</v>
      </c>
      <c r="K1242" s="2" t="s">
        <v>267</v>
      </c>
      <c r="L1242" s="3"/>
      <c r="M1242" s="3">
        <v>41492</v>
      </c>
      <c r="N1242" s="3">
        <v>41508</v>
      </c>
      <c r="O1242" s="3">
        <v>41508</v>
      </c>
      <c r="P1242" s="2" t="s">
        <v>44</v>
      </c>
      <c r="Q1242" s="2" t="s">
        <v>45</v>
      </c>
      <c r="R1242" s="2" t="s">
        <v>37</v>
      </c>
      <c r="S1242" s="2" t="s">
        <v>46</v>
      </c>
      <c r="T1242" s="2" t="s">
        <v>47</v>
      </c>
      <c r="U1242" s="2">
        <v>60</v>
      </c>
      <c r="V1242" s="2">
        <v>45233</v>
      </c>
      <c r="W1242" s="2">
        <v>316631</v>
      </c>
      <c r="X1242" s="2">
        <v>7</v>
      </c>
      <c r="Y1242" s="2">
        <v>0.12</v>
      </c>
      <c r="Z1242" s="2">
        <v>3984</v>
      </c>
      <c r="AA1242" s="2">
        <v>20074.740000000002</v>
      </c>
      <c r="AB1242">
        <v>0</v>
      </c>
      <c r="AC1242">
        <v>2013</v>
      </c>
      <c r="AE1242" s="2">
        <v>5427.96</v>
      </c>
    </row>
    <row r="1243" spans="2:31" ht="14.5">
      <c r="B1243" s="2">
        <v>84288</v>
      </c>
      <c r="C1243" s="2" t="s">
        <v>2250</v>
      </c>
      <c r="D1243" s="2" t="s">
        <v>2251</v>
      </c>
      <c r="E1243" s="2" t="s">
        <v>28</v>
      </c>
      <c r="F1243" s="2" t="s">
        <v>29</v>
      </c>
      <c r="G1243" s="2" t="s">
        <v>30</v>
      </c>
      <c r="H1243" s="2" t="s">
        <v>218</v>
      </c>
      <c r="I1243" s="2" t="s">
        <v>219</v>
      </c>
      <c r="J1243" s="2" t="s">
        <v>220</v>
      </c>
      <c r="K1243" s="2" t="s">
        <v>267</v>
      </c>
      <c r="L1243" s="3"/>
      <c r="M1243" s="3">
        <v>41598</v>
      </c>
      <c r="N1243" s="3">
        <v>41527</v>
      </c>
      <c r="O1243" s="3">
        <v>41527</v>
      </c>
      <c r="P1243" s="2" t="s">
        <v>98</v>
      </c>
      <c r="Q1243" s="2" t="s">
        <v>99</v>
      </c>
      <c r="R1243" s="2" t="s">
        <v>37</v>
      </c>
      <c r="S1243" s="2" t="s">
        <v>100</v>
      </c>
      <c r="T1243" s="2" t="s">
        <v>39</v>
      </c>
      <c r="U1243" s="2">
        <v>60</v>
      </c>
      <c r="V1243" s="2">
        <v>13370</v>
      </c>
      <c r="W1243" s="2">
        <v>153220.20000000001</v>
      </c>
      <c r="X1243" s="2">
        <v>11.46</v>
      </c>
      <c r="Y1243" s="2">
        <v>0.19</v>
      </c>
      <c r="Z1243" s="2">
        <v>1337</v>
      </c>
      <c r="AA1243" s="2">
        <v>10540.22</v>
      </c>
      <c r="AB1243">
        <v>1</v>
      </c>
      <c r="AC1243">
        <v>2013</v>
      </c>
      <c r="AE1243" s="2">
        <v>2540.3000000000002</v>
      </c>
    </row>
    <row r="1244" spans="2:31" ht="14.5">
      <c r="B1244" s="2">
        <v>84289</v>
      </c>
      <c r="C1244" s="2" t="s">
        <v>2252</v>
      </c>
      <c r="D1244" s="2" t="s">
        <v>2253</v>
      </c>
      <c r="E1244" s="2" t="s">
        <v>118</v>
      </c>
      <c r="F1244" s="2" t="s">
        <v>29</v>
      </c>
      <c r="G1244" s="2" t="s">
        <v>30</v>
      </c>
      <c r="H1244" s="2" t="s">
        <v>218</v>
      </c>
      <c r="I1244" s="2" t="s">
        <v>219</v>
      </c>
      <c r="J1244" s="2" t="s">
        <v>220</v>
      </c>
      <c r="K1244" s="2" t="s">
        <v>34</v>
      </c>
      <c r="L1244" s="3"/>
      <c r="M1244" s="3">
        <v>41547</v>
      </c>
      <c r="N1244" s="3">
        <v>41576</v>
      </c>
      <c r="O1244" s="3">
        <v>41597</v>
      </c>
      <c r="P1244" s="2" t="s">
        <v>150</v>
      </c>
      <c r="Q1244" s="2" t="s">
        <v>84</v>
      </c>
      <c r="R1244" s="2" t="s">
        <v>151</v>
      </c>
      <c r="S1244" s="2" t="s">
        <v>152</v>
      </c>
      <c r="T1244" s="2" t="s">
        <v>39</v>
      </c>
      <c r="U1244" s="2">
        <v>120</v>
      </c>
      <c r="V1244" s="2">
        <v>13040</v>
      </c>
      <c r="W1244" s="2">
        <v>263668.8</v>
      </c>
      <c r="X1244" s="2">
        <v>20.22</v>
      </c>
      <c r="Y1244" s="2">
        <v>0.17</v>
      </c>
      <c r="Z1244" s="2">
        <v>2638</v>
      </c>
      <c r="AA1244" s="2">
        <v>13508.98</v>
      </c>
      <c r="AB1244">
        <v>0</v>
      </c>
      <c r="AC1244">
        <v>2013</v>
      </c>
      <c r="AE1244" s="2">
        <v>2216.8000000000002</v>
      </c>
    </row>
    <row r="1245" spans="2:31" ht="14.5">
      <c r="B1245" s="2">
        <v>84291</v>
      </c>
      <c r="C1245" s="2" t="s">
        <v>2254</v>
      </c>
      <c r="D1245" s="2" t="s">
        <v>2255</v>
      </c>
      <c r="E1245" s="2" t="s">
        <v>42</v>
      </c>
      <c r="F1245" s="2" t="s">
        <v>29</v>
      </c>
      <c r="G1245" s="2" t="s">
        <v>50</v>
      </c>
      <c r="H1245" s="2" t="s">
        <v>218</v>
      </c>
      <c r="I1245" s="2" t="s">
        <v>219</v>
      </c>
      <c r="J1245" s="2" t="s">
        <v>220</v>
      </c>
      <c r="K1245" s="2" t="s">
        <v>267</v>
      </c>
      <c r="L1245" s="3"/>
      <c r="M1245" s="3">
        <v>41562</v>
      </c>
      <c r="N1245" s="3">
        <v>41562</v>
      </c>
      <c r="O1245" s="3">
        <v>41576</v>
      </c>
      <c r="P1245" s="2" t="s">
        <v>1288</v>
      </c>
      <c r="Q1245" s="2" t="s">
        <v>165</v>
      </c>
      <c r="R1245" s="2" t="s">
        <v>37</v>
      </c>
      <c r="S1245" s="2" t="s">
        <v>226</v>
      </c>
      <c r="T1245" s="2" t="s">
        <v>87</v>
      </c>
      <c r="U1245" s="2">
        <v>240</v>
      </c>
      <c r="V1245" s="2">
        <v>5495</v>
      </c>
      <c r="W1245" s="2">
        <v>7967.75</v>
      </c>
      <c r="X1245" s="2">
        <v>1.45</v>
      </c>
      <c r="Y1245" s="2">
        <v>0.01</v>
      </c>
      <c r="Z1245" s="2">
        <v>1960</v>
      </c>
      <c r="AA1245" s="2">
        <v>4390.9799999999996</v>
      </c>
      <c r="AB1245">
        <v>1</v>
      </c>
      <c r="AC1245">
        <v>2013</v>
      </c>
      <c r="AE1245" s="2">
        <v>54.95</v>
      </c>
    </row>
    <row r="1246" spans="2:31" ht="14.5">
      <c r="B1246" s="2">
        <v>84292</v>
      </c>
      <c r="C1246" s="2" t="s">
        <v>2256</v>
      </c>
      <c r="D1246" s="2" t="s">
        <v>2257</v>
      </c>
      <c r="E1246" s="2" t="s">
        <v>118</v>
      </c>
      <c r="F1246" s="2" t="s">
        <v>29</v>
      </c>
      <c r="G1246" s="2" t="s">
        <v>30</v>
      </c>
      <c r="H1246" s="2" t="s">
        <v>218</v>
      </c>
      <c r="I1246" s="2" t="s">
        <v>219</v>
      </c>
      <c r="J1246" s="2" t="s">
        <v>220</v>
      </c>
      <c r="K1246" s="2" t="s">
        <v>34</v>
      </c>
      <c r="L1246" s="3"/>
      <c r="M1246" s="3">
        <v>41562</v>
      </c>
      <c r="N1246" s="3">
        <v>41586</v>
      </c>
      <c r="O1246" s="3">
        <v>41605</v>
      </c>
      <c r="P1246" s="2" t="s">
        <v>150</v>
      </c>
      <c r="Q1246" s="2" t="s">
        <v>84</v>
      </c>
      <c r="R1246" s="2" t="s">
        <v>151</v>
      </c>
      <c r="S1246" s="2" t="s">
        <v>152</v>
      </c>
      <c r="T1246" s="2" t="s">
        <v>39</v>
      </c>
      <c r="U1246" s="2">
        <v>120</v>
      </c>
      <c r="V1246" s="2">
        <v>13164</v>
      </c>
      <c r="W1246" s="2">
        <v>266176.08</v>
      </c>
      <c r="X1246" s="2">
        <v>20.22</v>
      </c>
      <c r="Y1246" s="2">
        <v>0.17</v>
      </c>
      <c r="Z1246" s="2">
        <v>2722</v>
      </c>
      <c r="AA1246" s="2">
        <v>8604.7000000000007</v>
      </c>
      <c r="AB1246">
        <v>0</v>
      </c>
      <c r="AC1246">
        <v>2013</v>
      </c>
      <c r="AE1246" s="2">
        <v>2237.88</v>
      </c>
    </row>
    <row r="1247" spans="2:31" ht="14.5">
      <c r="B1247" s="2">
        <v>84296</v>
      </c>
      <c r="C1247" s="2" t="s">
        <v>1652</v>
      </c>
      <c r="D1247" s="2" t="s">
        <v>1653</v>
      </c>
      <c r="E1247" s="2" t="s">
        <v>28</v>
      </c>
      <c r="F1247" s="2" t="s">
        <v>29</v>
      </c>
      <c r="G1247" s="2" t="s">
        <v>50</v>
      </c>
      <c r="H1247" s="2" t="s">
        <v>218</v>
      </c>
      <c r="I1247" s="2" t="s">
        <v>219</v>
      </c>
      <c r="J1247" s="2" t="s">
        <v>220</v>
      </c>
      <c r="K1247" s="2" t="s">
        <v>267</v>
      </c>
      <c r="L1247" s="3"/>
      <c r="M1247" s="3">
        <v>41578</v>
      </c>
      <c r="N1247" s="3">
        <v>41582</v>
      </c>
      <c r="O1247" s="3">
        <v>41584</v>
      </c>
      <c r="P1247" s="2" t="s">
        <v>818</v>
      </c>
      <c r="Q1247" s="2" t="s">
        <v>36</v>
      </c>
      <c r="R1247" s="2" t="s">
        <v>37</v>
      </c>
      <c r="S1247" s="2" t="s">
        <v>226</v>
      </c>
      <c r="T1247" s="2" t="s">
        <v>526</v>
      </c>
      <c r="U1247" s="2">
        <v>100</v>
      </c>
      <c r="V1247" s="2">
        <v>56540</v>
      </c>
      <c r="W1247" s="2">
        <v>73502</v>
      </c>
      <c r="X1247" s="2">
        <v>1.3</v>
      </c>
      <c r="Y1247" s="2">
        <v>0.01</v>
      </c>
      <c r="AB1247">
        <v>0</v>
      </c>
      <c r="AC1247">
        <v>2013</v>
      </c>
      <c r="AE1247" s="2">
        <v>565.4</v>
      </c>
    </row>
    <row r="1248" spans="2:31" ht="14.5">
      <c r="B1248" s="2">
        <v>84303</v>
      </c>
      <c r="C1248" s="2" t="s">
        <v>2258</v>
      </c>
      <c r="D1248" s="2" t="s">
        <v>2259</v>
      </c>
      <c r="E1248" s="2" t="s">
        <v>42</v>
      </c>
      <c r="F1248" s="2" t="s">
        <v>29</v>
      </c>
      <c r="G1248" s="2" t="s">
        <v>30</v>
      </c>
      <c r="H1248" s="2" t="s">
        <v>218</v>
      </c>
      <c r="I1248" s="2" t="s">
        <v>219</v>
      </c>
      <c r="J1248" s="2" t="s">
        <v>220</v>
      </c>
      <c r="K1248" s="2" t="s">
        <v>267</v>
      </c>
      <c r="L1248" s="3"/>
      <c r="M1248" s="3">
        <v>41607</v>
      </c>
      <c r="N1248" s="3">
        <v>41607</v>
      </c>
      <c r="O1248" s="3">
        <v>41631</v>
      </c>
      <c r="P1248" s="2" t="s">
        <v>112</v>
      </c>
      <c r="Q1248" s="2" t="s">
        <v>113</v>
      </c>
      <c r="R1248" s="2" t="s">
        <v>37</v>
      </c>
      <c r="S1248" s="2" t="s">
        <v>114</v>
      </c>
      <c r="T1248" s="2" t="s">
        <v>47</v>
      </c>
      <c r="U1248" s="2">
        <v>60</v>
      </c>
      <c r="V1248" s="2">
        <v>89520</v>
      </c>
      <c r="W1248" s="2">
        <v>768081.6</v>
      </c>
      <c r="X1248" s="2">
        <v>8.58</v>
      </c>
      <c r="Y1248" s="2">
        <v>0.14000000000000001</v>
      </c>
      <c r="Z1248" s="2">
        <v>10238</v>
      </c>
      <c r="AA1248" s="2">
        <v>13380.52</v>
      </c>
      <c r="AB1248">
        <v>1</v>
      </c>
      <c r="AC1248">
        <v>2013</v>
      </c>
      <c r="AE1248" s="2">
        <v>12532.800000000001</v>
      </c>
    </row>
    <row r="1249" spans="2:31" ht="14.5">
      <c r="B1249" s="2">
        <v>84304</v>
      </c>
      <c r="C1249" s="2" t="s">
        <v>1881</v>
      </c>
      <c r="D1249" s="2" t="s">
        <v>1882</v>
      </c>
      <c r="E1249" s="2" t="s">
        <v>28</v>
      </c>
      <c r="F1249" s="2" t="s">
        <v>29</v>
      </c>
      <c r="G1249" s="2" t="s">
        <v>30</v>
      </c>
      <c r="H1249" s="2" t="s">
        <v>218</v>
      </c>
      <c r="I1249" s="2" t="s">
        <v>219</v>
      </c>
      <c r="J1249" s="2" t="s">
        <v>220</v>
      </c>
      <c r="K1249" s="2" t="s">
        <v>267</v>
      </c>
      <c r="L1249" s="3"/>
      <c r="M1249" s="3">
        <v>41634</v>
      </c>
      <c r="N1249" s="3">
        <v>41624</v>
      </c>
      <c r="O1249" s="3">
        <v>41656</v>
      </c>
      <c r="P1249" s="2" t="s">
        <v>35</v>
      </c>
      <c r="Q1249" s="2" t="s">
        <v>36</v>
      </c>
      <c r="R1249" s="2" t="s">
        <v>37</v>
      </c>
      <c r="S1249" s="2" t="s">
        <v>38</v>
      </c>
      <c r="T1249" s="2" t="s">
        <v>39</v>
      </c>
      <c r="U1249" s="2">
        <v>60</v>
      </c>
      <c r="V1249" s="2">
        <v>59498</v>
      </c>
      <c r="W1249" s="2">
        <v>134465.48000000001</v>
      </c>
      <c r="X1249" s="2">
        <v>2.2599999999999998</v>
      </c>
      <c r="Y1249" s="2">
        <v>0.04</v>
      </c>
      <c r="AB1249">
        <v>1</v>
      </c>
      <c r="AC1249">
        <v>2014</v>
      </c>
      <c r="AE1249" s="2">
        <v>2379.92</v>
      </c>
    </row>
    <row r="1250" spans="2:31" ht="14.5">
      <c r="B1250" s="2">
        <v>84307</v>
      </c>
      <c r="C1250" s="2" t="s">
        <v>2260</v>
      </c>
      <c r="D1250" s="2" t="s">
        <v>2261</v>
      </c>
      <c r="E1250" s="2" t="s">
        <v>42</v>
      </c>
      <c r="F1250" s="2" t="s">
        <v>29</v>
      </c>
      <c r="G1250" s="2" t="s">
        <v>50</v>
      </c>
      <c r="H1250" s="2" t="s">
        <v>218</v>
      </c>
      <c r="I1250" s="2" t="s">
        <v>219</v>
      </c>
      <c r="J1250" s="2" t="s">
        <v>220</v>
      </c>
      <c r="K1250" s="2" t="s">
        <v>267</v>
      </c>
      <c r="L1250" s="3"/>
      <c r="M1250" s="3">
        <v>41607</v>
      </c>
      <c r="N1250" s="3">
        <v>41675</v>
      </c>
      <c r="O1250" s="3">
        <v>41694</v>
      </c>
      <c r="P1250" s="2" t="s">
        <v>1288</v>
      </c>
      <c r="Q1250" s="2" t="s">
        <v>165</v>
      </c>
      <c r="R1250" s="2" t="s">
        <v>37</v>
      </c>
      <c r="S1250" s="2" t="s">
        <v>226</v>
      </c>
      <c r="T1250" s="2" t="s">
        <v>87</v>
      </c>
      <c r="U1250" s="2">
        <v>240</v>
      </c>
      <c r="V1250" s="2">
        <v>5233</v>
      </c>
      <c r="W1250" s="2">
        <v>7587.85</v>
      </c>
      <c r="X1250" s="2">
        <v>1.45</v>
      </c>
      <c r="Y1250" s="2">
        <v>0.01</v>
      </c>
      <c r="Z1250" s="2">
        <v>1855</v>
      </c>
      <c r="AA1250" s="2">
        <v>6638.3</v>
      </c>
      <c r="AB1250">
        <v>0</v>
      </c>
      <c r="AC1250">
        <v>2014</v>
      </c>
      <c r="AE1250" s="2">
        <v>52.33</v>
      </c>
    </row>
    <row r="1251" spans="2:31" ht="14.5">
      <c r="B1251" s="2">
        <v>84319</v>
      </c>
      <c r="C1251" s="2" t="s">
        <v>2262</v>
      </c>
      <c r="D1251" s="2" t="s">
        <v>2263</v>
      </c>
      <c r="E1251" s="2" t="s">
        <v>1581</v>
      </c>
      <c r="F1251" s="2" t="s">
        <v>29</v>
      </c>
      <c r="G1251" s="2" t="s">
        <v>30</v>
      </c>
      <c r="H1251" s="2" t="s">
        <v>218</v>
      </c>
      <c r="I1251" s="2" t="s">
        <v>219</v>
      </c>
      <c r="J1251" s="2" t="s">
        <v>220</v>
      </c>
      <c r="K1251" s="2" t="s">
        <v>34</v>
      </c>
      <c r="L1251" s="3"/>
      <c r="M1251" s="3">
        <v>41593</v>
      </c>
      <c r="N1251" s="3">
        <v>41600</v>
      </c>
      <c r="O1251" s="3">
        <v>41660</v>
      </c>
      <c r="P1251" s="2" t="s">
        <v>759</v>
      </c>
      <c r="Q1251" s="2" t="s">
        <v>84</v>
      </c>
      <c r="R1251" s="2" t="s">
        <v>37</v>
      </c>
      <c r="S1251" s="2" t="s">
        <v>152</v>
      </c>
      <c r="T1251" s="2" t="s">
        <v>39</v>
      </c>
      <c r="U1251" s="2">
        <v>120</v>
      </c>
      <c r="V1251" s="2">
        <v>88</v>
      </c>
      <c r="W1251" s="2">
        <v>1848</v>
      </c>
      <c r="X1251" s="2">
        <v>21</v>
      </c>
      <c r="Y1251" s="2">
        <v>0.18</v>
      </c>
      <c r="Z1251" s="2">
        <v>95</v>
      </c>
      <c r="AA1251" s="2">
        <v>771.9</v>
      </c>
      <c r="AB1251">
        <v>0</v>
      </c>
      <c r="AC1251">
        <v>2014</v>
      </c>
      <c r="AE1251" s="2">
        <v>15.84</v>
      </c>
    </row>
    <row r="1252" spans="2:31" ht="14.5">
      <c r="B1252" s="2">
        <v>84321</v>
      </c>
      <c r="C1252" s="2" t="s">
        <v>2264</v>
      </c>
      <c r="D1252" s="2" t="s">
        <v>2265</v>
      </c>
      <c r="E1252" s="2" t="s">
        <v>42</v>
      </c>
      <c r="F1252" s="2" t="s">
        <v>29</v>
      </c>
      <c r="G1252" s="2" t="s">
        <v>50</v>
      </c>
      <c r="H1252" s="2" t="s">
        <v>218</v>
      </c>
      <c r="I1252" s="2" t="s">
        <v>219</v>
      </c>
      <c r="J1252" s="2" t="s">
        <v>220</v>
      </c>
      <c r="K1252" s="2" t="s">
        <v>267</v>
      </c>
      <c r="L1252" s="3"/>
      <c r="M1252" s="3">
        <v>41698</v>
      </c>
      <c r="N1252" s="3">
        <v>41695</v>
      </c>
      <c r="O1252" s="3">
        <v>41705</v>
      </c>
      <c r="P1252" s="2" t="s">
        <v>802</v>
      </c>
      <c r="Q1252" s="2" t="s">
        <v>96</v>
      </c>
      <c r="R1252" s="2" t="s">
        <v>37</v>
      </c>
      <c r="S1252" s="2" t="s">
        <v>38</v>
      </c>
      <c r="T1252" s="2" t="s">
        <v>39</v>
      </c>
      <c r="U1252" s="2">
        <v>90</v>
      </c>
      <c r="V1252" s="2">
        <v>2586</v>
      </c>
      <c r="W1252" s="2">
        <v>24049.8</v>
      </c>
      <c r="X1252" s="2">
        <v>9.3000000000000007</v>
      </c>
      <c r="Y1252" s="2">
        <v>0.1</v>
      </c>
      <c r="Z1252" s="2">
        <v>164</v>
      </c>
      <c r="AA1252" s="2">
        <v>2737.75</v>
      </c>
      <c r="AB1252">
        <v>1</v>
      </c>
      <c r="AC1252">
        <v>2014</v>
      </c>
      <c r="AE1252" s="2">
        <v>258.60000000000002</v>
      </c>
    </row>
    <row r="1253" spans="2:31" ht="14.5">
      <c r="B1253" s="2">
        <v>84322</v>
      </c>
      <c r="C1253" s="2" t="s">
        <v>2855</v>
      </c>
      <c r="D1253" s="2" t="s">
        <v>2856</v>
      </c>
      <c r="E1253" s="2" t="s">
        <v>2817</v>
      </c>
      <c r="F1253" s="2" t="s">
        <v>29</v>
      </c>
      <c r="G1253" s="2" t="s">
        <v>30</v>
      </c>
      <c r="H1253" s="2" t="s">
        <v>218</v>
      </c>
      <c r="I1253" s="2" t="s">
        <v>219</v>
      </c>
      <c r="J1253" s="2" t="s">
        <v>220</v>
      </c>
      <c r="K1253" s="2" t="s">
        <v>34</v>
      </c>
      <c r="L1253" s="3"/>
      <c r="M1253" s="3">
        <v>41661</v>
      </c>
      <c r="N1253" s="3">
        <v>41681</v>
      </c>
      <c r="O1253" s="3">
        <v>41683</v>
      </c>
      <c r="P1253" s="2" t="s">
        <v>35</v>
      </c>
      <c r="Q1253" s="2" t="s">
        <v>36</v>
      </c>
      <c r="R1253" s="2" t="s">
        <v>37</v>
      </c>
      <c r="S1253" s="2" t="s">
        <v>38</v>
      </c>
      <c r="T1253" s="2" t="s">
        <v>39</v>
      </c>
      <c r="U1253" s="2">
        <v>60</v>
      </c>
      <c r="V1253" s="2">
        <v>378</v>
      </c>
      <c r="W1253" s="2">
        <v>854.28</v>
      </c>
      <c r="X1253" s="2">
        <v>2.2599999999999998</v>
      </c>
      <c r="Y1253" s="2">
        <v>0.04</v>
      </c>
      <c r="Z1253" s="2">
        <v>613</v>
      </c>
      <c r="AA1253" s="2">
        <v>6333</v>
      </c>
      <c r="AB1253">
        <v>0</v>
      </c>
      <c r="AC1253">
        <v>2014</v>
      </c>
      <c r="AE1253" s="2">
        <v>15.120000000000001</v>
      </c>
    </row>
    <row r="1254" spans="2:31" ht="14.5">
      <c r="B1254" s="2">
        <v>84323</v>
      </c>
      <c r="C1254" s="2" t="s">
        <v>1660</v>
      </c>
      <c r="D1254" s="2" t="s">
        <v>1661</v>
      </c>
      <c r="E1254" s="2" t="s">
        <v>42</v>
      </c>
      <c r="F1254" s="2" t="s">
        <v>29</v>
      </c>
      <c r="G1254" s="2" t="s">
        <v>30</v>
      </c>
      <c r="H1254" s="2" t="s">
        <v>218</v>
      </c>
      <c r="I1254" s="2" t="s">
        <v>219</v>
      </c>
      <c r="J1254" s="2" t="s">
        <v>220</v>
      </c>
      <c r="K1254" s="2" t="s">
        <v>267</v>
      </c>
      <c r="L1254" s="3"/>
      <c r="M1254" s="3">
        <v>41670</v>
      </c>
      <c r="N1254" s="3">
        <v>41673</v>
      </c>
      <c r="O1254" s="3">
        <v>41694</v>
      </c>
      <c r="P1254" s="2" t="s">
        <v>706</v>
      </c>
      <c r="Q1254" s="2" t="s">
        <v>707</v>
      </c>
      <c r="R1254" s="2" t="s">
        <v>37</v>
      </c>
      <c r="S1254" s="2" t="s">
        <v>708</v>
      </c>
      <c r="T1254" s="2" t="s">
        <v>47</v>
      </c>
      <c r="U1254" s="2">
        <v>30</v>
      </c>
      <c r="V1254" s="2">
        <v>1303</v>
      </c>
      <c r="W1254" s="2">
        <v>6124.1</v>
      </c>
      <c r="X1254" s="2">
        <v>4.7</v>
      </c>
      <c r="Y1254" s="2">
        <v>0.16</v>
      </c>
      <c r="AB1254">
        <v>0</v>
      </c>
      <c r="AC1254">
        <v>2014</v>
      </c>
      <c r="AE1254" s="2">
        <v>208.48000000000002</v>
      </c>
    </row>
    <row r="1255" spans="2:31" ht="14.5">
      <c r="B1255" s="2">
        <v>84329</v>
      </c>
      <c r="C1255" s="2" t="s">
        <v>2266</v>
      </c>
      <c r="D1255" s="2" t="s">
        <v>2267</v>
      </c>
      <c r="E1255" s="2" t="s">
        <v>118</v>
      </c>
      <c r="F1255" s="2" t="s">
        <v>29</v>
      </c>
      <c r="G1255" s="2" t="s">
        <v>50</v>
      </c>
      <c r="H1255" s="2" t="s">
        <v>218</v>
      </c>
      <c r="I1255" s="2" t="s">
        <v>219</v>
      </c>
      <c r="J1255" s="2" t="s">
        <v>220</v>
      </c>
      <c r="K1255" s="2" t="s">
        <v>34</v>
      </c>
      <c r="L1255" s="3"/>
      <c r="M1255" s="3">
        <v>41670</v>
      </c>
      <c r="N1255" s="3">
        <v>41687</v>
      </c>
      <c r="O1255" s="3">
        <v>41702</v>
      </c>
      <c r="P1255" s="2" t="s">
        <v>1664</v>
      </c>
      <c r="Q1255" s="2" t="s">
        <v>1000</v>
      </c>
      <c r="R1255" s="2" t="s">
        <v>37</v>
      </c>
      <c r="S1255" s="2" t="s">
        <v>1665</v>
      </c>
      <c r="T1255" s="2" t="s">
        <v>47</v>
      </c>
      <c r="U1255" s="2">
        <v>60</v>
      </c>
      <c r="V1255" s="2">
        <v>1864</v>
      </c>
      <c r="W1255" s="2">
        <v>7456</v>
      </c>
      <c r="X1255" s="2">
        <v>4</v>
      </c>
      <c r="Y1255" s="2">
        <v>7.0000000000000007E-2</v>
      </c>
      <c r="Z1255" s="2">
        <v>89</v>
      </c>
      <c r="AA1255" s="2">
        <v>790.29</v>
      </c>
      <c r="AB1255">
        <v>0</v>
      </c>
      <c r="AC1255">
        <v>2014</v>
      </c>
      <c r="AE1255" s="2">
        <v>130.48000000000002</v>
      </c>
    </row>
    <row r="1256" spans="2:31" ht="14.5">
      <c r="B1256" s="2">
        <v>84332</v>
      </c>
      <c r="C1256" s="2" t="s">
        <v>2087</v>
      </c>
      <c r="D1256" s="2" t="s">
        <v>2088</v>
      </c>
      <c r="E1256" s="2" t="s">
        <v>28</v>
      </c>
      <c r="F1256" s="2" t="s">
        <v>29</v>
      </c>
      <c r="G1256" s="2" t="s">
        <v>30</v>
      </c>
      <c r="H1256" s="2" t="s">
        <v>218</v>
      </c>
      <c r="I1256" s="2" t="s">
        <v>219</v>
      </c>
      <c r="J1256" s="2" t="s">
        <v>220</v>
      </c>
      <c r="K1256" s="2" t="s">
        <v>267</v>
      </c>
      <c r="L1256" s="3"/>
      <c r="M1256" s="3">
        <v>41670</v>
      </c>
      <c r="N1256" s="3">
        <v>41689</v>
      </c>
      <c r="O1256" s="3">
        <v>41694</v>
      </c>
      <c r="P1256" s="2" t="s">
        <v>98</v>
      </c>
      <c r="Q1256" s="2" t="s">
        <v>99</v>
      </c>
      <c r="R1256" s="2" t="s">
        <v>37</v>
      </c>
      <c r="S1256" s="2" t="s">
        <v>100</v>
      </c>
      <c r="T1256" s="2" t="s">
        <v>39</v>
      </c>
      <c r="U1256" s="2">
        <v>60</v>
      </c>
      <c r="V1256" s="2">
        <v>11022</v>
      </c>
      <c r="W1256" s="2">
        <v>125209.92</v>
      </c>
      <c r="X1256" s="2">
        <v>11.36</v>
      </c>
      <c r="Y1256" s="2">
        <v>0.19</v>
      </c>
      <c r="AB1256">
        <v>0</v>
      </c>
      <c r="AC1256">
        <v>2014</v>
      </c>
      <c r="AE1256" s="2">
        <v>2094.1799999999998</v>
      </c>
    </row>
    <row r="1257" spans="2:31" ht="14.5">
      <c r="B1257" s="2">
        <v>84344</v>
      </c>
      <c r="C1257" s="2" t="s">
        <v>1895</v>
      </c>
      <c r="D1257" s="2" t="s">
        <v>1896</v>
      </c>
      <c r="E1257" s="2" t="s">
        <v>42</v>
      </c>
      <c r="F1257" s="2" t="s">
        <v>29</v>
      </c>
      <c r="G1257" s="2" t="s">
        <v>30</v>
      </c>
      <c r="H1257" s="2" t="s">
        <v>218</v>
      </c>
      <c r="I1257" s="2" t="s">
        <v>219</v>
      </c>
      <c r="J1257" s="2" t="s">
        <v>220</v>
      </c>
      <c r="K1257" s="2" t="s">
        <v>267</v>
      </c>
      <c r="L1257" s="3"/>
      <c r="M1257" s="3">
        <v>41726</v>
      </c>
      <c r="N1257" s="3">
        <v>41731</v>
      </c>
      <c r="O1257" s="3">
        <v>41743</v>
      </c>
      <c r="P1257" s="2" t="s">
        <v>112</v>
      </c>
      <c r="Q1257" s="2" t="s">
        <v>113</v>
      </c>
      <c r="R1257" s="2" t="s">
        <v>37</v>
      </c>
      <c r="S1257" s="2" t="s">
        <v>114</v>
      </c>
      <c r="T1257" s="2" t="s">
        <v>47</v>
      </c>
      <c r="U1257" s="2">
        <v>60</v>
      </c>
      <c r="V1257" s="2">
        <v>49998</v>
      </c>
      <c r="W1257" s="2">
        <v>412983.48</v>
      </c>
      <c r="X1257" s="2">
        <v>8.26</v>
      </c>
      <c r="Y1257" s="2">
        <v>0.14000000000000001</v>
      </c>
      <c r="AB1257">
        <v>0</v>
      </c>
      <c r="AC1257">
        <v>2014</v>
      </c>
      <c r="AE1257" s="2">
        <v>6999.72</v>
      </c>
    </row>
    <row r="1258" spans="2:31" ht="14.5">
      <c r="B1258" s="2">
        <v>84347</v>
      </c>
      <c r="C1258" s="2" t="s">
        <v>2841</v>
      </c>
      <c r="D1258" s="2" t="s">
        <v>2842</v>
      </c>
      <c r="E1258" s="2" t="s">
        <v>2817</v>
      </c>
      <c r="F1258" s="2" t="s">
        <v>29</v>
      </c>
      <c r="G1258" s="2" t="s">
        <v>30</v>
      </c>
      <c r="H1258" s="2" t="s">
        <v>218</v>
      </c>
      <c r="I1258" s="2" t="s">
        <v>219</v>
      </c>
      <c r="J1258" s="2" t="s">
        <v>220</v>
      </c>
      <c r="K1258" s="2" t="s">
        <v>34</v>
      </c>
      <c r="L1258" s="3"/>
      <c r="M1258" s="3">
        <v>41729</v>
      </c>
      <c r="N1258" s="3">
        <v>41719</v>
      </c>
      <c r="O1258" s="3">
        <v>41724</v>
      </c>
      <c r="P1258" s="2" t="s">
        <v>759</v>
      </c>
      <c r="Q1258" s="2" t="s">
        <v>84</v>
      </c>
      <c r="R1258" s="2" t="s">
        <v>37</v>
      </c>
      <c r="S1258" s="2" t="s">
        <v>152</v>
      </c>
      <c r="T1258" s="2" t="s">
        <v>39</v>
      </c>
      <c r="U1258" s="2">
        <v>120</v>
      </c>
      <c r="V1258" s="2">
        <v>507</v>
      </c>
      <c r="W1258" s="2">
        <v>10175.49</v>
      </c>
      <c r="X1258" s="2">
        <v>20.07</v>
      </c>
      <c r="Y1258" s="2">
        <v>0.17</v>
      </c>
      <c r="AB1258">
        <v>1</v>
      </c>
      <c r="AC1258">
        <v>2014</v>
      </c>
      <c r="AE1258" s="2">
        <v>86.190000000000012</v>
      </c>
    </row>
    <row r="1259" spans="2:31" ht="14.5">
      <c r="B1259" s="2">
        <v>84358</v>
      </c>
      <c r="C1259" s="2" t="s">
        <v>2268</v>
      </c>
      <c r="D1259" s="2" t="s">
        <v>2269</v>
      </c>
      <c r="E1259" s="2" t="s">
        <v>42</v>
      </c>
      <c r="F1259" s="2" t="s">
        <v>29</v>
      </c>
      <c r="G1259" s="2" t="s">
        <v>30</v>
      </c>
      <c r="H1259" s="2" t="s">
        <v>218</v>
      </c>
      <c r="I1259" s="2" t="s">
        <v>219</v>
      </c>
      <c r="J1259" s="2" t="s">
        <v>220</v>
      </c>
      <c r="K1259" s="2" t="s">
        <v>267</v>
      </c>
      <c r="L1259" s="3"/>
      <c r="M1259" s="3">
        <v>41764</v>
      </c>
      <c r="N1259" s="3">
        <v>41765</v>
      </c>
      <c r="O1259" s="3">
        <v>41810</v>
      </c>
      <c r="P1259" s="2" t="s">
        <v>112</v>
      </c>
      <c r="Q1259" s="2" t="s">
        <v>113</v>
      </c>
      <c r="R1259" s="2" t="s">
        <v>37</v>
      </c>
      <c r="S1259" s="2" t="s">
        <v>114</v>
      </c>
      <c r="T1259" s="2" t="s">
        <v>47</v>
      </c>
      <c r="U1259" s="2">
        <v>60</v>
      </c>
      <c r="V1259" s="2">
        <v>15862</v>
      </c>
      <c r="W1259" s="2">
        <v>128640.82</v>
      </c>
      <c r="X1259" s="2">
        <v>8.11</v>
      </c>
      <c r="Y1259" s="2">
        <v>0.14000000000000001</v>
      </c>
      <c r="Z1259" s="2">
        <v>1851</v>
      </c>
      <c r="AA1259" s="2">
        <v>5445.73</v>
      </c>
      <c r="AB1259">
        <v>0</v>
      </c>
      <c r="AC1259">
        <v>2014</v>
      </c>
      <c r="AE1259" s="2">
        <v>2220.6800000000003</v>
      </c>
    </row>
    <row r="1260" spans="2:31" ht="14.5">
      <c r="B1260" s="2">
        <v>84359</v>
      </c>
      <c r="C1260" s="2" t="s">
        <v>1674</v>
      </c>
      <c r="D1260" s="2" t="s">
        <v>1675</v>
      </c>
      <c r="E1260" s="2" t="s">
        <v>42</v>
      </c>
      <c r="F1260" s="2" t="s">
        <v>29</v>
      </c>
      <c r="G1260" s="2" t="s">
        <v>30</v>
      </c>
      <c r="H1260" s="2" t="s">
        <v>218</v>
      </c>
      <c r="I1260" s="2" t="s">
        <v>219</v>
      </c>
      <c r="J1260" s="2" t="s">
        <v>220</v>
      </c>
      <c r="K1260" s="2" t="s">
        <v>267</v>
      </c>
      <c r="L1260" s="3"/>
      <c r="M1260" s="3">
        <v>41764</v>
      </c>
      <c r="N1260" s="3">
        <v>41796</v>
      </c>
      <c r="O1260" s="3">
        <v>41810</v>
      </c>
      <c r="P1260" s="2" t="s">
        <v>754</v>
      </c>
      <c r="Q1260" s="2" t="s">
        <v>755</v>
      </c>
      <c r="R1260" s="2" t="s">
        <v>37</v>
      </c>
      <c r="S1260" s="2" t="s">
        <v>756</v>
      </c>
      <c r="T1260" s="2" t="s">
        <v>47</v>
      </c>
      <c r="U1260" s="2">
        <v>30</v>
      </c>
      <c r="V1260" s="2">
        <v>30205</v>
      </c>
      <c r="W1260" s="2">
        <v>325609.90000000002</v>
      </c>
      <c r="X1260" s="2">
        <v>10.78</v>
      </c>
      <c r="Y1260" s="2">
        <v>0.36</v>
      </c>
      <c r="AB1260">
        <v>0</v>
      </c>
      <c r="AC1260">
        <v>2014</v>
      </c>
      <c r="AE1260" s="2">
        <v>10873.8</v>
      </c>
    </row>
    <row r="1261" spans="2:31" ht="14.5">
      <c r="B1261" s="2">
        <v>84367</v>
      </c>
      <c r="C1261" s="2" t="s">
        <v>2270</v>
      </c>
      <c r="D1261" s="2" t="s">
        <v>2271</v>
      </c>
      <c r="E1261" s="2" t="s">
        <v>42</v>
      </c>
      <c r="F1261" s="2" t="s">
        <v>29</v>
      </c>
      <c r="G1261" s="2" t="s">
        <v>30</v>
      </c>
      <c r="H1261" s="2" t="s">
        <v>218</v>
      </c>
      <c r="I1261" s="2" t="s">
        <v>219</v>
      </c>
      <c r="J1261" s="2" t="s">
        <v>220</v>
      </c>
      <c r="K1261" s="2" t="s">
        <v>267</v>
      </c>
      <c r="L1261" s="3"/>
      <c r="M1261" s="3">
        <v>41817</v>
      </c>
      <c r="N1261" s="3">
        <v>41826</v>
      </c>
      <c r="O1261" s="3">
        <v>41856</v>
      </c>
      <c r="P1261" s="2" t="s">
        <v>706</v>
      </c>
      <c r="Q1261" s="2" t="s">
        <v>707</v>
      </c>
      <c r="R1261" s="2" t="s">
        <v>37</v>
      </c>
      <c r="S1261" s="2" t="s">
        <v>708</v>
      </c>
      <c r="T1261" s="2" t="s">
        <v>47</v>
      </c>
      <c r="U1261" s="2">
        <v>30</v>
      </c>
      <c r="V1261" s="2">
        <v>53705</v>
      </c>
      <c r="W1261" s="2">
        <v>249191.2</v>
      </c>
      <c r="X1261" s="2">
        <v>4.6399999999999997</v>
      </c>
      <c r="Y1261" s="2">
        <v>0.15</v>
      </c>
      <c r="Z1261" s="2">
        <v>5565</v>
      </c>
      <c r="AA1261" s="2">
        <v>34837.800000000003</v>
      </c>
      <c r="AB1261">
        <v>0</v>
      </c>
      <c r="AC1261">
        <v>2014</v>
      </c>
      <c r="AE1261" s="2">
        <v>8055.75</v>
      </c>
    </row>
    <row r="1262" spans="2:31" ht="14.5">
      <c r="B1262" s="2">
        <v>84369</v>
      </c>
      <c r="C1262" s="2" t="s">
        <v>2272</v>
      </c>
      <c r="D1262" s="2" t="s">
        <v>2273</v>
      </c>
      <c r="E1262" s="2" t="s">
        <v>28</v>
      </c>
      <c r="F1262" s="2" t="s">
        <v>29</v>
      </c>
      <c r="G1262" s="2" t="s">
        <v>30</v>
      </c>
      <c r="H1262" s="2" t="s">
        <v>218</v>
      </c>
      <c r="I1262" s="2" t="s">
        <v>219</v>
      </c>
      <c r="J1262" s="2" t="s">
        <v>220</v>
      </c>
      <c r="K1262" s="2" t="s">
        <v>267</v>
      </c>
      <c r="L1262" s="3"/>
      <c r="M1262" s="3">
        <v>41820</v>
      </c>
      <c r="N1262" s="3">
        <v>41800</v>
      </c>
      <c r="O1262" s="3">
        <v>41802</v>
      </c>
      <c r="P1262" s="2" t="s">
        <v>1457</v>
      </c>
      <c r="Q1262" s="2" t="s">
        <v>236</v>
      </c>
      <c r="R1262" s="2" t="s">
        <v>37</v>
      </c>
      <c r="S1262" s="2" t="s">
        <v>1458</v>
      </c>
      <c r="T1262" s="2" t="s">
        <v>47</v>
      </c>
      <c r="U1262" s="2">
        <v>30</v>
      </c>
      <c r="V1262" s="2">
        <v>34733</v>
      </c>
      <c r="W1262" s="2">
        <v>199367.42</v>
      </c>
      <c r="X1262" s="2">
        <v>5.74</v>
      </c>
      <c r="Y1262" s="2">
        <v>0.19</v>
      </c>
      <c r="Z1262" s="2">
        <v>2746</v>
      </c>
      <c r="AA1262" s="2">
        <v>5989.25</v>
      </c>
      <c r="AB1262">
        <v>1</v>
      </c>
      <c r="AC1262">
        <v>2014</v>
      </c>
      <c r="AE1262" s="2">
        <v>6599.27</v>
      </c>
    </row>
    <row r="1263" spans="2:31" ht="14.5">
      <c r="B1263" s="2">
        <v>84370</v>
      </c>
      <c r="C1263" s="2" t="s">
        <v>2274</v>
      </c>
      <c r="D1263" s="2" t="s">
        <v>2275</v>
      </c>
      <c r="E1263" s="2" t="s">
        <v>28</v>
      </c>
      <c r="F1263" s="2" t="s">
        <v>29</v>
      </c>
      <c r="G1263" s="2" t="s">
        <v>30</v>
      </c>
      <c r="H1263" s="2" t="s">
        <v>218</v>
      </c>
      <c r="I1263" s="2" t="s">
        <v>219</v>
      </c>
      <c r="J1263" s="2" t="s">
        <v>220</v>
      </c>
      <c r="K1263" s="2" t="s">
        <v>267</v>
      </c>
      <c r="L1263" s="3"/>
      <c r="M1263" s="3">
        <v>41820</v>
      </c>
      <c r="N1263" s="3">
        <v>41796</v>
      </c>
      <c r="O1263" s="3">
        <v>41810</v>
      </c>
      <c r="P1263" s="2" t="s">
        <v>749</v>
      </c>
      <c r="Q1263" s="2" t="s">
        <v>76</v>
      </c>
      <c r="R1263" s="2" t="s">
        <v>37</v>
      </c>
      <c r="S1263" s="2" t="s">
        <v>78</v>
      </c>
      <c r="T1263" s="2" t="s">
        <v>47</v>
      </c>
      <c r="U1263" s="2">
        <v>30</v>
      </c>
      <c r="V1263" s="2">
        <v>43479</v>
      </c>
      <c r="W1263" s="2">
        <v>516965.31</v>
      </c>
      <c r="X1263" s="2">
        <v>11.89</v>
      </c>
      <c r="Y1263" s="2">
        <v>0.4</v>
      </c>
      <c r="Z1263" s="2">
        <v>4874</v>
      </c>
      <c r="AA1263" s="2">
        <v>12435.18</v>
      </c>
      <c r="AB1263">
        <v>1</v>
      </c>
      <c r="AC1263">
        <v>2014</v>
      </c>
      <c r="AE1263" s="2">
        <v>17391.600000000002</v>
      </c>
    </row>
    <row r="1264" spans="2:31" ht="14.5">
      <c r="B1264" s="2">
        <v>84371</v>
      </c>
      <c r="C1264" s="2" t="s">
        <v>2093</v>
      </c>
      <c r="D1264" s="2" t="s">
        <v>2094</v>
      </c>
      <c r="E1264" s="2" t="s">
        <v>1581</v>
      </c>
      <c r="F1264" s="2" t="s">
        <v>29</v>
      </c>
      <c r="G1264" s="2" t="s">
        <v>30</v>
      </c>
      <c r="H1264" s="2" t="s">
        <v>218</v>
      </c>
      <c r="I1264" s="2" t="s">
        <v>219</v>
      </c>
      <c r="J1264" s="2" t="s">
        <v>220</v>
      </c>
      <c r="K1264" s="2" t="s">
        <v>34</v>
      </c>
      <c r="L1264" s="3"/>
      <c r="M1264" s="3">
        <v>41789</v>
      </c>
      <c r="N1264" s="3">
        <v>41815</v>
      </c>
      <c r="O1264" s="3">
        <v>41821</v>
      </c>
      <c r="P1264" s="2" t="s">
        <v>759</v>
      </c>
      <c r="Q1264" s="2" t="s">
        <v>84</v>
      </c>
      <c r="R1264" s="2" t="s">
        <v>37</v>
      </c>
      <c r="S1264" s="2" t="s">
        <v>152</v>
      </c>
      <c r="T1264" s="2" t="s">
        <v>39</v>
      </c>
      <c r="U1264" s="2">
        <v>120</v>
      </c>
      <c r="V1264" s="2">
        <v>200</v>
      </c>
      <c r="W1264" s="2">
        <v>4008</v>
      </c>
      <c r="X1264" s="2">
        <v>20.04</v>
      </c>
      <c r="Y1264" s="2">
        <v>0.17</v>
      </c>
      <c r="AB1264">
        <v>0</v>
      </c>
      <c r="AC1264">
        <v>2014</v>
      </c>
      <c r="AE1264" s="2">
        <v>34</v>
      </c>
    </row>
    <row r="1265" spans="2:31" ht="14.5">
      <c r="B1265" s="2">
        <v>84372</v>
      </c>
      <c r="C1265" s="2" t="s">
        <v>2095</v>
      </c>
      <c r="D1265" s="2" t="s">
        <v>2096</v>
      </c>
      <c r="E1265" s="2" t="s">
        <v>1581</v>
      </c>
      <c r="F1265" s="2" t="s">
        <v>29</v>
      </c>
      <c r="G1265" s="2" t="s">
        <v>30</v>
      </c>
      <c r="H1265" s="2" t="s">
        <v>218</v>
      </c>
      <c r="I1265" s="2" t="s">
        <v>219</v>
      </c>
      <c r="J1265" s="2" t="s">
        <v>220</v>
      </c>
      <c r="K1265" s="2" t="s">
        <v>34</v>
      </c>
      <c r="L1265" s="3"/>
      <c r="M1265" s="3">
        <v>41806</v>
      </c>
      <c r="N1265" s="3">
        <v>41794</v>
      </c>
      <c r="O1265" s="3">
        <v>41829</v>
      </c>
      <c r="P1265" s="2" t="s">
        <v>759</v>
      </c>
      <c r="Q1265" s="2" t="s">
        <v>84</v>
      </c>
      <c r="R1265" s="2" t="s">
        <v>37</v>
      </c>
      <c r="S1265" s="2" t="s">
        <v>152</v>
      </c>
      <c r="T1265" s="2" t="s">
        <v>39</v>
      </c>
      <c r="U1265" s="2">
        <v>120</v>
      </c>
      <c r="V1265" s="2">
        <v>112</v>
      </c>
      <c r="W1265" s="2">
        <v>2207.52</v>
      </c>
      <c r="X1265" s="2">
        <v>19.71</v>
      </c>
      <c r="Y1265" s="2">
        <v>0.16</v>
      </c>
      <c r="AB1265">
        <v>1</v>
      </c>
      <c r="AC1265">
        <v>2014</v>
      </c>
      <c r="AE1265" s="2">
        <v>17.920000000000002</v>
      </c>
    </row>
    <row r="1266" spans="2:31" ht="14.5">
      <c r="B1266" s="2">
        <v>84374</v>
      </c>
      <c r="C1266" s="2" t="s">
        <v>1682</v>
      </c>
      <c r="D1266" s="2" t="s">
        <v>1683</v>
      </c>
      <c r="E1266" s="2" t="s">
        <v>28</v>
      </c>
      <c r="F1266" s="2" t="s">
        <v>29</v>
      </c>
      <c r="G1266" s="2" t="s">
        <v>50</v>
      </c>
      <c r="H1266" s="2" t="s">
        <v>218</v>
      </c>
      <c r="I1266" s="2" t="s">
        <v>219</v>
      </c>
      <c r="J1266" s="2" t="s">
        <v>220</v>
      </c>
      <c r="K1266" s="2" t="s">
        <v>34</v>
      </c>
      <c r="L1266" s="3"/>
      <c r="M1266" s="3">
        <v>41851</v>
      </c>
      <c r="N1266" s="3">
        <v>41907</v>
      </c>
      <c r="O1266" s="3">
        <v>41918</v>
      </c>
      <c r="P1266" s="2" t="s">
        <v>818</v>
      </c>
      <c r="Q1266" s="2" t="s">
        <v>36</v>
      </c>
      <c r="R1266" s="2" t="s">
        <v>37</v>
      </c>
      <c r="S1266" s="2" t="s">
        <v>226</v>
      </c>
      <c r="T1266" s="2" t="s">
        <v>526</v>
      </c>
      <c r="U1266" s="2">
        <v>100</v>
      </c>
      <c r="V1266" s="2">
        <v>43293</v>
      </c>
      <c r="W1266" s="2">
        <v>56280.9</v>
      </c>
      <c r="X1266" s="2">
        <v>1.3</v>
      </c>
      <c r="Y1266" s="2">
        <v>0.01</v>
      </c>
      <c r="AB1266">
        <v>0</v>
      </c>
      <c r="AC1266">
        <v>2014</v>
      </c>
      <c r="AE1266" s="2">
        <v>432.93</v>
      </c>
    </row>
    <row r="1267" spans="2:31" ht="14.5">
      <c r="B1267" s="2">
        <v>84386</v>
      </c>
      <c r="C1267" s="2" t="s">
        <v>2276</v>
      </c>
      <c r="D1267" s="2" t="s">
        <v>2277</v>
      </c>
      <c r="E1267" s="2" t="s">
        <v>1581</v>
      </c>
      <c r="F1267" s="2" t="s">
        <v>29</v>
      </c>
      <c r="G1267" s="2" t="s">
        <v>30</v>
      </c>
      <c r="H1267" s="2" t="s">
        <v>218</v>
      </c>
      <c r="I1267" s="2" t="s">
        <v>219</v>
      </c>
      <c r="J1267" s="2" t="s">
        <v>220</v>
      </c>
      <c r="K1267" s="2" t="s">
        <v>34</v>
      </c>
      <c r="L1267" s="3"/>
      <c r="M1267" s="3">
        <v>41851</v>
      </c>
      <c r="N1267" s="3">
        <v>41845</v>
      </c>
      <c r="O1267" s="3">
        <v>41852</v>
      </c>
      <c r="P1267" s="2" t="s">
        <v>112</v>
      </c>
      <c r="Q1267" s="2" t="s">
        <v>113</v>
      </c>
      <c r="R1267" s="2" t="s">
        <v>37</v>
      </c>
      <c r="S1267" s="2" t="s">
        <v>114</v>
      </c>
      <c r="T1267" s="2" t="s">
        <v>47</v>
      </c>
      <c r="U1267" s="2">
        <v>60</v>
      </c>
      <c r="V1267" s="2">
        <v>1056</v>
      </c>
      <c r="W1267" s="2">
        <v>8564.16</v>
      </c>
      <c r="X1267" s="2">
        <v>8.11</v>
      </c>
      <c r="Y1267" s="2">
        <v>0.14000000000000001</v>
      </c>
      <c r="Z1267" s="2">
        <v>155</v>
      </c>
      <c r="AA1267" s="2">
        <v>994.25</v>
      </c>
      <c r="AB1267">
        <v>1</v>
      </c>
      <c r="AC1267">
        <v>2014</v>
      </c>
      <c r="AE1267" s="2">
        <v>147.84</v>
      </c>
    </row>
    <row r="1268" spans="2:31" ht="14.5">
      <c r="B1268" s="2">
        <v>84388</v>
      </c>
      <c r="C1268" s="2" t="s">
        <v>2278</v>
      </c>
      <c r="D1268" s="2" t="s">
        <v>2279</v>
      </c>
      <c r="E1268" s="2" t="s">
        <v>42</v>
      </c>
      <c r="F1268" s="2" t="s">
        <v>29</v>
      </c>
      <c r="G1268" s="2" t="s">
        <v>50</v>
      </c>
      <c r="H1268" s="2" t="s">
        <v>218</v>
      </c>
      <c r="I1268" s="2" t="s">
        <v>219</v>
      </c>
      <c r="J1268" s="2" t="s">
        <v>220</v>
      </c>
      <c r="K1268" s="2" t="s">
        <v>267</v>
      </c>
      <c r="L1268" s="3"/>
      <c r="M1268" s="3">
        <v>42004</v>
      </c>
      <c r="N1268" s="3">
        <v>41865</v>
      </c>
      <c r="O1268" s="3">
        <v>41866</v>
      </c>
      <c r="P1268" s="2" t="s">
        <v>1564</v>
      </c>
      <c r="Q1268" s="2" t="s">
        <v>99</v>
      </c>
      <c r="R1268" s="2" t="s">
        <v>37</v>
      </c>
      <c r="S1268" s="2" t="s">
        <v>172</v>
      </c>
      <c r="T1268" s="2" t="s">
        <v>87</v>
      </c>
      <c r="U1268" s="2">
        <v>240</v>
      </c>
      <c r="V1268" s="2">
        <v>800</v>
      </c>
      <c r="W1268" s="2">
        <v>6800</v>
      </c>
      <c r="X1268" s="2">
        <v>8.5</v>
      </c>
      <c r="Y1268" s="2">
        <v>0.04</v>
      </c>
      <c r="Z1268" s="2">
        <v>297</v>
      </c>
      <c r="AA1268" s="2">
        <v>2282.79</v>
      </c>
      <c r="AB1268">
        <v>1</v>
      </c>
      <c r="AC1268">
        <v>2014</v>
      </c>
      <c r="AE1268" s="2">
        <v>32</v>
      </c>
    </row>
    <row r="1269" spans="2:31" ht="14.5">
      <c r="B1269" s="2">
        <v>84395</v>
      </c>
      <c r="C1269" s="2" t="s">
        <v>2280</v>
      </c>
      <c r="D1269" s="2" t="s">
        <v>2281</v>
      </c>
      <c r="E1269" s="2" t="s">
        <v>118</v>
      </c>
      <c r="F1269" s="2" t="s">
        <v>29</v>
      </c>
      <c r="G1269" s="2" t="s">
        <v>30</v>
      </c>
      <c r="H1269" s="2" t="s">
        <v>218</v>
      </c>
      <c r="I1269" s="2" t="s">
        <v>219</v>
      </c>
      <c r="J1269" s="2" t="s">
        <v>220</v>
      </c>
      <c r="K1269" s="2" t="s">
        <v>267</v>
      </c>
      <c r="L1269" s="3"/>
      <c r="M1269" s="3">
        <v>41851</v>
      </c>
      <c r="N1269" s="3">
        <v>41835</v>
      </c>
      <c r="O1269" s="3">
        <v>41837</v>
      </c>
      <c r="P1269" s="2" t="s">
        <v>150</v>
      </c>
      <c r="Q1269" s="2" t="s">
        <v>84</v>
      </c>
      <c r="R1269" s="2" t="s">
        <v>151</v>
      </c>
      <c r="S1269" s="2" t="s">
        <v>152</v>
      </c>
      <c r="T1269" s="2" t="s">
        <v>39</v>
      </c>
      <c r="U1269" s="2">
        <v>120</v>
      </c>
      <c r="V1269" s="2">
        <v>3426</v>
      </c>
      <c r="W1269" s="2">
        <v>69273.72</v>
      </c>
      <c r="X1269" s="2">
        <v>20.22</v>
      </c>
      <c r="Y1269" s="2">
        <v>0.17</v>
      </c>
      <c r="Z1269" s="2">
        <v>698</v>
      </c>
      <c r="AA1269" s="2">
        <v>2676</v>
      </c>
      <c r="AB1269">
        <v>1</v>
      </c>
      <c r="AC1269">
        <v>2014</v>
      </c>
      <c r="AE1269" s="2">
        <v>582.42000000000007</v>
      </c>
    </row>
    <row r="1270" spans="2:31" ht="14.5">
      <c r="B1270" s="2">
        <v>84415</v>
      </c>
      <c r="C1270" s="2" t="s">
        <v>2282</v>
      </c>
      <c r="D1270" s="2" t="s">
        <v>2283</v>
      </c>
      <c r="E1270" s="2" t="s">
        <v>42</v>
      </c>
      <c r="F1270" s="2" t="s">
        <v>29</v>
      </c>
      <c r="G1270" s="2" t="s">
        <v>50</v>
      </c>
      <c r="H1270" s="2" t="s">
        <v>218</v>
      </c>
      <c r="I1270" s="2" t="s">
        <v>219</v>
      </c>
      <c r="J1270" s="2" t="s">
        <v>220</v>
      </c>
      <c r="K1270" s="2" t="s">
        <v>34</v>
      </c>
      <c r="L1270" s="3"/>
      <c r="M1270" s="3">
        <v>41927</v>
      </c>
      <c r="N1270" s="3">
        <v>41926</v>
      </c>
      <c r="O1270" s="3">
        <v>41932</v>
      </c>
      <c r="P1270" s="2" t="s">
        <v>1917</v>
      </c>
      <c r="Q1270" s="2" t="s">
        <v>1000</v>
      </c>
      <c r="R1270" s="2" t="s">
        <v>37</v>
      </c>
      <c r="S1270" s="2" t="s">
        <v>1665</v>
      </c>
      <c r="T1270" s="2" t="s">
        <v>729</v>
      </c>
      <c r="U1270" s="2">
        <v>60</v>
      </c>
      <c r="V1270" s="2">
        <v>8953</v>
      </c>
      <c r="W1270" s="2">
        <v>45570.77</v>
      </c>
      <c r="X1270" s="2">
        <v>5.09</v>
      </c>
      <c r="Y1270" s="2">
        <v>0.08</v>
      </c>
      <c r="Z1270" s="2">
        <v>805</v>
      </c>
      <c r="AA1270" s="2">
        <v>6220.48</v>
      </c>
      <c r="AB1270">
        <v>1</v>
      </c>
      <c r="AC1270">
        <v>2014</v>
      </c>
      <c r="AE1270" s="2">
        <v>716.24</v>
      </c>
    </row>
    <row r="1271" spans="2:31" ht="14.5">
      <c r="B1271" s="2">
        <v>84420</v>
      </c>
      <c r="C1271" s="2" t="s">
        <v>2284</v>
      </c>
      <c r="D1271" s="2" t="s">
        <v>2285</v>
      </c>
      <c r="E1271" s="2" t="s">
        <v>42</v>
      </c>
      <c r="F1271" s="2" t="s">
        <v>29</v>
      </c>
      <c r="G1271" s="2" t="s">
        <v>30</v>
      </c>
      <c r="H1271" s="2" t="s">
        <v>218</v>
      </c>
      <c r="I1271" s="2" t="s">
        <v>219</v>
      </c>
      <c r="J1271" s="2" t="s">
        <v>220</v>
      </c>
      <c r="K1271" s="2" t="s">
        <v>267</v>
      </c>
      <c r="L1271" s="3"/>
      <c r="M1271" s="3">
        <v>41913</v>
      </c>
      <c r="N1271" s="3">
        <v>41955</v>
      </c>
      <c r="O1271" s="3">
        <v>41956</v>
      </c>
      <c r="P1271" s="2" t="s">
        <v>35</v>
      </c>
      <c r="Q1271" s="2" t="s">
        <v>36</v>
      </c>
      <c r="R1271" s="2" t="s">
        <v>37</v>
      </c>
      <c r="S1271" s="2" t="s">
        <v>38</v>
      </c>
      <c r="T1271" s="2" t="s">
        <v>39</v>
      </c>
      <c r="U1271" s="2">
        <v>60</v>
      </c>
      <c r="V1271" s="2">
        <v>178258</v>
      </c>
      <c r="W1271" s="2">
        <v>402863.08</v>
      </c>
      <c r="X1271" s="2">
        <v>2.2599999999999998</v>
      </c>
      <c r="Y1271" s="2">
        <v>0.04</v>
      </c>
      <c r="Z1271" s="2">
        <v>17140</v>
      </c>
      <c r="AA1271" s="2">
        <v>23340.84</v>
      </c>
      <c r="AB1271">
        <v>0</v>
      </c>
      <c r="AC1271">
        <v>2014</v>
      </c>
      <c r="AE1271" s="2">
        <v>7130.32</v>
      </c>
    </row>
    <row r="1272" spans="2:31" ht="14.5">
      <c r="B1272" s="2">
        <v>84425</v>
      </c>
      <c r="C1272" s="2" t="s">
        <v>2286</v>
      </c>
      <c r="D1272" s="2" t="s">
        <v>2287</v>
      </c>
      <c r="E1272" s="2" t="s">
        <v>1581</v>
      </c>
      <c r="F1272" s="2" t="s">
        <v>29</v>
      </c>
      <c r="G1272" s="2" t="s">
        <v>30</v>
      </c>
      <c r="H1272" s="2" t="s">
        <v>218</v>
      </c>
      <c r="I1272" s="2" t="s">
        <v>219</v>
      </c>
      <c r="J1272" s="2" t="s">
        <v>220</v>
      </c>
      <c r="K1272" s="2" t="s">
        <v>34</v>
      </c>
      <c r="L1272" s="3"/>
      <c r="M1272" s="3">
        <v>41963</v>
      </c>
      <c r="N1272" s="3">
        <v>41963</v>
      </c>
      <c r="O1272" s="3">
        <v>41967</v>
      </c>
      <c r="P1272" s="2" t="s">
        <v>754</v>
      </c>
      <c r="Q1272" s="2" t="s">
        <v>755</v>
      </c>
      <c r="R1272" s="2" t="s">
        <v>37</v>
      </c>
      <c r="S1272" s="2" t="s">
        <v>756</v>
      </c>
      <c r="T1272" s="2" t="s">
        <v>47</v>
      </c>
      <c r="U1272" s="2">
        <v>30</v>
      </c>
      <c r="V1272" s="2">
        <v>3240</v>
      </c>
      <c r="W1272" s="2">
        <v>33210</v>
      </c>
      <c r="X1272" s="2">
        <v>10.25</v>
      </c>
      <c r="Y1272" s="2">
        <v>0.34</v>
      </c>
      <c r="Z1272" s="2">
        <v>614</v>
      </c>
      <c r="AA1272" s="2">
        <v>4373.84</v>
      </c>
      <c r="AB1272">
        <v>1</v>
      </c>
      <c r="AC1272">
        <v>2014</v>
      </c>
      <c r="AE1272" s="2">
        <v>1101.6000000000001</v>
      </c>
    </row>
    <row r="1273" spans="2:31" ht="14.5">
      <c r="B1273" s="2">
        <v>84426</v>
      </c>
      <c r="C1273" s="2" t="s">
        <v>2288</v>
      </c>
      <c r="D1273" s="2" t="s">
        <v>2289</v>
      </c>
      <c r="E1273" s="2" t="s">
        <v>42</v>
      </c>
      <c r="F1273" s="2" t="s">
        <v>29</v>
      </c>
      <c r="G1273" s="2" t="s">
        <v>50</v>
      </c>
      <c r="H1273" s="2" t="s">
        <v>218</v>
      </c>
      <c r="I1273" s="2" t="s">
        <v>219</v>
      </c>
      <c r="J1273" s="2" t="s">
        <v>220</v>
      </c>
      <c r="K1273" s="2" t="s">
        <v>267</v>
      </c>
      <c r="L1273" s="3"/>
      <c r="M1273" s="3">
        <v>42018</v>
      </c>
      <c r="N1273" s="3">
        <v>41956</v>
      </c>
      <c r="O1273" s="3">
        <v>41957</v>
      </c>
      <c r="P1273" s="2" t="s">
        <v>727</v>
      </c>
      <c r="Q1273" s="2" t="s">
        <v>45</v>
      </c>
      <c r="R1273" s="2" t="s">
        <v>37</v>
      </c>
      <c r="S1273" s="2" t="s">
        <v>728</v>
      </c>
      <c r="T1273" s="2" t="s">
        <v>729</v>
      </c>
      <c r="U1273" s="2">
        <v>60</v>
      </c>
      <c r="V1273" s="2">
        <v>1766</v>
      </c>
      <c r="W1273" s="2">
        <v>3514.34</v>
      </c>
      <c r="X1273" s="2">
        <v>1.99</v>
      </c>
      <c r="Y1273" s="2">
        <v>0.03</v>
      </c>
      <c r="Z1273" s="2">
        <v>152</v>
      </c>
      <c r="AA1273" s="2">
        <v>1330.99</v>
      </c>
      <c r="AB1273">
        <v>1</v>
      </c>
      <c r="AC1273">
        <v>2014</v>
      </c>
      <c r="AE1273" s="2">
        <v>52.98</v>
      </c>
    </row>
    <row r="1274" spans="2:31" ht="14.5">
      <c r="B1274" s="2">
        <v>84427</v>
      </c>
      <c r="C1274" s="2" t="s">
        <v>1696</v>
      </c>
      <c r="D1274" s="2" t="s">
        <v>1697</v>
      </c>
      <c r="E1274" s="2" t="s">
        <v>42</v>
      </c>
      <c r="F1274" s="2" t="s">
        <v>29</v>
      </c>
      <c r="G1274" s="2" t="s">
        <v>30</v>
      </c>
      <c r="H1274" s="2" t="s">
        <v>218</v>
      </c>
      <c r="I1274" s="2" t="s">
        <v>219</v>
      </c>
      <c r="J1274" s="2" t="s">
        <v>220</v>
      </c>
      <c r="K1274" s="2" t="s">
        <v>267</v>
      </c>
      <c r="L1274" s="3"/>
      <c r="M1274" s="3">
        <v>42051</v>
      </c>
      <c r="N1274" s="3">
        <v>42018</v>
      </c>
      <c r="O1274" s="3">
        <v>42023</v>
      </c>
      <c r="P1274" s="2" t="s">
        <v>35</v>
      </c>
      <c r="Q1274" s="2" t="s">
        <v>36</v>
      </c>
      <c r="R1274" s="2" t="s">
        <v>37</v>
      </c>
      <c r="S1274" s="2" t="s">
        <v>38</v>
      </c>
      <c r="T1274" s="2" t="s">
        <v>39</v>
      </c>
      <c r="U1274" s="2">
        <v>60</v>
      </c>
      <c r="V1274" s="2">
        <v>21739</v>
      </c>
      <c r="W1274" s="2">
        <v>48043.19</v>
      </c>
      <c r="X1274" s="2">
        <v>2.21</v>
      </c>
      <c r="Y1274" s="2">
        <v>0.04</v>
      </c>
      <c r="AB1274">
        <v>1</v>
      </c>
      <c r="AC1274">
        <v>2015</v>
      </c>
      <c r="AE1274" s="2">
        <v>869.56000000000006</v>
      </c>
    </row>
    <row r="1275" spans="2:31" ht="14.5">
      <c r="B1275" s="2">
        <v>84429</v>
      </c>
      <c r="C1275" s="2" t="s">
        <v>2290</v>
      </c>
      <c r="D1275" s="2" t="s">
        <v>2291</v>
      </c>
      <c r="E1275" s="2" t="s">
        <v>118</v>
      </c>
      <c r="F1275" s="2" t="s">
        <v>29</v>
      </c>
      <c r="G1275" s="2" t="s">
        <v>30</v>
      </c>
      <c r="H1275" s="2" t="s">
        <v>218</v>
      </c>
      <c r="I1275" s="2" t="s">
        <v>219</v>
      </c>
      <c r="J1275" s="2" t="s">
        <v>220</v>
      </c>
      <c r="K1275" s="2" t="s">
        <v>267</v>
      </c>
      <c r="L1275" s="3"/>
      <c r="M1275" s="3">
        <v>42019</v>
      </c>
      <c r="N1275" s="3">
        <v>41990</v>
      </c>
      <c r="O1275" s="3">
        <v>41995</v>
      </c>
      <c r="P1275" s="2" t="s">
        <v>95</v>
      </c>
      <c r="Q1275" s="2" t="s">
        <v>96</v>
      </c>
      <c r="R1275" s="2" t="s">
        <v>37</v>
      </c>
      <c r="S1275" s="2" t="s">
        <v>97</v>
      </c>
      <c r="T1275" s="2" t="s">
        <v>39</v>
      </c>
      <c r="U1275" s="2">
        <v>30</v>
      </c>
      <c r="V1275" s="2">
        <v>52500</v>
      </c>
      <c r="W1275" s="2">
        <v>168525</v>
      </c>
      <c r="X1275" s="2">
        <v>3.21</v>
      </c>
      <c r="Y1275" s="2">
        <v>0.11</v>
      </c>
      <c r="Z1275" s="2">
        <v>10119</v>
      </c>
      <c r="AA1275" s="2">
        <v>6852.08</v>
      </c>
      <c r="AB1275">
        <v>1</v>
      </c>
      <c r="AC1275">
        <v>2014</v>
      </c>
      <c r="AE1275" s="2">
        <v>5775</v>
      </c>
    </row>
    <row r="1276" spans="2:31" ht="14.5">
      <c r="B1276" s="2">
        <v>84432</v>
      </c>
      <c r="C1276" s="2" t="s">
        <v>1698</v>
      </c>
      <c r="D1276" s="2" t="s">
        <v>1699</v>
      </c>
      <c r="E1276" s="2" t="s">
        <v>42</v>
      </c>
      <c r="F1276" s="2" t="s">
        <v>29</v>
      </c>
      <c r="G1276" s="2" t="s">
        <v>50</v>
      </c>
      <c r="H1276" s="2" t="s">
        <v>218</v>
      </c>
      <c r="I1276" s="2" t="s">
        <v>219</v>
      </c>
      <c r="J1276" s="2" t="s">
        <v>220</v>
      </c>
      <c r="K1276" s="2" t="s">
        <v>267</v>
      </c>
      <c r="L1276" s="3"/>
      <c r="M1276" s="3">
        <v>42018</v>
      </c>
      <c r="N1276" s="3">
        <v>41997</v>
      </c>
      <c r="O1276" s="3">
        <v>42009</v>
      </c>
      <c r="P1276" s="2" t="s">
        <v>1917</v>
      </c>
      <c r="Q1276" s="2" t="s">
        <v>1000</v>
      </c>
      <c r="R1276" s="2" t="s">
        <v>37</v>
      </c>
      <c r="S1276" s="2" t="s">
        <v>1665</v>
      </c>
      <c r="T1276" s="2" t="s">
        <v>729</v>
      </c>
      <c r="U1276" s="2">
        <v>60</v>
      </c>
      <c r="V1276" s="2">
        <v>3238</v>
      </c>
      <c r="W1276" s="2">
        <v>16481.419999999998</v>
      </c>
      <c r="X1276" s="2">
        <v>5.09</v>
      </c>
      <c r="Y1276" s="2">
        <v>0.08</v>
      </c>
      <c r="AB1276">
        <v>1</v>
      </c>
      <c r="AC1276">
        <v>2015</v>
      </c>
      <c r="AE1276" s="2">
        <v>259.04000000000002</v>
      </c>
    </row>
    <row r="1277" spans="2:31" ht="14.5">
      <c r="B1277" s="2">
        <v>84433</v>
      </c>
      <c r="C1277" s="2" t="s">
        <v>1913</v>
      </c>
      <c r="D1277" s="2" t="s">
        <v>1914</v>
      </c>
      <c r="E1277" s="2" t="s">
        <v>118</v>
      </c>
      <c r="F1277" s="2" t="s">
        <v>29</v>
      </c>
      <c r="G1277" s="2" t="s">
        <v>50</v>
      </c>
      <c r="H1277" s="2" t="s">
        <v>218</v>
      </c>
      <c r="I1277" s="2" t="s">
        <v>219</v>
      </c>
      <c r="J1277" s="2" t="s">
        <v>220</v>
      </c>
      <c r="K1277" s="2" t="s">
        <v>267</v>
      </c>
      <c r="L1277" s="3"/>
      <c r="M1277" s="3">
        <v>42051</v>
      </c>
      <c r="N1277" s="3">
        <v>42028</v>
      </c>
      <c r="O1277" s="3">
        <v>42038</v>
      </c>
      <c r="P1277" s="2" t="s">
        <v>1664</v>
      </c>
      <c r="Q1277" s="2" t="s">
        <v>1000</v>
      </c>
      <c r="R1277" s="2" t="s">
        <v>37</v>
      </c>
      <c r="S1277" s="2" t="s">
        <v>1665</v>
      </c>
      <c r="T1277" s="2" t="s">
        <v>47</v>
      </c>
      <c r="U1277" s="2">
        <v>60</v>
      </c>
      <c r="V1277" s="2">
        <v>2368</v>
      </c>
      <c r="W1277" s="2">
        <v>9685.1200000000008</v>
      </c>
      <c r="X1277" s="2">
        <v>4.09</v>
      </c>
      <c r="Y1277" s="2">
        <v>7.0000000000000007E-2</v>
      </c>
      <c r="AB1277">
        <v>1</v>
      </c>
      <c r="AC1277">
        <v>2015</v>
      </c>
      <c r="AE1277" s="2">
        <v>165.76000000000002</v>
      </c>
    </row>
    <row r="1278" spans="2:31" ht="14.5">
      <c r="B1278" s="2">
        <v>84434</v>
      </c>
      <c r="C1278" s="2" t="s">
        <v>2292</v>
      </c>
      <c r="D1278" s="2" t="s">
        <v>2293</v>
      </c>
      <c r="E1278" s="2" t="s">
        <v>42</v>
      </c>
      <c r="F1278" s="2" t="s">
        <v>29</v>
      </c>
      <c r="G1278" s="2" t="s">
        <v>50</v>
      </c>
      <c r="H1278" s="2" t="s">
        <v>218</v>
      </c>
      <c r="I1278" s="2" t="s">
        <v>219</v>
      </c>
      <c r="J1278" s="2" t="s">
        <v>220</v>
      </c>
      <c r="K1278" s="2" t="s">
        <v>34</v>
      </c>
      <c r="L1278" s="3"/>
      <c r="M1278" s="3">
        <v>42031</v>
      </c>
      <c r="N1278" s="3">
        <v>42013</v>
      </c>
      <c r="O1278" s="3">
        <v>42023</v>
      </c>
      <c r="P1278" s="2" t="s">
        <v>740</v>
      </c>
      <c r="Q1278" s="2" t="s">
        <v>36</v>
      </c>
      <c r="R1278" s="2" t="s">
        <v>37</v>
      </c>
      <c r="S1278" s="2" t="s">
        <v>226</v>
      </c>
      <c r="T1278" s="2" t="s">
        <v>526</v>
      </c>
      <c r="U1278" s="2">
        <v>240</v>
      </c>
      <c r="V1278" s="2">
        <v>10401</v>
      </c>
      <c r="W1278" s="2">
        <v>15705.51</v>
      </c>
      <c r="X1278" s="2">
        <v>1.51</v>
      </c>
      <c r="Y1278" s="2">
        <v>0.01</v>
      </c>
      <c r="Z1278" s="2">
        <v>3880</v>
      </c>
      <c r="AA1278" s="2">
        <v>28001.97</v>
      </c>
      <c r="AB1278">
        <v>1</v>
      </c>
      <c r="AC1278">
        <v>2015</v>
      </c>
      <c r="AE1278" s="2">
        <v>104.01</v>
      </c>
    </row>
    <row r="1279" spans="2:31" ht="14.5">
      <c r="B1279" s="2">
        <v>84435</v>
      </c>
      <c r="C1279" s="2" t="s">
        <v>2294</v>
      </c>
      <c r="D1279" s="2" t="s">
        <v>2295</v>
      </c>
      <c r="E1279" s="2" t="s">
        <v>42</v>
      </c>
      <c r="F1279" s="2" t="s">
        <v>29</v>
      </c>
      <c r="G1279" s="2" t="s">
        <v>50</v>
      </c>
      <c r="H1279" s="2" t="s">
        <v>218</v>
      </c>
      <c r="I1279" s="2" t="s">
        <v>219</v>
      </c>
      <c r="J1279" s="2" t="s">
        <v>220</v>
      </c>
      <c r="K1279" s="2" t="s">
        <v>267</v>
      </c>
      <c r="L1279" s="3"/>
      <c r="M1279" s="3">
        <v>42035</v>
      </c>
      <c r="N1279" s="3">
        <v>41997</v>
      </c>
      <c r="O1279" s="3">
        <v>42004</v>
      </c>
      <c r="P1279" s="2" t="s">
        <v>842</v>
      </c>
      <c r="Q1279" s="2" t="s">
        <v>113</v>
      </c>
      <c r="R1279" s="2" t="s">
        <v>37</v>
      </c>
      <c r="S1279" s="2" t="s">
        <v>843</v>
      </c>
      <c r="T1279" s="2" t="s">
        <v>729</v>
      </c>
      <c r="U1279" s="2">
        <v>60</v>
      </c>
      <c r="V1279" s="2">
        <v>2196</v>
      </c>
      <c r="W1279" s="2">
        <v>7905.6</v>
      </c>
      <c r="X1279" s="2">
        <v>3.6</v>
      </c>
      <c r="Y1279" s="2">
        <v>0.06</v>
      </c>
      <c r="Z1279" s="2">
        <v>192</v>
      </c>
      <c r="AA1279" s="2">
        <v>2232.42</v>
      </c>
      <c r="AB1279">
        <v>1</v>
      </c>
      <c r="AC1279">
        <v>2014</v>
      </c>
      <c r="AE1279" s="2">
        <v>131.76</v>
      </c>
    </row>
    <row r="1280" spans="2:31" ht="14.5">
      <c r="B1280" s="2">
        <v>84445</v>
      </c>
      <c r="C1280" s="2" t="s">
        <v>2296</v>
      </c>
      <c r="D1280" s="2" t="s">
        <v>2297</v>
      </c>
      <c r="E1280" s="2" t="s">
        <v>118</v>
      </c>
      <c r="F1280" s="2" t="s">
        <v>29</v>
      </c>
      <c r="G1280" s="2" t="s">
        <v>30</v>
      </c>
      <c r="H1280" s="2" t="s">
        <v>218</v>
      </c>
      <c r="I1280" s="2" t="s">
        <v>219</v>
      </c>
      <c r="J1280" s="2" t="s">
        <v>220</v>
      </c>
      <c r="K1280" s="2" t="s">
        <v>34</v>
      </c>
      <c r="L1280" s="3"/>
      <c r="M1280" s="3">
        <v>42052</v>
      </c>
      <c r="N1280" s="3">
        <v>42044</v>
      </c>
      <c r="O1280" s="3">
        <v>42052</v>
      </c>
      <c r="P1280" s="2" t="s">
        <v>35</v>
      </c>
      <c r="Q1280" s="2" t="s">
        <v>36</v>
      </c>
      <c r="R1280" s="2" t="s">
        <v>37</v>
      </c>
      <c r="S1280" s="2" t="s">
        <v>38</v>
      </c>
      <c r="T1280" s="2" t="s">
        <v>39</v>
      </c>
      <c r="U1280" s="2">
        <v>60</v>
      </c>
      <c r="V1280" s="2">
        <v>74896</v>
      </c>
      <c r="W1280" s="2">
        <v>163273.28</v>
      </c>
      <c r="X1280" s="2">
        <v>2.1800000000000002</v>
      </c>
      <c r="Y1280" s="2">
        <v>0.04</v>
      </c>
      <c r="Z1280" s="2">
        <v>7183</v>
      </c>
      <c r="AA1280" s="2">
        <v>41735</v>
      </c>
      <c r="AB1280">
        <v>1</v>
      </c>
      <c r="AC1280">
        <v>2015</v>
      </c>
      <c r="AE1280" s="2">
        <v>2995.84</v>
      </c>
    </row>
    <row r="1281" spans="2:31" ht="14.5">
      <c r="B1281" s="2">
        <v>84451</v>
      </c>
      <c r="C1281" s="2" t="s">
        <v>2298</v>
      </c>
      <c r="D1281" s="2" t="s">
        <v>2299</v>
      </c>
      <c r="E1281" s="2" t="s">
        <v>42</v>
      </c>
      <c r="F1281" s="2" t="s">
        <v>29</v>
      </c>
      <c r="G1281" s="2" t="s">
        <v>50</v>
      </c>
      <c r="H1281" s="2" t="s">
        <v>218</v>
      </c>
      <c r="I1281" s="2" t="s">
        <v>219</v>
      </c>
      <c r="J1281" s="2" t="s">
        <v>220</v>
      </c>
      <c r="K1281" s="2" t="s">
        <v>34</v>
      </c>
      <c r="L1281" s="3"/>
      <c r="M1281" s="3">
        <v>42073</v>
      </c>
      <c r="N1281" s="3">
        <v>42090</v>
      </c>
      <c r="O1281" s="3">
        <v>42093</v>
      </c>
      <c r="P1281" s="2" t="s">
        <v>842</v>
      </c>
      <c r="Q1281" s="2" t="s">
        <v>113</v>
      </c>
      <c r="R1281" s="2" t="s">
        <v>37</v>
      </c>
      <c r="S1281" s="2" t="s">
        <v>843</v>
      </c>
      <c r="T1281" s="2" t="s">
        <v>729</v>
      </c>
      <c r="U1281" s="2">
        <v>60</v>
      </c>
      <c r="V1281" s="2">
        <v>10000</v>
      </c>
      <c r="W1281" s="2">
        <v>36000</v>
      </c>
      <c r="X1281" s="2">
        <v>3.6</v>
      </c>
      <c r="Y1281" s="2">
        <v>0.06</v>
      </c>
      <c r="Z1281" s="2">
        <v>558</v>
      </c>
      <c r="AA1281" s="2">
        <v>3989.81</v>
      </c>
      <c r="AB1281">
        <v>0</v>
      </c>
      <c r="AC1281">
        <v>2015</v>
      </c>
      <c r="AE1281" s="2">
        <v>600</v>
      </c>
    </row>
    <row r="1282" spans="2:31" ht="14.5">
      <c r="B1282" s="2">
        <v>84460</v>
      </c>
      <c r="C1282" s="2" t="s">
        <v>2300</v>
      </c>
      <c r="D1282" s="2" t="s">
        <v>2301</v>
      </c>
      <c r="E1282" s="2" t="s">
        <v>1581</v>
      </c>
      <c r="F1282" s="2" t="s">
        <v>29</v>
      </c>
      <c r="G1282" s="2" t="s">
        <v>30</v>
      </c>
      <c r="H1282" s="2" t="s">
        <v>218</v>
      </c>
      <c r="I1282" s="2" t="s">
        <v>219</v>
      </c>
      <c r="J1282" s="2" t="s">
        <v>220</v>
      </c>
      <c r="K1282" s="2" t="s">
        <v>34</v>
      </c>
      <c r="L1282" s="3"/>
      <c r="M1282" s="3">
        <v>42153</v>
      </c>
      <c r="N1282" s="3">
        <v>42088</v>
      </c>
      <c r="O1282" s="3">
        <v>42093</v>
      </c>
      <c r="P1282" s="2" t="s">
        <v>754</v>
      </c>
      <c r="Q1282" s="2" t="s">
        <v>755</v>
      </c>
      <c r="R1282" s="2" t="s">
        <v>37</v>
      </c>
      <c r="S1282" s="2" t="s">
        <v>756</v>
      </c>
      <c r="T1282" s="2" t="s">
        <v>47</v>
      </c>
      <c r="U1282" s="2">
        <v>30</v>
      </c>
      <c r="V1282" s="2">
        <v>7380</v>
      </c>
      <c r="W1282" s="2">
        <v>73726.2</v>
      </c>
      <c r="X1282" s="2">
        <v>9.99</v>
      </c>
      <c r="Y1282" s="2">
        <v>0.33</v>
      </c>
      <c r="Z1282" s="2">
        <v>1115</v>
      </c>
      <c r="AA1282" s="2">
        <v>7006.47</v>
      </c>
      <c r="AB1282">
        <v>1</v>
      </c>
      <c r="AC1282">
        <v>2015</v>
      </c>
      <c r="AE1282" s="2">
        <v>2435.4</v>
      </c>
    </row>
    <row r="1283" spans="2:31" ht="14.5">
      <c r="B1283" s="2">
        <v>84465</v>
      </c>
      <c r="C1283" s="2" t="s">
        <v>1927</v>
      </c>
      <c r="D1283" s="2" t="s">
        <v>1928</v>
      </c>
      <c r="E1283" s="2" t="s">
        <v>118</v>
      </c>
      <c r="F1283" s="2" t="s">
        <v>29</v>
      </c>
      <c r="G1283" s="2" t="s">
        <v>50</v>
      </c>
      <c r="H1283" s="2" t="s">
        <v>218</v>
      </c>
      <c r="I1283" s="2" t="s">
        <v>219</v>
      </c>
      <c r="J1283" s="2" t="s">
        <v>220</v>
      </c>
      <c r="K1283" s="2" t="s">
        <v>267</v>
      </c>
      <c r="L1283" s="3"/>
      <c r="M1283" s="3">
        <v>42170</v>
      </c>
      <c r="N1283" s="3">
        <v>42138</v>
      </c>
      <c r="O1283" s="3">
        <v>42139</v>
      </c>
      <c r="P1283" s="2" t="s">
        <v>727</v>
      </c>
      <c r="Q1283" s="2" t="s">
        <v>45</v>
      </c>
      <c r="R1283" s="2" t="s">
        <v>37</v>
      </c>
      <c r="S1283" s="2" t="s">
        <v>728</v>
      </c>
      <c r="T1283" s="2" t="s">
        <v>729</v>
      </c>
      <c r="U1283" s="2">
        <v>60</v>
      </c>
      <c r="V1283" s="2">
        <v>8193</v>
      </c>
      <c r="W1283" s="2">
        <v>15730.56</v>
      </c>
      <c r="X1283" s="2">
        <v>1.92</v>
      </c>
      <c r="Y1283" s="2">
        <v>0.03</v>
      </c>
      <c r="AB1283">
        <v>1</v>
      </c>
      <c r="AC1283">
        <v>2015</v>
      </c>
      <c r="AE1283" s="2">
        <v>245.79</v>
      </c>
    </row>
    <row r="1284" spans="2:31" ht="14.5">
      <c r="B1284" s="2">
        <v>84477</v>
      </c>
      <c r="C1284" s="2" t="s">
        <v>2302</v>
      </c>
      <c r="D1284" s="2" t="s">
        <v>2303</v>
      </c>
      <c r="E1284" s="2" t="s">
        <v>42</v>
      </c>
      <c r="F1284" s="2" t="s">
        <v>29</v>
      </c>
      <c r="G1284" s="2" t="s">
        <v>30</v>
      </c>
      <c r="H1284" s="2" t="s">
        <v>218</v>
      </c>
      <c r="I1284" s="2" t="s">
        <v>219</v>
      </c>
      <c r="J1284" s="2" t="s">
        <v>220</v>
      </c>
      <c r="K1284" s="2" t="s">
        <v>267</v>
      </c>
      <c r="L1284" s="3"/>
      <c r="M1284" s="3">
        <v>42185</v>
      </c>
      <c r="N1284" s="3">
        <v>42172</v>
      </c>
      <c r="O1284" s="3">
        <v>42184</v>
      </c>
      <c r="P1284" s="2" t="s">
        <v>44</v>
      </c>
      <c r="Q1284" s="2" t="s">
        <v>45</v>
      </c>
      <c r="R1284" s="2" t="s">
        <v>37</v>
      </c>
      <c r="S1284" s="2" t="s">
        <v>46</v>
      </c>
      <c r="T1284" s="2" t="s">
        <v>47</v>
      </c>
      <c r="U1284" s="2">
        <v>60</v>
      </c>
      <c r="V1284" s="2">
        <v>34858</v>
      </c>
      <c r="W1284" s="2">
        <v>227274.16</v>
      </c>
      <c r="X1284" s="2">
        <v>6.52</v>
      </c>
      <c r="Y1284" s="2">
        <v>0.11</v>
      </c>
      <c r="Z1284" s="2">
        <v>3094</v>
      </c>
      <c r="AB1284">
        <v>1</v>
      </c>
      <c r="AC1284">
        <v>2015</v>
      </c>
      <c r="AE1284" s="2">
        <v>3834.38</v>
      </c>
    </row>
    <row r="1285" spans="2:31" ht="14.5">
      <c r="B1285" s="2">
        <v>84503</v>
      </c>
      <c r="C1285" s="2" t="s">
        <v>1933</v>
      </c>
      <c r="D1285" s="2" t="s">
        <v>1934</v>
      </c>
      <c r="E1285" s="2" t="s">
        <v>118</v>
      </c>
      <c r="F1285" s="2" t="s">
        <v>29</v>
      </c>
      <c r="G1285" s="2" t="s">
        <v>30</v>
      </c>
      <c r="H1285" s="2" t="s">
        <v>218</v>
      </c>
      <c r="I1285" s="2" t="s">
        <v>219</v>
      </c>
      <c r="J1285" s="2" t="s">
        <v>220</v>
      </c>
      <c r="K1285" s="2" t="s">
        <v>34</v>
      </c>
      <c r="L1285" s="3"/>
      <c r="M1285" s="3">
        <v>40137</v>
      </c>
      <c r="N1285" s="3">
        <v>40127</v>
      </c>
      <c r="O1285" s="3">
        <v>40127</v>
      </c>
      <c r="P1285" s="2" t="s">
        <v>44</v>
      </c>
      <c r="Q1285" s="2" t="s">
        <v>45</v>
      </c>
      <c r="R1285" s="2" t="s">
        <v>37</v>
      </c>
      <c r="S1285" s="2" t="s">
        <v>46</v>
      </c>
      <c r="T1285" s="2" t="s">
        <v>47</v>
      </c>
      <c r="U1285" s="2">
        <v>60</v>
      </c>
      <c r="V1285" s="2">
        <v>300</v>
      </c>
      <c r="W1285" s="2">
        <v>2628</v>
      </c>
      <c r="X1285" s="2">
        <v>8.76</v>
      </c>
      <c r="Y1285" s="2">
        <v>0.15</v>
      </c>
      <c r="AB1285">
        <v>1</v>
      </c>
      <c r="AC1285">
        <v>2009</v>
      </c>
      <c r="AE1285" s="2">
        <v>45</v>
      </c>
    </row>
    <row r="1286" spans="2:31" ht="14.5">
      <c r="B1286" s="2">
        <v>84508</v>
      </c>
      <c r="C1286" s="2" t="s">
        <v>2304</v>
      </c>
      <c r="D1286" s="2" t="s">
        <v>2305</v>
      </c>
      <c r="E1286" s="2" t="s">
        <v>118</v>
      </c>
      <c r="F1286" s="2" t="s">
        <v>29</v>
      </c>
      <c r="G1286" s="2" t="s">
        <v>30</v>
      </c>
      <c r="H1286" s="2" t="s">
        <v>218</v>
      </c>
      <c r="I1286" s="2" t="s">
        <v>219</v>
      </c>
      <c r="J1286" s="2" t="s">
        <v>220</v>
      </c>
      <c r="K1286" s="2" t="s">
        <v>34</v>
      </c>
      <c r="L1286" s="3"/>
      <c r="M1286" s="3">
        <v>40144</v>
      </c>
      <c r="N1286" s="3">
        <v>40149</v>
      </c>
      <c r="O1286" s="3">
        <v>40149</v>
      </c>
      <c r="P1286" s="2" t="s">
        <v>35</v>
      </c>
      <c r="Q1286" s="2" t="s">
        <v>36</v>
      </c>
      <c r="R1286" s="2" t="s">
        <v>37</v>
      </c>
      <c r="S1286" s="2" t="s">
        <v>38</v>
      </c>
      <c r="T1286" s="2" t="s">
        <v>39</v>
      </c>
      <c r="U1286" s="2">
        <v>60</v>
      </c>
      <c r="V1286" s="2">
        <v>10453</v>
      </c>
      <c r="W1286" s="2">
        <v>30313.7</v>
      </c>
      <c r="X1286" s="2">
        <v>2.9</v>
      </c>
      <c r="Y1286" s="2">
        <v>0.05</v>
      </c>
      <c r="Z1286" s="2">
        <v>1001</v>
      </c>
      <c r="AA1286" s="2">
        <v>3228.26</v>
      </c>
      <c r="AB1286">
        <v>0</v>
      </c>
      <c r="AC1286">
        <v>2009</v>
      </c>
      <c r="AE1286" s="2">
        <v>522.65</v>
      </c>
    </row>
    <row r="1287" spans="2:31" ht="14.5">
      <c r="B1287" s="2">
        <v>84512</v>
      </c>
      <c r="C1287" s="2" t="s">
        <v>2306</v>
      </c>
      <c r="D1287" s="2" t="s">
        <v>2307</v>
      </c>
      <c r="E1287" s="2" t="s">
        <v>118</v>
      </c>
      <c r="F1287" s="2" t="s">
        <v>29</v>
      </c>
      <c r="G1287" s="2" t="s">
        <v>30</v>
      </c>
      <c r="H1287" s="2" t="s">
        <v>218</v>
      </c>
      <c r="I1287" s="2" t="s">
        <v>219</v>
      </c>
      <c r="J1287" s="2" t="s">
        <v>220</v>
      </c>
      <c r="K1287" s="2" t="s">
        <v>34</v>
      </c>
      <c r="L1287" s="3"/>
      <c r="M1287" s="3">
        <v>40154</v>
      </c>
      <c r="N1287" s="3">
        <v>40149</v>
      </c>
      <c r="O1287" s="3">
        <v>40149</v>
      </c>
      <c r="P1287" s="2" t="s">
        <v>35</v>
      </c>
      <c r="Q1287" s="2" t="s">
        <v>36</v>
      </c>
      <c r="R1287" s="2" t="s">
        <v>37</v>
      </c>
      <c r="S1287" s="2" t="s">
        <v>38</v>
      </c>
      <c r="T1287" s="2" t="s">
        <v>39</v>
      </c>
      <c r="U1287" s="2">
        <v>60</v>
      </c>
      <c r="V1287" s="2">
        <v>1300</v>
      </c>
      <c r="W1287" s="2">
        <v>3770</v>
      </c>
      <c r="X1287" s="2">
        <v>2.9</v>
      </c>
      <c r="Y1287" s="2">
        <v>0.05</v>
      </c>
      <c r="Z1287" s="2">
        <v>125</v>
      </c>
      <c r="AA1287" s="2">
        <v>2697.65</v>
      </c>
      <c r="AB1287">
        <v>1</v>
      </c>
      <c r="AC1287">
        <v>2009</v>
      </c>
      <c r="AE1287" s="2">
        <v>65</v>
      </c>
    </row>
    <row r="1288" spans="2:31" ht="14.5">
      <c r="B1288" s="2">
        <v>84526</v>
      </c>
      <c r="C1288" s="2" t="s">
        <v>2308</v>
      </c>
      <c r="D1288" s="2" t="s">
        <v>2309</v>
      </c>
      <c r="E1288" s="2" t="s">
        <v>118</v>
      </c>
      <c r="F1288" s="2" t="s">
        <v>29</v>
      </c>
      <c r="G1288" s="2" t="s">
        <v>30</v>
      </c>
      <c r="H1288" s="2" t="s">
        <v>218</v>
      </c>
      <c r="I1288" s="2" t="s">
        <v>219</v>
      </c>
      <c r="J1288" s="2" t="s">
        <v>220</v>
      </c>
      <c r="K1288" s="2" t="s">
        <v>267</v>
      </c>
      <c r="L1288" s="3"/>
      <c r="M1288" s="3">
        <v>40234</v>
      </c>
      <c r="N1288" s="3">
        <v>40227</v>
      </c>
      <c r="O1288" s="3">
        <v>40227</v>
      </c>
      <c r="P1288" s="2" t="s">
        <v>112</v>
      </c>
      <c r="Q1288" s="2" t="s">
        <v>113</v>
      </c>
      <c r="R1288" s="2" t="s">
        <v>37</v>
      </c>
      <c r="S1288" s="2" t="s">
        <v>114</v>
      </c>
      <c r="T1288" s="2" t="s">
        <v>47</v>
      </c>
      <c r="U1288" s="2">
        <v>60</v>
      </c>
      <c r="V1288" s="2">
        <v>29</v>
      </c>
      <c r="W1288" s="2">
        <v>325.38</v>
      </c>
      <c r="X1288" s="2">
        <v>11.22</v>
      </c>
      <c r="Y1288" s="2">
        <v>0.19</v>
      </c>
      <c r="Z1288" s="2">
        <v>5134</v>
      </c>
      <c r="AA1288" s="2">
        <v>9348</v>
      </c>
      <c r="AB1288">
        <v>1</v>
      </c>
      <c r="AC1288">
        <v>2010</v>
      </c>
      <c r="AE1288" s="2">
        <v>5.51</v>
      </c>
    </row>
    <row r="1289" spans="2:31" ht="14.5">
      <c r="B1289" s="2">
        <v>84543</v>
      </c>
      <c r="C1289" s="2" t="s">
        <v>2310</v>
      </c>
      <c r="D1289" s="2" t="s">
        <v>2311</v>
      </c>
      <c r="E1289" s="2" t="s">
        <v>118</v>
      </c>
      <c r="F1289" s="2" t="s">
        <v>29</v>
      </c>
      <c r="G1289" s="2" t="s">
        <v>30</v>
      </c>
      <c r="H1289" s="2" t="s">
        <v>218</v>
      </c>
      <c r="I1289" s="2" t="s">
        <v>219</v>
      </c>
      <c r="J1289" s="2" t="s">
        <v>220</v>
      </c>
      <c r="K1289" s="2" t="s">
        <v>267</v>
      </c>
      <c r="L1289" s="3"/>
      <c r="M1289" s="3">
        <v>40298</v>
      </c>
      <c r="N1289" s="3">
        <v>40262</v>
      </c>
      <c r="O1289" s="3">
        <v>40262</v>
      </c>
      <c r="P1289" s="2" t="s">
        <v>95</v>
      </c>
      <c r="Q1289" s="2" t="s">
        <v>96</v>
      </c>
      <c r="R1289" s="2" t="s">
        <v>37</v>
      </c>
      <c r="S1289" s="2" t="s">
        <v>97</v>
      </c>
      <c r="T1289" s="2" t="s">
        <v>39</v>
      </c>
      <c r="U1289" s="2">
        <v>30</v>
      </c>
      <c r="V1289" s="2">
        <v>4200</v>
      </c>
      <c r="W1289" s="2">
        <v>21546</v>
      </c>
      <c r="X1289" s="2">
        <v>5.13</v>
      </c>
      <c r="Y1289" s="2">
        <v>0.17</v>
      </c>
      <c r="Z1289" s="2">
        <v>238</v>
      </c>
      <c r="AA1289" s="2">
        <v>2021.53</v>
      </c>
      <c r="AB1289">
        <v>1</v>
      </c>
      <c r="AC1289">
        <v>2010</v>
      </c>
      <c r="AE1289" s="2">
        <v>714</v>
      </c>
    </row>
    <row r="1290" spans="2:31" ht="14.5">
      <c r="B1290" s="2">
        <v>84544</v>
      </c>
      <c r="C1290" s="2" t="s">
        <v>2312</v>
      </c>
      <c r="D1290" s="2" t="s">
        <v>2313</v>
      </c>
      <c r="E1290" s="2" t="s">
        <v>118</v>
      </c>
      <c r="F1290" s="2" t="s">
        <v>29</v>
      </c>
      <c r="G1290" s="2" t="s">
        <v>30</v>
      </c>
      <c r="H1290" s="2" t="s">
        <v>218</v>
      </c>
      <c r="I1290" s="2" t="s">
        <v>219</v>
      </c>
      <c r="J1290" s="2" t="s">
        <v>220</v>
      </c>
      <c r="K1290" s="2" t="s">
        <v>267</v>
      </c>
      <c r="L1290" s="3"/>
      <c r="M1290" s="3">
        <v>40269</v>
      </c>
      <c r="N1290" s="3">
        <v>40262</v>
      </c>
      <c r="O1290" s="3">
        <v>40262</v>
      </c>
      <c r="P1290" s="2" t="s">
        <v>112</v>
      </c>
      <c r="Q1290" s="2" t="s">
        <v>113</v>
      </c>
      <c r="R1290" s="2" t="s">
        <v>37</v>
      </c>
      <c r="S1290" s="2" t="s">
        <v>114</v>
      </c>
      <c r="T1290" s="2" t="s">
        <v>47</v>
      </c>
      <c r="U1290" s="2">
        <v>60</v>
      </c>
      <c r="V1290" s="2">
        <v>20000</v>
      </c>
      <c r="W1290" s="2">
        <v>224400</v>
      </c>
      <c r="X1290" s="2">
        <v>11.22</v>
      </c>
      <c r="Y1290" s="2">
        <v>0.19</v>
      </c>
      <c r="Z1290" s="2">
        <v>2356</v>
      </c>
      <c r="AA1290" s="2">
        <v>16682.66</v>
      </c>
      <c r="AB1290">
        <v>1</v>
      </c>
      <c r="AC1290">
        <v>2010</v>
      </c>
      <c r="AE1290" s="2">
        <v>3800</v>
      </c>
    </row>
    <row r="1291" spans="2:31" ht="14.5">
      <c r="B1291" s="2">
        <v>84545</v>
      </c>
      <c r="C1291" s="2" t="s">
        <v>2314</v>
      </c>
      <c r="D1291" s="2" t="s">
        <v>2315</v>
      </c>
      <c r="E1291" s="2" t="s">
        <v>118</v>
      </c>
      <c r="F1291" s="2" t="s">
        <v>29</v>
      </c>
      <c r="G1291" s="2" t="s">
        <v>30</v>
      </c>
      <c r="H1291" s="2" t="s">
        <v>218</v>
      </c>
      <c r="I1291" s="2" t="s">
        <v>219</v>
      </c>
      <c r="J1291" s="2" t="s">
        <v>220</v>
      </c>
      <c r="K1291" s="2" t="s">
        <v>267</v>
      </c>
      <c r="L1291" s="3"/>
      <c r="M1291" s="3">
        <v>40275</v>
      </c>
      <c r="N1291" s="3">
        <v>40262</v>
      </c>
      <c r="O1291" s="3">
        <v>40262</v>
      </c>
      <c r="P1291" s="2" t="s">
        <v>95</v>
      </c>
      <c r="Q1291" s="2" t="s">
        <v>96</v>
      </c>
      <c r="R1291" s="2" t="s">
        <v>37</v>
      </c>
      <c r="S1291" s="2" t="s">
        <v>97</v>
      </c>
      <c r="T1291" s="2" t="s">
        <v>39</v>
      </c>
      <c r="U1291" s="2">
        <v>30</v>
      </c>
      <c r="V1291" s="2">
        <v>4500</v>
      </c>
      <c r="W1291" s="2">
        <v>24075</v>
      </c>
      <c r="X1291" s="2">
        <v>5.35</v>
      </c>
      <c r="Y1291" s="2">
        <v>0.18</v>
      </c>
      <c r="Z1291" s="2">
        <v>350</v>
      </c>
      <c r="AA1291" s="2">
        <v>1854</v>
      </c>
      <c r="AB1291">
        <v>1</v>
      </c>
      <c r="AC1291">
        <v>2010</v>
      </c>
      <c r="AE1291" s="2">
        <v>810</v>
      </c>
    </row>
    <row r="1292" spans="2:31" ht="14.5">
      <c r="B1292" s="2">
        <v>84546</v>
      </c>
      <c r="C1292" s="2" t="s">
        <v>2316</v>
      </c>
      <c r="D1292" s="2" t="s">
        <v>2317</v>
      </c>
      <c r="E1292" s="2" t="s">
        <v>118</v>
      </c>
      <c r="F1292" s="2" t="s">
        <v>29</v>
      </c>
      <c r="G1292" s="2" t="s">
        <v>30</v>
      </c>
      <c r="H1292" s="2" t="s">
        <v>218</v>
      </c>
      <c r="I1292" s="2" t="s">
        <v>219</v>
      </c>
      <c r="J1292" s="2" t="s">
        <v>220</v>
      </c>
      <c r="K1292" s="2" t="s">
        <v>267</v>
      </c>
      <c r="L1292" s="3"/>
      <c r="M1292" s="3">
        <v>40296</v>
      </c>
      <c r="N1292" s="3">
        <v>40262</v>
      </c>
      <c r="O1292" s="3">
        <v>40262</v>
      </c>
      <c r="P1292" s="2" t="s">
        <v>112</v>
      </c>
      <c r="Q1292" s="2" t="s">
        <v>113</v>
      </c>
      <c r="R1292" s="2" t="s">
        <v>37</v>
      </c>
      <c r="S1292" s="2" t="s">
        <v>114</v>
      </c>
      <c r="T1292" s="2" t="s">
        <v>47</v>
      </c>
      <c r="U1292" s="2">
        <v>60</v>
      </c>
      <c r="V1292" s="2">
        <v>3000</v>
      </c>
      <c r="W1292" s="2">
        <v>33660</v>
      </c>
      <c r="X1292" s="2">
        <v>11.22</v>
      </c>
      <c r="Y1292" s="2">
        <v>0.19</v>
      </c>
      <c r="Z1292" s="2">
        <v>359</v>
      </c>
      <c r="AA1292" s="2">
        <v>3302.05</v>
      </c>
      <c r="AB1292">
        <v>1</v>
      </c>
      <c r="AC1292">
        <v>2010</v>
      </c>
      <c r="AE1292" s="2">
        <v>570</v>
      </c>
    </row>
    <row r="1293" spans="2:31" ht="14.5">
      <c r="B1293" s="2">
        <v>84547</v>
      </c>
      <c r="C1293" s="2" t="s">
        <v>1736</v>
      </c>
      <c r="D1293" s="2" t="s">
        <v>1737</v>
      </c>
      <c r="E1293" s="2" t="s">
        <v>118</v>
      </c>
      <c r="F1293" s="2" t="s">
        <v>29</v>
      </c>
      <c r="G1293" s="2" t="s">
        <v>30</v>
      </c>
      <c r="H1293" s="2" t="s">
        <v>218</v>
      </c>
      <c r="I1293" s="2" t="s">
        <v>219</v>
      </c>
      <c r="J1293" s="2" t="s">
        <v>220</v>
      </c>
      <c r="K1293" s="2" t="s">
        <v>34</v>
      </c>
      <c r="L1293" s="3"/>
      <c r="M1293" s="3">
        <v>40324</v>
      </c>
      <c r="N1293" s="3">
        <v>40276</v>
      </c>
      <c r="O1293" s="3">
        <v>40276</v>
      </c>
      <c r="P1293" s="2" t="s">
        <v>333</v>
      </c>
      <c r="Q1293" s="2" t="s">
        <v>225</v>
      </c>
      <c r="R1293" s="2" t="s">
        <v>37</v>
      </c>
      <c r="S1293" s="2" t="s">
        <v>100</v>
      </c>
      <c r="T1293" s="2" t="s">
        <v>39</v>
      </c>
      <c r="U1293" s="2">
        <v>60</v>
      </c>
      <c r="V1293" s="2">
        <v>50</v>
      </c>
      <c r="W1293" s="2">
        <v>375</v>
      </c>
      <c r="X1293" s="2">
        <v>7.5</v>
      </c>
      <c r="Y1293" s="2">
        <v>0.12</v>
      </c>
      <c r="AB1293">
        <v>1</v>
      </c>
      <c r="AC1293">
        <v>2010</v>
      </c>
      <c r="AE1293" s="2">
        <v>6</v>
      </c>
    </row>
    <row r="1294" spans="2:31" ht="14.5">
      <c r="B1294" s="2">
        <v>84548</v>
      </c>
      <c r="C1294" s="2" t="s">
        <v>1738</v>
      </c>
      <c r="D1294" s="2" t="s">
        <v>1739</v>
      </c>
      <c r="E1294" s="2" t="s">
        <v>118</v>
      </c>
      <c r="F1294" s="2" t="s">
        <v>29</v>
      </c>
      <c r="G1294" s="2" t="s">
        <v>30</v>
      </c>
      <c r="H1294" s="2" t="s">
        <v>218</v>
      </c>
      <c r="I1294" s="2" t="s">
        <v>219</v>
      </c>
      <c r="J1294" s="2" t="s">
        <v>220</v>
      </c>
      <c r="K1294" s="2" t="s">
        <v>34</v>
      </c>
      <c r="L1294" s="3"/>
      <c r="M1294" s="3">
        <v>40324</v>
      </c>
      <c r="N1294" s="3">
        <v>40280</v>
      </c>
      <c r="O1294" s="3">
        <v>40280</v>
      </c>
      <c r="P1294" s="2" t="s">
        <v>95</v>
      </c>
      <c r="Q1294" s="2" t="s">
        <v>96</v>
      </c>
      <c r="R1294" s="2" t="s">
        <v>37</v>
      </c>
      <c r="S1294" s="2" t="s">
        <v>97</v>
      </c>
      <c r="T1294" s="2" t="s">
        <v>39</v>
      </c>
      <c r="U1294" s="2">
        <v>30</v>
      </c>
      <c r="V1294" s="2">
        <v>5000</v>
      </c>
      <c r="W1294" s="2">
        <v>25650</v>
      </c>
      <c r="X1294" s="2">
        <v>5.13</v>
      </c>
      <c r="Y1294" s="2">
        <v>0.17</v>
      </c>
      <c r="AB1294">
        <v>1</v>
      </c>
      <c r="AC1294">
        <v>2010</v>
      </c>
      <c r="AE1294" s="2">
        <v>850.00000000000011</v>
      </c>
    </row>
    <row r="1295" spans="2:31" ht="14.5">
      <c r="B1295" s="2">
        <v>84549</v>
      </c>
      <c r="C1295" s="2" t="s">
        <v>2318</v>
      </c>
      <c r="D1295" s="2" t="s">
        <v>2319</v>
      </c>
      <c r="E1295" s="2" t="s">
        <v>28</v>
      </c>
      <c r="F1295" s="2" t="s">
        <v>29</v>
      </c>
      <c r="G1295" s="2" t="s">
        <v>30</v>
      </c>
      <c r="H1295" s="2" t="s">
        <v>218</v>
      </c>
      <c r="I1295" s="2" t="s">
        <v>219</v>
      </c>
      <c r="J1295" s="2" t="s">
        <v>220</v>
      </c>
      <c r="K1295" s="2" t="s">
        <v>34</v>
      </c>
      <c r="L1295" s="3"/>
      <c r="M1295" s="3">
        <v>40380</v>
      </c>
      <c r="N1295" s="3">
        <v>40268</v>
      </c>
      <c r="O1295" s="3">
        <v>40268</v>
      </c>
      <c r="P1295" s="2" t="s">
        <v>35</v>
      </c>
      <c r="Q1295" s="2" t="s">
        <v>36</v>
      </c>
      <c r="R1295" s="2" t="s">
        <v>37</v>
      </c>
      <c r="S1295" s="2" t="s">
        <v>38</v>
      </c>
      <c r="T1295" s="2" t="s">
        <v>39</v>
      </c>
      <c r="U1295" s="2">
        <v>60</v>
      </c>
      <c r="V1295" s="2">
        <v>4800</v>
      </c>
      <c r="W1295" s="2">
        <v>13104</v>
      </c>
      <c r="X1295" s="2">
        <v>2.73</v>
      </c>
      <c r="Y1295" s="2">
        <v>0.05</v>
      </c>
      <c r="Z1295" s="2">
        <v>460</v>
      </c>
      <c r="AB1295">
        <v>1</v>
      </c>
      <c r="AC1295">
        <v>2010</v>
      </c>
      <c r="AE1295" s="2">
        <v>240</v>
      </c>
    </row>
    <row r="1296" spans="2:31" ht="14.5">
      <c r="B1296" s="2">
        <v>84555</v>
      </c>
      <c r="C1296" s="2" t="s">
        <v>2320</v>
      </c>
      <c r="D1296" s="2" t="s">
        <v>2321</v>
      </c>
      <c r="E1296" s="2" t="s">
        <v>118</v>
      </c>
      <c r="F1296" s="2" t="s">
        <v>29</v>
      </c>
      <c r="G1296" s="2" t="s">
        <v>30</v>
      </c>
      <c r="H1296" s="2" t="s">
        <v>218</v>
      </c>
      <c r="I1296" s="2" t="s">
        <v>219</v>
      </c>
      <c r="J1296" s="2" t="s">
        <v>220</v>
      </c>
      <c r="K1296" s="2" t="s">
        <v>34</v>
      </c>
      <c r="L1296" s="3"/>
      <c r="M1296" s="3">
        <v>40305</v>
      </c>
      <c r="N1296" s="3">
        <v>40317</v>
      </c>
      <c r="O1296" s="3">
        <v>40317</v>
      </c>
      <c r="P1296" s="2" t="s">
        <v>139</v>
      </c>
      <c r="Q1296" s="2" t="s">
        <v>140</v>
      </c>
      <c r="R1296" s="2" t="s">
        <v>37</v>
      </c>
      <c r="S1296" s="2" t="s">
        <v>141</v>
      </c>
      <c r="T1296" s="2" t="s">
        <v>47</v>
      </c>
      <c r="U1296" s="2">
        <v>60</v>
      </c>
      <c r="V1296" s="2">
        <v>200</v>
      </c>
      <c r="W1296" s="2">
        <v>1170</v>
      </c>
      <c r="X1296" s="2">
        <v>5.85</v>
      </c>
      <c r="Y1296" s="2">
        <v>0.1</v>
      </c>
      <c r="Z1296" s="2">
        <v>21</v>
      </c>
      <c r="AA1296" s="2">
        <v>1000.05</v>
      </c>
      <c r="AB1296">
        <v>0</v>
      </c>
      <c r="AC1296">
        <v>2010</v>
      </c>
      <c r="AE1296" s="2">
        <v>20</v>
      </c>
    </row>
    <row r="1297" spans="2:31" ht="14.5">
      <c r="B1297" s="2">
        <v>84556</v>
      </c>
      <c r="C1297" s="2" t="s">
        <v>1951</v>
      </c>
      <c r="D1297" s="2" t="s">
        <v>1952</v>
      </c>
      <c r="E1297" s="2" t="s">
        <v>118</v>
      </c>
      <c r="F1297" s="2" t="s">
        <v>29</v>
      </c>
      <c r="G1297" s="2" t="s">
        <v>30</v>
      </c>
      <c r="H1297" s="2" t="s">
        <v>218</v>
      </c>
      <c r="I1297" s="2" t="s">
        <v>219</v>
      </c>
      <c r="J1297" s="2" t="s">
        <v>220</v>
      </c>
      <c r="K1297" s="2" t="s">
        <v>34</v>
      </c>
      <c r="L1297" s="3"/>
      <c r="M1297" s="3">
        <v>40301</v>
      </c>
      <c r="N1297" s="3">
        <v>40301</v>
      </c>
      <c r="O1297" s="3">
        <v>40301</v>
      </c>
      <c r="P1297" s="2" t="s">
        <v>95</v>
      </c>
      <c r="Q1297" s="2" t="s">
        <v>96</v>
      </c>
      <c r="R1297" s="2" t="s">
        <v>37</v>
      </c>
      <c r="S1297" s="2" t="s">
        <v>97</v>
      </c>
      <c r="T1297" s="2" t="s">
        <v>39</v>
      </c>
      <c r="U1297" s="2">
        <v>30</v>
      </c>
      <c r="V1297" s="2">
        <v>1621</v>
      </c>
      <c r="W1297" s="2">
        <v>7699.75</v>
      </c>
      <c r="X1297" s="2">
        <v>4.75</v>
      </c>
      <c r="Y1297" s="2">
        <v>0.16</v>
      </c>
      <c r="AB1297">
        <v>1</v>
      </c>
      <c r="AC1297">
        <v>2010</v>
      </c>
      <c r="AE1297" s="2">
        <v>259.36</v>
      </c>
    </row>
    <row r="1298" spans="2:31" ht="14.5">
      <c r="B1298" s="2">
        <v>84559</v>
      </c>
      <c r="C1298" s="2" t="s">
        <v>2322</v>
      </c>
      <c r="D1298" s="2" t="s">
        <v>2323</v>
      </c>
      <c r="E1298" s="2" t="s">
        <v>118</v>
      </c>
      <c r="F1298" s="2" t="s">
        <v>29</v>
      </c>
      <c r="G1298" s="2" t="s">
        <v>30</v>
      </c>
      <c r="H1298" s="2" t="s">
        <v>218</v>
      </c>
      <c r="I1298" s="2" t="s">
        <v>219</v>
      </c>
      <c r="J1298" s="2" t="s">
        <v>220</v>
      </c>
      <c r="K1298" s="2" t="s">
        <v>34</v>
      </c>
      <c r="L1298" s="3"/>
      <c r="M1298" s="3">
        <v>40368</v>
      </c>
      <c r="N1298" s="3">
        <v>40301</v>
      </c>
      <c r="O1298" s="3">
        <v>40301</v>
      </c>
      <c r="P1298" s="2" t="s">
        <v>44</v>
      </c>
      <c r="Q1298" s="2" t="s">
        <v>45</v>
      </c>
      <c r="R1298" s="2" t="s">
        <v>37</v>
      </c>
      <c r="S1298" s="2" t="s">
        <v>46</v>
      </c>
      <c r="T1298" s="2" t="s">
        <v>47</v>
      </c>
      <c r="U1298" s="2">
        <v>60</v>
      </c>
      <c r="V1298" s="2">
        <v>3600</v>
      </c>
      <c r="W1298" s="2">
        <v>31536</v>
      </c>
      <c r="X1298" s="2">
        <v>8.76</v>
      </c>
      <c r="Y1298" s="2">
        <v>0.15</v>
      </c>
      <c r="Z1298" s="2">
        <v>238</v>
      </c>
      <c r="AA1298" s="2">
        <v>3299.67</v>
      </c>
      <c r="AB1298">
        <v>1</v>
      </c>
      <c r="AC1298">
        <v>2010</v>
      </c>
      <c r="AE1298" s="2">
        <v>540</v>
      </c>
    </row>
    <row r="1299" spans="2:31" ht="14.5">
      <c r="B1299" s="2">
        <v>84567</v>
      </c>
      <c r="C1299" s="2" t="s">
        <v>2324</v>
      </c>
      <c r="D1299" s="2" t="s">
        <v>2325</v>
      </c>
      <c r="E1299" s="2" t="s">
        <v>118</v>
      </c>
      <c r="F1299" s="2" t="s">
        <v>29</v>
      </c>
      <c r="G1299" s="2" t="s">
        <v>30</v>
      </c>
      <c r="H1299" s="2" t="s">
        <v>218</v>
      </c>
      <c r="I1299" s="2" t="s">
        <v>219</v>
      </c>
      <c r="J1299" s="2" t="s">
        <v>220</v>
      </c>
      <c r="K1299" s="2" t="s">
        <v>34</v>
      </c>
      <c r="L1299" s="3"/>
      <c r="M1299" s="3">
        <v>40324</v>
      </c>
      <c r="N1299" s="3">
        <v>40325</v>
      </c>
      <c r="O1299" s="3">
        <v>40325</v>
      </c>
      <c r="P1299" s="2" t="s">
        <v>112</v>
      </c>
      <c r="Q1299" s="2" t="s">
        <v>113</v>
      </c>
      <c r="R1299" s="2" t="s">
        <v>37</v>
      </c>
      <c r="S1299" s="2" t="s">
        <v>114</v>
      </c>
      <c r="T1299" s="2" t="s">
        <v>47</v>
      </c>
      <c r="U1299" s="2">
        <v>60</v>
      </c>
      <c r="V1299" s="2">
        <v>20000</v>
      </c>
      <c r="W1299" s="2">
        <v>224400</v>
      </c>
      <c r="X1299" s="2">
        <v>11.22</v>
      </c>
      <c r="Y1299" s="2">
        <v>0.19</v>
      </c>
      <c r="Z1299" s="2">
        <v>2560</v>
      </c>
      <c r="AA1299" s="2">
        <v>20654.810000000001</v>
      </c>
      <c r="AB1299">
        <v>0</v>
      </c>
      <c r="AC1299">
        <v>2010</v>
      </c>
      <c r="AE1299" s="2">
        <v>3800</v>
      </c>
    </row>
    <row r="1300" spans="2:31" ht="14.5">
      <c r="B1300" s="2">
        <v>84569</v>
      </c>
      <c r="C1300" s="2" t="s">
        <v>1746</v>
      </c>
      <c r="D1300" s="2" t="s">
        <v>1747</v>
      </c>
      <c r="E1300" s="2" t="s">
        <v>118</v>
      </c>
      <c r="F1300" s="2" t="s">
        <v>29</v>
      </c>
      <c r="G1300" s="2" t="s">
        <v>30</v>
      </c>
      <c r="H1300" s="2" t="s">
        <v>218</v>
      </c>
      <c r="I1300" s="2" t="s">
        <v>219</v>
      </c>
      <c r="J1300" s="2" t="s">
        <v>220</v>
      </c>
      <c r="K1300" s="2" t="s">
        <v>34</v>
      </c>
      <c r="L1300" s="3"/>
      <c r="M1300" s="3">
        <v>40359</v>
      </c>
      <c r="N1300" s="3">
        <v>40351</v>
      </c>
      <c r="O1300" s="3">
        <v>40351</v>
      </c>
      <c r="P1300" s="2" t="s">
        <v>44</v>
      </c>
      <c r="Q1300" s="2" t="s">
        <v>45</v>
      </c>
      <c r="R1300" s="2" t="s">
        <v>37</v>
      </c>
      <c r="S1300" s="2" t="s">
        <v>46</v>
      </c>
      <c r="T1300" s="2" t="s">
        <v>47</v>
      </c>
      <c r="U1300" s="2">
        <v>60</v>
      </c>
      <c r="V1300" s="2">
        <v>700</v>
      </c>
      <c r="W1300" s="2">
        <v>6132</v>
      </c>
      <c r="X1300" s="2">
        <v>8.76</v>
      </c>
      <c r="Y1300" s="2">
        <v>0.15</v>
      </c>
      <c r="AB1300">
        <v>1</v>
      </c>
      <c r="AC1300">
        <v>2010</v>
      </c>
      <c r="AE1300" s="2">
        <v>105</v>
      </c>
    </row>
    <row r="1301" spans="2:31" ht="14.5">
      <c r="B1301" s="2">
        <v>84570</v>
      </c>
      <c r="C1301" s="2" t="s">
        <v>2326</v>
      </c>
      <c r="D1301" s="2" t="s">
        <v>2327</v>
      </c>
      <c r="E1301" s="2" t="s">
        <v>118</v>
      </c>
      <c r="F1301" s="2" t="s">
        <v>29</v>
      </c>
      <c r="G1301" s="2" t="s">
        <v>30</v>
      </c>
      <c r="H1301" s="2" t="s">
        <v>218</v>
      </c>
      <c r="I1301" s="2" t="s">
        <v>219</v>
      </c>
      <c r="J1301" s="2" t="s">
        <v>220</v>
      </c>
      <c r="K1301" s="2" t="s">
        <v>34</v>
      </c>
      <c r="L1301" s="3"/>
      <c r="M1301" s="3">
        <v>40359</v>
      </c>
      <c r="N1301" s="3">
        <v>40351</v>
      </c>
      <c r="O1301" s="3">
        <v>40351</v>
      </c>
      <c r="P1301" s="2" t="s">
        <v>95</v>
      </c>
      <c r="Q1301" s="2" t="s">
        <v>96</v>
      </c>
      <c r="R1301" s="2" t="s">
        <v>37</v>
      </c>
      <c r="S1301" s="2" t="s">
        <v>97</v>
      </c>
      <c r="T1301" s="2" t="s">
        <v>39</v>
      </c>
      <c r="U1301" s="2">
        <v>30</v>
      </c>
      <c r="V1301" s="2">
        <v>17550</v>
      </c>
      <c r="W1301" s="2">
        <v>83362.5</v>
      </c>
      <c r="X1301" s="2">
        <v>4.75</v>
      </c>
      <c r="Y1301" s="2">
        <v>0.16</v>
      </c>
      <c r="Z1301" s="2">
        <v>1325</v>
      </c>
      <c r="AA1301" s="2">
        <v>4600.45</v>
      </c>
      <c r="AB1301">
        <v>1</v>
      </c>
      <c r="AC1301">
        <v>2010</v>
      </c>
      <c r="AE1301" s="2">
        <v>2808</v>
      </c>
    </row>
    <row r="1302" spans="2:31" ht="14.5">
      <c r="B1302" s="2">
        <v>84588</v>
      </c>
      <c r="C1302" s="2" t="s">
        <v>1754</v>
      </c>
      <c r="D1302" s="2" t="s">
        <v>1755</v>
      </c>
      <c r="E1302" s="2" t="s">
        <v>118</v>
      </c>
      <c r="F1302" s="2" t="s">
        <v>29</v>
      </c>
      <c r="G1302" s="2" t="s">
        <v>30</v>
      </c>
      <c r="H1302" s="2" t="s">
        <v>218</v>
      </c>
      <c r="I1302" s="2" t="s">
        <v>219</v>
      </c>
      <c r="J1302" s="2" t="s">
        <v>220</v>
      </c>
      <c r="K1302" s="2" t="s">
        <v>34</v>
      </c>
      <c r="L1302" s="3"/>
      <c r="M1302" s="3">
        <v>40480</v>
      </c>
      <c r="N1302" s="3">
        <v>40448</v>
      </c>
      <c r="O1302" s="3">
        <v>40448</v>
      </c>
      <c r="P1302" s="2" t="s">
        <v>44</v>
      </c>
      <c r="Q1302" s="2" t="s">
        <v>45</v>
      </c>
      <c r="R1302" s="2" t="s">
        <v>37</v>
      </c>
      <c r="S1302" s="2" t="s">
        <v>46</v>
      </c>
      <c r="T1302" s="2" t="s">
        <v>47</v>
      </c>
      <c r="U1302" s="2">
        <v>60</v>
      </c>
      <c r="V1302" s="2">
        <v>63148</v>
      </c>
      <c r="W1302" s="2">
        <v>539915.4</v>
      </c>
      <c r="X1302" s="2">
        <v>8.5500000000000007</v>
      </c>
      <c r="Y1302" s="2">
        <v>0.14000000000000001</v>
      </c>
      <c r="AB1302">
        <v>1</v>
      </c>
      <c r="AC1302">
        <v>2010</v>
      </c>
      <c r="AE1302" s="2">
        <v>8840.7200000000012</v>
      </c>
    </row>
    <row r="1303" spans="2:31" ht="14.5">
      <c r="B1303" s="2">
        <v>84589</v>
      </c>
      <c r="C1303" s="2" t="s">
        <v>2328</v>
      </c>
      <c r="D1303" s="2" t="s">
        <v>2329</v>
      </c>
      <c r="E1303" s="2" t="s">
        <v>118</v>
      </c>
      <c r="F1303" s="2" t="s">
        <v>29</v>
      </c>
      <c r="G1303" s="2" t="s">
        <v>30</v>
      </c>
      <c r="H1303" s="2" t="s">
        <v>218</v>
      </c>
      <c r="I1303" s="2" t="s">
        <v>219</v>
      </c>
      <c r="J1303" s="2" t="s">
        <v>220</v>
      </c>
      <c r="K1303" s="2" t="s">
        <v>34</v>
      </c>
      <c r="L1303" s="3"/>
      <c r="M1303" s="3">
        <v>40451</v>
      </c>
      <c r="N1303" s="3">
        <v>40413</v>
      </c>
      <c r="O1303" s="3">
        <v>40413</v>
      </c>
      <c r="P1303" s="2" t="s">
        <v>95</v>
      </c>
      <c r="Q1303" s="2" t="s">
        <v>96</v>
      </c>
      <c r="R1303" s="2" t="s">
        <v>37</v>
      </c>
      <c r="S1303" s="2" t="s">
        <v>97</v>
      </c>
      <c r="T1303" s="2" t="s">
        <v>39</v>
      </c>
      <c r="U1303" s="2">
        <v>30</v>
      </c>
      <c r="V1303" s="2">
        <v>71991</v>
      </c>
      <c r="W1303" s="2">
        <v>320359.95</v>
      </c>
      <c r="X1303" s="2">
        <v>4.45</v>
      </c>
      <c r="Y1303" s="2">
        <v>0.15</v>
      </c>
      <c r="Z1303" s="2">
        <v>7187</v>
      </c>
      <c r="AA1303" s="2">
        <v>16285.97</v>
      </c>
      <c r="AB1303">
        <v>1</v>
      </c>
      <c r="AC1303">
        <v>2010</v>
      </c>
      <c r="AE1303" s="2">
        <v>10798.65</v>
      </c>
    </row>
    <row r="1304" spans="2:31" ht="14.5">
      <c r="B1304" s="2">
        <v>84590</v>
      </c>
      <c r="C1304" s="2" t="s">
        <v>2328</v>
      </c>
      <c r="D1304" s="2" t="s">
        <v>2329</v>
      </c>
      <c r="E1304" s="2" t="s">
        <v>118</v>
      </c>
      <c r="F1304" s="2" t="s">
        <v>29</v>
      </c>
      <c r="G1304" s="2" t="s">
        <v>30</v>
      </c>
      <c r="H1304" s="2" t="s">
        <v>218</v>
      </c>
      <c r="I1304" s="2" t="s">
        <v>219</v>
      </c>
      <c r="J1304" s="2" t="s">
        <v>220</v>
      </c>
      <c r="K1304" s="2" t="s">
        <v>34</v>
      </c>
      <c r="L1304" s="3"/>
      <c r="M1304" s="3">
        <v>40451</v>
      </c>
      <c r="N1304" s="3">
        <v>40413</v>
      </c>
      <c r="O1304" s="3">
        <v>40413</v>
      </c>
      <c r="P1304" s="2" t="s">
        <v>44</v>
      </c>
      <c r="Q1304" s="2" t="s">
        <v>45</v>
      </c>
      <c r="R1304" s="2" t="s">
        <v>37</v>
      </c>
      <c r="S1304" s="2" t="s">
        <v>46</v>
      </c>
      <c r="T1304" s="2" t="s">
        <v>47</v>
      </c>
      <c r="U1304" s="2">
        <v>60</v>
      </c>
      <c r="V1304" s="2">
        <v>26991</v>
      </c>
      <c r="W1304" s="2">
        <v>230773.05</v>
      </c>
      <c r="X1304" s="2">
        <v>8.5500000000000007</v>
      </c>
      <c r="Y1304" s="2">
        <v>0.14000000000000001</v>
      </c>
      <c r="AB1304">
        <v>1</v>
      </c>
      <c r="AC1304">
        <v>2010</v>
      </c>
      <c r="AE1304" s="2">
        <v>3778.7400000000002</v>
      </c>
    </row>
    <row r="1305" spans="2:31" ht="14.5">
      <c r="B1305" s="2">
        <v>84595</v>
      </c>
      <c r="C1305" s="2" t="s">
        <v>2185</v>
      </c>
      <c r="D1305" s="2" t="s">
        <v>2186</v>
      </c>
      <c r="E1305" s="2" t="s">
        <v>118</v>
      </c>
      <c r="F1305" s="2" t="s">
        <v>29</v>
      </c>
      <c r="G1305" s="2" t="s">
        <v>30</v>
      </c>
      <c r="H1305" s="2" t="s">
        <v>218</v>
      </c>
      <c r="I1305" s="2" t="s">
        <v>219</v>
      </c>
      <c r="J1305" s="2" t="s">
        <v>220</v>
      </c>
      <c r="K1305" s="2" t="s">
        <v>34</v>
      </c>
      <c r="L1305" s="3"/>
      <c r="M1305" s="3">
        <v>40471</v>
      </c>
      <c r="N1305" s="3">
        <v>40476</v>
      </c>
      <c r="O1305" s="3">
        <v>40476</v>
      </c>
      <c r="P1305" s="2" t="s">
        <v>112</v>
      </c>
      <c r="Q1305" s="2" t="s">
        <v>113</v>
      </c>
      <c r="R1305" s="2" t="s">
        <v>37</v>
      </c>
      <c r="S1305" s="2" t="s">
        <v>114</v>
      </c>
      <c r="T1305" s="2" t="s">
        <v>47</v>
      </c>
      <c r="U1305" s="2">
        <v>60</v>
      </c>
      <c r="V1305" s="2">
        <v>31932</v>
      </c>
      <c r="W1305" s="2">
        <v>358277.04</v>
      </c>
      <c r="X1305" s="2">
        <v>11.22</v>
      </c>
      <c r="Y1305" s="2">
        <v>0.19</v>
      </c>
      <c r="AB1305">
        <v>0</v>
      </c>
      <c r="AC1305">
        <v>2010</v>
      </c>
      <c r="AE1305" s="2">
        <v>6067.08</v>
      </c>
    </row>
    <row r="1306" spans="2:31" ht="14.5">
      <c r="B1306" s="2">
        <v>84596</v>
      </c>
      <c r="C1306" s="2" t="s">
        <v>2330</v>
      </c>
      <c r="D1306" s="2" t="s">
        <v>2331</v>
      </c>
      <c r="E1306" s="2" t="s">
        <v>28</v>
      </c>
      <c r="F1306" s="2" t="s">
        <v>29</v>
      </c>
      <c r="G1306" s="2" t="s">
        <v>50</v>
      </c>
      <c r="H1306" s="2" t="s">
        <v>218</v>
      </c>
      <c r="I1306" s="2" t="s">
        <v>219</v>
      </c>
      <c r="J1306" s="2" t="s">
        <v>220</v>
      </c>
      <c r="K1306" s="2" t="s">
        <v>34</v>
      </c>
      <c r="L1306" s="3"/>
      <c r="M1306" s="3">
        <v>40515</v>
      </c>
      <c r="N1306" s="3">
        <v>40515</v>
      </c>
      <c r="O1306" s="3">
        <v>40515</v>
      </c>
      <c r="P1306" s="2" t="s">
        <v>329</v>
      </c>
      <c r="Q1306" s="2" t="s">
        <v>54</v>
      </c>
      <c r="R1306" s="2" t="s">
        <v>37</v>
      </c>
      <c r="S1306" s="2" t="s">
        <v>330</v>
      </c>
      <c r="T1306" s="2" t="s">
        <v>180</v>
      </c>
      <c r="U1306" s="2">
        <v>60</v>
      </c>
      <c r="V1306" s="2">
        <v>2864</v>
      </c>
      <c r="W1306" s="2">
        <v>22110.080000000002</v>
      </c>
      <c r="X1306" s="2">
        <v>7.72</v>
      </c>
      <c r="Y1306" s="2">
        <v>0.13</v>
      </c>
      <c r="Z1306" s="2">
        <v>612</v>
      </c>
      <c r="AA1306" s="2">
        <v>1979.75</v>
      </c>
      <c r="AB1306">
        <v>1</v>
      </c>
      <c r="AC1306">
        <v>2010</v>
      </c>
      <c r="AE1306" s="2">
        <v>372.32</v>
      </c>
    </row>
    <row r="1307" spans="2:31" ht="14.5">
      <c r="B1307" s="2">
        <v>84604</v>
      </c>
      <c r="C1307" s="2" t="s">
        <v>2332</v>
      </c>
      <c r="D1307" s="2" t="s">
        <v>2333</v>
      </c>
      <c r="E1307" s="2" t="s">
        <v>118</v>
      </c>
      <c r="F1307" s="2" t="s">
        <v>29</v>
      </c>
      <c r="G1307" s="2" t="s">
        <v>30</v>
      </c>
      <c r="H1307" s="2" t="s">
        <v>218</v>
      </c>
      <c r="I1307" s="2" t="s">
        <v>219</v>
      </c>
      <c r="J1307" s="2" t="s">
        <v>220</v>
      </c>
      <c r="K1307" s="2" t="s">
        <v>34</v>
      </c>
      <c r="L1307" s="3"/>
      <c r="M1307" s="3">
        <v>40514</v>
      </c>
      <c r="N1307" s="3">
        <v>40511</v>
      </c>
      <c r="O1307" s="3">
        <v>40511</v>
      </c>
      <c r="P1307" s="2" t="s">
        <v>749</v>
      </c>
      <c r="Q1307" s="2" t="s">
        <v>76</v>
      </c>
      <c r="R1307" s="2" t="s">
        <v>37</v>
      </c>
      <c r="S1307" s="2" t="s">
        <v>78</v>
      </c>
      <c r="T1307" s="2" t="s">
        <v>47</v>
      </c>
      <c r="U1307" s="2">
        <v>30</v>
      </c>
      <c r="V1307" s="2">
        <v>2661</v>
      </c>
      <c r="W1307" s="2">
        <v>53007.12</v>
      </c>
      <c r="X1307" s="2">
        <v>19.920000000000002</v>
      </c>
      <c r="Y1307" s="2">
        <v>0.66</v>
      </c>
      <c r="Z1307" s="2">
        <v>909</v>
      </c>
      <c r="AA1307" s="2">
        <v>5166.3900000000003</v>
      </c>
      <c r="AB1307">
        <v>1</v>
      </c>
      <c r="AC1307">
        <v>2010</v>
      </c>
      <c r="AE1307" s="2">
        <v>1756.26</v>
      </c>
    </row>
    <row r="1308" spans="2:31" ht="14.5">
      <c r="B1308" s="2">
        <v>84605</v>
      </c>
      <c r="C1308" s="2" t="s">
        <v>2334</v>
      </c>
      <c r="D1308" s="2" t="s">
        <v>2335</v>
      </c>
      <c r="E1308" s="2" t="s">
        <v>118</v>
      </c>
      <c r="F1308" s="2" t="s">
        <v>29</v>
      </c>
      <c r="G1308" s="2" t="s">
        <v>30</v>
      </c>
      <c r="H1308" s="2" t="s">
        <v>218</v>
      </c>
      <c r="I1308" s="2" t="s">
        <v>219</v>
      </c>
      <c r="J1308" s="2" t="s">
        <v>220</v>
      </c>
      <c r="K1308" s="2" t="s">
        <v>267</v>
      </c>
      <c r="L1308" s="3"/>
      <c r="M1308" s="3">
        <v>40514</v>
      </c>
      <c r="N1308" s="3">
        <v>40511</v>
      </c>
      <c r="O1308" s="3">
        <v>40511</v>
      </c>
      <c r="P1308" s="2" t="s">
        <v>35</v>
      </c>
      <c r="Q1308" s="2" t="s">
        <v>36</v>
      </c>
      <c r="R1308" s="2" t="s">
        <v>37</v>
      </c>
      <c r="S1308" s="2" t="s">
        <v>38</v>
      </c>
      <c r="T1308" s="2" t="s">
        <v>39</v>
      </c>
      <c r="U1308" s="2">
        <v>60</v>
      </c>
      <c r="V1308" s="2">
        <v>23787</v>
      </c>
      <c r="W1308" s="2">
        <v>63273.42</v>
      </c>
      <c r="X1308" s="2">
        <v>2.66</v>
      </c>
      <c r="Y1308" s="2">
        <v>0.04</v>
      </c>
      <c r="Z1308" s="2">
        <v>1378</v>
      </c>
      <c r="AA1308" s="2">
        <v>2559.88</v>
      </c>
      <c r="AB1308">
        <v>1</v>
      </c>
      <c r="AC1308">
        <v>2010</v>
      </c>
      <c r="AE1308" s="2">
        <v>951.48</v>
      </c>
    </row>
    <row r="1309" spans="2:31" ht="14.5">
      <c r="B1309" s="2">
        <v>84621</v>
      </c>
      <c r="C1309" s="2" t="s">
        <v>1540</v>
      </c>
      <c r="D1309" s="2" t="s">
        <v>1541</v>
      </c>
      <c r="E1309" s="2" t="s">
        <v>118</v>
      </c>
      <c r="F1309" s="2" t="s">
        <v>29</v>
      </c>
      <c r="G1309" s="2" t="s">
        <v>30</v>
      </c>
      <c r="H1309" s="2" t="s">
        <v>218</v>
      </c>
      <c r="I1309" s="2" t="s">
        <v>219</v>
      </c>
      <c r="J1309" s="2" t="s">
        <v>220</v>
      </c>
      <c r="K1309" s="2" t="s">
        <v>267</v>
      </c>
      <c r="L1309" s="3"/>
      <c r="M1309" s="3">
        <v>40602</v>
      </c>
      <c r="N1309" s="3">
        <v>40624</v>
      </c>
      <c r="O1309" s="3">
        <v>40624</v>
      </c>
      <c r="P1309" s="2" t="s">
        <v>112</v>
      </c>
      <c r="Q1309" s="2" t="s">
        <v>113</v>
      </c>
      <c r="R1309" s="2" t="s">
        <v>37</v>
      </c>
      <c r="S1309" s="2" t="s">
        <v>114</v>
      </c>
      <c r="T1309" s="2" t="s">
        <v>47</v>
      </c>
      <c r="U1309" s="2">
        <v>60</v>
      </c>
      <c r="V1309" s="2">
        <v>8988</v>
      </c>
      <c r="W1309" s="2">
        <v>100845.36</v>
      </c>
      <c r="X1309" s="2">
        <v>11.22</v>
      </c>
      <c r="Y1309" s="2">
        <v>0.19</v>
      </c>
      <c r="AB1309">
        <v>0</v>
      </c>
      <c r="AC1309">
        <v>2011</v>
      </c>
      <c r="AE1309" s="2">
        <v>1707.72</v>
      </c>
    </row>
    <row r="1310" spans="2:31" ht="14.5">
      <c r="B1310" s="2">
        <v>84626</v>
      </c>
      <c r="C1310" s="2" t="s">
        <v>2336</v>
      </c>
      <c r="D1310" s="2" t="s">
        <v>2337</v>
      </c>
      <c r="E1310" s="2" t="s">
        <v>60</v>
      </c>
      <c r="F1310" s="2" t="s">
        <v>29</v>
      </c>
      <c r="G1310" s="2" t="s">
        <v>30</v>
      </c>
      <c r="H1310" s="2" t="s">
        <v>218</v>
      </c>
      <c r="I1310" s="2" t="s">
        <v>219</v>
      </c>
      <c r="J1310" s="2" t="s">
        <v>220</v>
      </c>
      <c r="K1310" s="2" t="s">
        <v>34</v>
      </c>
      <c r="L1310" s="3"/>
      <c r="M1310" s="3">
        <v>40612</v>
      </c>
      <c r="N1310" s="3">
        <v>40613</v>
      </c>
      <c r="O1310" s="3">
        <v>40613</v>
      </c>
      <c r="P1310" s="2" t="s">
        <v>150</v>
      </c>
      <c r="Q1310" s="2" t="s">
        <v>84</v>
      </c>
      <c r="R1310" s="2" t="s">
        <v>151</v>
      </c>
      <c r="S1310" s="2" t="s">
        <v>152</v>
      </c>
      <c r="T1310" s="2" t="s">
        <v>39</v>
      </c>
      <c r="U1310" s="2">
        <v>120</v>
      </c>
      <c r="V1310" s="2">
        <v>8000</v>
      </c>
      <c r="W1310" s="2">
        <v>289280</v>
      </c>
      <c r="X1310" s="2">
        <v>36.159999999999997</v>
      </c>
      <c r="Y1310" s="2">
        <v>0.3</v>
      </c>
      <c r="Z1310" s="2">
        <v>1647</v>
      </c>
      <c r="AA1310" s="2">
        <v>3600.65</v>
      </c>
      <c r="AB1310">
        <v>0</v>
      </c>
      <c r="AC1310">
        <v>2011</v>
      </c>
      <c r="AE1310" s="2">
        <v>2400</v>
      </c>
    </row>
    <row r="1311" spans="2:31" ht="14.5">
      <c r="B1311" s="2">
        <v>84627</v>
      </c>
      <c r="C1311" s="2" t="s">
        <v>2338</v>
      </c>
      <c r="D1311" s="2" t="s">
        <v>2339</v>
      </c>
      <c r="E1311" s="2" t="s">
        <v>118</v>
      </c>
      <c r="F1311" s="2" t="s">
        <v>29</v>
      </c>
      <c r="G1311" s="2" t="s">
        <v>30</v>
      </c>
      <c r="H1311" s="2" t="s">
        <v>218</v>
      </c>
      <c r="I1311" s="2" t="s">
        <v>219</v>
      </c>
      <c r="J1311" s="2" t="s">
        <v>220</v>
      </c>
      <c r="K1311" s="2" t="s">
        <v>34</v>
      </c>
      <c r="L1311" s="3"/>
      <c r="M1311" s="3">
        <v>40651</v>
      </c>
      <c r="N1311" s="3">
        <v>40617</v>
      </c>
      <c r="O1311" s="3">
        <v>40617</v>
      </c>
      <c r="P1311" s="2" t="s">
        <v>333</v>
      </c>
      <c r="Q1311" s="2" t="s">
        <v>225</v>
      </c>
      <c r="R1311" s="2" t="s">
        <v>37</v>
      </c>
      <c r="S1311" s="2" t="s">
        <v>100</v>
      </c>
      <c r="T1311" s="2" t="s">
        <v>39</v>
      </c>
      <c r="U1311" s="2">
        <v>60</v>
      </c>
      <c r="V1311" s="2">
        <v>46113</v>
      </c>
      <c r="W1311" s="2">
        <v>332474.73</v>
      </c>
      <c r="X1311" s="2">
        <v>7.21</v>
      </c>
      <c r="Y1311" s="2">
        <v>0.12</v>
      </c>
      <c r="Z1311" s="2">
        <v>2534</v>
      </c>
      <c r="AA1311" s="2">
        <v>16629.490000000002</v>
      </c>
      <c r="AB1311">
        <v>1</v>
      </c>
      <c r="AC1311">
        <v>2011</v>
      </c>
      <c r="AE1311" s="2">
        <v>5533.5599999999995</v>
      </c>
    </row>
    <row r="1312" spans="2:31" ht="14.5">
      <c r="B1312" s="2">
        <v>84634</v>
      </c>
      <c r="C1312" s="2" t="s">
        <v>2193</v>
      </c>
      <c r="D1312" s="2" t="s">
        <v>2194</v>
      </c>
      <c r="E1312" s="2" t="s">
        <v>28</v>
      </c>
      <c r="F1312" s="2" t="s">
        <v>29</v>
      </c>
      <c r="G1312" s="2" t="s">
        <v>30</v>
      </c>
      <c r="H1312" s="2" t="s">
        <v>218</v>
      </c>
      <c r="I1312" s="2" t="s">
        <v>219</v>
      </c>
      <c r="J1312" s="2" t="s">
        <v>220</v>
      </c>
      <c r="K1312" s="2" t="s">
        <v>34</v>
      </c>
      <c r="L1312" s="3"/>
      <c r="M1312" s="3">
        <v>40640</v>
      </c>
      <c r="N1312" s="3">
        <v>40633</v>
      </c>
      <c r="O1312" s="3">
        <v>40633</v>
      </c>
      <c r="P1312" s="2" t="s">
        <v>95</v>
      </c>
      <c r="Q1312" s="2" t="s">
        <v>96</v>
      </c>
      <c r="R1312" s="2" t="s">
        <v>37</v>
      </c>
      <c r="S1312" s="2" t="s">
        <v>97</v>
      </c>
      <c r="T1312" s="2" t="s">
        <v>39</v>
      </c>
      <c r="U1312" s="2">
        <v>30</v>
      </c>
      <c r="V1312" s="2">
        <v>4738</v>
      </c>
      <c r="W1312" s="2">
        <v>19994.36</v>
      </c>
      <c r="X1312" s="2">
        <v>4.22</v>
      </c>
      <c r="Y1312" s="2">
        <v>0.14000000000000001</v>
      </c>
      <c r="AB1312">
        <v>1</v>
      </c>
      <c r="AC1312">
        <v>2011</v>
      </c>
      <c r="AE1312" s="2">
        <v>663.32</v>
      </c>
    </row>
    <row r="1313" spans="2:31" ht="14.5">
      <c r="B1313" s="2">
        <v>84643</v>
      </c>
      <c r="C1313" s="2" t="s">
        <v>2340</v>
      </c>
      <c r="D1313" s="2" t="s">
        <v>2341</v>
      </c>
      <c r="E1313" s="2" t="s">
        <v>118</v>
      </c>
      <c r="F1313" s="2" t="s">
        <v>29</v>
      </c>
      <c r="G1313" s="2" t="s">
        <v>30</v>
      </c>
      <c r="H1313" s="2" t="s">
        <v>218</v>
      </c>
      <c r="I1313" s="2" t="s">
        <v>219</v>
      </c>
      <c r="J1313" s="2" t="s">
        <v>220</v>
      </c>
      <c r="K1313" s="2" t="s">
        <v>267</v>
      </c>
      <c r="L1313" s="3"/>
      <c r="M1313" s="3">
        <v>40653</v>
      </c>
      <c r="N1313" s="3">
        <v>40666</v>
      </c>
      <c r="O1313" s="3">
        <v>40666</v>
      </c>
      <c r="P1313" s="2" t="s">
        <v>749</v>
      </c>
      <c r="Q1313" s="2" t="s">
        <v>76</v>
      </c>
      <c r="R1313" s="2" t="s">
        <v>37</v>
      </c>
      <c r="S1313" s="2" t="s">
        <v>78</v>
      </c>
      <c r="T1313" s="2" t="s">
        <v>47</v>
      </c>
      <c r="U1313" s="2">
        <v>30</v>
      </c>
      <c r="V1313" s="2">
        <v>6600</v>
      </c>
      <c r="W1313" s="2">
        <v>131472</v>
      </c>
      <c r="X1313" s="2">
        <v>19.920000000000002</v>
      </c>
      <c r="Y1313" s="2">
        <v>0.66</v>
      </c>
      <c r="Z1313" s="2">
        <v>720</v>
      </c>
      <c r="AA1313" s="2">
        <v>4647.66</v>
      </c>
      <c r="AB1313">
        <v>0</v>
      </c>
      <c r="AC1313">
        <v>2011</v>
      </c>
      <c r="AE1313" s="2">
        <v>4356</v>
      </c>
    </row>
    <row r="1314" spans="2:31" ht="14.5">
      <c r="B1314" s="2">
        <v>84644</v>
      </c>
      <c r="C1314" s="2" t="s">
        <v>2342</v>
      </c>
      <c r="D1314" s="2" t="s">
        <v>2343</v>
      </c>
      <c r="E1314" s="2" t="s">
        <v>118</v>
      </c>
      <c r="F1314" s="2" t="s">
        <v>29</v>
      </c>
      <c r="G1314" s="2" t="s">
        <v>30</v>
      </c>
      <c r="H1314" s="2" t="s">
        <v>218</v>
      </c>
      <c r="I1314" s="2" t="s">
        <v>219</v>
      </c>
      <c r="J1314" s="2" t="s">
        <v>220</v>
      </c>
      <c r="K1314" s="2" t="s">
        <v>267</v>
      </c>
      <c r="L1314" s="3"/>
      <c r="M1314" s="3">
        <v>40700</v>
      </c>
      <c r="N1314" s="3">
        <v>40695</v>
      </c>
      <c r="O1314" s="3">
        <v>40695</v>
      </c>
      <c r="P1314" s="2" t="s">
        <v>706</v>
      </c>
      <c r="Q1314" s="2" t="s">
        <v>707</v>
      </c>
      <c r="R1314" s="2" t="s">
        <v>37</v>
      </c>
      <c r="S1314" s="2" t="s">
        <v>708</v>
      </c>
      <c r="T1314" s="2" t="s">
        <v>47</v>
      </c>
      <c r="U1314" s="2">
        <v>30</v>
      </c>
      <c r="V1314" s="2">
        <v>2559</v>
      </c>
      <c r="W1314" s="2">
        <v>22570.38</v>
      </c>
      <c r="X1314" s="2">
        <v>8.82</v>
      </c>
      <c r="Y1314" s="2">
        <v>0.28999999999999998</v>
      </c>
      <c r="Z1314" s="2">
        <v>338</v>
      </c>
      <c r="AA1314" s="2">
        <v>3397.95</v>
      </c>
      <c r="AB1314">
        <v>1</v>
      </c>
      <c r="AC1314">
        <v>2011</v>
      </c>
      <c r="AE1314" s="2">
        <v>742.1099999999999</v>
      </c>
    </row>
    <row r="1315" spans="2:31" ht="14.5">
      <c r="B1315" s="2">
        <v>84656</v>
      </c>
      <c r="C1315" s="2" t="s">
        <v>2344</v>
      </c>
      <c r="D1315" s="2" t="s">
        <v>2345</v>
      </c>
      <c r="E1315" s="2" t="s">
        <v>118</v>
      </c>
      <c r="F1315" s="2" t="s">
        <v>29</v>
      </c>
      <c r="G1315" s="2" t="s">
        <v>30</v>
      </c>
      <c r="H1315" s="2" t="s">
        <v>218</v>
      </c>
      <c r="I1315" s="2" t="s">
        <v>219</v>
      </c>
      <c r="J1315" s="2" t="s">
        <v>220</v>
      </c>
      <c r="K1315" s="2" t="s">
        <v>267</v>
      </c>
      <c r="L1315" s="3"/>
      <c r="M1315" s="3">
        <v>40756</v>
      </c>
      <c r="N1315" s="3">
        <v>40722</v>
      </c>
      <c r="O1315" s="3">
        <v>40722</v>
      </c>
      <c r="P1315" s="2" t="s">
        <v>484</v>
      </c>
      <c r="Q1315" s="2" t="s">
        <v>105</v>
      </c>
      <c r="R1315" s="2" t="s">
        <v>37</v>
      </c>
      <c r="S1315" s="2" t="s">
        <v>100</v>
      </c>
      <c r="T1315" s="2" t="s">
        <v>39</v>
      </c>
      <c r="U1315" s="2">
        <v>30</v>
      </c>
      <c r="V1315" s="2">
        <v>2011</v>
      </c>
      <c r="W1315" s="2">
        <v>13212.27</v>
      </c>
      <c r="X1315" s="2">
        <v>6.57</v>
      </c>
      <c r="Y1315" s="2">
        <v>0.22</v>
      </c>
      <c r="Z1315" s="2">
        <v>126</v>
      </c>
      <c r="AA1315" s="2">
        <v>1661</v>
      </c>
      <c r="AB1315">
        <v>1</v>
      </c>
      <c r="AC1315">
        <v>2011</v>
      </c>
      <c r="AE1315" s="2">
        <v>442.42</v>
      </c>
    </row>
    <row r="1316" spans="2:31" ht="14.5">
      <c r="B1316" s="2">
        <v>84657</v>
      </c>
      <c r="C1316" s="2" t="s">
        <v>2346</v>
      </c>
      <c r="D1316" s="2" t="s">
        <v>2347</v>
      </c>
      <c r="E1316" s="2" t="s">
        <v>28</v>
      </c>
      <c r="F1316" s="2" t="s">
        <v>29</v>
      </c>
      <c r="G1316" s="2" t="s">
        <v>30</v>
      </c>
      <c r="H1316" s="2" t="s">
        <v>218</v>
      </c>
      <c r="I1316" s="2" t="s">
        <v>219</v>
      </c>
      <c r="J1316" s="2" t="s">
        <v>220</v>
      </c>
      <c r="K1316" s="2" t="s">
        <v>267</v>
      </c>
      <c r="L1316" s="3"/>
      <c r="M1316" s="3">
        <v>40661</v>
      </c>
      <c r="N1316" s="3">
        <v>40739</v>
      </c>
      <c r="O1316" s="3">
        <v>40739</v>
      </c>
      <c r="P1316" s="2" t="s">
        <v>749</v>
      </c>
      <c r="Q1316" s="2" t="s">
        <v>76</v>
      </c>
      <c r="R1316" s="2" t="s">
        <v>37</v>
      </c>
      <c r="S1316" s="2" t="s">
        <v>78</v>
      </c>
      <c r="T1316" s="2" t="s">
        <v>47</v>
      </c>
      <c r="U1316" s="2">
        <v>30</v>
      </c>
      <c r="V1316" s="2">
        <v>54375</v>
      </c>
      <c r="W1316" s="2">
        <v>1083150</v>
      </c>
      <c r="X1316" s="2">
        <v>19.920000000000002</v>
      </c>
      <c r="Y1316" s="2">
        <v>0.66</v>
      </c>
      <c r="Z1316" s="2">
        <v>11129</v>
      </c>
      <c r="AA1316" s="2">
        <v>13838.17</v>
      </c>
      <c r="AB1316">
        <v>0</v>
      </c>
      <c r="AC1316">
        <v>2011</v>
      </c>
      <c r="AE1316" s="2">
        <v>35887.5</v>
      </c>
    </row>
    <row r="1317" spans="2:31" ht="14.5">
      <c r="B1317" s="2">
        <v>84662</v>
      </c>
      <c r="C1317" s="2" t="s">
        <v>2348</v>
      </c>
      <c r="D1317" s="2" t="s">
        <v>2349</v>
      </c>
      <c r="E1317" s="2" t="s">
        <v>28</v>
      </c>
      <c r="F1317" s="2" t="s">
        <v>29</v>
      </c>
      <c r="G1317" s="2" t="s">
        <v>30</v>
      </c>
      <c r="H1317" s="2" t="s">
        <v>218</v>
      </c>
      <c r="I1317" s="2" t="s">
        <v>219</v>
      </c>
      <c r="J1317" s="2" t="s">
        <v>220</v>
      </c>
      <c r="K1317" s="2" t="s">
        <v>267</v>
      </c>
      <c r="L1317" s="3"/>
      <c r="M1317" s="3">
        <v>40760</v>
      </c>
      <c r="N1317" s="3">
        <v>40771</v>
      </c>
      <c r="O1317" s="3">
        <v>40771</v>
      </c>
      <c r="P1317" s="2" t="s">
        <v>150</v>
      </c>
      <c r="Q1317" s="2" t="s">
        <v>84</v>
      </c>
      <c r="R1317" s="2" t="s">
        <v>151</v>
      </c>
      <c r="S1317" s="2" t="s">
        <v>152</v>
      </c>
      <c r="T1317" s="2" t="s">
        <v>39</v>
      </c>
      <c r="U1317" s="2">
        <v>120</v>
      </c>
      <c r="V1317" s="2">
        <v>4389</v>
      </c>
      <c r="W1317" s="2">
        <v>148084.85999999999</v>
      </c>
      <c r="X1317" s="2">
        <v>33.74</v>
      </c>
      <c r="Y1317" s="2">
        <v>0.28000000000000003</v>
      </c>
      <c r="Z1317" s="2">
        <v>880</v>
      </c>
      <c r="AA1317" s="2">
        <v>3175.7</v>
      </c>
      <c r="AB1317">
        <v>0</v>
      </c>
      <c r="AC1317">
        <v>2011</v>
      </c>
      <c r="AE1317" s="2">
        <v>1228.92</v>
      </c>
    </row>
    <row r="1318" spans="2:31" ht="14.5">
      <c r="B1318" s="2">
        <v>84676</v>
      </c>
      <c r="C1318" s="2" t="s">
        <v>2350</v>
      </c>
      <c r="D1318" s="2" t="s">
        <v>2351</v>
      </c>
      <c r="E1318" s="2" t="s">
        <v>28</v>
      </c>
      <c r="F1318" s="2" t="s">
        <v>29</v>
      </c>
      <c r="G1318" s="2" t="s">
        <v>30</v>
      </c>
      <c r="H1318" s="2" t="s">
        <v>218</v>
      </c>
      <c r="I1318" s="2" t="s">
        <v>219</v>
      </c>
      <c r="J1318" s="2" t="s">
        <v>220</v>
      </c>
      <c r="K1318" s="2" t="s">
        <v>267</v>
      </c>
      <c r="L1318" s="3"/>
      <c r="M1318" s="3">
        <v>40815</v>
      </c>
      <c r="N1318" s="3">
        <v>40809</v>
      </c>
      <c r="O1318" s="3">
        <v>40809</v>
      </c>
      <c r="P1318" s="2" t="s">
        <v>749</v>
      </c>
      <c r="Q1318" s="2" t="s">
        <v>76</v>
      </c>
      <c r="R1318" s="2" t="s">
        <v>37</v>
      </c>
      <c r="S1318" s="2" t="s">
        <v>78</v>
      </c>
      <c r="T1318" s="2" t="s">
        <v>47</v>
      </c>
      <c r="U1318" s="2">
        <v>30</v>
      </c>
      <c r="V1318" s="2">
        <v>68235</v>
      </c>
      <c r="W1318" s="2">
        <v>1359241.2</v>
      </c>
      <c r="X1318" s="2">
        <v>19.920000000000002</v>
      </c>
      <c r="Y1318" s="2">
        <v>0.66</v>
      </c>
      <c r="Z1318" s="2">
        <v>83</v>
      </c>
      <c r="AA1318" s="2">
        <v>2094.34</v>
      </c>
      <c r="AB1318">
        <v>1</v>
      </c>
      <c r="AC1318">
        <v>2011</v>
      </c>
      <c r="AE1318" s="2">
        <v>45035.1</v>
      </c>
    </row>
    <row r="1319" spans="2:31" ht="14.5">
      <c r="B1319" s="2">
        <v>84685</v>
      </c>
      <c r="C1319" s="2" t="s">
        <v>2200</v>
      </c>
      <c r="D1319" s="2" t="s">
        <v>2201</v>
      </c>
      <c r="E1319" s="2" t="s">
        <v>118</v>
      </c>
      <c r="F1319" s="2" t="s">
        <v>29</v>
      </c>
      <c r="G1319" s="2" t="s">
        <v>30</v>
      </c>
      <c r="H1319" s="2" t="s">
        <v>218</v>
      </c>
      <c r="I1319" s="2" t="s">
        <v>219</v>
      </c>
      <c r="J1319" s="2" t="s">
        <v>220</v>
      </c>
      <c r="K1319" s="2" t="s">
        <v>267</v>
      </c>
      <c r="L1319" s="3"/>
      <c r="M1319" s="3">
        <v>40917</v>
      </c>
      <c r="N1319" s="3">
        <v>40878</v>
      </c>
      <c r="O1319" s="3">
        <v>40878</v>
      </c>
      <c r="P1319" s="2" t="s">
        <v>44</v>
      </c>
      <c r="Q1319" s="2" t="s">
        <v>45</v>
      </c>
      <c r="R1319" s="2" t="s">
        <v>37</v>
      </c>
      <c r="S1319" s="2" t="s">
        <v>46</v>
      </c>
      <c r="T1319" s="2" t="s">
        <v>47</v>
      </c>
      <c r="U1319" s="2">
        <v>60</v>
      </c>
      <c r="V1319" s="2">
        <v>1529</v>
      </c>
      <c r="W1319" s="2">
        <v>12629.54</v>
      </c>
      <c r="X1319" s="2">
        <v>8.26</v>
      </c>
      <c r="Y1319" s="2">
        <v>0.14000000000000001</v>
      </c>
      <c r="AB1319">
        <v>1</v>
      </c>
      <c r="AC1319">
        <v>2011</v>
      </c>
      <c r="AE1319" s="2">
        <v>214.06000000000003</v>
      </c>
    </row>
    <row r="1320" spans="2:31" ht="14.5">
      <c r="B1320" s="2">
        <v>84690</v>
      </c>
      <c r="C1320" s="2" t="s">
        <v>2352</v>
      </c>
      <c r="D1320" s="2" t="s">
        <v>2353</v>
      </c>
      <c r="E1320" s="2" t="s">
        <v>28</v>
      </c>
      <c r="F1320" s="2" t="s">
        <v>29</v>
      </c>
      <c r="G1320" s="2" t="s">
        <v>30</v>
      </c>
      <c r="H1320" s="2" t="s">
        <v>218</v>
      </c>
      <c r="I1320" s="2" t="s">
        <v>219</v>
      </c>
      <c r="J1320" s="2" t="s">
        <v>220</v>
      </c>
      <c r="K1320" s="2" t="s">
        <v>267</v>
      </c>
      <c r="L1320" s="3"/>
      <c r="M1320" s="3">
        <v>40980</v>
      </c>
      <c r="N1320" s="3">
        <v>40980</v>
      </c>
      <c r="O1320" s="3">
        <v>40980</v>
      </c>
      <c r="P1320" s="2" t="s">
        <v>98</v>
      </c>
      <c r="Q1320" s="2" t="s">
        <v>99</v>
      </c>
      <c r="R1320" s="2" t="s">
        <v>37</v>
      </c>
      <c r="S1320" s="2" t="s">
        <v>100</v>
      </c>
      <c r="T1320" s="2" t="s">
        <v>39</v>
      </c>
      <c r="U1320" s="2">
        <v>60</v>
      </c>
      <c r="V1320" s="2">
        <v>23940</v>
      </c>
      <c r="W1320" s="2">
        <v>350242.2</v>
      </c>
      <c r="X1320" s="2">
        <v>14.63</v>
      </c>
      <c r="Y1320" s="2">
        <v>0.24</v>
      </c>
      <c r="Z1320" s="2">
        <v>1500</v>
      </c>
      <c r="AA1320" s="2">
        <v>1698.83</v>
      </c>
      <c r="AB1320">
        <v>1</v>
      </c>
      <c r="AC1320">
        <v>2012</v>
      </c>
      <c r="AE1320" s="2">
        <v>5745.5999999999995</v>
      </c>
    </row>
    <row r="1321" spans="2:31" ht="14.5">
      <c r="B1321" s="2">
        <v>84709</v>
      </c>
      <c r="C1321" s="2" t="s">
        <v>2354</v>
      </c>
      <c r="D1321" s="2" t="s">
        <v>2355</v>
      </c>
      <c r="E1321" s="2" t="s">
        <v>118</v>
      </c>
      <c r="F1321" s="2" t="s">
        <v>29</v>
      </c>
      <c r="G1321" s="2" t="s">
        <v>30</v>
      </c>
      <c r="H1321" s="2" t="s">
        <v>218</v>
      </c>
      <c r="I1321" s="2" t="s">
        <v>219</v>
      </c>
      <c r="J1321" s="2" t="s">
        <v>220</v>
      </c>
      <c r="K1321" s="2" t="s">
        <v>267</v>
      </c>
      <c r="L1321" s="3"/>
      <c r="M1321" s="3">
        <v>40998</v>
      </c>
      <c r="N1321" s="3">
        <v>40956</v>
      </c>
      <c r="O1321" s="3">
        <v>40956</v>
      </c>
      <c r="P1321" s="2" t="s">
        <v>164</v>
      </c>
      <c r="Q1321" s="2" t="s">
        <v>165</v>
      </c>
      <c r="R1321" s="2" t="s">
        <v>37</v>
      </c>
      <c r="S1321" s="2" t="s">
        <v>166</v>
      </c>
      <c r="T1321" s="2" t="s">
        <v>39</v>
      </c>
      <c r="U1321" s="2">
        <v>60</v>
      </c>
      <c r="V1321" s="2">
        <v>2596</v>
      </c>
      <c r="W1321" s="2">
        <v>6048.68</v>
      </c>
      <c r="X1321" s="2">
        <v>2.33</v>
      </c>
      <c r="Y1321" s="2">
        <v>0.04</v>
      </c>
      <c r="Z1321" s="2">
        <v>125</v>
      </c>
      <c r="AA1321" s="2">
        <v>1831.41</v>
      </c>
      <c r="AB1321">
        <v>1</v>
      </c>
      <c r="AC1321">
        <v>2012</v>
      </c>
      <c r="AE1321" s="2">
        <v>103.84</v>
      </c>
    </row>
    <row r="1322" spans="2:31" ht="14.5">
      <c r="B1322" s="2">
        <v>84711</v>
      </c>
      <c r="C1322" s="2" t="s">
        <v>2356</v>
      </c>
      <c r="D1322" s="2" t="s">
        <v>2357</v>
      </c>
      <c r="E1322" s="2" t="s">
        <v>28</v>
      </c>
      <c r="F1322" s="2" t="s">
        <v>29</v>
      </c>
      <c r="G1322" s="2" t="s">
        <v>30</v>
      </c>
      <c r="H1322" s="2" t="s">
        <v>218</v>
      </c>
      <c r="I1322" s="2" t="s">
        <v>219</v>
      </c>
      <c r="J1322" s="2" t="s">
        <v>220</v>
      </c>
      <c r="K1322" s="2" t="s">
        <v>267</v>
      </c>
      <c r="L1322" s="3"/>
      <c r="M1322" s="3">
        <v>41010</v>
      </c>
      <c r="N1322" s="3">
        <v>41010</v>
      </c>
      <c r="O1322" s="3">
        <v>41010</v>
      </c>
      <c r="P1322" s="2" t="s">
        <v>95</v>
      </c>
      <c r="Q1322" s="2" t="s">
        <v>96</v>
      </c>
      <c r="R1322" s="2" t="s">
        <v>37</v>
      </c>
      <c r="S1322" s="2" t="s">
        <v>97</v>
      </c>
      <c r="T1322" s="2" t="s">
        <v>39</v>
      </c>
      <c r="U1322" s="2">
        <v>30</v>
      </c>
      <c r="V1322" s="2">
        <v>137269</v>
      </c>
      <c r="W1322" s="2">
        <v>579275.18000000005</v>
      </c>
      <c r="X1322" s="2">
        <v>4.22</v>
      </c>
      <c r="Y1322" s="2">
        <v>0.14000000000000001</v>
      </c>
      <c r="Z1322" s="2">
        <v>8474</v>
      </c>
      <c r="AA1322" s="2">
        <v>3279.25</v>
      </c>
      <c r="AB1322">
        <v>1</v>
      </c>
      <c r="AC1322">
        <v>2012</v>
      </c>
      <c r="AE1322" s="2">
        <v>19217.660000000003</v>
      </c>
    </row>
    <row r="1323" spans="2:31" ht="14.5">
      <c r="B1323" s="2">
        <v>84712</v>
      </c>
      <c r="C1323" s="2" t="s">
        <v>1792</v>
      </c>
      <c r="D1323" s="2" t="s">
        <v>1793</v>
      </c>
      <c r="E1323" s="2" t="s">
        <v>1581</v>
      </c>
      <c r="F1323" s="2" t="s">
        <v>29</v>
      </c>
      <c r="G1323" s="2" t="s">
        <v>30</v>
      </c>
      <c r="H1323" s="2" t="s">
        <v>218</v>
      </c>
      <c r="I1323" s="2" t="s">
        <v>219</v>
      </c>
      <c r="J1323" s="2" t="s">
        <v>220</v>
      </c>
      <c r="K1323" s="2" t="s">
        <v>34</v>
      </c>
      <c r="L1323" s="3"/>
      <c r="M1323" s="3">
        <v>41025</v>
      </c>
      <c r="N1323" s="3">
        <v>41033</v>
      </c>
      <c r="O1323" s="3">
        <v>41033</v>
      </c>
      <c r="P1323" s="2" t="s">
        <v>95</v>
      </c>
      <c r="Q1323" s="2" t="s">
        <v>96</v>
      </c>
      <c r="R1323" s="2" t="s">
        <v>37</v>
      </c>
      <c r="S1323" s="2" t="s">
        <v>97</v>
      </c>
      <c r="T1323" s="2" t="s">
        <v>39</v>
      </c>
      <c r="U1323" s="2">
        <v>30</v>
      </c>
      <c r="V1323" s="2">
        <v>27000</v>
      </c>
      <c r="W1323" s="2">
        <v>111240</v>
      </c>
      <c r="X1323" s="2">
        <v>4.12</v>
      </c>
      <c r="Y1323" s="2">
        <v>0.14000000000000001</v>
      </c>
      <c r="AB1323">
        <v>0</v>
      </c>
      <c r="AC1323">
        <v>2012</v>
      </c>
      <c r="AE1323" s="2">
        <v>3780.0000000000005</v>
      </c>
    </row>
    <row r="1324" spans="2:31" ht="14.5">
      <c r="B1324" s="2">
        <v>84713</v>
      </c>
      <c r="C1324" s="2" t="s">
        <v>2003</v>
      </c>
      <c r="D1324" s="2" t="s">
        <v>2004</v>
      </c>
      <c r="E1324" s="2" t="s">
        <v>1581</v>
      </c>
      <c r="F1324" s="2" t="s">
        <v>29</v>
      </c>
      <c r="G1324" s="2" t="s">
        <v>50</v>
      </c>
      <c r="H1324" s="2" t="s">
        <v>218</v>
      </c>
      <c r="I1324" s="2" t="s">
        <v>219</v>
      </c>
      <c r="J1324" s="2" t="s">
        <v>220</v>
      </c>
      <c r="K1324" s="2" t="s">
        <v>34</v>
      </c>
      <c r="L1324" s="3"/>
      <c r="M1324" s="3">
        <v>41025</v>
      </c>
      <c r="N1324" s="3">
        <v>41008</v>
      </c>
      <c r="O1324" s="3">
        <v>41008</v>
      </c>
      <c r="P1324" s="2" t="s">
        <v>1288</v>
      </c>
      <c r="Q1324" s="2" t="s">
        <v>165</v>
      </c>
      <c r="R1324" s="2" t="s">
        <v>37</v>
      </c>
      <c r="S1324" s="2" t="s">
        <v>226</v>
      </c>
      <c r="T1324" s="2" t="s">
        <v>87</v>
      </c>
      <c r="U1324" s="2">
        <v>240</v>
      </c>
      <c r="V1324" s="2">
        <v>240</v>
      </c>
      <c r="W1324" s="2">
        <v>444</v>
      </c>
      <c r="X1324" s="2">
        <v>1.85</v>
      </c>
      <c r="Y1324" s="2">
        <v>0.01</v>
      </c>
      <c r="AB1324">
        <v>1</v>
      </c>
      <c r="AC1324">
        <v>2012</v>
      </c>
      <c r="AE1324" s="2">
        <v>2.4</v>
      </c>
    </row>
    <row r="1325" spans="2:31" ht="14.5">
      <c r="B1325" s="2">
        <v>84714</v>
      </c>
      <c r="C1325" s="2" t="s">
        <v>1577</v>
      </c>
      <c r="D1325" s="2" t="s">
        <v>1578</v>
      </c>
      <c r="E1325" s="2" t="s">
        <v>28</v>
      </c>
      <c r="F1325" s="2" t="s">
        <v>29</v>
      </c>
      <c r="G1325" s="2" t="s">
        <v>30</v>
      </c>
      <c r="H1325" s="2" t="s">
        <v>218</v>
      </c>
      <c r="I1325" s="2" t="s">
        <v>219</v>
      </c>
      <c r="J1325" s="2" t="s">
        <v>220</v>
      </c>
      <c r="K1325" s="2" t="s">
        <v>267</v>
      </c>
      <c r="L1325" s="3"/>
      <c r="M1325" s="3">
        <v>41033</v>
      </c>
      <c r="N1325" s="3">
        <v>41010</v>
      </c>
      <c r="O1325" s="3">
        <v>41010</v>
      </c>
      <c r="P1325" s="2" t="s">
        <v>44</v>
      </c>
      <c r="Q1325" s="2" t="s">
        <v>45</v>
      </c>
      <c r="R1325" s="2" t="s">
        <v>37</v>
      </c>
      <c r="S1325" s="2" t="s">
        <v>46</v>
      </c>
      <c r="T1325" s="2" t="s">
        <v>47</v>
      </c>
      <c r="U1325" s="2">
        <v>60</v>
      </c>
      <c r="V1325" s="2">
        <v>150446</v>
      </c>
      <c r="W1325" s="2">
        <v>1242683.96</v>
      </c>
      <c r="X1325" s="2">
        <v>8.26</v>
      </c>
      <c r="Y1325" s="2">
        <v>0.14000000000000001</v>
      </c>
      <c r="AB1325">
        <v>1</v>
      </c>
      <c r="AC1325">
        <v>2012</v>
      </c>
      <c r="AE1325" s="2">
        <v>21062.440000000002</v>
      </c>
    </row>
    <row r="1326" spans="2:31" ht="14.5">
      <c r="B1326" s="2">
        <v>84715</v>
      </c>
      <c r="C1326" s="2" t="s">
        <v>2358</v>
      </c>
      <c r="D1326" s="2" t="s">
        <v>2359</v>
      </c>
      <c r="E1326" s="2" t="s">
        <v>118</v>
      </c>
      <c r="F1326" s="2" t="s">
        <v>29</v>
      </c>
      <c r="G1326" s="2" t="s">
        <v>30</v>
      </c>
      <c r="H1326" s="2" t="s">
        <v>218</v>
      </c>
      <c r="I1326" s="2" t="s">
        <v>219</v>
      </c>
      <c r="J1326" s="2" t="s">
        <v>220</v>
      </c>
      <c r="K1326" s="2" t="s">
        <v>267</v>
      </c>
      <c r="L1326" s="3"/>
      <c r="M1326" s="3">
        <v>41015</v>
      </c>
      <c r="N1326" s="3">
        <v>40995</v>
      </c>
      <c r="O1326" s="3">
        <v>40995</v>
      </c>
      <c r="P1326" s="2" t="s">
        <v>95</v>
      </c>
      <c r="Q1326" s="2" t="s">
        <v>96</v>
      </c>
      <c r="R1326" s="2" t="s">
        <v>37</v>
      </c>
      <c r="S1326" s="2" t="s">
        <v>97</v>
      </c>
      <c r="T1326" s="2" t="s">
        <v>39</v>
      </c>
      <c r="U1326" s="2">
        <v>30</v>
      </c>
      <c r="V1326" s="2">
        <v>24657</v>
      </c>
      <c r="W1326" s="2">
        <v>101586.84</v>
      </c>
      <c r="X1326" s="2">
        <v>4.12</v>
      </c>
      <c r="Y1326" s="2">
        <v>0.14000000000000001</v>
      </c>
      <c r="Z1326" s="2">
        <v>1511</v>
      </c>
      <c r="AA1326" s="2">
        <v>7403.01</v>
      </c>
      <c r="AB1326">
        <v>1</v>
      </c>
      <c r="AC1326">
        <v>2012</v>
      </c>
      <c r="AE1326" s="2">
        <v>3451.9800000000005</v>
      </c>
    </row>
    <row r="1327" spans="2:31" ht="14.5">
      <c r="B1327" s="2">
        <v>84716</v>
      </c>
      <c r="C1327" s="2" t="s">
        <v>2360</v>
      </c>
      <c r="D1327" s="2" t="s">
        <v>2361</v>
      </c>
      <c r="E1327" s="2" t="s">
        <v>118</v>
      </c>
      <c r="F1327" s="2" t="s">
        <v>29</v>
      </c>
      <c r="G1327" s="2" t="s">
        <v>30</v>
      </c>
      <c r="H1327" s="2" t="s">
        <v>218</v>
      </c>
      <c r="I1327" s="2" t="s">
        <v>219</v>
      </c>
      <c r="J1327" s="2" t="s">
        <v>220</v>
      </c>
      <c r="K1327" s="2" t="s">
        <v>34</v>
      </c>
      <c r="L1327" s="3"/>
      <c r="M1327" s="3">
        <v>41081</v>
      </c>
      <c r="N1327" s="3">
        <v>40995</v>
      </c>
      <c r="O1327" s="3">
        <v>40995</v>
      </c>
      <c r="P1327" s="2" t="s">
        <v>749</v>
      </c>
      <c r="Q1327" s="2" t="s">
        <v>76</v>
      </c>
      <c r="R1327" s="2" t="s">
        <v>37</v>
      </c>
      <c r="S1327" s="2" t="s">
        <v>78</v>
      </c>
      <c r="T1327" s="2" t="s">
        <v>47</v>
      </c>
      <c r="U1327" s="2">
        <v>30</v>
      </c>
      <c r="V1327" s="2">
        <v>11852</v>
      </c>
      <c r="W1327" s="2">
        <v>198283.96</v>
      </c>
      <c r="X1327" s="2">
        <v>16.73</v>
      </c>
      <c r="Y1327" s="2">
        <v>0.56000000000000005</v>
      </c>
      <c r="Z1327" s="2">
        <v>1342</v>
      </c>
      <c r="AA1327" s="2">
        <v>6340.2</v>
      </c>
      <c r="AB1327">
        <v>1</v>
      </c>
      <c r="AC1327">
        <v>2012</v>
      </c>
      <c r="AE1327" s="2">
        <v>6637.1200000000008</v>
      </c>
    </row>
    <row r="1328" spans="2:31" ht="14.5">
      <c r="B1328" s="2">
        <v>84719</v>
      </c>
      <c r="C1328" s="2" t="s">
        <v>2362</v>
      </c>
      <c r="D1328" s="2" t="s">
        <v>2363</v>
      </c>
      <c r="E1328" s="2" t="s">
        <v>42</v>
      </c>
      <c r="F1328" s="2" t="s">
        <v>29</v>
      </c>
      <c r="G1328" s="2" t="s">
        <v>50</v>
      </c>
      <c r="H1328" s="2" t="s">
        <v>218</v>
      </c>
      <c r="I1328" s="2" t="s">
        <v>219</v>
      </c>
      <c r="J1328" s="2" t="s">
        <v>220</v>
      </c>
      <c r="K1328" s="2" t="s">
        <v>34</v>
      </c>
      <c r="L1328" s="3"/>
      <c r="M1328" s="3">
        <v>41089</v>
      </c>
      <c r="N1328" s="3">
        <v>41016</v>
      </c>
      <c r="O1328" s="3">
        <v>41016</v>
      </c>
      <c r="P1328" s="2" t="s">
        <v>547</v>
      </c>
      <c r="Q1328" s="2" t="s">
        <v>96</v>
      </c>
      <c r="R1328" s="2" t="s">
        <v>37</v>
      </c>
      <c r="S1328" s="2" t="s">
        <v>38</v>
      </c>
      <c r="T1328" s="2" t="s">
        <v>64</v>
      </c>
      <c r="U1328" s="2">
        <v>90</v>
      </c>
      <c r="V1328" s="2">
        <v>487</v>
      </c>
      <c r="W1328" s="2">
        <v>4207.68</v>
      </c>
      <c r="X1328" s="2">
        <v>8.64</v>
      </c>
      <c r="Y1328" s="2">
        <v>0.1</v>
      </c>
      <c r="Z1328" s="2">
        <v>66</v>
      </c>
      <c r="AA1328" s="2">
        <v>585.41999999999996</v>
      </c>
      <c r="AB1328">
        <v>1</v>
      </c>
      <c r="AC1328">
        <v>2012</v>
      </c>
      <c r="AE1328" s="2">
        <v>48.7</v>
      </c>
    </row>
    <row r="1329" spans="2:31" ht="14.5">
      <c r="B1329" s="2">
        <v>84723</v>
      </c>
      <c r="C1329" s="2" t="s">
        <v>2364</v>
      </c>
      <c r="D1329" s="2" t="s">
        <v>2365</v>
      </c>
      <c r="E1329" s="2" t="s">
        <v>42</v>
      </c>
      <c r="F1329" s="2" t="s">
        <v>29</v>
      </c>
      <c r="G1329" s="2" t="s">
        <v>30</v>
      </c>
      <c r="H1329" s="2" t="s">
        <v>218</v>
      </c>
      <c r="I1329" s="2" t="s">
        <v>219</v>
      </c>
      <c r="J1329" s="2" t="s">
        <v>220</v>
      </c>
      <c r="K1329" s="2" t="s">
        <v>34</v>
      </c>
      <c r="L1329" s="3"/>
      <c r="M1329" s="3">
        <v>41089</v>
      </c>
      <c r="N1329" s="3">
        <v>41044</v>
      </c>
      <c r="O1329" s="3">
        <v>41044</v>
      </c>
      <c r="P1329" s="2" t="s">
        <v>95</v>
      </c>
      <c r="Q1329" s="2" t="s">
        <v>96</v>
      </c>
      <c r="R1329" s="2" t="s">
        <v>37</v>
      </c>
      <c r="S1329" s="2" t="s">
        <v>97</v>
      </c>
      <c r="T1329" s="2" t="s">
        <v>39</v>
      </c>
      <c r="U1329" s="2">
        <v>30</v>
      </c>
      <c r="V1329" s="2">
        <v>24126</v>
      </c>
      <c r="W1329" s="2">
        <v>94332.66</v>
      </c>
      <c r="X1329" s="2">
        <v>3.91</v>
      </c>
      <c r="Y1329" s="2">
        <v>0.13</v>
      </c>
      <c r="Z1329" s="2">
        <v>1444</v>
      </c>
      <c r="AA1329" s="2">
        <v>15842.34</v>
      </c>
      <c r="AB1329">
        <v>1</v>
      </c>
      <c r="AC1329">
        <v>2012</v>
      </c>
      <c r="AE1329" s="2">
        <v>3136.38</v>
      </c>
    </row>
    <row r="1330" spans="2:31" ht="14.5">
      <c r="B1330" s="2">
        <v>84724</v>
      </c>
      <c r="C1330" s="2" t="s">
        <v>2366</v>
      </c>
      <c r="D1330" s="2" t="s">
        <v>2367</v>
      </c>
      <c r="E1330" s="2" t="s">
        <v>42</v>
      </c>
      <c r="F1330" s="2" t="s">
        <v>29</v>
      </c>
      <c r="G1330" s="2" t="s">
        <v>50</v>
      </c>
      <c r="H1330" s="2" t="s">
        <v>218</v>
      </c>
      <c r="I1330" s="2" t="s">
        <v>219</v>
      </c>
      <c r="J1330" s="2" t="s">
        <v>220</v>
      </c>
      <c r="K1330" s="2" t="s">
        <v>34</v>
      </c>
      <c r="L1330" s="3"/>
      <c r="M1330" s="3">
        <v>41068</v>
      </c>
      <c r="N1330" s="3">
        <v>41061</v>
      </c>
      <c r="O1330" s="3">
        <v>41061</v>
      </c>
      <c r="P1330" s="2" t="s">
        <v>291</v>
      </c>
      <c r="Q1330" s="2" t="s">
        <v>99</v>
      </c>
      <c r="R1330" s="2" t="s">
        <v>37</v>
      </c>
      <c r="S1330" s="2" t="s">
        <v>172</v>
      </c>
      <c r="T1330" s="2" t="s">
        <v>87</v>
      </c>
      <c r="U1330" s="2">
        <v>240</v>
      </c>
      <c r="V1330" s="2">
        <v>1004</v>
      </c>
      <c r="W1330" s="2">
        <v>8534</v>
      </c>
      <c r="X1330" s="2">
        <v>8.5</v>
      </c>
      <c r="Y1330" s="2">
        <v>0.04</v>
      </c>
      <c r="Z1330" s="2">
        <v>1</v>
      </c>
      <c r="AA1330" s="2">
        <v>3253.88</v>
      </c>
      <c r="AB1330">
        <v>1</v>
      </c>
      <c r="AC1330">
        <v>2012</v>
      </c>
      <c r="AE1330" s="2">
        <v>40.160000000000004</v>
      </c>
    </row>
    <row r="1331" spans="2:31" ht="14.5">
      <c r="B1331" s="2">
        <v>84726</v>
      </c>
      <c r="C1331" s="2" t="s">
        <v>2368</v>
      </c>
      <c r="D1331" s="2" t="s">
        <v>2369</v>
      </c>
      <c r="E1331" s="2" t="s">
        <v>42</v>
      </c>
      <c r="F1331" s="2" t="s">
        <v>29</v>
      </c>
      <c r="G1331" s="2" t="s">
        <v>30</v>
      </c>
      <c r="H1331" s="2" t="s">
        <v>218</v>
      </c>
      <c r="I1331" s="2" t="s">
        <v>219</v>
      </c>
      <c r="J1331" s="2" t="s">
        <v>220</v>
      </c>
      <c r="K1331" s="2" t="s">
        <v>34</v>
      </c>
      <c r="L1331" s="3"/>
      <c r="M1331" s="3">
        <v>41089</v>
      </c>
      <c r="N1331" s="3">
        <v>41061</v>
      </c>
      <c r="O1331" s="3">
        <v>41061</v>
      </c>
      <c r="P1331" s="2" t="s">
        <v>44</v>
      </c>
      <c r="Q1331" s="2" t="s">
        <v>45</v>
      </c>
      <c r="R1331" s="2" t="s">
        <v>37</v>
      </c>
      <c r="S1331" s="2" t="s">
        <v>46</v>
      </c>
      <c r="T1331" s="2" t="s">
        <v>47</v>
      </c>
      <c r="U1331" s="2">
        <v>60</v>
      </c>
      <c r="V1331" s="2">
        <v>30480</v>
      </c>
      <c r="W1331" s="2">
        <v>237134.4</v>
      </c>
      <c r="X1331" s="2">
        <v>7.78</v>
      </c>
      <c r="Y1331" s="2">
        <v>0.13</v>
      </c>
      <c r="Z1331" s="2">
        <v>698</v>
      </c>
      <c r="AA1331" s="2">
        <v>26845.35</v>
      </c>
      <c r="AB1331">
        <v>1</v>
      </c>
      <c r="AC1331">
        <v>2012</v>
      </c>
      <c r="AE1331" s="2">
        <v>3962.4</v>
      </c>
    </row>
    <row r="1332" spans="2:31" ht="14.5">
      <c r="B1332" s="2">
        <v>84727</v>
      </c>
      <c r="C1332" s="2" t="s">
        <v>1796</v>
      </c>
      <c r="D1332" s="2" t="s">
        <v>1797</v>
      </c>
      <c r="E1332" s="2" t="s">
        <v>118</v>
      </c>
      <c r="F1332" s="2" t="s">
        <v>29</v>
      </c>
      <c r="G1332" s="2" t="s">
        <v>30</v>
      </c>
      <c r="H1332" s="2" t="s">
        <v>218</v>
      </c>
      <c r="I1332" s="2" t="s">
        <v>219</v>
      </c>
      <c r="J1332" s="2" t="s">
        <v>220</v>
      </c>
      <c r="K1332" s="2" t="s">
        <v>34</v>
      </c>
      <c r="L1332" s="3"/>
      <c r="M1332" s="3">
        <v>41094</v>
      </c>
      <c r="N1332" s="3">
        <v>41072</v>
      </c>
      <c r="O1332" s="3">
        <v>41072</v>
      </c>
      <c r="P1332" s="2" t="s">
        <v>35</v>
      </c>
      <c r="Q1332" s="2" t="s">
        <v>36</v>
      </c>
      <c r="R1332" s="2" t="s">
        <v>37</v>
      </c>
      <c r="S1332" s="2" t="s">
        <v>38</v>
      </c>
      <c r="T1332" s="2" t="s">
        <v>39</v>
      </c>
      <c r="U1332" s="2">
        <v>60</v>
      </c>
      <c r="V1332" s="2">
        <v>12974</v>
      </c>
      <c r="W1332" s="2">
        <v>31656.560000000001</v>
      </c>
      <c r="X1332" s="2">
        <v>2.44</v>
      </c>
      <c r="Y1332" s="2">
        <v>0.04</v>
      </c>
      <c r="AB1332">
        <v>1</v>
      </c>
      <c r="AC1332">
        <v>2012</v>
      </c>
      <c r="AE1332" s="2">
        <v>518.96</v>
      </c>
    </row>
    <row r="1333" spans="2:31" ht="14.5">
      <c r="B1333" s="2">
        <v>84729</v>
      </c>
      <c r="C1333" s="2" t="s">
        <v>2370</v>
      </c>
      <c r="D1333" s="2" t="s">
        <v>2371</v>
      </c>
      <c r="E1333" s="2" t="s">
        <v>42</v>
      </c>
      <c r="F1333" s="2" t="s">
        <v>29</v>
      </c>
      <c r="G1333" s="2" t="s">
        <v>30</v>
      </c>
      <c r="H1333" s="2" t="s">
        <v>218</v>
      </c>
      <c r="I1333" s="2" t="s">
        <v>219</v>
      </c>
      <c r="J1333" s="2" t="s">
        <v>220</v>
      </c>
      <c r="K1333" s="2" t="s">
        <v>34</v>
      </c>
      <c r="L1333" s="3"/>
      <c r="M1333" s="3">
        <v>41075</v>
      </c>
      <c r="N1333" s="3">
        <v>41061</v>
      </c>
      <c r="O1333" s="3">
        <v>41061</v>
      </c>
      <c r="P1333" s="2" t="s">
        <v>98</v>
      </c>
      <c r="Q1333" s="2" t="s">
        <v>99</v>
      </c>
      <c r="R1333" s="2" t="s">
        <v>37</v>
      </c>
      <c r="S1333" s="2" t="s">
        <v>100</v>
      </c>
      <c r="T1333" s="2" t="s">
        <v>39</v>
      </c>
      <c r="U1333" s="2">
        <v>60</v>
      </c>
      <c r="V1333" s="2">
        <v>12000</v>
      </c>
      <c r="W1333" s="2">
        <v>157800</v>
      </c>
      <c r="X1333" s="2">
        <v>13.15</v>
      </c>
      <c r="Y1333" s="2">
        <v>0.22</v>
      </c>
      <c r="Z1333" s="2">
        <v>1239</v>
      </c>
      <c r="AA1333" s="2">
        <v>28202</v>
      </c>
      <c r="AB1333">
        <v>1</v>
      </c>
      <c r="AC1333">
        <v>2012</v>
      </c>
      <c r="AE1333" s="2">
        <v>2640</v>
      </c>
    </row>
    <row r="1334" spans="2:31" ht="14.5">
      <c r="B1334" s="2">
        <v>84734</v>
      </c>
      <c r="C1334" s="2" t="s">
        <v>1592</v>
      </c>
      <c r="D1334" s="2" t="s">
        <v>1593</v>
      </c>
      <c r="E1334" s="2" t="s">
        <v>118</v>
      </c>
      <c r="F1334" s="2" t="s">
        <v>29</v>
      </c>
      <c r="G1334" s="2" t="s">
        <v>30</v>
      </c>
      <c r="H1334" s="2" t="s">
        <v>218</v>
      </c>
      <c r="I1334" s="2" t="s">
        <v>219</v>
      </c>
      <c r="J1334" s="2" t="s">
        <v>220</v>
      </c>
      <c r="K1334" s="2" t="s">
        <v>267</v>
      </c>
      <c r="L1334" s="3"/>
      <c r="M1334" s="3">
        <v>41157</v>
      </c>
      <c r="N1334" s="3">
        <v>41116</v>
      </c>
      <c r="O1334" s="3">
        <v>41116</v>
      </c>
      <c r="P1334" s="2" t="s">
        <v>749</v>
      </c>
      <c r="Q1334" s="2" t="s">
        <v>76</v>
      </c>
      <c r="R1334" s="2" t="s">
        <v>37</v>
      </c>
      <c r="S1334" s="2" t="s">
        <v>78</v>
      </c>
      <c r="T1334" s="2" t="s">
        <v>47</v>
      </c>
      <c r="U1334" s="2">
        <v>30</v>
      </c>
      <c r="V1334" s="2">
        <v>6150</v>
      </c>
      <c r="W1334" s="2">
        <v>92496</v>
      </c>
      <c r="X1334" s="2">
        <v>15.04</v>
      </c>
      <c r="Y1334" s="2">
        <v>0.5</v>
      </c>
      <c r="AB1334">
        <v>1</v>
      </c>
      <c r="AC1334">
        <v>2012</v>
      </c>
      <c r="AE1334" s="2">
        <v>3075</v>
      </c>
    </row>
    <row r="1335" spans="2:31" ht="14.5">
      <c r="B1335" s="2">
        <v>84735</v>
      </c>
      <c r="C1335" s="2" t="s">
        <v>1592</v>
      </c>
      <c r="D1335" s="2" t="s">
        <v>1593</v>
      </c>
      <c r="E1335" s="2" t="s">
        <v>118</v>
      </c>
      <c r="F1335" s="2" t="s">
        <v>29</v>
      </c>
      <c r="G1335" s="2" t="s">
        <v>30</v>
      </c>
      <c r="H1335" s="2" t="s">
        <v>218</v>
      </c>
      <c r="I1335" s="2" t="s">
        <v>219</v>
      </c>
      <c r="J1335" s="2" t="s">
        <v>220</v>
      </c>
      <c r="K1335" s="2" t="s">
        <v>267</v>
      </c>
      <c r="L1335" s="3"/>
      <c r="M1335" s="3">
        <v>41157</v>
      </c>
      <c r="N1335" s="3">
        <v>41116</v>
      </c>
      <c r="O1335" s="3">
        <v>41116</v>
      </c>
      <c r="P1335" s="2" t="s">
        <v>484</v>
      </c>
      <c r="Q1335" s="2" t="s">
        <v>105</v>
      </c>
      <c r="R1335" s="2" t="s">
        <v>37</v>
      </c>
      <c r="S1335" s="2" t="s">
        <v>100</v>
      </c>
      <c r="T1335" s="2" t="s">
        <v>39</v>
      </c>
      <c r="U1335" s="2">
        <v>30</v>
      </c>
      <c r="V1335" s="2">
        <v>804</v>
      </c>
      <c r="W1335" s="2">
        <v>3875.28</v>
      </c>
      <c r="X1335" s="2">
        <v>4.82</v>
      </c>
      <c r="Y1335" s="2">
        <v>0.16</v>
      </c>
      <c r="AB1335">
        <v>1</v>
      </c>
      <c r="AC1335">
        <v>2012</v>
      </c>
      <c r="AE1335" s="2">
        <v>128.64000000000001</v>
      </c>
    </row>
    <row r="1336" spans="2:31" ht="14.5">
      <c r="B1336" s="2">
        <v>84740</v>
      </c>
      <c r="C1336" s="2" t="s">
        <v>2372</v>
      </c>
      <c r="D1336" s="2" t="s">
        <v>2373</v>
      </c>
      <c r="E1336" s="2" t="s">
        <v>42</v>
      </c>
      <c r="F1336" s="2" t="s">
        <v>29</v>
      </c>
      <c r="G1336" s="2" t="s">
        <v>30</v>
      </c>
      <c r="H1336" s="2" t="s">
        <v>218</v>
      </c>
      <c r="I1336" s="2" t="s">
        <v>219</v>
      </c>
      <c r="J1336" s="2" t="s">
        <v>220</v>
      </c>
      <c r="K1336" s="2" t="s">
        <v>34</v>
      </c>
      <c r="L1336" s="3"/>
      <c r="M1336" s="3">
        <v>41152</v>
      </c>
      <c r="N1336" s="3">
        <v>41144</v>
      </c>
      <c r="O1336" s="3">
        <v>41144</v>
      </c>
      <c r="P1336" s="2" t="s">
        <v>98</v>
      </c>
      <c r="Q1336" s="2" t="s">
        <v>99</v>
      </c>
      <c r="R1336" s="2" t="s">
        <v>37</v>
      </c>
      <c r="S1336" s="2" t="s">
        <v>100</v>
      </c>
      <c r="T1336" s="2" t="s">
        <v>39</v>
      </c>
      <c r="U1336" s="2">
        <v>60</v>
      </c>
      <c r="V1336" s="2">
        <v>6985</v>
      </c>
      <c r="W1336" s="2">
        <v>91852.75</v>
      </c>
      <c r="X1336" s="2">
        <v>13.15</v>
      </c>
      <c r="Y1336" s="2">
        <v>0.22</v>
      </c>
      <c r="Z1336" s="2">
        <v>718</v>
      </c>
      <c r="AA1336" s="2">
        <v>12688.85</v>
      </c>
      <c r="AB1336">
        <v>1</v>
      </c>
      <c r="AC1336">
        <v>2012</v>
      </c>
      <c r="AE1336" s="2">
        <v>1536.7</v>
      </c>
    </row>
    <row r="1337" spans="2:31" ht="14.5">
      <c r="B1337" s="2">
        <v>84741</v>
      </c>
      <c r="C1337" s="2" t="s">
        <v>1814</v>
      </c>
      <c r="D1337" s="2" t="s">
        <v>1815</v>
      </c>
      <c r="E1337" s="2" t="s">
        <v>42</v>
      </c>
      <c r="F1337" s="2" t="s">
        <v>29</v>
      </c>
      <c r="G1337" s="2" t="s">
        <v>30</v>
      </c>
      <c r="H1337" s="2" t="s">
        <v>218</v>
      </c>
      <c r="I1337" s="2" t="s">
        <v>219</v>
      </c>
      <c r="J1337" s="2" t="s">
        <v>220</v>
      </c>
      <c r="K1337" s="2" t="s">
        <v>34</v>
      </c>
      <c r="L1337" s="3"/>
      <c r="M1337" s="3">
        <v>41152</v>
      </c>
      <c r="N1337" s="3">
        <v>41144</v>
      </c>
      <c r="O1337" s="3">
        <v>41144</v>
      </c>
      <c r="P1337" s="2" t="s">
        <v>95</v>
      </c>
      <c r="Q1337" s="2" t="s">
        <v>96</v>
      </c>
      <c r="R1337" s="2" t="s">
        <v>37</v>
      </c>
      <c r="S1337" s="2" t="s">
        <v>97</v>
      </c>
      <c r="T1337" s="2" t="s">
        <v>39</v>
      </c>
      <c r="U1337" s="2">
        <v>30</v>
      </c>
      <c r="V1337" s="2">
        <v>2000</v>
      </c>
      <c r="W1337" s="2">
        <v>7820</v>
      </c>
      <c r="X1337" s="2">
        <v>3.91</v>
      </c>
      <c r="Y1337" s="2">
        <v>0.13</v>
      </c>
      <c r="AB1337">
        <v>1</v>
      </c>
      <c r="AC1337">
        <v>2012</v>
      </c>
      <c r="AE1337" s="2">
        <v>260</v>
      </c>
    </row>
    <row r="1338" spans="2:31" ht="14.5">
      <c r="B1338" s="2">
        <v>84746</v>
      </c>
      <c r="C1338" s="2" t="s">
        <v>2374</v>
      </c>
      <c r="D1338" s="2" t="s">
        <v>2375</v>
      </c>
      <c r="E1338" s="2" t="s">
        <v>118</v>
      </c>
      <c r="F1338" s="2" t="s">
        <v>29</v>
      </c>
      <c r="G1338" s="2" t="s">
        <v>30</v>
      </c>
      <c r="H1338" s="2" t="s">
        <v>218</v>
      </c>
      <c r="I1338" s="2" t="s">
        <v>219</v>
      </c>
      <c r="J1338" s="2" t="s">
        <v>220</v>
      </c>
      <c r="K1338" s="2" t="s">
        <v>267</v>
      </c>
      <c r="L1338" s="3"/>
      <c r="M1338" s="3">
        <v>41212</v>
      </c>
      <c r="N1338" s="3">
        <v>41212</v>
      </c>
      <c r="O1338" s="3">
        <v>41212</v>
      </c>
      <c r="P1338" s="2" t="s">
        <v>44</v>
      </c>
      <c r="Q1338" s="2" t="s">
        <v>45</v>
      </c>
      <c r="R1338" s="2" t="s">
        <v>37</v>
      </c>
      <c r="S1338" s="2" t="s">
        <v>46</v>
      </c>
      <c r="T1338" s="2" t="s">
        <v>47</v>
      </c>
      <c r="U1338" s="2">
        <v>60</v>
      </c>
      <c r="V1338" s="2">
        <v>5154</v>
      </c>
      <c r="W1338" s="2">
        <v>39788.879999999997</v>
      </c>
      <c r="X1338" s="2">
        <v>7.72</v>
      </c>
      <c r="Y1338" s="2">
        <v>0.13</v>
      </c>
      <c r="Z1338" s="2">
        <v>429</v>
      </c>
      <c r="AA1338" s="2">
        <v>3293.34</v>
      </c>
      <c r="AB1338">
        <v>1</v>
      </c>
      <c r="AC1338">
        <v>2012</v>
      </c>
      <c r="AE1338" s="2">
        <v>670.02</v>
      </c>
    </row>
    <row r="1339" spans="2:31" ht="14.5">
      <c r="B1339" s="2">
        <v>84748</v>
      </c>
      <c r="C1339" s="2" t="s">
        <v>1596</v>
      </c>
      <c r="D1339" s="2" t="s">
        <v>1597</v>
      </c>
      <c r="E1339" s="2" t="s">
        <v>28</v>
      </c>
      <c r="F1339" s="2" t="s">
        <v>29</v>
      </c>
      <c r="G1339" s="2" t="s">
        <v>30</v>
      </c>
      <c r="H1339" s="2" t="s">
        <v>218</v>
      </c>
      <c r="I1339" s="2" t="s">
        <v>219</v>
      </c>
      <c r="J1339" s="2" t="s">
        <v>220</v>
      </c>
      <c r="K1339" s="2" t="s">
        <v>34</v>
      </c>
      <c r="L1339" s="3"/>
      <c r="M1339" s="3">
        <v>41208</v>
      </c>
      <c r="N1339" s="3">
        <v>41208</v>
      </c>
      <c r="O1339" s="3">
        <v>41208</v>
      </c>
      <c r="P1339" s="2" t="s">
        <v>44</v>
      </c>
      <c r="Q1339" s="2" t="s">
        <v>45</v>
      </c>
      <c r="R1339" s="2" t="s">
        <v>37</v>
      </c>
      <c r="S1339" s="2" t="s">
        <v>46</v>
      </c>
      <c r="T1339" s="2" t="s">
        <v>47</v>
      </c>
      <c r="U1339" s="2">
        <v>60</v>
      </c>
      <c r="V1339" s="2">
        <v>147230</v>
      </c>
      <c r="W1339" s="2">
        <v>1136615.6000000001</v>
      </c>
      <c r="X1339" s="2">
        <v>7.72</v>
      </c>
      <c r="Y1339" s="2">
        <v>0.13</v>
      </c>
      <c r="AB1339">
        <v>1</v>
      </c>
      <c r="AC1339">
        <v>2012</v>
      </c>
      <c r="AE1339" s="2">
        <v>19139.900000000001</v>
      </c>
    </row>
    <row r="1340" spans="2:31" ht="14.5">
      <c r="B1340" s="2">
        <v>84749</v>
      </c>
      <c r="C1340" s="2" t="s">
        <v>2376</v>
      </c>
      <c r="D1340" s="2" t="s">
        <v>2377</v>
      </c>
      <c r="E1340" s="2" t="s">
        <v>28</v>
      </c>
      <c r="F1340" s="2" t="s">
        <v>29</v>
      </c>
      <c r="G1340" s="2" t="s">
        <v>30</v>
      </c>
      <c r="H1340" s="2" t="s">
        <v>218</v>
      </c>
      <c r="I1340" s="2" t="s">
        <v>219</v>
      </c>
      <c r="J1340" s="2" t="s">
        <v>220</v>
      </c>
      <c r="K1340" s="2" t="s">
        <v>34</v>
      </c>
      <c r="L1340" s="3"/>
      <c r="M1340" s="3">
        <v>41208</v>
      </c>
      <c r="N1340" s="3">
        <v>41208</v>
      </c>
      <c r="O1340" s="3">
        <v>41208</v>
      </c>
      <c r="P1340" s="2" t="s">
        <v>95</v>
      </c>
      <c r="Q1340" s="2" t="s">
        <v>96</v>
      </c>
      <c r="R1340" s="2" t="s">
        <v>37</v>
      </c>
      <c r="S1340" s="2" t="s">
        <v>97</v>
      </c>
      <c r="T1340" s="2" t="s">
        <v>39</v>
      </c>
      <c r="U1340" s="2">
        <v>30</v>
      </c>
      <c r="V1340" s="2">
        <v>90000</v>
      </c>
      <c r="W1340" s="2">
        <v>342900</v>
      </c>
      <c r="X1340" s="2">
        <v>3.81</v>
      </c>
      <c r="Y1340" s="2">
        <v>0.13</v>
      </c>
      <c r="Z1340" s="2">
        <v>7867</v>
      </c>
      <c r="AA1340" s="2">
        <v>21567.19</v>
      </c>
      <c r="AB1340">
        <v>1</v>
      </c>
      <c r="AC1340">
        <v>2012</v>
      </c>
      <c r="AE1340" s="2">
        <v>11700</v>
      </c>
    </row>
    <row r="1341" spans="2:31" ht="14.5">
      <c r="B1341" s="2">
        <v>84750</v>
      </c>
      <c r="C1341" s="2" t="s">
        <v>2378</v>
      </c>
      <c r="D1341" s="2" t="s">
        <v>2379</v>
      </c>
      <c r="E1341" s="2" t="s">
        <v>118</v>
      </c>
      <c r="F1341" s="2" t="s">
        <v>29</v>
      </c>
      <c r="G1341" s="2" t="s">
        <v>30</v>
      </c>
      <c r="H1341" s="2" t="s">
        <v>218</v>
      </c>
      <c r="I1341" s="2" t="s">
        <v>219</v>
      </c>
      <c r="J1341" s="2" t="s">
        <v>220</v>
      </c>
      <c r="K1341" s="2" t="s">
        <v>34</v>
      </c>
      <c r="L1341" s="3"/>
      <c r="M1341" s="3">
        <v>41212</v>
      </c>
      <c r="N1341" s="3">
        <v>41212</v>
      </c>
      <c r="O1341" s="3">
        <v>41212</v>
      </c>
      <c r="P1341" s="2" t="s">
        <v>35</v>
      </c>
      <c r="Q1341" s="2" t="s">
        <v>36</v>
      </c>
      <c r="R1341" s="2" t="s">
        <v>37</v>
      </c>
      <c r="S1341" s="2" t="s">
        <v>38</v>
      </c>
      <c r="T1341" s="2" t="s">
        <v>39</v>
      </c>
      <c r="U1341" s="2">
        <v>60</v>
      </c>
      <c r="V1341" s="2">
        <v>36000</v>
      </c>
      <c r="W1341" s="2">
        <v>87840</v>
      </c>
      <c r="X1341" s="2">
        <v>2.44</v>
      </c>
      <c r="Y1341" s="2">
        <v>0.04</v>
      </c>
      <c r="Z1341" s="2">
        <v>2026</v>
      </c>
      <c r="AA1341" s="2">
        <v>10095.9</v>
      </c>
      <c r="AB1341">
        <v>1</v>
      </c>
      <c r="AC1341">
        <v>2012</v>
      </c>
      <c r="AE1341" s="2">
        <v>1440</v>
      </c>
    </row>
    <row r="1342" spans="2:31" ht="14.5">
      <c r="B1342" s="2">
        <v>84751</v>
      </c>
      <c r="C1342" s="2" t="s">
        <v>2380</v>
      </c>
      <c r="D1342" s="2" t="s">
        <v>2381</v>
      </c>
      <c r="E1342" s="2" t="s">
        <v>118</v>
      </c>
      <c r="F1342" s="2" t="s">
        <v>29</v>
      </c>
      <c r="G1342" s="2" t="s">
        <v>30</v>
      </c>
      <c r="H1342" s="2" t="s">
        <v>218</v>
      </c>
      <c r="I1342" s="2" t="s">
        <v>219</v>
      </c>
      <c r="J1342" s="2" t="s">
        <v>220</v>
      </c>
      <c r="K1342" s="2" t="s">
        <v>34</v>
      </c>
      <c r="L1342" s="3"/>
      <c r="M1342" s="3">
        <v>41200</v>
      </c>
      <c r="N1342" s="3">
        <v>41200</v>
      </c>
      <c r="O1342" s="3">
        <v>41200</v>
      </c>
      <c r="P1342" s="2" t="s">
        <v>35</v>
      </c>
      <c r="Q1342" s="2" t="s">
        <v>36</v>
      </c>
      <c r="R1342" s="2" t="s">
        <v>37</v>
      </c>
      <c r="S1342" s="2" t="s">
        <v>38</v>
      </c>
      <c r="T1342" s="2" t="s">
        <v>39</v>
      </c>
      <c r="U1342" s="2">
        <v>60</v>
      </c>
      <c r="V1342" s="2">
        <v>635</v>
      </c>
      <c r="W1342" s="2">
        <v>1549.4</v>
      </c>
      <c r="X1342" s="2">
        <v>2.44</v>
      </c>
      <c r="Y1342" s="2">
        <v>0.04</v>
      </c>
      <c r="Z1342" s="2">
        <v>1779</v>
      </c>
      <c r="AA1342" s="2">
        <v>9325.16</v>
      </c>
      <c r="AB1342">
        <v>1</v>
      </c>
      <c r="AC1342">
        <v>2012</v>
      </c>
      <c r="AE1342" s="2">
        <v>25.400000000000002</v>
      </c>
    </row>
    <row r="1343" spans="2:31" ht="14.5">
      <c r="B1343" s="2">
        <v>84755</v>
      </c>
      <c r="C1343" s="2" t="s">
        <v>1828</v>
      </c>
      <c r="D1343" s="2" t="s">
        <v>1829</v>
      </c>
      <c r="E1343" s="2" t="s">
        <v>42</v>
      </c>
      <c r="F1343" s="2" t="s">
        <v>29</v>
      </c>
      <c r="G1343" s="2" t="s">
        <v>30</v>
      </c>
      <c r="H1343" s="2" t="s">
        <v>218</v>
      </c>
      <c r="I1343" s="2" t="s">
        <v>219</v>
      </c>
      <c r="J1343" s="2" t="s">
        <v>220</v>
      </c>
      <c r="K1343" s="2" t="s">
        <v>34</v>
      </c>
      <c r="L1343" s="3"/>
      <c r="M1343" s="3">
        <v>41208</v>
      </c>
      <c r="N1343" s="3">
        <v>41208</v>
      </c>
      <c r="O1343" s="3">
        <v>41208</v>
      </c>
      <c r="P1343" s="2" t="s">
        <v>759</v>
      </c>
      <c r="Q1343" s="2" t="s">
        <v>84</v>
      </c>
      <c r="R1343" s="2" t="s">
        <v>37</v>
      </c>
      <c r="S1343" s="2" t="s">
        <v>152</v>
      </c>
      <c r="T1343" s="2" t="s">
        <v>39</v>
      </c>
      <c r="U1343" s="2">
        <v>120</v>
      </c>
      <c r="V1343" s="2">
        <v>965</v>
      </c>
      <c r="W1343" s="2">
        <v>28641.200000000001</v>
      </c>
      <c r="X1343" s="2">
        <v>29.68</v>
      </c>
      <c r="Y1343" s="2">
        <v>0.25</v>
      </c>
      <c r="AB1343">
        <v>1</v>
      </c>
      <c r="AC1343">
        <v>2012</v>
      </c>
      <c r="AE1343" s="2">
        <v>241.25</v>
      </c>
    </row>
    <row r="1344" spans="2:31" ht="14.5">
      <c r="B1344" s="2">
        <v>84758</v>
      </c>
      <c r="C1344" s="2" t="s">
        <v>1606</v>
      </c>
      <c r="D1344" s="2" t="s">
        <v>1607</v>
      </c>
      <c r="E1344" s="2" t="s">
        <v>118</v>
      </c>
      <c r="F1344" s="2" t="s">
        <v>29</v>
      </c>
      <c r="G1344" s="2" t="s">
        <v>30</v>
      </c>
      <c r="H1344" s="2" t="s">
        <v>218</v>
      </c>
      <c r="I1344" s="2" t="s">
        <v>219</v>
      </c>
      <c r="J1344" s="2" t="s">
        <v>220</v>
      </c>
      <c r="K1344" s="2" t="s">
        <v>34</v>
      </c>
      <c r="L1344" s="3"/>
      <c r="M1344" s="3">
        <v>41207</v>
      </c>
      <c r="N1344" s="3">
        <v>41204</v>
      </c>
      <c r="O1344" s="3">
        <v>41204</v>
      </c>
      <c r="P1344" s="2" t="s">
        <v>44</v>
      </c>
      <c r="Q1344" s="2" t="s">
        <v>45</v>
      </c>
      <c r="R1344" s="2" t="s">
        <v>37</v>
      </c>
      <c r="S1344" s="2" t="s">
        <v>46</v>
      </c>
      <c r="T1344" s="2" t="s">
        <v>47</v>
      </c>
      <c r="U1344" s="2">
        <v>60</v>
      </c>
      <c r="V1344" s="2">
        <v>7126</v>
      </c>
      <c r="W1344" s="2">
        <v>55012.72</v>
      </c>
      <c r="X1344" s="2">
        <v>7.72</v>
      </c>
      <c r="Y1344" s="2">
        <v>0.13</v>
      </c>
      <c r="AB1344">
        <v>1</v>
      </c>
      <c r="AC1344">
        <v>2012</v>
      </c>
      <c r="AE1344" s="2">
        <v>926.38</v>
      </c>
    </row>
    <row r="1345" spans="2:31" ht="14.5">
      <c r="B1345" s="2">
        <v>84759</v>
      </c>
      <c r="C1345" s="2" t="s">
        <v>2033</v>
      </c>
      <c r="D1345" s="2" t="s">
        <v>2034</v>
      </c>
      <c r="E1345" s="2" t="s">
        <v>28</v>
      </c>
      <c r="F1345" s="2" t="s">
        <v>29</v>
      </c>
      <c r="G1345" s="2" t="s">
        <v>30</v>
      </c>
      <c r="H1345" s="2" t="s">
        <v>218</v>
      </c>
      <c r="I1345" s="2" t="s">
        <v>219</v>
      </c>
      <c r="J1345" s="2" t="s">
        <v>220</v>
      </c>
      <c r="K1345" s="2" t="s">
        <v>267</v>
      </c>
      <c r="L1345" s="3"/>
      <c r="M1345" s="3">
        <v>41243</v>
      </c>
      <c r="N1345" s="3">
        <v>41213</v>
      </c>
      <c r="O1345" s="3">
        <v>41213</v>
      </c>
      <c r="P1345" s="2" t="s">
        <v>98</v>
      </c>
      <c r="Q1345" s="2" t="s">
        <v>99</v>
      </c>
      <c r="R1345" s="2" t="s">
        <v>37</v>
      </c>
      <c r="S1345" s="2" t="s">
        <v>100</v>
      </c>
      <c r="T1345" s="2" t="s">
        <v>39</v>
      </c>
      <c r="U1345" s="2">
        <v>60</v>
      </c>
      <c r="V1345" s="2">
        <v>13784</v>
      </c>
      <c r="W1345" s="2">
        <v>178640.64000000001</v>
      </c>
      <c r="X1345" s="2">
        <v>12.96</v>
      </c>
      <c r="Y1345" s="2">
        <v>0.22</v>
      </c>
      <c r="AB1345">
        <v>1</v>
      </c>
      <c r="AC1345">
        <v>2012</v>
      </c>
      <c r="AE1345" s="2">
        <v>3032.48</v>
      </c>
    </row>
    <row r="1346" spans="2:31" ht="14.5">
      <c r="B1346" s="2">
        <v>84760</v>
      </c>
      <c r="C1346" s="2" t="s">
        <v>2035</v>
      </c>
      <c r="D1346" s="2" t="s">
        <v>2036</v>
      </c>
      <c r="E1346" s="2" t="s">
        <v>28</v>
      </c>
      <c r="F1346" s="2" t="s">
        <v>29</v>
      </c>
      <c r="G1346" s="2" t="s">
        <v>50</v>
      </c>
      <c r="H1346" s="2" t="s">
        <v>218</v>
      </c>
      <c r="I1346" s="2" t="s">
        <v>219</v>
      </c>
      <c r="J1346" s="2" t="s">
        <v>220</v>
      </c>
      <c r="K1346" s="2" t="s">
        <v>267</v>
      </c>
      <c r="L1346" s="3"/>
      <c r="M1346" s="3">
        <v>41243</v>
      </c>
      <c r="N1346" s="3">
        <v>41219</v>
      </c>
      <c r="O1346" s="3">
        <v>41219</v>
      </c>
      <c r="P1346" s="2" t="s">
        <v>1632</v>
      </c>
      <c r="Q1346" s="2" t="s">
        <v>140</v>
      </c>
      <c r="R1346" s="2" t="s">
        <v>37</v>
      </c>
      <c r="S1346" s="2" t="s">
        <v>1633</v>
      </c>
      <c r="T1346" s="2" t="s">
        <v>729</v>
      </c>
      <c r="U1346" s="2">
        <v>60</v>
      </c>
      <c r="V1346" s="2">
        <v>1975</v>
      </c>
      <c r="W1346" s="2">
        <v>4542.5</v>
      </c>
      <c r="X1346" s="2">
        <v>2.2999999999999998</v>
      </c>
      <c r="Y1346" s="2">
        <v>0.04</v>
      </c>
      <c r="AB1346">
        <v>1</v>
      </c>
      <c r="AC1346">
        <v>2012</v>
      </c>
      <c r="AE1346" s="2">
        <v>79</v>
      </c>
    </row>
    <row r="1347" spans="2:31" ht="14.5">
      <c r="B1347" s="2">
        <v>84765</v>
      </c>
      <c r="C1347" s="2" t="s">
        <v>1612</v>
      </c>
      <c r="D1347" s="2" t="s">
        <v>1613</v>
      </c>
      <c r="E1347" s="2" t="s">
        <v>118</v>
      </c>
      <c r="F1347" s="2" t="s">
        <v>29</v>
      </c>
      <c r="G1347" s="2" t="s">
        <v>30</v>
      </c>
      <c r="H1347" s="2" t="s">
        <v>218</v>
      </c>
      <c r="I1347" s="2" t="s">
        <v>219</v>
      </c>
      <c r="J1347" s="2" t="s">
        <v>220</v>
      </c>
      <c r="K1347" s="2" t="s">
        <v>267</v>
      </c>
      <c r="L1347" s="3"/>
      <c r="M1347" s="3">
        <v>41253</v>
      </c>
      <c r="N1347" s="3">
        <v>41232</v>
      </c>
      <c r="O1347" s="3">
        <v>41232</v>
      </c>
      <c r="P1347" s="2" t="s">
        <v>706</v>
      </c>
      <c r="Q1347" s="2" t="s">
        <v>707</v>
      </c>
      <c r="R1347" s="2" t="s">
        <v>37</v>
      </c>
      <c r="S1347" s="2" t="s">
        <v>708</v>
      </c>
      <c r="T1347" s="2" t="s">
        <v>47</v>
      </c>
      <c r="U1347" s="2">
        <v>30</v>
      </c>
      <c r="V1347" s="2">
        <v>22783</v>
      </c>
      <c r="W1347" s="2">
        <v>122116.88</v>
      </c>
      <c r="X1347" s="2">
        <v>5.36</v>
      </c>
      <c r="Y1347" s="2">
        <v>0.18</v>
      </c>
      <c r="AB1347">
        <v>1</v>
      </c>
      <c r="AC1347">
        <v>2012</v>
      </c>
      <c r="AE1347" s="2">
        <v>4100.9399999999996</v>
      </c>
    </row>
    <row r="1348" spans="2:31" ht="14.5">
      <c r="B1348" s="2">
        <v>84766</v>
      </c>
      <c r="C1348" s="2" t="s">
        <v>2382</v>
      </c>
      <c r="D1348" s="2" t="s">
        <v>2383</v>
      </c>
      <c r="E1348" s="2" t="s">
        <v>118</v>
      </c>
      <c r="F1348" s="2" t="s">
        <v>29</v>
      </c>
      <c r="G1348" s="2" t="s">
        <v>30</v>
      </c>
      <c r="H1348" s="2" t="s">
        <v>218</v>
      </c>
      <c r="I1348" s="2" t="s">
        <v>219</v>
      </c>
      <c r="J1348" s="2" t="s">
        <v>220</v>
      </c>
      <c r="K1348" s="2" t="s">
        <v>34</v>
      </c>
      <c r="L1348" s="3"/>
      <c r="M1348" s="3">
        <v>41263</v>
      </c>
      <c r="N1348" s="3">
        <v>41241</v>
      </c>
      <c r="O1348" s="3">
        <v>41241</v>
      </c>
      <c r="P1348" s="2" t="s">
        <v>98</v>
      </c>
      <c r="Q1348" s="2" t="s">
        <v>99</v>
      </c>
      <c r="R1348" s="2" t="s">
        <v>37</v>
      </c>
      <c r="S1348" s="2" t="s">
        <v>100</v>
      </c>
      <c r="T1348" s="2" t="s">
        <v>39</v>
      </c>
      <c r="U1348" s="2">
        <v>60</v>
      </c>
      <c r="V1348" s="2">
        <v>2067</v>
      </c>
      <c r="W1348" s="2">
        <v>26788.32</v>
      </c>
      <c r="X1348" s="2">
        <v>12.96</v>
      </c>
      <c r="Y1348" s="2">
        <v>0.22</v>
      </c>
      <c r="Z1348" s="2">
        <v>220</v>
      </c>
      <c r="AA1348" s="2">
        <v>1616.45</v>
      </c>
      <c r="AB1348">
        <v>1</v>
      </c>
      <c r="AC1348">
        <v>2012</v>
      </c>
      <c r="AE1348" s="2">
        <v>454.74</v>
      </c>
    </row>
    <row r="1349" spans="2:31" ht="14.5">
      <c r="B1349" s="2">
        <v>84773</v>
      </c>
      <c r="C1349" s="2" t="s">
        <v>1614</v>
      </c>
      <c r="D1349" s="2" t="s">
        <v>1615</v>
      </c>
      <c r="E1349" s="2" t="s">
        <v>118</v>
      </c>
      <c r="F1349" s="2" t="s">
        <v>29</v>
      </c>
      <c r="G1349" s="2" t="s">
        <v>30</v>
      </c>
      <c r="H1349" s="2" t="s">
        <v>218</v>
      </c>
      <c r="I1349" s="2" t="s">
        <v>219</v>
      </c>
      <c r="J1349" s="2" t="s">
        <v>220</v>
      </c>
      <c r="K1349" s="2" t="s">
        <v>34</v>
      </c>
      <c r="L1349" s="3"/>
      <c r="M1349" s="3">
        <v>41306</v>
      </c>
      <c r="N1349" s="3">
        <v>41306</v>
      </c>
      <c r="O1349" s="3">
        <v>41306</v>
      </c>
      <c r="P1349" s="2" t="s">
        <v>35</v>
      </c>
      <c r="Q1349" s="2" t="s">
        <v>36</v>
      </c>
      <c r="R1349" s="2" t="s">
        <v>37</v>
      </c>
      <c r="S1349" s="2" t="s">
        <v>38</v>
      </c>
      <c r="T1349" s="2" t="s">
        <v>39</v>
      </c>
      <c r="U1349" s="2">
        <v>60</v>
      </c>
      <c r="V1349" s="2">
        <v>4290</v>
      </c>
      <c r="W1349" s="2">
        <v>10381.799999999999</v>
      </c>
      <c r="X1349" s="2">
        <v>2.42</v>
      </c>
      <c r="Y1349" s="2">
        <v>0.04</v>
      </c>
      <c r="AB1349">
        <v>1</v>
      </c>
      <c r="AC1349">
        <v>2013</v>
      </c>
      <c r="AE1349" s="2">
        <v>171.6</v>
      </c>
    </row>
    <row r="1350" spans="2:31" ht="14.5">
      <c r="B1350" s="2">
        <v>84776</v>
      </c>
      <c r="C1350" s="2" t="s">
        <v>2384</v>
      </c>
      <c r="D1350" s="2" t="s">
        <v>2385</v>
      </c>
      <c r="E1350" s="2" t="s">
        <v>28</v>
      </c>
      <c r="F1350" s="2" t="s">
        <v>29</v>
      </c>
      <c r="G1350" s="2" t="s">
        <v>50</v>
      </c>
      <c r="H1350" s="2" t="s">
        <v>218</v>
      </c>
      <c r="I1350" s="2" t="s">
        <v>219</v>
      </c>
      <c r="J1350" s="2" t="s">
        <v>220</v>
      </c>
      <c r="K1350" s="2" t="s">
        <v>267</v>
      </c>
      <c r="L1350" s="3"/>
      <c r="M1350" s="3">
        <v>41333</v>
      </c>
      <c r="N1350" s="3">
        <v>41323</v>
      </c>
      <c r="O1350" s="3">
        <v>41323</v>
      </c>
      <c r="P1350" s="2" t="s">
        <v>2037</v>
      </c>
      <c r="Q1350" s="2" t="s">
        <v>140</v>
      </c>
      <c r="R1350" s="2" t="s">
        <v>37</v>
      </c>
      <c r="S1350" s="2" t="s">
        <v>2038</v>
      </c>
      <c r="T1350" s="2" t="s">
        <v>729</v>
      </c>
      <c r="U1350" s="2">
        <v>60</v>
      </c>
      <c r="V1350" s="2">
        <v>10727</v>
      </c>
      <c r="W1350" s="2">
        <v>46126.1</v>
      </c>
      <c r="X1350" s="2">
        <v>4.3</v>
      </c>
      <c r="Y1350" s="2">
        <v>7.0000000000000007E-2</v>
      </c>
      <c r="Z1350" s="2">
        <v>945</v>
      </c>
      <c r="AA1350" s="2">
        <v>7579.6</v>
      </c>
      <c r="AB1350">
        <v>1</v>
      </c>
      <c r="AC1350">
        <v>2013</v>
      </c>
      <c r="AE1350" s="2">
        <v>750.8900000000001</v>
      </c>
    </row>
    <row r="1351" spans="2:31" ht="14.5">
      <c r="B1351" s="2">
        <v>84779</v>
      </c>
      <c r="C1351" s="2" t="s">
        <v>1616</v>
      </c>
      <c r="D1351" s="2" t="s">
        <v>1617</v>
      </c>
      <c r="E1351" s="2" t="s">
        <v>118</v>
      </c>
      <c r="F1351" s="2" t="s">
        <v>29</v>
      </c>
      <c r="G1351" s="2" t="s">
        <v>30</v>
      </c>
      <c r="H1351" s="2" t="s">
        <v>218</v>
      </c>
      <c r="I1351" s="2" t="s">
        <v>219</v>
      </c>
      <c r="J1351" s="2" t="s">
        <v>220</v>
      </c>
      <c r="K1351" s="2" t="s">
        <v>34</v>
      </c>
      <c r="L1351" s="3"/>
      <c r="M1351" s="3">
        <v>41307</v>
      </c>
      <c r="N1351" s="3">
        <v>41307</v>
      </c>
      <c r="O1351" s="3">
        <v>41307</v>
      </c>
      <c r="P1351" s="2" t="s">
        <v>44</v>
      </c>
      <c r="Q1351" s="2" t="s">
        <v>45</v>
      </c>
      <c r="R1351" s="2" t="s">
        <v>37</v>
      </c>
      <c r="S1351" s="2" t="s">
        <v>46</v>
      </c>
      <c r="T1351" s="2" t="s">
        <v>47</v>
      </c>
      <c r="U1351" s="2">
        <v>60</v>
      </c>
      <c r="V1351" s="2">
        <v>1485</v>
      </c>
      <c r="W1351" s="2">
        <v>11464.2</v>
      </c>
      <c r="X1351" s="2">
        <v>7.72</v>
      </c>
      <c r="Y1351" s="2">
        <v>0.13</v>
      </c>
      <c r="AB1351">
        <v>1</v>
      </c>
      <c r="AC1351">
        <v>2013</v>
      </c>
      <c r="AE1351" s="2">
        <v>193.05</v>
      </c>
    </row>
    <row r="1352" spans="2:31" ht="14.5">
      <c r="B1352" s="2">
        <v>84785</v>
      </c>
      <c r="C1352" s="2" t="s">
        <v>2043</v>
      </c>
      <c r="D1352" s="2" t="s">
        <v>2044</v>
      </c>
      <c r="E1352" s="2" t="s">
        <v>118</v>
      </c>
      <c r="F1352" s="2" t="s">
        <v>29</v>
      </c>
      <c r="G1352" s="2" t="s">
        <v>30</v>
      </c>
      <c r="H1352" s="2" t="s">
        <v>218</v>
      </c>
      <c r="I1352" s="2" t="s">
        <v>219</v>
      </c>
      <c r="J1352" s="2" t="s">
        <v>220</v>
      </c>
      <c r="K1352" s="2" t="s">
        <v>34</v>
      </c>
      <c r="L1352" s="3"/>
      <c r="M1352" s="3">
        <v>41327</v>
      </c>
      <c r="N1352" s="3">
        <v>41325</v>
      </c>
      <c r="O1352" s="3">
        <v>41325</v>
      </c>
      <c r="P1352" s="2" t="s">
        <v>759</v>
      </c>
      <c r="Q1352" s="2" t="s">
        <v>84</v>
      </c>
      <c r="R1352" s="2" t="s">
        <v>37</v>
      </c>
      <c r="S1352" s="2" t="s">
        <v>152</v>
      </c>
      <c r="T1352" s="2" t="s">
        <v>39</v>
      </c>
      <c r="U1352" s="2">
        <v>120</v>
      </c>
      <c r="V1352" s="2">
        <v>12440</v>
      </c>
      <c r="W1352" s="2">
        <v>308014.40000000002</v>
      </c>
      <c r="X1352" s="2">
        <v>24.76</v>
      </c>
      <c r="Y1352" s="2">
        <v>0.21</v>
      </c>
      <c r="AB1352">
        <v>1</v>
      </c>
      <c r="AC1352">
        <v>2013</v>
      </c>
      <c r="AE1352" s="2">
        <v>2612.4</v>
      </c>
    </row>
    <row r="1353" spans="2:31" ht="14.5">
      <c r="B1353" s="2">
        <v>84786</v>
      </c>
      <c r="C1353" s="2" t="s">
        <v>2043</v>
      </c>
      <c r="D1353" s="2" t="s">
        <v>2044</v>
      </c>
      <c r="E1353" s="2" t="s">
        <v>118</v>
      </c>
      <c r="F1353" s="2" t="s">
        <v>29</v>
      </c>
      <c r="G1353" s="2" t="s">
        <v>30</v>
      </c>
      <c r="H1353" s="2" t="s">
        <v>218</v>
      </c>
      <c r="I1353" s="2" t="s">
        <v>219</v>
      </c>
      <c r="J1353" s="2" t="s">
        <v>220</v>
      </c>
      <c r="K1353" s="2" t="s">
        <v>34</v>
      </c>
      <c r="L1353" s="3"/>
      <c r="M1353" s="3">
        <v>41327</v>
      </c>
      <c r="N1353" s="3">
        <v>41325</v>
      </c>
      <c r="O1353" s="3">
        <v>41325</v>
      </c>
      <c r="P1353" s="2" t="s">
        <v>484</v>
      </c>
      <c r="Q1353" s="2" t="s">
        <v>105</v>
      </c>
      <c r="R1353" s="2" t="s">
        <v>37</v>
      </c>
      <c r="S1353" s="2" t="s">
        <v>100</v>
      </c>
      <c r="T1353" s="2" t="s">
        <v>39</v>
      </c>
      <c r="U1353" s="2">
        <v>30</v>
      </c>
      <c r="V1353" s="2">
        <v>240</v>
      </c>
      <c r="W1353" s="2">
        <v>969.6</v>
      </c>
      <c r="X1353" s="2">
        <v>4.04</v>
      </c>
      <c r="Y1353" s="2">
        <v>0.13</v>
      </c>
      <c r="AB1353">
        <v>1</v>
      </c>
      <c r="AC1353">
        <v>2013</v>
      </c>
      <c r="AE1353" s="2">
        <v>31.200000000000003</v>
      </c>
    </row>
    <row r="1354" spans="2:31" ht="14.5">
      <c r="B1354" s="2">
        <v>84791</v>
      </c>
      <c r="C1354" s="2" t="s">
        <v>2386</v>
      </c>
      <c r="D1354" s="2" t="s">
        <v>2387</v>
      </c>
      <c r="E1354" s="2" t="s">
        <v>118</v>
      </c>
      <c r="F1354" s="2" t="s">
        <v>29</v>
      </c>
      <c r="G1354" s="2" t="s">
        <v>30</v>
      </c>
      <c r="H1354" s="2" t="s">
        <v>218</v>
      </c>
      <c r="I1354" s="2" t="s">
        <v>219</v>
      </c>
      <c r="J1354" s="2" t="s">
        <v>220</v>
      </c>
      <c r="K1354" s="2" t="s">
        <v>34</v>
      </c>
      <c r="L1354" s="3"/>
      <c r="M1354" s="3">
        <v>41362</v>
      </c>
      <c r="N1354" s="3">
        <v>41334</v>
      </c>
      <c r="O1354" s="3">
        <v>41334</v>
      </c>
      <c r="P1354" s="2" t="s">
        <v>44</v>
      </c>
      <c r="Q1354" s="2" t="s">
        <v>45</v>
      </c>
      <c r="R1354" s="2" t="s">
        <v>37</v>
      </c>
      <c r="S1354" s="2" t="s">
        <v>46</v>
      </c>
      <c r="T1354" s="2" t="s">
        <v>47</v>
      </c>
      <c r="U1354" s="2">
        <v>60</v>
      </c>
      <c r="V1354" s="2">
        <v>25680</v>
      </c>
      <c r="W1354" s="2">
        <v>186693.6</v>
      </c>
      <c r="X1354" s="2">
        <v>7.27</v>
      </c>
      <c r="Y1354" s="2">
        <v>0.12</v>
      </c>
      <c r="Z1354" s="2">
        <v>3988</v>
      </c>
      <c r="AA1354" s="2">
        <v>39037.699999999997</v>
      </c>
      <c r="AB1354">
        <v>1</v>
      </c>
      <c r="AC1354">
        <v>2013</v>
      </c>
      <c r="AE1354" s="2">
        <v>3081.6</v>
      </c>
    </row>
    <row r="1355" spans="2:31" ht="14.5">
      <c r="B1355" s="2">
        <v>84800</v>
      </c>
      <c r="C1355" s="2" t="s">
        <v>1845</v>
      </c>
      <c r="D1355" s="2" t="s">
        <v>1846</v>
      </c>
      <c r="E1355" s="2" t="s">
        <v>118</v>
      </c>
      <c r="F1355" s="2" t="s">
        <v>29</v>
      </c>
      <c r="G1355" s="2" t="s">
        <v>30</v>
      </c>
      <c r="H1355" s="2" t="s">
        <v>218</v>
      </c>
      <c r="I1355" s="2" t="s">
        <v>219</v>
      </c>
      <c r="J1355" s="2" t="s">
        <v>220</v>
      </c>
      <c r="K1355" s="2" t="s">
        <v>34</v>
      </c>
      <c r="L1355" s="3"/>
      <c r="M1355" s="3">
        <v>41389</v>
      </c>
      <c r="N1355" s="3">
        <v>41389</v>
      </c>
      <c r="O1355" s="3">
        <v>41389</v>
      </c>
      <c r="P1355" s="2" t="s">
        <v>35</v>
      </c>
      <c r="Q1355" s="2" t="s">
        <v>36</v>
      </c>
      <c r="R1355" s="2" t="s">
        <v>37</v>
      </c>
      <c r="S1355" s="2" t="s">
        <v>38</v>
      </c>
      <c r="T1355" s="2" t="s">
        <v>39</v>
      </c>
      <c r="U1355" s="2">
        <v>60</v>
      </c>
      <c r="V1355" s="2">
        <v>1276</v>
      </c>
      <c r="W1355" s="2">
        <v>2883.76</v>
      </c>
      <c r="X1355" s="2">
        <v>2.2599999999999998</v>
      </c>
      <c r="Y1355" s="2">
        <v>0.04</v>
      </c>
      <c r="AB1355">
        <v>1</v>
      </c>
      <c r="AC1355">
        <v>2013</v>
      </c>
      <c r="AE1355" s="2">
        <v>51.04</v>
      </c>
    </row>
    <row r="1356" spans="2:31" ht="14.5">
      <c r="B1356" s="2">
        <v>84801</v>
      </c>
      <c r="C1356" s="2" t="s">
        <v>2828</v>
      </c>
      <c r="D1356" s="2" t="s">
        <v>2829</v>
      </c>
      <c r="E1356" s="2" t="s">
        <v>2817</v>
      </c>
      <c r="F1356" s="2" t="s">
        <v>29</v>
      </c>
      <c r="G1356" s="2" t="s">
        <v>50</v>
      </c>
      <c r="H1356" s="2" t="s">
        <v>218</v>
      </c>
      <c r="I1356" s="2" t="s">
        <v>219</v>
      </c>
      <c r="J1356" s="2" t="s">
        <v>220</v>
      </c>
      <c r="K1356" s="2" t="s">
        <v>34</v>
      </c>
      <c r="L1356" s="3"/>
      <c r="M1356" s="3">
        <v>41381</v>
      </c>
      <c r="N1356" s="3">
        <v>41387</v>
      </c>
      <c r="O1356" s="3">
        <v>41387</v>
      </c>
      <c r="P1356" s="2" t="s">
        <v>802</v>
      </c>
      <c r="Q1356" s="2" t="s">
        <v>96</v>
      </c>
      <c r="R1356" s="2" t="s">
        <v>37</v>
      </c>
      <c r="S1356" s="2" t="s">
        <v>38</v>
      </c>
      <c r="T1356" s="2" t="s">
        <v>39</v>
      </c>
      <c r="U1356" s="2">
        <v>90</v>
      </c>
      <c r="V1356" s="2">
        <v>66</v>
      </c>
      <c r="W1356" s="2">
        <v>481.8</v>
      </c>
      <c r="X1356" s="2">
        <v>7.3</v>
      </c>
      <c r="Y1356" s="2">
        <v>0.08</v>
      </c>
      <c r="AB1356">
        <v>0</v>
      </c>
      <c r="AC1356">
        <v>2013</v>
      </c>
      <c r="AE1356" s="2">
        <v>5.28</v>
      </c>
    </row>
    <row r="1357" spans="2:31" ht="14.5">
      <c r="B1357" s="2">
        <v>84803</v>
      </c>
      <c r="C1357" s="2" t="s">
        <v>2049</v>
      </c>
      <c r="D1357" s="2" t="s">
        <v>2050</v>
      </c>
      <c r="E1357" s="2" t="s">
        <v>1581</v>
      </c>
      <c r="F1357" s="2" t="s">
        <v>29</v>
      </c>
      <c r="G1357" s="2" t="s">
        <v>50</v>
      </c>
      <c r="H1357" s="2" t="s">
        <v>218</v>
      </c>
      <c r="I1357" s="2" t="s">
        <v>219</v>
      </c>
      <c r="J1357" s="2" t="s">
        <v>220</v>
      </c>
      <c r="K1357" s="2" t="s">
        <v>34</v>
      </c>
      <c r="L1357" s="3"/>
      <c r="M1357" s="3">
        <v>41396</v>
      </c>
      <c r="N1357" s="3">
        <v>41404</v>
      </c>
      <c r="O1357" s="3">
        <v>41404</v>
      </c>
      <c r="P1357" s="2" t="s">
        <v>1288</v>
      </c>
      <c r="Q1357" s="2" t="s">
        <v>165</v>
      </c>
      <c r="R1357" s="2" t="s">
        <v>37</v>
      </c>
      <c r="S1357" s="2" t="s">
        <v>226</v>
      </c>
      <c r="T1357" s="2" t="s">
        <v>87</v>
      </c>
      <c r="U1357" s="2">
        <v>240</v>
      </c>
      <c r="V1357" s="2">
        <v>552</v>
      </c>
      <c r="W1357" s="2">
        <v>1021.2</v>
      </c>
      <c r="X1357" s="2">
        <v>1.85</v>
      </c>
      <c r="Y1357" s="2">
        <v>0.01</v>
      </c>
      <c r="AB1357">
        <v>0</v>
      </c>
      <c r="AC1357">
        <v>2013</v>
      </c>
      <c r="AE1357" s="2">
        <v>5.5200000000000005</v>
      </c>
    </row>
    <row r="1358" spans="2:31" ht="14.5">
      <c r="B1358" s="2">
        <v>84810</v>
      </c>
      <c r="C1358" s="2" t="s">
        <v>1626</v>
      </c>
      <c r="D1358" s="2" t="s">
        <v>1627</v>
      </c>
      <c r="E1358" s="2" t="s">
        <v>118</v>
      </c>
      <c r="F1358" s="2" t="s">
        <v>29</v>
      </c>
      <c r="G1358" s="2" t="s">
        <v>30</v>
      </c>
      <c r="H1358" s="2" t="s">
        <v>218</v>
      </c>
      <c r="I1358" s="2" t="s">
        <v>219</v>
      </c>
      <c r="J1358" s="2" t="s">
        <v>220</v>
      </c>
      <c r="K1358" s="2" t="s">
        <v>267</v>
      </c>
      <c r="L1358" s="3"/>
      <c r="M1358" s="3">
        <v>41432</v>
      </c>
      <c r="N1358" s="3">
        <v>41432</v>
      </c>
      <c r="O1358" s="3">
        <v>41432</v>
      </c>
      <c r="P1358" s="2" t="s">
        <v>484</v>
      </c>
      <c r="Q1358" s="2" t="s">
        <v>105</v>
      </c>
      <c r="R1358" s="2" t="s">
        <v>37</v>
      </c>
      <c r="S1358" s="2" t="s">
        <v>100</v>
      </c>
      <c r="T1358" s="2" t="s">
        <v>39</v>
      </c>
      <c r="U1358" s="2">
        <v>30</v>
      </c>
      <c r="V1358" s="2">
        <v>192</v>
      </c>
      <c r="W1358" s="2">
        <v>775.68</v>
      </c>
      <c r="X1358" s="2">
        <v>4.04</v>
      </c>
      <c r="Y1358" s="2">
        <v>0.13</v>
      </c>
      <c r="AB1358">
        <v>1</v>
      </c>
      <c r="AC1358">
        <v>2013</v>
      </c>
      <c r="AE1358" s="2">
        <v>24.96</v>
      </c>
    </row>
    <row r="1359" spans="2:31" ht="14.5">
      <c r="B1359" s="2">
        <v>84811</v>
      </c>
      <c r="C1359" s="2" t="s">
        <v>2061</v>
      </c>
      <c r="D1359" s="2" t="s">
        <v>2062</v>
      </c>
      <c r="E1359" s="2" t="s">
        <v>118</v>
      </c>
      <c r="F1359" s="2" t="s">
        <v>29</v>
      </c>
      <c r="G1359" s="2" t="s">
        <v>30</v>
      </c>
      <c r="H1359" s="2" t="s">
        <v>218</v>
      </c>
      <c r="I1359" s="2" t="s">
        <v>219</v>
      </c>
      <c r="J1359" s="2" t="s">
        <v>220</v>
      </c>
      <c r="K1359" s="2" t="s">
        <v>34</v>
      </c>
      <c r="L1359" s="3"/>
      <c r="M1359" s="3">
        <v>41495</v>
      </c>
      <c r="N1359" s="3">
        <v>41495</v>
      </c>
      <c r="O1359" s="3">
        <v>41495</v>
      </c>
      <c r="P1359" s="2" t="s">
        <v>706</v>
      </c>
      <c r="Q1359" s="2" t="s">
        <v>707</v>
      </c>
      <c r="R1359" s="2" t="s">
        <v>37</v>
      </c>
      <c r="S1359" s="2" t="s">
        <v>708</v>
      </c>
      <c r="T1359" s="2" t="s">
        <v>47</v>
      </c>
      <c r="U1359" s="2">
        <v>30</v>
      </c>
      <c r="V1359" s="2">
        <v>1613</v>
      </c>
      <c r="W1359" s="2">
        <v>7581.1</v>
      </c>
      <c r="X1359" s="2">
        <v>4.7</v>
      </c>
      <c r="Y1359" s="2">
        <v>0.16</v>
      </c>
      <c r="AB1359">
        <v>1</v>
      </c>
      <c r="AC1359">
        <v>2013</v>
      </c>
      <c r="AE1359" s="2">
        <v>258.08</v>
      </c>
    </row>
    <row r="1360" spans="2:31" ht="14.5">
      <c r="B1360" s="2">
        <v>84813</v>
      </c>
      <c r="C1360" s="2" t="s">
        <v>2857</v>
      </c>
      <c r="D1360" s="2" t="s">
        <v>2858</v>
      </c>
      <c r="E1360" s="2" t="s">
        <v>2817</v>
      </c>
      <c r="F1360" s="2" t="s">
        <v>29</v>
      </c>
      <c r="G1360" s="2" t="s">
        <v>30</v>
      </c>
      <c r="H1360" s="2" t="s">
        <v>218</v>
      </c>
      <c r="I1360" s="2" t="s">
        <v>219</v>
      </c>
      <c r="J1360" s="2" t="s">
        <v>220</v>
      </c>
      <c r="K1360" s="2" t="s">
        <v>34</v>
      </c>
      <c r="L1360" s="3"/>
      <c r="M1360" s="3">
        <v>41453</v>
      </c>
      <c r="N1360" s="3">
        <v>41411</v>
      </c>
      <c r="O1360" s="3">
        <v>41411</v>
      </c>
      <c r="P1360" s="2" t="s">
        <v>164</v>
      </c>
      <c r="Q1360" s="2" t="s">
        <v>165</v>
      </c>
      <c r="R1360" s="2" t="s">
        <v>37</v>
      </c>
      <c r="S1360" s="2" t="s">
        <v>166</v>
      </c>
      <c r="T1360" s="2" t="s">
        <v>39</v>
      </c>
      <c r="U1360" s="2">
        <v>60</v>
      </c>
      <c r="V1360" s="2">
        <v>270</v>
      </c>
      <c r="W1360" s="2">
        <v>537.29999999999995</v>
      </c>
      <c r="X1360" s="2">
        <v>1.99</v>
      </c>
      <c r="Y1360" s="2">
        <v>0.03</v>
      </c>
      <c r="Z1360" s="2">
        <v>15</v>
      </c>
      <c r="AA1360" s="2">
        <v>735.24</v>
      </c>
      <c r="AB1360">
        <v>1</v>
      </c>
      <c r="AC1360">
        <v>2013</v>
      </c>
      <c r="AE1360" s="2">
        <v>8.1</v>
      </c>
    </row>
    <row r="1361" spans="2:31" ht="14.5">
      <c r="B1361" s="2">
        <v>84816</v>
      </c>
      <c r="C1361" s="2" t="s">
        <v>1630</v>
      </c>
      <c r="D1361" s="2" t="s">
        <v>1631</v>
      </c>
      <c r="E1361" s="2" t="s">
        <v>118</v>
      </c>
      <c r="F1361" s="2" t="s">
        <v>29</v>
      </c>
      <c r="G1361" s="2" t="s">
        <v>30</v>
      </c>
      <c r="H1361" s="2" t="s">
        <v>218</v>
      </c>
      <c r="I1361" s="2" t="s">
        <v>219</v>
      </c>
      <c r="J1361" s="2" t="s">
        <v>220</v>
      </c>
      <c r="K1361" s="2" t="s">
        <v>267</v>
      </c>
      <c r="L1361" s="3"/>
      <c r="M1361" s="3">
        <v>41453</v>
      </c>
      <c r="N1361" s="3">
        <v>41432</v>
      </c>
      <c r="O1361" s="3">
        <v>41432</v>
      </c>
      <c r="P1361" s="2" t="s">
        <v>44</v>
      </c>
      <c r="Q1361" s="2" t="s">
        <v>45</v>
      </c>
      <c r="R1361" s="2" t="s">
        <v>37</v>
      </c>
      <c r="S1361" s="2" t="s">
        <v>46</v>
      </c>
      <c r="T1361" s="2" t="s">
        <v>47</v>
      </c>
      <c r="U1361" s="2">
        <v>60</v>
      </c>
      <c r="V1361" s="2">
        <v>3173</v>
      </c>
      <c r="W1361" s="2">
        <v>22211</v>
      </c>
      <c r="X1361" s="2">
        <v>7</v>
      </c>
      <c r="Y1361" s="2">
        <v>0.12</v>
      </c>
      <c r="AB1361">
        <v>1</v>
      </c>
      <c r="AC1361">
        <v>2013</v>
      </c>
      <c r="AE1361" s="2">
        <v>380.76</v>
      </c>
    </row>
    <row r="1362" spans="2:31" ht="14.5">
      <c r="B1362" s="2">
        <v>84817</v>
      </c>
      <c r="C1362" s="2" t="s">
        <v>2244</v>
      </c>
      <c r="D1362" s="2" t="s">
        <v>2245</v>
      </c>
      <c r="E1362" s="2" t="s">
        <v>28</v>
      </c>
      <c r="F1362" s="2" t="s">
        <v>29</v>
      </c>
      <c r="G1362" s="2" t="s">
        <v>50</v>
      </c>
      <c r="H1362" s="2" t="s">
        <v>218</v>
      </c>
      <c r="I1362" s="2" t="s">
        <v>219</v>
      </c>
      <c r="J1362" s="2" t="s">
        <v>220</v>
      </c>
      <c r="K1362" s="2" t="s">
        <v>267</v>
      </c>
      <c r="L1362" s="3"/>
      <c r="M1362" s="3">
        <v>41509</v>
      </c>
      <c r="N1362" s="3">
        <v>41408</v>
      </c>
      <c r="O1362" s="3">
        <v>41408</v>
      </c>
      <c r="P1362" s="2" t="s">
        <v>2037</v>
      </c>
      <c r="Q1362" s="2" t="s">
        <v>140</v>
      </c>
      <c r="R1362" s="2" t="s">
        <v>37</v>
      </c>
      <c r="S1362" s="2" t="s">
        <v>2038</v>
      </c>
      <c r="T1362" s="2" t="s">
        <v>729</v>
      </c>
      <c r="U1362" s="2">
        <v>60</v>
      </c>
      <c r="V1362" s="2">
        <v>12106</v>
      </c>
      <c r="W1362" s="2">
        <v>52055.8</v>
      </c>
      <c r="X1362" s="2">
        <v>4.3</v>
      </c>
      <c r="Y1362" s="2">
        <v>7.0000000000000007E-2</v>
      </c>
      <c r="AB1362">
        <v>1</v>
      </c>
      <c r="AC1362">
        <v>2013</v>
      </c>
      <c r="AE1362" s="2">
        <v>847.42000000000007</v>
      </c>
    </row>
    <row r="1363" spans="2:31" ht="14.5">
      <c r="B1363" s="2">
        <v>84828</v>
      </c>
      <c r="C1363" s="2" t="s">
        <v>2388</v>
      </c>
      <c r="D1363" s="2" t="s">
        <v>2389</v>
      </c>
      <c r="E1363" s="2" t="s">
        <v>118</v>
      </c>
      <c r="F1363" s="2" t="s">
        <v>29</v>
      </c>
      <c r="G1363" s="2" t="s">
        <v>30</v>
      </c>
      <c r="H1363" s="2" t="s">
        <v>218</v>
      </c>
      <c r="I1363" s="2" t="s">
        <v>219</v>
      </c>
      <c r="J1363" s="2" t="s">
        <v>220</v>
      </c>
      <c r="K1363" s="2" t="s">
        <v>34</v>
      </c>
      <c r="L1363" s="3"/>
      <c r="M1363" s="3">
        <v>41486</v>
      </c>
      <c r="N1363" s="3">
        <v>41473</v>
      </c>
      <c r="O1363" s="3">
        <v>41473</v>
      </c>
      <c r="P1363" s="2" t="s">
        <v>754</v>
      </c>
      <c r="Q1363" s="2" t="s">
        <v>755</v>
      </c>
      <c r="R1363" s="2" t="s">
        <v>37</v>
      </c>
      <c r="S1363" s="2" t="s">
        <v>756</v>
      </c>
      <c r="T1363" s="2" t="s">
        <v>47</v>
      </c>
      <c r="U1363" s="2">
        <v>30</v>
      </c>
      <c r="V1363" s="2">
        <v>10415</v>
      </c>
      <c r="W1363" s="2">
        <v>109565.8</v>
      </c>
      <c r="X1363" s="2">
        <v>10.52</v>
      </c>
      <c r="Y1363" s="2">
        <v>0.35</v>
      </c>
      <c r="Z1363" s="2">
        <v>1400</v>
      </c>
      <c r="AA1363" s="2">
        <v>5718.69</v>
      </c>
      <c r="AB1363">
        <v>1</v>
      </c>
      <c r="AC1363">
        <v>2013</v>
      </c>
      <c r="AE1363" s="2">
        <v>3645.2499999999995</v>
      </c>
    </row>
    <row r="1364" spans="2:31" ht="14.5">
      <c r="B1364" s="2">
        <v>84838</v>
      </c>
      <c r="C1364" s="2" t="s">
        <v>2859</v>
      </c>
      <c r="D1364" s="2" t="s">
        <v>2860</v>
      </c>
      <c r="E1364" s="2" t="s">
        <v>2817</v>
      </c>
      <c r="F1364" s="2" t="s">
        <v>29</v>
      </c>
      <c r="G1364" s="2" t="s">
        <v>30</v>
      </c>
      <c r="H1364" s="2" t="s">
        <v>218</v>
      </c>
      <c r="I1364" s="2" t="s">
        <v>219</v>
      </c>
      <c r="J1364" s="2" t="s">
        <v>220</v>
      </c>
      <c r="K1364" s="2" t="s">
        <v>267</v>
      </c>
      <c r="L1364" s="3"/>
      <c r="M1364" s="3">
        <v>41512</v>
      </c>
      <c r="N1364" s="3">
        <v>41512</v>
      </c>
      <c r="O1364" s="3">
        <v>41512</v>
      </c>
      <c r="P1364" s="2" t="s">
        <v>35</v>
      </c>
      <c r="Q1364" s="2" t="s">
        <v>36</v>
      </c>
      <c r="R1364" s="2" t="s">
        <v>37</v>
      </c>
      <c r="S1364" s="2" t="s">
        <v>38</v>
      </c>
      <c r="T1364" s="2" t="s">
        <v>39</v>
      </c>
      <c r="U1364" s="2">
        <v>60</v>
      </c>
      <c r="V1364" s="2">
        <v>225</v>
      </c>
      <c r="W1364" s="2">
        <v>508.5</v>
      </c>
      <c r="X1364" s="2">
        <v>2.2599999999999998</v>
      </c>
      <c r="Y1364" s="2">
        <v>0.04</v>
      </c>
      <c r="Z1364" s="2">
        <v>81</v>
      </c>
      <c r="AA1364" s="2">
        <v>1641</v>
      </c>
      <c r="AB1364">
        <v>1</v>
      </c>
      <c r="AC1364">
        <v>2013</v>
      </c>
      <c r="AE1364" s="2">
        <v>9</v>
      </c>
    </row>
    <row r="1365" spans="2:31" ht="14.5">
      <c r="B1365" s="2">
        <v>84839</v>
      </c>
      <c r="C1365" s="2" t="s">
        <v>2390</v>
      </c>
      <c r="D1365" s="2" t="s">
        <v>2391</v>
      </c>
      <c r="E1365" s="2" t="s">
        <v>1581</v>
      </c>
      <c r="F1365" s="2" t="s">
        <v>29</v>
      </c>
      <c r="G1365" s="2" t="s">
        <v>30</v>
      </c>
      <c r="H1365" s="2" t="s">
        <v>218</v>
      </c>
      <c r="I1365" s="2" t="s">
        <v>219</v>
      </c>
      <c r="J1365" s="2" t="s">
        <v>220</v>
      </c>
      <c r="K1365" s="2" t="s">
        <v>34</v>
      </c>
      <c r="L1365" s="3"/>
      <c r="M1365" s="3">
        <v>41502</v>
      </c>
      <c r="N1365" s="3">
        <v>41508</v>
      </c>
      <c r="O1365" s="3">
        <v>41508</v>
      </c>
      <c r="P1365" s="2" t="s">
        <v>112</v>
      </c>
      <c r="Q1365" s="2" t="s">
        <v>113</v>
      </c>
      <c r="R1365" s="2" t="s">
        <v>37</v>
      </c>
      <c r="S1365" s="2" t="s">
        <v>114</v>
      </c>
      <c r="T1365" s="2" t="s">
        <v>47</v>
      </c>
      <c r="U1365" s="2">
        <v>60</v>
      </c>
      <c r="V1365" s="2">
        <v>960</v>
      </c>
      <c r="W1365" s="2">
        <v>7958.4</v>
      </c>
      <c r="X1365" s="2">
        <v>8.2899999999999991</v>
      </c>
      <c r="Y1365" s="2">
        <v>0.14000000000000001</v>
      </c>
      <c r="Z1365" s="2">
        <v>111</v>
      </c>
      <c r="AA1365" s="2">
        <v>1047.3399999999999</v>
      </c>
      <c r="AB1365">
        <v>0</v>
      </c>
      <c r="AC1365">
        <v>2013</v>
      </c>
      <c r="AE1365" s="2">
        <v>134.4</v>
      </c>
    </row>
    <row r="1366" spans="2:31" ht="14.5">
      <c r="B1366" s="2">
        <v>84841</v>
      </c>
      <c r="C1366" s="2" t="s">
        <v>2073</v>
      </c>
      <c r="D1366" s="2" t="s">
        <v>2074</v>
      </c>
      <c r="E1366" s="2" t="s">
        <v>118</v>
      </c>
      <c r="F1366" s="2" t="s">
        <v>29</v>
      </c>
      <c r="G1366" s="2" t="s">
        <v>30</v>
      </c>
      <c r="H1366" s="2" t="s">
        <v>218</v>
      </c>
      <c r="I1366" s="2" t="s">
        <v>219</v>
      </c>
      <c r="J1366" s="2" t="s">
        <v>220</v>
      </c>
      <c r="K1366" s="2" t="s">
        <v>34</v>
      </c>
      <c r="L1366" s="3"/>
      <c r="M1366" s="3">
        <v>41515</v>
      </c>
      <c r="N1366" s="3">
        <v>41530</v>
      </c>
      <c r="O1366" s="3">
        <v>41530</v>
      </c>
      <c r="P1366" s="2" t="s">
        <v>150</v>
      </c>
      <c r="Q1366" s="2" t="s">
        <v>84</v>
      </c>
      <c r="R1366" s="2" t="s">
        <v>151</v>
      </c>
      <c r="S1366" s="2" t="s">
        <v>152</v>
      </c>
      <c r="T1366" s="2" t="s">
        <v>39</v>
      </c>
      <c r="U1366" s="2">
        <v>120</v>
      </c>
      <c r="V1366" s="2">
        <v>12022</v>
      </c>
      <c r="W1366" s="2">
        <v>243084.84</v>
      </c>
      <c r="X1366" s="2">
        <v>20.22</v>
      </c>
      <c r="Y1366" s="2">
        <v>0.17</v>
      </c>
      <c r="AB1366">
        <v>0</v>
      </c>
      <c r="AC1366">
        <v>2013</v>
      </c>
      <c r="AE1366" s="2">
        <v>2043.7400000000002</v>
      </c>
    </row>
    <row r="1367" spans="2:31" ht="14.5">
      <c r="B1367" s="2">
        <v>84846</v>
      </c>
      <c r="C1367" s="2" t="s">
        <v>1865</v>
      </c>
      <c r="D1367" s="2" t="s">
        <v>1866</v>
      </c>
      <c r="E1367" s="2" t="s">
        <v>28</v>
      </c>
      <c r="F1367" s="2" t="s">
        <v>29</v>
      </c>
      <c r="G1367" s="2" t="s">
        <v>30</v>
      </c>
      <c r="H1367" s="2" t="s">
        <v>218</v>
      </c>
      <c r="I1367" s="2" t="s">
        <v>219</v>
      </c>
      <c r="J1367" s="2" t="s">
        <v>220</v>
      </c>
      <c r="K1367" s="2" t="s">
        <v>267</v>
      </c>
      <c r="L1367" s="3"/>
      <c r="M1367" s="3">
        <v>41562</v>
      </c>
      <c r="N1367" s="3">
        <v>41527</v>
      </c>
      <c r="O1367" s="3">
        <v>41527</v>
      </c>
      <c r="P1367" s="2" t="s">
        <v>1457</v>
      </c>
      <c r="Q1367" s="2" t="s">
        <v>236</v>
      </c>
      <c r="R1367" s="2" t="s">
        <v>37</v>
      </c>
      <c r="S1367" s="2" t="s">
        <v>1458</v>
      </c>
      <c r="T1367" s="2" t="s">
        <v>47</v>
      </c>
      <c r="U1367" s="2">
        <v>30</v>
      </c>
      <c r="V1367" s="2">
        <v>19086</v>
      </c>
      <c r="W1367" s="2">
        <v>112034.82</v>
      </c>
      <c r="X1367" s="2">
        <v>5.87</v>
      </c>
      <c r="Y1367" s="2">
        <v>0.2</v>
      </c>
      <c r="AB1367">
        <v>1</v>
      </c>
      <c r="AC1367">
        <v>2013</v>
      </c>
      <c r="AE1367" s="2">
        <v>3817.2000000000003</v>
      </c>
    </row>
    <row r="1368" spans="2:31" ht="14.5">
      <c r="B1368" s="2">
        <v>84847</v>
      </c>
      <c r="C1368" s="2" t="s">
        <v>1865</v>
      </c>
      <c r="D1368" s="2" t="s">
        <v>1866</v>
      </c>
      <c r="E1368" s="2" t="s">
        <v>28</v>
      </c>
      <c r="F1368" s="2" t="s">
        <v>29</v>
      </c>
      <c r="G1368" s="2" t="s">
        <v>30</v>
      </c>
      <c r="H1368" s="2" t="s">
        <v>218</v>
      </c>
      <c r="I1368" s="2" t="s">
        <v>219</v>
      </c>
      <c r="J1368" s="2" t="s">
        <v>220</v>
      </c>
      <c r="K1368" s="2" t="s">
        <v>267</v>
      </c>
      <c r="L1368" s="3"/>
      <c r="M1368" s="3">
        <v>41562</v>
      </c>
      <c r="N1368" s="3">
        <v>41527</v>
      </c>
      <c r="O1368" s="3">
        <v>41527</v>
      </c>
      <c r="P1368" s="2" t="s">
        <v>98</v>
      </c>
      <c r="Q1368" s="2" t="s">
        <v>99</v>
      </c>
      <c r="R1368" s="2" t="s">
        <v>37</v>
      </c>
      <c r="S1368" s="2" t="s">
        <v>100</v>
      </c>
      <c r="T1368" s="2" t="s">
        <v>39</v>
      </c>
      <c r="U1368" s="2">
        <v>60</v>
      </c>
      <c r="V1368" s="2">
        <v>3342</v>
      </c>
      <c r="W1368" s="2">
        <v>38299.32</v>
      </c>
      <c r="X1368" s="2">
        <v>11.46</v>
      </c>
      <c r="Y1368" s="2">
        <v>0.19</v>
      </c>
      <c r="AB1368">
        <v>1</v>
      </c>
      <c r="AC1368">
        <v>2013</v>
      </c>
      <c r="AE1368" s="2">
        <v>634.98</v>
      </c>
    </row>
    <row r="1369" spans="2:31" ht="14.5">
      <c r="B1369" s="2">
        <v>84848</v>
      </c>
      <c r="C1369" s="2" t="s">
        <v>1867</v>
      </c>
      <c r="D1369" s="2" t="s">
        <v>1868</v>
      </c>
      <c r="E1369" s="2" t="s">
        <v>118</v>
      </c>
      <c r="F1369" s="2" t="s">
        <v>29</v>
      </c>
      <c r="G1369" s="2" t="s">
        <v>30</v>
      </c>
      <c r="H1369" s="2" t="s">
        <v>218</v>
      </c>
      <c r="I1369" s="2" t="s">
        <v>219</v>
      </c>
      <c r="J1369" s="2" t="s">
        <v>220</v>
      </c>
      <c r="K1369" s="2" t="s">
        <v>267</v>
      </c>
      <c r="L1369" s="3"/>
      <c r="M1369" s="3">
        <v>41529</v>
      </c>
      <c r="N1369" s="3">
        <v>41563</v>
      </c>
      <c r="O1369" s="3">
        <v>41576</v>
      </c>
      <c r="P1369" s="2" t="s">
        <v>98</v>
      </c>
      <c r="Q1369" s="2" t="s">
        <v>99</v>
      </c>
      <c r="R1369" s="2" t="s">
        <v>37</v>
      </c>
      <c r="S1369" s="2" t="s">
        <v>100</v>
      </c>
      <c r="T1369" s="2" t="s">
        <v>39</v>
      </c>
      <c r="U1369" s="2">
        <v>60</v>
      </c>
      <c r="V1369" s="2">
        <v>2880</v>
      </c>
      <c r="W1369" s="2">
        <v>33004.800000000003</v>
      </c>
      <c r="X1369" s="2">
        <v>11.46</v>
      </c>
      <c r="Y1369" s="2">
        <v>0.19</v>
      </c>
      <c r="AB1369">
        <v>0</v>
      </c>
      <c r="AC1369">
        <v>2013</v>
      </c>
      <c r="AE1369" s="2">
        <v>547.20000000000005</v>
      </c>
    </row>
    <row r="1370" spans="2:31" ht="14.5">
      <c r="B1370" s="2">
        <v>84850</v>
      </c>
      <c r="C1370" s="2" t="s">
        <v>1871</v>
      </c>
      <c r="D1370" s="2" t="s">
        <v>1872</v>
      </c>
      <c r="E1370" s="2" t="s">
        <v>28</v>
      </c>
      <c r="F1370" s="2" t="s">
        <v>29</v>
      </c>
      <c r="G1370" s="2" t="s">
        <v>50</v>
      </c>
      <c r="H1370" s="2" t="s">
        <v>218</v>
      </c>
      <c r="I1370" s="2" t="s">
        <v>219</v>
      </c>
      <c r="J1370" s="2" t="s">
        <v>220</v>
      </c>
      <c r="K1370" s="2" t="s">
        <v>267</v>
      </c>
      <c r="L1370" s="3"/>
      <c r="M1370" s="3">
        <v>41578</v>
      </c>
      <c r="N1370" s="3">
        <v>41544</v>
      </c>
      <c r="O1370" s="3">
        <v>41544</v>
      </c>
      <c r="P1370" s="2" t="s">
        <v>842</v>
      </c>
      <c r="Q1370" s="2" t="s">
        <v>113</v>
      </c>
      <c r="R1370" s="2" t="s">
        <v>37</v>
      </c>
      <c r="S1370" s="2" t="s">
        <v>843</v>
      </c>
      <c r="T1370" s="2" t="s">
        <v>729</v>
      </c>
      <c r="U1370" s="2">
        <v>60</v>
      </c>
      <c r="V1370" s="2">
        <v>80322</v>
      </c>
      <c r="W1370" s="2">
        <v>312452.58</v>
      </c>
      <c r="X1370" s="2">
        <v>3.89</v>
      </c>
      <c r="Y1370" s="2">
        <v>0.06</v>
      </c>
      <c r="AB1370">
        <v>1</v>
      </c>
      <c r="AC1370">
        <v>2013</v>
      </c>
      <c r="AE1370" s="2">
        <v>4819.32</v>
      </c>
    </row>
    <row r="1371" spans="2:31" ht="14.5">
      <c r="B1371" s="2">
        <v>84860</v>
      </c>
      <c r="C1371" s="2" t="s">
        <v>2392</v>
      </c>
      <c r="D1371" s="2" t="s">
        <v>2393</v>
      </c>
      <c r="E1371" s="2" t="s">
        <v>28</v>
      </c>
      <c r="F1371" s="2" t="s">
        <v>29</v>
      </c>
      <c r="G1371" s="2" t="s">
        <v>50</v>
      </c>
      <c r="H1371" s="2" t="s">
        <v>218</v>
      </c>
      <c r="I1371" s="2" t="s">
        <v>219</v>
      </c>
      <c r="J1371" s="2" t="s">
        <v>220</v>
      </c>
      <c r="K1371" s="2" t="s">
        <v>267</v>
      </c>
      <c r="L1371" s="3"/>
      <c r="M1371" s="3">
        <v>41575</v>
      </c>
      <c r="N1371" s="3">
        <v>41579</v>
      </c>
      <c r="O1371" s="3">
        <v>41584</v>
      </c>
      <c r="P1371" s="2" t="s">
        <v>802</v>
      </c>
      <c r="Q1371" s="2" t="s">
        <v>96</v>
      </c>
      <c r="R1371" s="2" t="s">
        <v>37</v>
      </c>
      <c r="S1371" s="2" t="s">
        <v>38</v>
      </c>
      <c r="T1371" s="2" t="s">
        <v>39</v>
      </c>
      <c r="U1371" s="2">
        <v>90</v>
      </c>
      <c r="V1371" s="2">
        <v>5117</v>
      </c>
      <c r="W1371" s="2">
        <v>47588.1</v>
      </c>
      <c r="X1371" s="2">
        <v>9.3000000000000007</v>
      </c>
      <c r="Y1371" s="2">
        <v>0.1</v>
      </c>
      <c r="Z1371" s="2">
        <v>333</v>
      </c>
      <c r="AA1371" s="2">
        <v>1956</v>
      </c>
      <c r="AB1371">
        <v>0</v>
      </c>
      <c r="AC1371">
        <v>2013</v>
      </c>
      <c r="AE1371" s="2">
        <v>511.70000000000005</v>
      </c>
    </row>
    <row r="1372" spans="2:31" ht="14.5">
      <c r="B1372" s="2">
        <v>84868</v>
      </c>
      <c r="C1372" s="2" t="s">
        <v>1654</v>
      </c>
      <c r="D1372" s="2" t="s">
        <v>1655</v>
      </c>
      <c r="E1372" s="2" t="s">
        <v>42</v>
      </c>
      <c r="F1372" s="2" t="s">
        <v>29</v>
      </c>
      <c r="G1372" s="2" t="s">
        <v>50</v>
      </c>
      <c r="H1372" s="2" t="s">
        <v>218</v>
      </c>
      <c r="I1372" s="2" t="s">
        <v>219</v>
      </c>
      <c r="J1372" s="2" t="s">
        <v>220</v>
      </c>
      <c r="K1372" s="2" t="s">
        <v>267</v>
      </c>
      <c r="L1372" s="3"/>
      <c r="M1372" s="3">
        <v>41670</v>
      </c>
      <c r="N1372" s="3">
        <v>41631</v>
      </c>
      <c r="O1372" s="3">
        <v>41656</v>
      </c>
      <c r="P1372" s="2" t="s">
        <v>1564</v>
      </c>
      <c r="Q1372" s="2" t="s">
        <v>99</v>
      </c>
      <c r="R1372" s="2" t="s">
        <v>37</v>
      </c>
      <c r="S1372" s="2" t="s">
        <v>172</v>
      </c>
      <c r="T1372" s="2" t="s">
        <v>87</v>
      </c>
      <c r="U1372" s="2">
        <v>240</v>
      </c>
      <c r="V1372" s="2">
        <v>6816</v>
      </c>
      <c r="W1372" s="2">
        <v>58004.160000000003</v>
      </c>
      <c r="X1372" s="2">
        <v>8.51</v>
      </c>
      <c r="Y1372" s="2">
        <v>0.04</v>
      </c>
      <c r="AB1372">
        <v>1</v>
      </c>
      <c r="AC1372">
        <v>2014</v>
      </c>
      <c r="AE1372" s="2">
        <v>272.64</v>
      </c>
    </row>
    <row r="1373" spans="2:31" ht="14.5">
      <c r="B1373" s="2">
        <v>84873</v>
      </c>
      <c r="C1373" s="2" t="s">
        <v>2394</v>
      </c>
      <c r="D1373" s="2" t="s">
        <v>2395</v>
      </c>
      <c r="E1373" s="2" t="s">
        <v>42</v>
      </c>
      <c r="F1373" s="2" t="s">
        <v>29</v>
      </c>
      <c r="G1373" s="2" t="s">
        <v>30</v>
      </c>
      <c r="H1373" s="2" t="s">
        <v>218</v>
      </c>
      <c r="I1373" s="2" t="s">
        <v>219</v>
      </c>
      <c r="J1373" s="2" t="s">
        <v>220</v>
      </c>
      <c r="K1373" s="2" t="s">
        <v>267</v>
      </c>
      <c r="L1373" s="3"/>
      <c r="M1373" s="3">
        <v>41656</v>
      </c>
      <c r="N1373" s="3">
        <v>41656</v>
      </c>
      <c r="O1373" s="3">
        <v>41666</v>
      </c>
      <c r="P1373" s="2" t="s">
        <v>754</v>
      </c>
      <c r="Q1373" s="2" t="s">
        <v>755</v>
      </c>
      <c r="R1373" s="2" t="s">
        <v>37</v>
      </c>
      <c r="S1373" s="2" t="s">
        <v>756</v>
      </c>
      <c r="T1373" s="2" t="s">
        <v>47</v>
      </c>
      <c r="U1373" s="2">
        <v>30</v>
      </c>
      <c r="V1373" s="2">
        <v>64500</v>
      </c>
      <c r="W1373" s="2">
        <v>719175</v>
      </c>
      <c r="X1373" s="2">
        <v>11.15</v>
      </c>
      <c r="Y1373" s="2">
        <v>0.37</v>
      </c>
      <c r="Z1373" s="2">
        <v>7248</v>
      </c>
      <c r="AA1373" s="2">
        <v>11571.94</v>
      </c>
      <c r="AB1373">
        <v>1</v>
      </c>
      <c r="AC1373">
        <v>2014</v>
      </c>
      <c r="AE1373" s="2">
        <v>23865</v>
      </c>
    </row>
    <row r="1374" spans="2:31" ht="14.5">
      <c r="B1374" s="2">
        <v>84874</v>
      </c>
      <c r="C1374" s="2" t="s">
        <v>1885</v>
      </c>
      <c r="D1374" s="2" t="s">
        <v>1886</v>
      </c>
      <c r="E1374" s="2" t="s">
        <v>28</v>
      </c>
      <c r="F1374" s="2" t="s">
        <v>29</v>
      </c>
      <c r="G1374" s="2" t="s">
        <v>50</v>
      </c>
      <c r="H1374" s="2" t="s">
        <v>218</v>
      </c>
      <c r="I1374" s="2" t="s">
        <v>219</v>
      </c>
      <c r="J1374" s="2" t="s">
        <v>220</v>
      </c>
      <c r="K1374" s="2" t="s">
        <v>267</v>
      </c>
      <c r="L1374" s="3"/>
      <c r="M1374" s="3">
        <v>41639</v>
      </c>
      <c r="N1374" s="3">
        <v>41695</v>
      </c>
      <c r="O1374" s="3">
        <v>41711</v>
      </c>
      <c r="P1374" s="2" t="s">
        <v>1632</v>
      </c>
      <c r="Q1374" s="2" t="s">
        <v>140</v>
      </c>
      <c r="R1374" s="2" t="s">
        <v>37</v>
      </c>
      <c r="S1374" s="2" t="s">
        <v>1633</v>
      </c>
      <c r="T1374" s="2" t="s">
        <v>729</v>
      </c>
      <c r="U1374" s="2">
        <v>60</v>
      </c>
      <c r="V1374" s="2">
        <v>9301</v>
      </c>
      <c r="W1374" s="2">
        <v>21392.3</v>
      </c>
      <c r="X1374" s="2">
        <v>2.2999999999999998</v>
      </c>
      <c r="Y1374" s="2">
        <v>0.04</v>
      </c>
      <c r="AB1374">
        <v>0</v>
      </c>
      <c r="AC1374">
        <v>2014</v>
      </c>
      <c r="AE1374" s="2">
        <v>372.04</v>
      </c>
    </row>
    <row r="1375" spans="2:31" ht="14.5">
      <c r="B1375" s="2">
        <v>84875</v>
      </c>
      <c r="C1375" s="2" t="s">
        <v>1885</v>
      </c>
      <c r="D1375" s="2" t="s">
        <v>1886</v>
      </c>
      <c r="E1375" s="2" t="s">
        <v>28</v>
      </c>
      <c r="F1375" s="2" t="s">
        <v>29</v>
      </c>
      <c r="G1375" s="2" t="s">
        <v>50</v>
      </c>
      <c r="H1375" s="2" t="s">
        <v>218</v>
      </c>
      <c r="I1375" s="2" t="s">
        <v>219</v>
      </c>
      <c r="J1375" s="2" t="s">
        <v>220</v>
      </c>
      <c r="K1375" s="2" t="s">
        <v>267</v>
      </c>
      <c r="L1375" s="3"/>
      <c r="M1375" s="3">
        <v>41639</v>
      </c>
      <c r="N1375" s="3">
        <v>41695</v>
      </c>
      <c r="O1375" s="3">
        <v>41711</v>
      </c>
      <c r="P1375" s="2" t="s">
        <v>2037</v>
      </c>
      <c r="Q1375" s="2" t="s">
        <v>140</v>
      </c>
      <c r="R1375" s="2" t="s">
        <v>37</v>
      </c>
      <c r="S1375" s="2" t="s">
        <v>2038</v>
      </c>
      <c r="T1375" s="2" t="s">
        <v>729</v>
      </c>
      <c r="U1375" s="2">
        <v>60</v>
      </c>
      <c r="V1375" s="2">
        <v>7894</v>
      </c>
      <c r="W1375" s="2">
        <v>33944.199999999997</v>
      </c>
      <c r="X1375" s="2">
        <v>4.3</v>
      </c>
      <c r="Y1375" s="2">
        <v>7.0000000000000007E-2</v>
      </c>
      <c r="AB1375">
        <v>0</v>
      </c>
      <c r="AC1375">
        <v>2014</v>
      </c>
      <c r="AE1375" s="2">
        <v>552.58000000000004</v>
      </c>
    </row>
    <row r="1376" spans="2:31" ht="14.5">
      <c r="B1376" s="2">
        <v>84877</v>
      </c>
      <c r="C1376" s="2" t="s">
        <v>2262</v>
      </c>
      <c r="D1376" s="2" t="s">
        <v>2263</v>
      </c>
      <c r="E1376" s="2" t="s">
        <v>1581</v>
      </c>
      <c r="F1376" s="2" t="s">
        <v>29</v>
      </c>
      <c r="G1376" s="2" t="s">
        <v>30</v>
      </c>
      <c r="H1376" s="2" t="s">
        <v>218</v>
      </c>
      <c r="I1376" s="2" t="s">
        <v>219</v>
      </c>
      <c r="J1376" s="2" t="s">
        <v>220</v>
      </c>
      <c r="K1376" s="2" t="s">
        <v>34</v>
      </c>
      <c r="L1376" s="3"/>
      <c r="M1376" s="3">
        <v>41593</v>
      </c>
      <c r="N1376" s="3">
        <v>41600</v>
      </c>
      <c r="O1376" s="3">
        <v>41660</v>
      </c>
      <c r="P1376" s="2" t="s">
        <v>759</v>
      </c>
      <c r="Q1376" s="2" t="s">
        <v>84</v>
      </c>
      <c r="R1376" s="2" t="s">
        <v>37</v>
      </c>
      <c r="S1376" s="2" t="s">
        <v>152</v>
      </c>
      <c r="T1376" s="2" t="s">
        <v>39</v>
      </c>
      <c r="U1376" s="2">
        <v>120</v>
      </c>
      <c r="V1376" s="2">
        <v>27</v>
      </c>
      <c r="W1376" s="2">
        <v>567</v>
      </c>
      <c r="X1376" s="2">
        <v>21</v>
      </c>
      <c r="Y1376" s="2">
        <v>0.18</v>
      </c>
      <c r="AB1376">
        <v>0</v>
      </c>
      <c r="AC1376">
        <v>2014</v>
      </c>
      <c r="AE1376" s="2">
        <v>4.8599999999999994</v>
      </c>
    </row>
    <row r="1377" spans="2:31" ht="14.5">
      <c r="B1377" s="2">
        <v>84889</v>
      </c>
      <c r="C1377" s="2" t="s">
        <v>2396</v>
      </c>
      <c r="D1377" s="2" t="s">
        <v>2397</v>
      </c>
      <c r="E1377" s="2" t="s">
        <v>28</v>
      </c>
      <c r="F1377" s="2" t="s">
        <v>29</v>
      </c>
      <c r="G1377" s="2" t="s">
        <v>50</v>
      </c>
      <c r="H1377" s="2" t="s">
        <v>218</v>
      </c>
      <c r="I1377" s="2" t="s">
        <v>219</v>
      </c>
      <c r="J1377" s="2" t="s">
        <v>220</v>
      </c>
      <c r="K1377" s="2" t="s">
        <v>267</v>
      </c>
      <c r="L1377" s="3"/>
      <c r="M1377" s="3">
        <v>41788</v>
      </c>
      <c r="N1377" s="3">
        <v>41766</v>
      </c>
      <c r="O1377" s="3">
        <v>41803</v>
      </c>
      <c r="P1377" s="2" t="s">
        <v>1917</v>
      </c>
      <c r="Q1377" s="2" t="s">
        <v>1000</v>
      </c>
      <c r="R1377" s="2" t="s">
        <v>37</v>
      </c>
      <c r="S1377" s="2" t="s">
        <v>1665</v>
      </c>
      <c r="T1377" s="2" t="s">
        <v>729</v>
      </c>
      <c r="U1377" s="2">
        <v>60</v>
      </c>
      <c r="V1377" s="2">
        <v>25000</v>
      </c>
      <c r="W1377" s="2">
        <v>157500</v>
      </c>
      <c r="X1377" s="2">
        <v>6.3</v>
      </c>
      <c r="Y1377" s="2">
        <v>0.1</v>
      </c>
      <c r="Z1377" s="2">
        <v>2266</v>
      </c>
      <c r="AA1377" s="2">
        <v>2352.52</v>
      </c>
      <c r="AB1377">
        <v>1</v>
      </c>
      <c r="AC1377">
        <v>2014</v>
      </c>
      <c r="AE1377" s="2">
        <v>2500</v>
      </c>
    </row>
    <row r="1378" spans="2:31" ht="14.5">
      <c r="B1378" s="2">
        <v>84890</v>
      </c>
      <c r="C1378" s="2" t="s">
        <v>2398</v>
      </c>
      <c r="D1378" s="2" t="s">
        <v>2399</v>
      </c>
      <c r="E1378" s="2" t="s">
        <v>28</v>
      </c>
      <c r="F1378" s="2" t="s">
        <v>29</v>
      </c>
      <c r="G1378" s="2" t="s">
        <v>30</v>
      </c>
      <c r="H1378" s="2" t="s">
        <v>218</v>
      </c>
      <c r="I1378" s="2" t="s">
        <v>219</v>
      </c>
      <c r="J1378" s="2" t="s">
        <v>220</v>
      </c>
      <c r="K1378" s="2" t="s">
        <v>267</v>
      </c>
      <c r="L1378" s="3"/>
      <c r="M1378" s="3">
        <v>41684</v>
      </c>
      <c r="N1378" s="3">
        <v>41691</v>
      </c>
      <c r="O1378" s="3">
        <v>41705</v>
      </c>
      <c r="P1378" s="2" t="s">
        <v>98</v>
      </c>
      <c r="Q1378" s="2" t="s">
        <v>99</v>
      </c>
      <c r="R1378" s="2" t="s">
        <v>37</v>
      </c>
      <c r="S1378" s="2" t="s">
        <v>100</v>
      </c>
      <c r="T1378" s="2" t="s">
        <v>39</v>
      </c>
      <c r="U1378" s="2">
        <v>60</v>
      </c>
      <c r="V1378" s="2">
        <v>16357</v>
      </c>
      <c r="W1378" s="2">
        <v>185815.52</v>
      </c>
      <c r="X1378" s="2">
        <v>11.36</v>
      </c>
      <c r="Y1378" s="2">
        <v>0.19</v>
      </c>
      <c r="Z1378" s="2">
        <v>1635</v>
      </c>
      <c r="AA1378" s="2">
        <v>6007.2</v>
      </c>
      <c r="AB1378">
        <v>0</v>
      </c>
      <c r="AC1378">
        <v>2014</v>
      </c>
      <c r="AE1378" s="2">
        <v>3107.83</v>
      </c>
    </row>
    <row r="1379" spans="2:31" ht="14.5">
      <c r="B1379" s="2">
        <v>84891</v>
      </c>
      <c r="C1379" s="2" t="s">
        <v>2400</v>
      </c>
      <c r="D1379" s="2" t="s">
        <v>2401</v>
      </c>
      <c r="E1379" s="2" t="s">
        <v>118</v>
      </c>
      <c r="F1379" s="2" t="s">
        <v>29</v>
      </c>
      <c r="G1379" s="2" t="s">
        <v>30</v>
      </c>
      <c r="H1379" s="2" t="s">
        <v>218</v>
      </c>
      <c r="I1379" s="2" t="s">
        <v>219</v>
      </c>
      <c r="J1379" s="2" t="s">
        <v>220</v>
      </c>
      <c r="K1379" s="2" t="s">
        <v>267</v>
      </c>
      <c r="L1379" s="3"/>
      <c r="M1379" s="3">
        <v>41670</v>
      </c>
      <c r="N1379" s="3">
        <v>41717</v>
      </c>
      <c r="O1379" s="3">
        <v>41718</v>
      </c>
      <c r="P1379" s="2" t="s">
        <v>706</v>
      </c>
      <c r="Q1379" s="2" t="s">
        <v>707</v>
      </c>
      <c r="R1379" s="2" t="s">
        <v>37</v>
      </c>
      <c r="S1379" s="2" t="s">
        <v>708</v>
      </c>
      <c r="T1379" s="2" t="s">
        <v>47</v>
      </c>
      <c r="U1379" s="2">
        <v>30</v>
      </c>
      <c r="V1379" s="2">
        <v>52800</v>
      </c>
      <c r="W1379" s="2">
        <v>248160</v>
      </c>
      <c r="X1379" s="2">
        <v>4.7</v>
      </c>
      <c r="Y1379" s="2">
        <v>0.16</v>
      </c>
      <c r="Z1379" s="2">
        <v>5412</v>
      </c>
      <c r="AA1379" s="2">
        <v>6951.84</v>
      </c>
      <c r="AB1379">
        <v>0</v>
      </c>
      <c r="AC1379">
        <v>2014</v>
      </c>
      <c r="AE1379" s="2">
        <v>8448</v>
      </c>
    </row>
    <row r="1380" spans="2:31" ht="14.5">
      <c r="B1380" s="2">
        <v>84905</v>
      </c>
      <c r="C1380" s="2" t="s">
        <v>2841</v>
      </c>
      <c r="D1380" s="2" t="s">
        <v>2842</v>
      </c>
      <c r="E1380" s="2" t="s">
        <v>2817</v>
      </c>
      <c r="F1380" s="2" t="s">
        <v>29</v>
      </c>
      <c r="G1380" s="2" t="s">
        <v>30</v>
      </c>
      <c r="H1380" s="2" t="s">
        <v>218</v>
      </c>
      <c r="I1380" s="2" t="s">
        <v>219</v>
      </c>
      <c r="J1380" s="2" t="s">
        <v>220</v>
      </c>
      <c r="K1380" s="2" t="s">
        <v>34</v>
      </c>
      <c r="L1380" s="3"/>
      <c r="M1380" s="3">
        <v>41729</v>
      </c>
      <c r="N1380" s="3">
        <v>41719</v>
      </c>
      <c r="O1380" s="3">
        <v>41724</v>
      </c>
      <c r="P1380" s="2" t="s">
        <v>44</v>
      </c>
      <c r="Q1380" s="2" t="s">
        <v>45</v>
      </c>
      <c r="R1380" s="2" t="s">
        <v>37</v>
      </c>
      <c r="S1380" s="2" t="s">
        <v>46</v>
      </c>
      <c r="T1380" s="2" t="s">
        <v>47</v>
      </c>
      <c r="U1380" s="2">
        <v>60</v>
      </c>
      <c r="V1380" s="2">
        <v>1702</v>
      </c>
      <c r="W1380" s="2">
        <v>11454.46</v>
      </c>
      <c r="X1380" s="2">
        <v>6.73</v>
      </c>
      <c r="Y1380" s="2">
        <v>0.11</v>
      </c>
      <c r="AB1380">
        <v>1</v>
      </c>
      <c r="AC1380">
        <v>2014</v>
      </c>
      <c r="AE1380" s="2">
        <v>187.22</v>
      </c>
    </row>
    <row r="1381" spans="2:31" ht="14.5">
      <c r="B1381" s="2">
        <v>84909</v>
      </c>
      <c r="C1381" s="2" t="s">
        <v>1670</v>
      </c>
      <c r="D1381" s="2" t="s">
        <v>1671</v>
      </c>
      <c r="E1381" s="2" t="s">
        <v>118</v>
      </c>
      <c r="F1381" s="2" t="s">
        <v>29</v>
      </c>
      <c r="G1381" s="2" t="s">
        <v>30</v>
      </c>
      <c r="H1381" s="2" t="s">
        <v>218</v>
      </c>
      <c r="I1381" s="2" t="s">
        <v>219</v>
      </c>
      <c r="J1381" s="2" t="s">
        <v>220</v>
      </c>
      <c r="K1381" s="2" t="s">
        <v>267</v>
      </c>
      <c r="L1381" s="3"/>
      <c r="M1381" s="3">
        <v>41749</v>
      </c>
      <c r="N1381" s="3">
        <v>41747</v>
      </c>
      <c r="O1381" s="3">
        <v>41757</v>
      </c>
      <c r="P1381" s="2" t="s">
        <v>44</v>
      </c>
      <c r="Q1381" s="2" t="s">
        <v>45</v>
      </c>
      <c r="R1381" s="2" t="s">
        <v>37</v>
      </c>
      <c r="S1381" s="2" t="s">
        <v>46</v>
      </c>
      <c r="T1381" s="2" t="s">
        <v>47</v>
      </c>
      <c r="U1381" s="2">
        <v>60</v>
      </c>
      <c r="V1381" s="2">
        <v>3757</v>
      </c>
      <c r="W1381" s="2">
        <v>25284.61</v>
      </c>
      <c r="X1381" s="2">
        <v>6.73</v>
      </c>
      <c r="Y1381" s="2">
        <v>0.11</v>
      </c>
      <c r="AB1381">
        <v>1</v>
      </c>
      <c r="AC1381">
        <v>2014</v>
      </c>
      <c r="AE1381" s="2">
        <v>413.27</v>
      </c>
    </row>
    <row r="1382" spans="2:31" ht="14.5">
      <c r="B1382" s="2">
        <v>84910</v>
      </c>
      <c r="C1382" s="2" t="s">
        <v>2402</v>
      </c>
      <c r="D1382" s="2" t="s">
        <v>2403</v>
      </c>
      <c r="E1382" s="2" t="s">
        <v>28</v>
      </c>
      <c r="F1382" s="2" t="s">
        <v>29</v>
      </c>
      <c r="G1382" s="2" t="s">
        <v>30</v>
      </c>
      <c r="H1382" s="2" t="s">
        <v>218</v>
      </c>
      <c r="I1382" s="2" t="s">
        <v>219</v>
      </c>
      <c r="J1382" s="2" t="s">
        <v>220</v>
      </c>
      <c r="K1382" s="2" t="s">
        <v>267</v>
      </c>
      <c r="L1382" s="3"/>
      <c r="M1382" s="3">
        <v>41774</v>
      </c>
      <c r="N1382" s="3">
        <v>41766</v>
      </c>
      <c r="O1382" s="3">
        <v>41803</v>
      </c>
      <c r="P1382" s="2" t="s">
        <v>759</v>
      </c>
      <c r="Q1382" s="2" t="s">
        <v>84</v>
      </c>
      <c r="R1382" s="2" t="s">
        <v>37</v>
      </c>
      <c r="S1382" s="2" t="s">
        <v>152</v>
      </c>
      <c r="T1382" s="2" t="s">
        <v>39</v>
      </c>
      <c r="U1382" s="2">
        <v>120</v>
      </c>
      <c r="V1382" s="2">
        <v>33086</v>
      </c>
      <c r="W1382" s="2">
        <v>664036.02</v>
      </c>
      <c r="X1382" s="2">
        <v>20.07</v>
      </c>
      <c r="Y1382" s="2">
        <v>0.17</v>
      </c>
      <c r="Z1382" s="2">
        <v>5065</v>
      </c>
      <c r="AA1382" s="2">
        <v>2352.52</v>
      </c>
      <c r="AB1382">
        <v>1</v>
      </c>
      <c r="AC1382">
        <v>2014</v>
      </c>
      <c r="AE1382" s="2">
        <v>5624.6200000000008</v>
      </c>
    </row>
    <row r="1383" spans="2:31" ht="14.5">
      <c r="B1383" s="2">
        <v>84926</v>
      </c>
      <c r="C1383" s="2" t="s">
        <v>2404</v>
      </c>
      <c r="D1383" s="2" t="s">
        <v>2405</v>
      </c>
      <c r="E1383" s="2" t="s">
        <v>42</v>
      </c>
      <c r="F1383" s="2" t="s">
        <v>29</v>
      </c>
      <c r="G1383" s="2" t="s">
        <v>30</v>
      </c>
      <c r="H1383" s="2" t="s">
        <v>218</v>
      </c>
      <c r="I1383" s="2" t="s">
        <v>219</v>
      </c>
      <c r="J1383" s="2" t="s">
        <v>220</v>
      </c>
      <c r="K1383" s="2" t="s">
        <v>267</v>
      </c>
      <c r="L1383" s="3"/>
      <c r="M1383" s="3">
        <v>41806</v>
      </c>
      <c r="N1383" s="3">
        <v>41776</v>
      </c>
      <c r="O1383" s="3">
        <v>41813</v>
      </c>
      <c r="P1383" s="2" t="s">
        <v>754</v>
      </c>
      <c r="Q1383" s="2" t="s">
        <v>755</v>
      </c>
      <c r="R1383" s="2" t="s">
        <v>37</v>
      </c>
      <c r="S1383" s="2" t="s">
        <v>756</v>
      </c>
      <c r="T1383" s="2" t="s">
        <v>47</v>
      </c>
      <c r="U1383" s="2">
        <v>30</v>
      </c>
      <c r="V1383" s="2">
        <v>61123</v>
      </c>
      <c r="W1383" s="2">
        <v>658905.93999999994</v>
      </c>
      <c r="X1383" s="2">
        <v>10.78</v>
      </c>
      <c r="Y1383" s="2">
        <v>0.36</v>
      </c>
      <c r="Z1383" s="2">
        <v>8281</v>
      </c>
      <c r="AA1383" s="2">
        <v>14311</v>
      </c>
      <c r="AB1383">
        <v>1</v>
      </c>
      <c r="AC1383">
        <v>2014</v>
      </c>
      <c r="AE1383" s="2">
        <v>22004.28</v>
      </c>
    </row>
    <row r="1384" spans="2:31" ht="14.5">
      <c r="B1384" s="2">
        <v>84929</v>
      </c>
      <c r="C1384" s="2" t="s">
        <v>2406</v>
      </c>
      <c r="D1384" s="2" t="s">
        <v>2407</v>
      </c>
      <c r="E1384" s="2" t="s">
        <v>42</v>
      </c>
      <c r="F1384" s="2" t="s">
        <v>29</v>
      </c>
      <c r="G1384" s="2" t="s">
        <v>30</v>
      </c>
      <c r="H1384" s="2" t="s">
        <v>218</v>
      </c>
      <c r="I1384" s="2" t="s">
        <v>219</v>
      </c>
      <c r="J1384" s="2" t="s">
        <v>220</v>
      </c>
      <c r="K1384" s="2" t="s">
        <v>267</v>
      </c>
      <c r="L1384" s="3"/>
      <c r="M1384" s="3">
        <v>41789</v>
      </c>
      <c r="N1384" s="3">
        <v>41823</v>
      </c>
      <c r="O1384" s="3">
        <v>41829</v>
      </c>
      <c r="P1384" s="2" t="s">
        <v>35</v>
      </c>
      <c r="Q1384" s="2" t="s">
        <v>36</v>
      </c>
      <c r="R1384" s="2" t="s">
        <v>37</v>
      </c>
      <c r="S1384" s="2" t="s">
        <v>38</v>
      </c>
      <c r="T1384" s="2" t="s">
        <v>39</v>
      </c>
      <c r="U1384" s="2">
        <v>60</v>
      </c>
      <c r="V1384" s="2">
        <v>30666</v>
      </c>
      <c r="W1384" s="2">
        <v>67771.86</v>
      </c>
      <c r="X1384" s="2">
        <v>2.21</v>
      </c>
      <c r="Y1384" s="2">
        <v>0.04</v>
      </c>
      <c r="Z1384" s="2">
        <v>1878</v>
      </c>
      <c r="AA1384" s="2">
        <v>11085.83</v>
      </c>
      <c r="AB1384">
        <v>0</v>
      </c>
      <c r="AC1384">
        <v>2014</v>
      </c>
      <c r="AE1384" s="2">
        <v>1226.6400000000001</v>
      </c>
    </row>
    <row r="1385" spans="2:31" ht="14.5">
      <c r="B1385" s="2">
        <v>84935</v>
      </c>
      <c r="C1385" s="2" t="s">
        <v>2095</v>
      </c>
      <c r="D1385" s="2" t="s">
        <v>2096</v>
      </c>
      <c r="E1385" s="2" t="s">
        <v>1581</v>
      </c>
      <c r="F1385" s="2" t="s">
        <v>29</v>
      </c>
      <c r="G1385" s="2" t="s">
        <v>30</v>
      </c>
      <c r="H1385" s="2" t="s">
        <v>218</v>
      </c>
      <c r="I1385" s="2" t="s">
        <v>219</v>
      </c>
      <c r="J1385" s="2" t="s">
        <v>220</v>
      </c>
      <c r="K1385" s="2" t="s">
        <v>34</v>
      </c>
      <c r="L1385" s="3"/>
      <c r="M1385" s="3">
        <v>41806</v>
      </c>
      <c r="N1385" s="3">
        <v>41794</v>
      </c>
      <c r="O1385" s="3">
        <v>41829</v>
      </c>
      <c r="P1385" s="2" t="s">
        <v>95</v>
      </c>
      <c r="Q1385" s="2" t="s">
        <v>96</v>
      </c>
      <c r="R1385" s="2" t="s">
        <v>37</v>
      </c>
      <c r="S1385" s="2" t="s">
        <v>97</v>
      </c>
      <c r="T1385" s="2" t="s">
        <v>39</v>
      </c>
      <c r="U1385" s="2">
        <v>30</v>
      </c>
      <c r="V1385" s="2">
        <v>573</v>
      </c>
      <c r="W1385" s="2">
        <v>1839.33</v>
      </c>
      <c r="X1385" s="2">
        <v>3.21</v>
      </c>
      <c r="Y1385" s="2">
        <v>0.11</v>
      </c>
      <c r="AB1385">
        <v>1</v>
      </c>
      <c r="AC1385">
        <v>2014</v>
      </c>
      <c r="AE1385" s="2">
        <v>63.03</v>
      </c>
    </row>
    <row r="1386" spans="2:31" ht="14.5">
      <c r="B1386" s="2">
        <v>84940</v>
      </c>
      <c r="C1386" s="2" t="s">
        <v>2408</v>
      </c>
      <c r="D1386" s="2" t="s">
        <v>2409</v>
      </c>
      <c r="E1386" s="2" t="s">
        <v>28</v>
      </c>
      <c r="F1386" s="2" t="s">
        <v>29</v>
      </c>
      <c r="G1386" s="2" t="s">
        <v>30</v>
      </c>
      <c r="H1386" s="2" t="s">
        <v>218</v>
      </c>
      <c r="I1386" s="2" t="s">
        <v>219</v>
      </c>
      <c r="J1386" s="2" t="s">
        <v>220</v>
      </c>
      <c r="K1386" s="2" t="s">
        <v>267</v>
      </c>
      <c r="L1386" s="3"/>
      <c r="M1386" s="3">
        <v>41820</v>
      </c>
      <c r="N1386" s="3">
        <v>41814</v>
      </c>
      <c r="O1386" s="3">
        <v>41821</v>
      </c>
      <c r="P1386" s="2" t="s">
        <v>150</v>
      </c>
      <c r="Q1386" s="2" t="s">
        <v>84</v>
      </c>
      <c r="R1386" s="2" t="s">
        <v>151</v>
      </c>
      <c r="S1386" s="2" t="s">
        <v>152</v>
      </c>
      <c r="T1386" s="2" t="s">
        <v>39</v>
      </c>
      <c r="U1386" s="2">
        <v>120</v>
      </c>
      <c r="V1386" s="2">
        <v>14758</v>
      </c>
      <c r="W1386" s="2">
        <v>278926.2</v>
      </c>
      <c r="X1386" s="2">
        <v>18.899999999999999</v>
      </c>
      <c r="Y1386" s="2">
        <v>0.16</v>
      </c>
      <c r="Z1386" s="2">
        <v>3030</v>
      </c>
      <c r="AA1386" s="2">
        <v>2994.62</v>
      </c>
      <c r="AB1386">
        <v>1</v>
      </c>
      <c r="AC1386">
        <v>2014</v>
      </c>
      <c r="AE1386" s="2">
        <v>2361.2800000000002</v>
      </c>
    </row>
    <row r="1387" spans="2:31" ht="14.5">
      <c r="B1387" s="2">
        <v>84942</v>
      </c>
      <c r="C1387" s="2" t="s">
        <v>1682</v>
      </c>
      <c r="D1387" s="2" t="s">
        <v>1683</v>
      </c>
      <c r="E1387" s="2" t="s">
        <v>28</v>
      </c>
      <c r="F1387" s="2" t="s">
        <v>29</v>
      </c>
      <c r="G1387" s="2" t="s">
        <v>50</v>
      </c>
      <c r="H1387" s="2" t="s">
        <v>218</v>
      </c>
      <c r="I1387" s="2" t="s">
        <v>219</v>
      </c>
      <c r="J1387" s="2" t="s">
        <v>220</v>
      </c>
      <c r="K1387" s="2" t="s">
        <v>34</v>
      </c>
      <c r="L1387" s="3"/>
      <c r="M1387" s="3">
        <v>41851</v>
      </c>
      <c r="N1387" s="3">
        <v>41907</v>
      </c>
      <c r="O1387" s="3">
        <v>41918</v>
      </c>
      <c r="P1387" s="2" t="s">
        <v>818</v>
      </c>
      <c r="Q1387" s="2" t="s">
        <v>36</v>
      </c>
      <c r="R1387" s="2" t="s">
        <v>37</v>
      </c>
      <c r="S1387" s="2" t="s">
        <v>226</v>
      </c>
      <c r="T1387" s="2" t="s">
        <v>526</v>
      </c>
      <c r="U1387" s="2">
        <v>100</v>
      </c>
      <c r="V1387" s="2">
        <v>28464</v>
      </c>
      <c r="W1387" s="2">
        <v>37003.199999999997</v>
      </c>
      <c r="X1387" s="2">
        <v>1.3</v>
      </c>
      <c r="Y1387" s="2">
        <v>0.01</v>
      </c>
      <c r="AB1387">
        <v>0</v>
      </c>
      <c r="AC1387">
        <v>2014</v>
      </c>
      <c r="AE1387" s="2">
        <v>284.64</v>
      </c>
    </row>
    <row r="1388" spans="2:31" ht="14.5">
      <c r="B1388" s="2">
        <v>84956</v>
      </c>
      <c r="C1388" s="2" t="s">
        <v>2834</v>
      </c>
      <c r="D1388" s="2" t="s">
        <v>2835</v>
      </c>
      <c r="E1388" s="2" t="s">
        <v>2817</v>
      </c>
      <c r="F1388" s="2" t="s">
        <v>29</v>
      </c>
      <c r="G1388" s="2" t="s">
        <v>50</v>
      </c>
      <c r="H1388" s="2" t="s">
        <v>218</v>
      </c>
      <c r="I1388" s="2" t="s">
        <v>219</v>
      </c>
      <c r="J1388" s="2" t="s">
        <v>220</v>
      </c>
      <c r="K1388" s="2" t="s">
        <v>34</v>
      </c>
      <c r="L1388" s="3"/>
      <c r="M1388" s="3">
        <v>41883</v>
      </c>
      <c r="N1388" s="3">
        <v>41883</v>
      </c>
      <c r="O1388" s="3">
        <v>41884</v>
      </c>
      <c r="P1388" s="2" t="s">
        <v>1917</v>
      </c>
      <c r="Q1388" s="2" t="s">
        <v>1000</v>
      </c>
      <c r="R1388" s="2" t="s">
        <v>37</v>
      </c>
      <c r="S1388" s="2" t="s">
        <v>1665</v>
      </c>
      <c r="T1388" s="2" t="s">
        <v>729</v>
      </c>
      <c r="U1388" s="2">
        <v>60</v>
      </c>
      <c r="V1388" s="2">
        <v>3274</v>
      </c>
      <c r="W1388" s="2">
        <v>18432.62</v>
      </c>
      <c r="X1388" s="2">
        <v>5.63</v>
      </c>
      <c r="Y1388" s="2">
        <v>0.09</v>
      </c>
      <c r="AB1388">
        <v>1</v>
      </c>
      <c r="AC1388">
        <v>2014</v>
      </c>
      <c r="AE1388" s="2">
        <v>294.65999999999997</v>
      </c>
    </row>
    <row r="1389" spans="2:31" ht="14.5">
      <c r="B1389" s="2">
        <v>84966</v>
      </c>
      <c r="C1389" s="2" t="s">
        <v>2410</v>
      </c>
      <c r="D1389" s="2" t="s">
        <v>2411</v>
      </c>
      <c r="E1389" s="2" t="s">
        <v>42</v>
      </c>
      <c r="F1389" s="2" t="s">
        <v>29</v>
      </c>
      <c r="G1389" s="2" t="s">
        <v>50</v>
      </c>
      <c r="H1389" s="2" t="s">
        <v>218</v>
      </c>
      <c r="I1389" s="2" t="s">
        <v>219</v>
      </c>
      <c r="J1389" s="2" t="s">
        <v>220</v>
      </c>
      <c r="K1389" s="2" t="s">
        <v>34</v>
      </c>
      <c r="L1389" s="3"/>
      <c r="M1389" s="3">
        <v>41850</v>
      </c>
      <c r="N1389" s="3">
        <v>41852</v>
      </c>
      <c r="O1389" s="3">
        <v>41873</v>
      </c>
      <c r="P1389" s="2" t="s">
        <v>842</v>
      </c>
      <c r="Q1389" s="2" t="s">
        <v>113</v>
      </c>
      <c r="R1389" s="2" t="s">
        <v>37</v>
      </c>
      <c r="S1389" s="2" t="s">
        <v>843</v>
      </c>
      <c r="T1389" s="2" t="s">
        <v>729</v>
      </c>
      <c r="U1389" s="2">
        <v>60</v>
      </c>
      <c r="V1389" s="2">
        <v>2274</v>
      </c>
      <c r="W1389" s="2">
        <v>8527.5</v>
      </c>
      <c r="X1389" s="2">
        <v>3.75</v>
      </c>
      <c r="Y1389" s="2">
        <v>0.06</v>
      </c>
      <c r="Z1389" s="2">
        <v>100</v>
      </c>
      <c r="AA1389" s="2">
        <v>1511.4</v>
      </c>
      <c r="AB1389">
        <v>0</v>
      </c>
      <c r="AC1389">
        <v>2014</v>
      </c>
      <c r="AE1389" s="2">
        <v>136.44</v>
      </c>
    </row>
    <row r="1390" spans="2:31" ht="14.5">
      <c r="B1390" s="2">
        <v>84968</v>
      </c>
      <c r="C1390" s="2" t="s">
        <v>2412</v>
      </c>
      <c r="D1390" s="2" t="s">
        <v>2413</v>
      </c>
      <c r="E1390" s="2" t="s">
        <v>28</v>
      </c>
      <c r="F1390" s="2" t="s">
        <v>29</v>
      </c>
      <c r="G1390" s="2" t="s">
        <v>50</v>
      </c>
      <c r="H1390" s="2" t="s">
        <v>218</v>
      </c>
      <c r="I1390" s="2" t="s">
        <v>219</v>
      </c>
      <c r="J1390" s="2" t="s">
        <v>220</v>
      </c>
      <c r="K1390" s="2" t="s">
        <v>267</v>
      </c>
      <c r="L1390" s="3"/>
      <c r="M1390" s="3">
        <v>41880</v>
      </c>
      <c r="N1390" s="3">
        <v>41911</v>
      </c>
      <c r="O1390" s="3">
        <v>41918</v>
      </c>
      <c r="P1390" s="2" t="s">
        <v>842</v>
      </c>
      <c r="Q1390" s="2" t="s">
        <v>113</v>
      </c>
      <c r="R1390" s="2" t="s">
        <v>37</v>
      </c>
      <c r="S1390" s="2" t="s">
        <v>843</v>
      </c>
      <c r="T1390" s="2" t="s">
        <v>729</v>
      </c>
      <c r="U1390" s="2">
        <v>60</v>
      </c>
      <c r="V1390" s="2">
        <v>20000</v>
      </c>
      <c r="W1390" s="2">
        <v>74600</v>
      </c>
      <c r="X1390" s="2">
        <v>3.73</v>
      </c>
      <c r="Y1390" s="2">
        <v>0.06</v>
      </c>
      <c r="Z1390" s="2">
        <v>3431</v>
      </c>
      <c r="AA1390" s="2">
        <v>19379.939999999999</v>
      </c>
      <c r="AB1390">
        <v>0</v>
      </c>
      <c r="AC1390">
        <v>2014</v>
      </c>
      <c r="AE1390" s="2">
        <v>1200</v>
      </c>
    </row>
    <row r="1391" spans="2:31" ht="14.5">
      <c r="B1391" s="2">
        <v>84972</v>
      </c>
      <c r="C1391" s="2" t="s">
        <v>2414</v>
      </c>
      <c r="D1391" s="2" t="s">
        <v>2415</v>
      </c>
      <c r="E1391" s="2" t="s">
        <v>42</v>
      </c>
      <c r="F1391" s="2" t="s">
        <v>29</v>
      </c>
      <c r="G1391" s="2" t="s">
        <v>50</v>
      </c>
      <c r="H1391" s="2" t="s">
        <v>218</v>
      </c>
      <c r="I1391" s="2" t="s">
        <v>219</v>
      </c>
      <c r="J1391" s="2" t="s">
        <v>220</v>
      </c>
      <c r="K1391" s="2" t="s">
        <v>34</v>
      </c>
      <c r="L1391" s="3"/>
      <c r="M1391" s="3">
        <v>41897</v>
      </c>
      <c r="N1391" s="3">
        <v>41901</v>
      </c>
      <c r="O1391" s="3">
        <v>41901</v>
      </c>
      <c r="P1391" s="2" t="s">
        <v>1926</v>
      </c>
      <c r="Q1391" s="2" t="s">
        <v>225</v>
      </c>
      <c r="R1391" s="2" t="s">
        <v>37</v>
      </c>
      <c r="S1391" s="2" t="s">
        <v>226</v>
      </c>
      <c r="T1391" s="2" t="s">
        <v>87</v>
      </c>
      <c r="U1391" s="2">
        <v>240</v>
      </c>
      <c r="V1391" s="2">
        <v>2125</v>
      </c>
      <c r="W1391" s="2">
        <v>4462.5</v>
      </c>
      <c r="X1391" s="2">
        <v>2.1</v>
      </c>
      <c r="Y1391" s="2">
        <v>0.01</v>
      </c>
      <c r="Z1391" s="2">
        <v>796</v>
      </c>
      <c r="AA1391" s="2">
        <v>5603.78</v>
      </c>
      <c r="AB1391">
        <v>0</v>
      </c>
      <c r="AC1391">
        <v>2014</v>
      </c>
      <c r="AE1391" s="2">
        <v>21.25</v>
      </c>
    </row>
    <row r="1392" spans="2:31" ht="14.5">
      <c r="B1392" s="2">
        <v>84978</v>
      </c>
      <c r="C1392" s="2" t="s">
        <v>2416</v>
      </c>
      <c r="D1392" s="2" t="s">
        <v>2417</v>
      </c>
      <c r="E1392" s="2" t="s">
        <v>118</v>
      </c>
      <c r="F1392" s="2" t="s">
        <v>29</v>
      </c>
      <c r="G1392" s="2" t="s">
        <v>50</v>
      </c>
      <c r="H1392" s="2" t="s">
        <v>218</v>
      </c>
      <c r="I1392" s="2" t="s">
        <v>219</v>
      </c>
      <c r="J1392" s="2" t="s">
        <v>220</v>
      </c>
      <c r="K1392" s="2" t="s">
        <v>267</v>
      </c>
      <c r="L1392" s="3"/>
      <c r="M1392" s="3">
        <v>41943</v>
      </c>
      <c r="N1392" s="3">
        <v>41907</v>
      </c>
      <c r="O1392" s="3">
        <v>41908</v>
      </c>
      <c r="P1392" s="2" t="s">
        <v>727</v>
      </c>
      <c r="Q1392" s="2" t="s">
        <v>45</v>
      </c>
      <c r="R1392" s="2" t="s">
        <v>37</v>
      </c>
      <c r="S1392" s="2" t="s">
        <v>728</v>
      </c>
      <c r="T1392" s="2" t="s">
        <v>729</v>
      </c>
      <c r="U1392" s="2">
        <v>60</v>
      </c>
      <c r="V1392" s="2">
        <v>4000</v>
      </c>
      <c r="W1392" s="2">
        <v>8600</v>
      </c>
      <c r="X1392" s="2">
        <v>2.15</v>
      </c>
      <c r="Y1392" s="2">
        <v>0.04</v>
      </c>
      <c r="Z1392" s="2">
        <v>474</v>
      </c>
      <c r="AA1392" s="2">
        <v>1332.7</v>
      </c>
      <c r="AB1392">
        <v>1</v>
      </c>
      <c r="AC1392">
        <v>2014</v>
      </c>
      <c r="AE1392" s="2">
        <v>160</v>
      </c>
    </row>
    <row r="1393" spans="2:31" ht="14.5">
      <c r="B1393" s="2">
        <v>84984</v>
      </c>
      <c r="C1393" s="2" t="s">
        <v>1690</v>
      </c>
      <c r="D1393" s="2" t="s">
        <v>1691</v>
      </c>
      <c r="E1393" s="2" t="s">
        <v>1581</v>
      </c>
      <c r="F1393" s="2" t="s">
        <v>29</v>
      </c>
      <c r="G1393" s="2" t="s">
        <v>30</v>
      </c>
      <c r="H1393" s="2" t="s">
        <v>218</v>
      </c>
      <c r="I1393" s="2" t="s">
        <v>219</v>
      </c>
      <c r="J1393" s="2" t="s">
        <v>220</v>
      </c>
      <c r="K1393" s="2" t="s">
        <v>34</v>
      </c>
      <c r="L1393" s="3"/>
      <c r="M1393" s="3">
        <v>41943</v>
      </c>
      <c r="N1393" s="3">
        <v>41927</v>
      </c>
      <c r="O1393" s="3">
        <v>41940</v>
      </c>
      <c r="P1393" s="2" t="s">
        <v>44</v>
      </c>
      <c r="Q1393" s="2" t="s">
        <v>45</v>
      </c>
      <c r="R1393" s="2" t="s">
        <v>37</v>
      </c>
      <c r="S1393" s="2" t="s">
        <v>46</v>
      </c>
      <c r="T1393" s="2" t="s">
        <v>47</v>
      </c>
      <c r="U1393" s="2">
        <v>60</v>
      </c>
      <c r="V1393" s="2">
        <v>2532</v>
      </c>
      <c r="W1393" s="2">
        <v>16711.2</v>
      </c>
      <c r="X1393" s="2">
        <v>6.6</v>
      </c>
      <c r="Y1393" s="2">
        <v>0.11</v>
      </c>
      <c r="AB1393">
        <v>1</v>
      </c>
      <c r="AC1393">
        <v>2014</v>
      </c>
      <c r="AE1393" s="2">
        <v>278.52</v>
      </c>
    </row>
    <row r="1394" spans="2:31" ht="14.5">
      <c r="B1394" s="2">
        <v>84995</v>
      </c>
      <c r="C1394" s="2" t="s">
        <v>2418</v>
      </c>
      <c r="D1394" s="2" t="s">
        <v>2419</v>
      </c>
      <c r="E1394" s="2" t="s">
        <v>28</v>
      </c>
      <c r="F1394" s="2" t="s">
        <v>29</v>
      </c>
      <c r="G1394" s="2" t="s">
        <v>30</v>
      </c>
      <c r="H1394" s="2" t="s">
        <v>218</v>
      </c>
      <c r="I1394" s="2" t="s">
        <v>219</v>
      </c>
      <c r="J1394" s="2" t="s">
        <v>220</v>
      </c>
      <c r="K1394" s="2" t="s">
        <v>267</v>
      </c>
      <c r="L1394" s="3"/>
      <c r="M1394" s="3">
        <v>42034</v>
      </c>
      <c r="N1394" s="3">
        <v>42027</v>
      </c>
      <c r="O1394" s="3">
        <v>42032</v>
      </c>
      <c r="P1394" s="2" t="s">
        <v>749</v>
      </c>
      <c r="Q1394" s="2" t="s">
        <v>76</v>
      </c>
      <c r="R1394" s="2" t="s">
        <v>37</v>
      </c>
      <c r="S1394" s="2" t="s">
        <v>78</v>
      </c>
      <c r="T1394" s="2" t="s">
        <v>47</v>
      </c>
      <c r="U1394" s="2">
        <v>30</v>
      </c>
      <c r="V1394" s="2">
        <v>12783</v>
      </c>
      <c r="W1394" s="2">
        <v>151989.87</v>
      </c>
      <c r="X1394" s="2">
        <v>11.89</v>
      </c>
      <c r="Y1394" s="2">
        <v>0.4</v>
      </c>
      <c r="Z1394" s="2">
        <v>1371</v>
      </c>
      <c r="AA1394" s="2">
        <v>7585.82</v>
      </c>
      <c r="AB1394">
        <v>1</v>
      </c>
      <c r="AC1394">
        <v>2015</v>
      </c>
      <c r="AE1394" s="2">
        <v>5113.2000000000007</v>
      </c>
    </row>
    <row r="1395" spans="2:31" ht="14.5">
      <c r="B1395" s="2">
        <v>85002</v>
      </c>
      <c r="C1395" s="2" t="s">
        <v>2420</v>
      </c>
      <c r="D1395" s="2" t="s">
        <v>2421</v>
      </c>
      <c r="E1395" s="2" t="s">
        <v>118</v>
      </c>
      <c r="F1395" s="2" t="s">
        <v>29</v>
      </c>
      <c r="G1395" s="2" t="s">
        <v>30</v>
      </c>
      <c r="H1395" s="2" t="s">
        <v>218</v>
      </c>
      <c r="I1395" s="2" t="s">
        <v>219</v>
      </c>
      <c r="J1395" s="2" t="s">
        <v>220</v>
      </c>
      <c r="K1395" s="2" t="s">
        <v>267</v>
      </c>
      <c r="L1395" s="3"/>
      <c r="M1395" s="3">
        <v>42034</v>
      </c>
      <c r="N1395" s="3">
        <v>42009</v>
      </c>
      <c r="O1395" s="3">
        <v>42010</v>
      </c>
      <c r="P1395" s="2" t="s">
        <v>754</v>
      </c>
      <c r="Q1395" s="2" t="s">
        <v>755</v>
      </c>
      <c r="R1395" s="2" t="s">
        <v>37</v>
      </c>
      <c r="S1395" s="2" t="s">
        <v>756</v>
      </c>
      <c r="T1395" s="2" t="s">
        <v>47</v>
      </c>
      <c r="U1395" s="2">
        <v>30</v>
      </c>
      <c r="V1395" s="2">
        <v>45000</v>
      </c>
      <c r="W1395" s="2">
        <v>485100</v>
      </c>
      <c r="X1395" s="2">
        <v>10.78</v>
      </c>
      <c r="Y1395" s="2">
        <v>0.36</v>
      </c>
      <c r="Z1395" s="2">
        <v>5083</v>
      </c>
      <c r="AA1395" s="2">
        <v>6948.04</v>
      </c>
      <c r="AB1395">
        <v>1</v>
      </c>
      <c r="AC1395">
        <v>2015</v>
      </c>
      <c r="AE1395" s="2">
        <v>16200</v>
      </c>
    </row>
    <row r="1396" spans="2:31" ht="14.5">
      <c r="B1396" s="2">
        <v>85003</v>
      </c>
      <c r="C1396" s="2" t="s">
        <v>1913</v>
      </c>
      <c r="D1396" s="2" t="s">
        <v>1914</v>
      </c>
      <c r="E1396" s="2" t="s">
        <v>118</v>
      </c>
      <c r="F1396" s="2" t="s">
        <v>29</v>
      </c>
      <c r="G1396" s="2" t="s">
        <v>30</v>
      </c>
      <c r="H1396" s="2" t="s">
        <v>218</v>
      </c>
      <c r="I1396" s="2" t="s">
        <v>219</v>
      </c>
      <c r="J1396" s="2" t="s">
        <v>220</v>
      </c>
      <c r="K1396" s="2" t="s">
        <v>267</v>
      </c>
      <c r="L1396" s="3"/>
      <c r="M1396" s="3">
        <v>42051</v>
      </c>
      <c r="N1396" s="3">
        <v>42028</v>
      </c>
      <c r="O1396" s="3">
        <v>42038</v>
      </c>
      <c r="P1396" s="2" t="s">
        <v>150</v>
      </c>
      <c r="Q1396" s="2" t="s">
        <v>84</v>
      </c>
      <c r="R1396" s="2" t="s">
        <v>151</v>
      </c>
      <c r="S1396" s="2" t="s">
        <v>152</v>
      </c>
      <c r="T1396" s="2" t="s">
        <v>39</v>
      </c>
      <c r="U1396" s="2">
        <v>120</v>
      </c>
      <c r="V1396" s="2">
        <v>3663</v>
      </c>
      <c r="W1396" s="2">
        <v>69230.7</v>
      </c>
      <c r="X1396" s="2">
        <v>18.899999999999999</v>
      </c>
      <c r="Y1396" s="2">
        <v>0.16</v>
      </c>
      <c r="AB1396">
        <v>1</v>
      </c>
      <c r="AC1396">
        <v>2015</v>
      </c>
      <c r="AE1396" s="2">
        <v>586.08000000000004</v>
      </c>
    </row>
    <row r="1397" spans="2:31" ht="14.5">
      <c r="B1397" s="2">
        <v>85010</v>
      </c>
      <c r="C1397" s="2" t="s">
        <v>2422</v>
      </c>
      <c r="D1397" s="2" t="s">
        <v>2423</v>
      </c>
      <c r="E1397" s="2" t="s">
        <v>118</v>
      </c>
      <c r="F1397" s="2" t="s">
        <v>29</v>
      </c>
      <c r="G1397" s="2" t="s">
        <v>50</v>
      </c>
      <c r="H1397" s="2" t="s">
        <v>218</v>
      </c>
      <c r="I1397" s="2" t="s">
        <v>219</v>
      </c>
      <c r="J1397" s="2" t="s">
        <v>220</v>
      </c>
      <c r="K1397" s="2" t="s">
        <v>267</v>
      </c>
      <c r="L1397" s="3"/>
      <c r="M1397" s="3">
        <v>42051</v>
      </c>
      <c r="N1397" s="3">
        <v>42034</v>
      </c>
      <c r="O1397" s="3">
        <v>42037</v>
      </c>
      <c r="P1397" s="2" t="s">
        <v>727</v>
      </c>
      <c r="Q1397" s="2" t="s">
        <v>45</v>
      </c>
      <c r="R1397" s="2" t="s">
        <v>37</v>
      </c>
      <c r="S1397" s="2" t="s">
        <v>728</v>
      </c>
      <c r="T1397" s="2" t="s">
        <v>729</v>
      </c>
      <c r="U1397" s="2">
        <v>60</v>
      </c>
      <c r="V1397" s="2">
        <v>6000</v>
      </c>
      <c r="W1397" s="2">
        <v>11940</v>
      </c>
      <c r="X1397" s="2">
        <v>1.99</v>
      </c>
      <c r="Y1397" s="2">
        <v>0.03</v>
      </c>
      <c r="Z1397" s="2">
        <v>404</v>
      </c>
      <c r="AA1397" s="2">
        <v>2055.25</v>
      </c>
      <c r="AB1397">
        <v>1</v>
      </c>
      <c r="AC1397">
        <v>2015</v>
      </c>
      <c r="AE1397" s="2">
        <v>180</v>
      </c>
    </row>
    <row r="1398" spans="2:31" ht="14.5">
      <c r="B1398" s="2">
        <v>85011</v>
      </c>
      <c r="C1398" s="2" t="s">
        <v>2424</v>
      </c>
      <c r="D1398" s="2" t="s">
        <v>2425</v>
      </c>
      <c r="E1398" s="2" t="s">
        <v>28</v>
      </c>
      <c r="F1398" s="2" t="s">
        <v>29</v>
      </c>
      <c r="G1398" s="2" t="s">
        <v>50</v>
      </c>
      <c r="H1398" s="2" t="s">
        <v>218</v>
      </c>
      <c r="I1398" s="2" t="s">
        <v>219</v>
      </c>
      <c r="J1398" s="2" t="s">
        <v>220</v>
      </c>
      <c r="K1398" s="2" t="s">
        <v>267</v>
      </c>
      <c r="L1398" s="3"/>
      <c r="M1398" s="3">
        <v>42051</v>
      </c>
      <c r="N1398" s="3">
        <v>42075</v>
      </c>
      <c r="O1398" s="3">
        <v>42079</v>
      </c>
      <c r="P1398" s="2" t="s">
        <v>727</v>
      </c>
      <c r="Q1398" s="2" t="s">
        <v>45</v>
      </c>
      <c r="R1398" s="2" t="s">
        <v>37</v>
      </c>
      <c r="S1398" s="2" t="s">
        <v>728</v>
      </c>
      <c r="T1398" s="2" t="s">
        <v>729</v>
      </c>
      <c r="U1398" s="2">
        <v>60</v>
      </c>
      <c r="V1398" s="2">
        <v>19389</v>
      </c>
      <c r="W1398" s="2">
        <v>38778</v>
      </c>
      <c r="X1398" s="2">
        <v>2</v>
      </c>
      <c r="Y1398" s="2">
        <v>0.03</v>
      </c>
      <c r="Z1398" s="2">
        <v>1293</v>
      </c>
      <c r="AA1398" s="2">
        <v>4916</v>
      </c>
      <c r="AB1398">
        <v>0</v>
      </c>
      <c r="AC1398">
        <v>2015</v>
      </c>
      <c r="AE1398" s="2">
        <v>581.66999999999996</v>
      </c>
    </row>
    <row r="1399" spans="2:31" ht="14.5">
      <c r="B1399" s="2">
        <v>85013</v>
      </c>
      <c r="C1399" s="2" t="s">
        <v>2426</v>
      </c>
      <c r="D1399" s="2" t="s">
        <v>2427</v>
      </c>
      <c r="E1399" s="2" t="s">
        <v>118</v>
      </c>
      <c r="F1399" s="2" t="s">
        <v>29</v>
      </c>
      <c r="G1399" s="2" t="s">
        <v>30</v>
      </c>
      <c r="H1399" s="2" t="s">
        <v>218</v>
      </c>
      <c r="I1399" s="2" t="s">
        <v>219</v>
      </c>
      <c r="J1399" s="2" t="s">
        <v>220</v>
      </c>
      <c r="K1399" s="2" t="s">
        <v>34</v>
      </c>
      <c r="L1399" s="3"/>
      <c r="M1399" s="3">
        <v>42038</v>
      </c>
      <c r="N1399" s="3">
        <v>42045</v>
      </c>
      <c r="O1399" s="3">
        <v>42051</v>
      </c>
      <c r="P1399" s="2" t="s">
        <v>150</v>
      </c>
      <c r="Q1399" s="2" t="s">
        <v>84</v>
      </c>
      <c r="R1399" s="2" t="s">
        <v>151</v>
      </c>
      <c r="S1399" s="2" t="s">
        <v>152</v>
      </c>
      <c r="T1399" s="2" t="s">
        <v>39</v>
      </c>
      <c r="U1399" s="2">
        <v>120</v>
      </c>
      <c r="V1399" s="2">
        <v>11607</v>
      </c>
      <c r="W1399" s="2">
        <v>219372.3</v>
      </c>
      <c r="X1399" s="2">
        <v>18.899999999999999</v>
      </c>
      <c r="Y1399" s="2">
        <v>0.16</v>
      </c>
      <c r="Z1399" s="2">
        <v>2653</v>
      </c>
      <c r="AA1399" s="2">
        <v>14056.46</v>
      </c>
      <c r="AB1399">
        <v>0</v>
      </c>
      <c r="AC1399">
        <v>2015</v>
      </c>
      <c r="AE1399" s="2">
        <v>1857.1200000000001</v>
      </c>
    </row>
    <row r="1400" spans="2:31" ht="14.5">
      <c r="B1400" s="2">
        <v>85018</v>
      </c>
      <c r="C1400" s="2" t="s">
        <v>1706</v>
      </c>
      <c r="D1400" s="2" t="s">
        <v>1707</v>
      </c>
      <c r="E1400" s="2" t="s">
        <v>1581</v>
      </c>
      <c r="F1400" s="2" t="s">
        <v>29</v>
      </c>
      <c r="G1400" s="2" t="s">
        <v>30</v>
      </c>
      <c r="H1400" s="2" t="s">
        <v>218</v>
      </c>
      <c r="I1400" s="2" t="s">
        <v>219</v>
      </c>
      <c r="J1400" s="2" t="s">
        <v>220</v>
      </c>
      <c r="K1400" s="2" t="s">
        <v>34</v>
      </c>
      <c r="L1400" s="3"/>
      <c r="M1400" s="3">
        <v>42062</v>
      </c>
      <c r="N1400" s="3">
        <v>42063</v>
      </c>
      <c r="O1400" s="3">
        <v>42068</v>
      </c>
      <c r="P1400" s="2" t="s">
        <v>754</v>
      </c>
      <c r="Q1400" s="2" t="s">
        <v>755</v>
      </c>
      <c r="R1400" s="2" t="s">
        <v>37</v>
      </c>
      <c r="S1400" s="2" t="s">
        <v>756</v>
      </c>
      <c r="T1400" s="2" t="s">
        <v>47</v>
      </c>
      <c r="U1400" s="2">
        <v>30</v>
      </c>
      <c r="V1400" s="2">
        <v>9360</v>
      </c>
      <c r="W1400" s="2">
        <v>89856</v>
      </c>
      <c r="X1400" s="2">
        <v>9.6</v>
      </c>
      <c r="Y1400" s="2">
        <v>0.32</v>
      </c>
      <c r="AB1400">
        <v>0</v>
      </c>
      <c r="AC1400">
        <v>2015</v>
      </c>
      <c r="AE1400" s="2">
        <v>2995.2000000000003</v>
      </c>
    </row>
    <row r="1401" spans="2:31" ht="14.5">
      <c r="B1401" s="2">
        <v>85019</v>
      </c>
      <c r="C1401" s="2" t="s">
        <v>2428</v>
      </c>
      <c r="D1401" s="2" t="s">
        <v>2429</v>
      </c>
      <c r="E1401" s="2" t="s">
        <v>42</v>
      </c>
      <c r="F1401" s="2" t="s">
        <v>29</v>
      </c>
      <c r="G1401" s="2" t="s">
        <v>50</v>
      </c>
      <c r="H1401" s="2" t="s">
        <v>218</v>
      </c>
      <c r="I1401" s="2" t="s">
        <v>219</v>
      </c>
      <c r="J1401" s="2" t="s">
        <v>220</v>
      </c>
      <c r="K1401" s="2" t="s">
        <v>34</v>
      </c>
      <c r="L1401" s="3"/>
      <c r="M1401" s="3">
        <v>42094</v>
      </c>
      <c r="N1401" s="3">
        <v>42083</v>
      </c>
      <c r="O1401" s="3">
        <v>42086</v>
      </c>
      <c r="P1401" s="2" t="s">
        <v>727</v>
      </c>
      <c r="Q1401" s="2" t="s">
        <v>45</v>
      </c>
      <c r="R1401" s="2" t="s">
        <v>37</v>
      </c>
      <c r="S1401" s="2" t="s">
        <v>728</v>
      </c>
      <c r="T1401" s="2" t="s">
        <v>729</v>
      </c>
      <c r="U1401" s="2">
        <v>60</v>
      </c>
      <c r="V1401" s="2">
        <v>1700</v>
      </c>
      <c r="W1401" s="2">
        <v>3315</v>
      </c>
      <c r="X1401" s="2">
        <v>1.95</v>
      </c>
      <c r="Y1401" s="2">
        <v>0.03</v>
      </c>
      <c r="Z1401" s="2">
        <v>268</v>
      </c>
      <c r="AA1401" s="2">
        <v>1061.3699999999999</v>
      </c>
      <c r="AB1401">
        <v>1</v>
      </c>
      <c r="AC1401">
        <v>2015</v>
      </c>
      <c r="AE1401" s="2">
        <v>51</v>
      </c>
    </row>
    <row r="1402" spans="2:31" ht="14.5">
      <c r="B1402" s="2">
        <v>85026</v>
      </c>
      <c r="C1402" s="2" t="s">
        <v>2430</v>
      </c>
      <c r="D1402" s="2" t="s">
        <v>2431</v>
      </c>
      <c r="E1402" s="2" t="s">
        <v>118</v>
      </c>
      <c r="F1402" s="2" t="s">
        <v>29</v>
      </c>
      <c r="G1402" s="2" t="s">
        <v>30</v>
      </c>
      <c r="H1402" s="2" t="s">
        <v>218</v>
      </c>
      <c r="I1402" s="2" t="s">
        <v>219</v>
      </c>
      <c r="J1402" s="2" t="s">
        <v>220</v>
      </c>
      <c r="K1402" s="2" t="s">
        <v>267</v>
      </c>
      <c r="L1402" s="3"/>
      <c r="M1402" s="3">
        <v>42124</v>
      </c>
      <c r="N1402" s="3">
        <v>42116</v>
      </c>
      <c r="O1402" s="3">
        <v>42118</v>
      </c>
      <c r="P1402" s="2" t="s">
        <v>706</v>
      </c>
      <c r="Q1402" s="2" t="s">
        <v>707</v>
      </c>
      <c r="R1402" s="2" t="s">
        <v>37</v>
      </c>
      <c r="S1402" s="2" t="s">
        <v>708</v>
      </c>
      <c r="T1402" s="2" t="s">
        <v>47</v>
      </c>
      <c r="U1402" s="2">
        <v>30</v>
      </c>
      <c r="V1402" s="2">
        <v>13549</v>
      </c>
      <c r="W1402" s="2">
        <v>62189.91</v>
      </c>
      <c r="X1402" s="2">
        <v>4.59</v>
      </c>
      <c r="Y1402" s="2">
        <v>0.15</v>
      </c>
      <c r="Z1402" s="2">
        <v>1354</v>
      </c>
      <c r="AB1402">
        <v>1</v>
      </c>
      <c r="AC1402">
        <v>2015</v>
      </c>
      <c r="AE1402" s="2">
        <v>2032.35</v>
      </c>
    </row>
    <row r="1403" spans="2:31" ht="14.5">
      <c r="B1403" s="2">
        <v>85038</v>
      </c>
      <c r="C1403" s="2" t="s">
        <v>2432</v>
      </c>
      <c r="D1403" s="2" t="s">
        <v>2433</v>
      </c>
      <c r="E1403" s="2" t="s">
        <v>118</v>
      </c>
      <c r="F1403" s="2" t="s">
        <v>29</v>
      </c>
      <c r="G1403" s="2" t="s">
        <v>50</v>
      </c>
      <c r="H1403" s="2" t="s">
        <v>218</v>
      </c>
      <c r="I1403" s="2" t="s">
        <v>219</v>
      </c>
      <c r="J1403" s="2" t="s">
        <v>220</v>
      </c>
      <c r="K1403" s="2" t="s">
        <v>267</v>
      </c>
      <c r="L1403" s="3"/>
      <c r="M1403" s="3">
        <v>42200</v>
      </c>
      <c r="N1403" s="3">
        <v>42194</v>
      </c>
      <c r="O1403" s="3">
        <v>42198</v>
      </c>
      <c r="P1403" s="2" t="s">
        <v>1917</v>
      </c>
      <c r="Q1403" s="2" t="s">
        <v>1000</v>
      </c>
      <c r="R1403" s="2" t="s">
        <v>37</v>
      </c>
      <c r="S1403" s="2" t="s">
        <v>1665</v>
      </c>
      <c r="T1403" s="2" t="s">
        <v>729</v>
      </c>
      <c r="U1403" s="2">
        <v>60</v>
      </c>
      <c r="V1403" s="2">
        <v>14476</v>
      </c>
      <c r="W1403" s="2">
        <v>57180.2</v>
      </c>
      <c r="X1403" s="2">
        <v>3.95</v>
      </c>
      <c r="Y1403" s="2">
        <v>7.0000000000000007E-2</v>
      </c>
      <c r="Z1403" s="2">
        <v>839</v>
      </c>
      <c r="AA1403" s="2">
        <v>8402.24</v>
      </c>
      <c r="AB1403">
        <v>1</v>
      </c>
      <c r="AC1403">
        <v>2015</v>
      </c>
      <c r="AE1403" s="2">
        <v>1013.32</v>
      </c>
    </row>
    <row r="1404" spans="2:31" ht="14.5">
      <c r="B1404" s="2">
        <v>85043</v>
      </c>
      <c r="C1404" s="2" t="s">
        <v>1716</v>
      </c>
      <c r="D1404" s="2" t="s">
        <v>1717</v>
      </c>
      <c r="E1404" s="2" t="s">
        <v>118</v>
      </c>
      <c r="F1404" s="2" t="s">
        <v>29</v>
      </c>
      <c r="G1404" s="2" t="s">
        <v>50</v>
      </c>
      <c r="H1404" s="2" t="s">
        <v>218</v>
      </c>
      <c r="I1404" s="2" t="s">
        <v>219</v>
      </c>
      <c r="J1404" s="2" t="s">
        <v>220</v>
      </c>
      <c r="K1404" s="2" t="s">
        <v>267</v>
      </c>
      <c r="L1404" s="3"/>
      <c r="M1404" s="3">
        <v>42216</v>
      </c>
      <c r="N1404" s="3">
        <v>42208</v>
      </c>
      <c r="O1404" s="3">
        <v>42208</v>
      </c>
      <c r="P1404" s="2" t="s">
        <v>727</v>
      </c>
      <c r="Q1404" s="2" t="s">
        <v>45</v>
      </c>
      <c r="R1404" s="2" t="s">
        <v>37</v>
      </c>
      <c r="S1404" s="2" t="s">
        <v>728</v>
      </c>
      <c r="T1404" s="2" t="s">
        <v>729</v>
      </c>
      <c r="U1404" s="2">
        <v>60</v>
      </c>
      <c r="V1404" s="2">
        <v>5126</v>
      </c>
      <c r="W1404" s="2">
        <v>9841.92</v>
      </c>
      <c r="X1404" s="2">
        <v>1.92</v>
      </c>
      <c r="Y1404" s="2">
        <v>0.03</v>
      </c>
      <c r="AB1404">
        <v>1</v>
      </c>
      <c r="AC1404">
        <v>2015</v>
      </c>
      <c r="AE1404" s="2">
        <v>153.78</v>
      </c>
    </row>
    <row r="1405" spans="2:31" ht="14.5">
      <c r="B1405" s="2">
        <v>85047</v>
      </c>
      <c r="C1405" s="2" t="s">
        <v>1720</v>
      </c>
      <c r="D1405" s="2" t="s">
        <v>1721</v>
      </c>
      <c r="E1405" s="2" t="s">
        <v>118</v>
      </c>
      <c r="F1405" s="2" t="s">
        <v>29</v>
      </c>
      <c r="G1405" s="2" t="s">
        <v>30</v>
      </c>
      <c r="H1405" s="2" t="s">
        <v>218</v>
      </c>
      <c r="I1405" s="2" t="s">
        <v>219</v>
      </c>
      <c r="J1405" s="2" t="s">
        <v>220</v>
      </c>
      <c r="K1405" s="2" t="s">
        <v>267</v>
      </c>
      <c r="L1405" s="3"/>
      <c r="M1405" s="3">
        <v>42230</v>
      </c>
      <c r="N1405" s="3">
        <v>42224</v>
      </c>
      <c r="O1405" s="3">
        <v>42226</v>
      </c>
      <c r="P1405" s="2" t="s">
        <v>150</v>
      </c>
      <c r="Q1405" s="2" t="s">
        <v>84</v>
      </c>
      <c r="R1405" s="2" t="s">
        <v>151</v>
      </c>
      <c r="S1405" s="2" t="s">
        <v>152</v>
      </c>
      <c r="T1405" s="2" t="s">
        <v>39</v>
      </c>
      <c r="U1405" s="2">
        <v>120</v>
      </c>
      <c r="V1405" s="2">
        <v>8452</v>
      </c>
      <c r="W1405" s="2">
        <v>157545.28</v>
      </c>
      <c r="X1405" s="2">
        <v>18.64</v>
      </c>
      <c r="Y1405" s="2">
        <v>0.16</v>
      </c>
      <c r="AB1405">
        <v>1</v>
      </c>
      <c r="AC1405">
        <v>2015</v>
      </c>
      <c r="AE1405" s="2">
        <v>1352.32</v>
      </c>
    </row>
    <row r="1406" spans="2:31" ht="14.5">
      <c r="B1406" s="2">
        <v>85065</v>
      </c>
      <c r="C1406" s="2" t="s">
        <v>1500</v>
      </c>
      <c r="D1406" s="2" t="s">
        <v>1501</v>
      </c>
      <c r="E1406" s="2" t="s">
        <v>118</v>
      </c>
      <c r="F1406" s="2" t="s">
        <v>29</v>
      </c>
      <c r="G1406" s="2" t="s">
        <v>30</v>
      </c>
      <c r="H1406" s="2" t="s">
        <v>218</v>
      </c>
      <c r="I1406" s="2" t="s">
        <v>219</v>
      </c>
      <c r="J1406" s="2" t="s">
        <v>220</v>
      </c>
      <c r="K1406" s="2" t="s">
        <v>34</v>
      </c>
      <c r="L1406" s="3"/>
      <c r="M1406" s="3">
        <v>40094</v>
      </c>
      <c r="N1406" s="3">
        <v>40094</v>
      </c>
      <c r="O1406" s="3">
        <v>40094</v>
      </c>
      <c r="P1406" s="2" t="s">
        <v>35</v>
      </c>
      <c r="Q1406" s="2" t="s">
        <v>36</v>
      </c>
      <c r="R1406" s="2" t="s">
        <v>37</v>
      </c>
      <c r="S1406" s="2" t="s">
        <v>38</v>
      </c>
      <c r="T1406" s="2" t="s">
        <v>39</v>
      </c>
      <c r="U1406" s="2">
        <v>60</v>
      </c>
      <c r="V1406" s="2">
        <v>100</v>
      </c>
      <c r="W1406" s="2">
        <v>290</v>
      </c>
      <c r="X1406" s="2">
        <v>2.9</v>
      </c>
      <c r="Y1406" s="2">
        <v>0.05</v>
      </c>
      <c r="AB1406">
        <v>1</v>
      </c>
      <c r="AC1406">
        <v>2009</v>
      </c>
      <c r="AE1406" s="2">
        <v>5</v>
      </c>
    </row>
    <row r="1407" spans="2:31" ht="14.5">
      <c r="B1407" s="2">
        <v>85076</v>
      </c>
      <c r="C1407" s="2" t="s">
        <v>2434</v>
      </c>
      <c r="D1407" s="2" t="s">
        <v>2435</v>
      </c>
      <c r="E1407" s="2" t="s">
        <v>118</v>
      </c>
      <c r="F1407" s="2" t="s">
        <v>29</v>
      </c>
      <c r="G1407" s="2" t="s">
        <v>30</v>
      </c>
      <c r="H1407" s="2" t="s">
        <v>218</v>
      </c>
      <c r="I1407" s="2" t="s">
        <v>219</v>
      </c>
      <c r="J1407" s="2" t="s">
        <v>220</v>
      </c>
      <c r="K1407" s="2" t="s">
        <v>34</v>
      </c>
      <c r="L1407" s="3"/>
      <c r="M1407" s="3">
        <v>40147</v>
      </c>
      <c r="N1407" s="3">
        <v>40149</v>
      </c>
      <c r="O1407" s="3">
        <v>40149</v>
      </c>
      <c r="P1407" s="2" t="s">
        <v>95</v>
      </c>
      <c r="Q1407" s="2" t="s">
        <v>96</v>
      </c>
      <c r="R1407" s="2" t="s">
        <v>37</v>
      </c>
      <c r="S1407" s="2" t="s">
        <v>97</v>
      </c>
      <c r="T1407" s="2" t="s">
        <v>39</v>
      </c>
      <c r="U1407" s="2">
        <v>30</v>
      </c>
      <c r="V1407" s="2">
        <v>5000</v>
      </c>
      <c r="W1407" s="2">
        <v>28900</v>
      </c>
      <c r="X1407" s="2">
        <v>5.78</v>
      </c>
      <c r="Y1407" s="2">
        <v>0.19</v>
      </c>
      <c r="Z1407" s="2">
        <v>907</v>
      </c>
      <c r="AA1407" s="2">
        <v>9044.65</v>
      </c>
      <c r="AB1407">
        <v>0</v>
      </c>
      <c r="AC1407">
        <v>2009</v>
      </c>
      <c r="AE1407" s="2">
        <v>950</v>
      </c>
    </row>
    <row r="1408" spans="2:31" ht="14.5">
      <c r="B1408" s="2">
        <v>85080</v>
      </c>
      <c r="C1408" s="2" t="s">
        <v>2436</v>
      </c>
      <c r="D1408" s="2" t="s">
        <v>2437</v>
      </c>
      <c r="E1408" s="2" t="s">
        <v>118</v>
      </c>
      <c r="F1408" s="2" t="s">
        <v>29</v>
      </c>
      <c r="G1408" s="2" t="s">
        <v>30</v>
      </c>
      <c r="H1408" s="2" t="s">
        <v>218</v>
      </c>
      <c r="I1408" s="2" t="s">
        <v>219</v>
      </c>
      <c r="J1408" s="2" t="s">
        <v>220</v>
      </c>
      <c r="K1408" s="2" t="s">
        <v>34</v>
      </c>
      <c r="L1408" s="3"/>
      <c r="M1408" s="3">
        <v>40224</v>
      </c>
      <c r="N1408" s="3">
        <v>40193</v>
      </c>
      <c r="O1408" s="3">
        <v>40193</v>
      </c>
      <c r="P1408" s="2" t="s">
        <v>706</v>
      </c>
      <c r="Q1408" s="2" t="s">
        <v>707</v>
      </c>
      <c r="R1408" s="2" t="s">
        <v>37</v>
      </c>
      <c r="S1408" s="2" t="s">
        <v>708</v>
      </c>
      <c r="T1408" s="2" t="s">
        <v>47</v>
      </c>
      <c r="U1408" s="2">
        <v>30</v>
      </c>
      <c r="V1408" s="2">
        <v>2000</v>
      </c>
      <c r="W1408" s="2">
        <v>20000</v>
      </c>
      <c r="X1408" s="2">
        <v>10</v>
      </c>
      <c r="Y1408" s="2">
        <v>0.33</v>
      </c>
      <c r="Z1408" s="2">
        <v>168</v>
      </c>
      <c r="AA1408" s="2">
        <v>2990.92</v>
      </c>
      <c r="AB1408">
        <v>1</v>
      </c>
      <c r="AC1408">
        <v>2010</v>
      </c>
      <c r="AE1408" s="2">
        <v>660</v>
      </c>
    </row>
    <row r="1409" spans="2:31" ht="14.5">
      <c r="B1409" s="2">
        <v>85085</v>
      </c>
      <c r="C1409" s="2" t="s">
        <v>2153</v>
      </c>
      <c r="D1409" s="2" t="s">
        <v>2154</v>
      </c>
      <c r="E1409" s="2" t="s">
        <v>118</v>
      </c>
      <c r="F1409" s="2" t="s">
        <v>29</v>
      </c>
      <c r="G1409" s="2" t="s">
        <v>30</v>
      </c>
      <c r="H1409" s="2" t="s">
        <v>218</v>
      </c>
      <c r="I1409" s="2" t="s">
        <v>219</v>
      </c>
      <c r="J1409" s="2" t="s">
        <v>220</v>
      </c>
      <c r="K1409" s="2" t="s">
        <v>267</v>
      </c>
      <c r="L1409" s="3"/>
      <c r="M1409" s="3">
        <v>40220</v>
      </c>
      <c r="N1409" s="3">
        <v>40207</v>
      </c>
      <c r="O1409" s="3">
        <v>40207</v>
      </c>
      <c r="P1409" s="2" t="s">
        <v>35</v>
      </c>
      <c r="Q1409" s="2" t="s">
        <v>36</v>
      </c>
      <c r="R1409" s="2" t="s">
        <v>37</v>
      </c>
      <c r="S1409" s="2" t="s">
        <v>38</v>
      </c>
      <c r="T1409" s="2" t="s">
        <v>39</v>
      </c>
      <c r="U1409" s="2">
        <v>60</v>
      </c>
      <c r="V1409" s="2">
        <v>200</v>
      </c>
      <c r="W1409" s="2">
        <v>546</v>
      </c>
      <c r="X1409" s="2">
        <v>2.73</v>
      </c>
      <c r="Y1409" s="2">
        <v>0.05</v>
      </c>
      <c r="AB1409">
        <v>1</v>
      </c>
      <c r="AC1409">
        <v>2010</v>
      </c>
      <c r="AE1409" s="2">
        <v>10</v>
      </c>
    </row>
    <row r="1410" spans="2:31" ht="14.5">
      <c r="B1410" s="2">
        <v>85086</v>
      </c>
      <c r="C1410" s="2" t="s">
        <v>2308</v>
      </c>
      <c r="D1410" s="2" t="s">
        <v>2309</v>
      </c>
      <c r="E1410" s="2" t="s">
        <v>118</v>
      </c>
      <c r="F1410" s="2" t="s">
        <v>29</v>
      </c>
      <c r="G1410" s="2" t="s">
        <v>30</v>
      </c>
      <c r="H1410" s="2" t="s">
        <v>218</v>
      </c>
      <c r="I1410" s="2" t="s">
        <v>219</v>
      </c>
      <c r="J1410" s="2" t="s">
        <v>220</v>
      </c>
      <c r="K1410" s="2" t="s">
        <v>267</v>
      </c>
      <c r="L1410" s="3"/>
      <c r="M1410" s="3">
        <v>40234</v>
      </c>
      <c r="N1410" s="3">
        <v>40227</v>
      </c>
      <c r="O1410" s="3">
        <v>40227</v>
      </c>
      <c r="P1410" s="2" t="s">
        <v>112</v>
      </c>
      <c r="Q1410" s="2" t="s">
        <v>113</v>
      </c>
      <c r="R1410" s="2" t="s">
        <v>37</v>
      </c>
      <c r="S1410" s="2" t="s">
        <v>114</v>
      </c>
      <c r="T1410" s="2" t="s">
        <v>47</v>
      </c>
      <c r="U1410" s="2">
        <v>60</v>
      </c>
      <c r="V1410" s="2">
        <v>21658</v>
      </c>
      <c r="W1410" s="2">
        <v>243002.76</v>
      </c>
      <c r="X1410" s="2">
        <v>11.22</v>
      </c>
      <c r="Y1410" s="2">
        <v>0.19</v>
      </c>
      <c r="AB1410">
        <v>1</v>
      </c>
      <c r="AC1410">
        <v>2010</v>
      </c>
      <c r="AE1410" s="2">
        <v>4115.0200000000004</v>
      </c>
    </row>
    <row r="1411" spans="2:31" ht="14.5">
      <c r="B1411" s="2">
        <v>85087</v>
      </c>
      <c r="C1411" s="2" t="s">
        <v>2308</v>
      </c>
      <c r="D1411" s="2" t="s">
        <v>2309</v>
      </c>
      <c r="E1411" s="2" t="s">
        <v>118</v>
      </c>
      <c r="F1411" s="2" t="s">
        <v>29</v>
      </c>
      <c r="G1411" s="2" t="s">
        <v>30</v>
      </c>
      <c r="H1411" s="2" t="s">
        <v>218</v>
      </c>
      <c r="I1411" s="2" t="s">
        <v>219</v>
      </c>
      <c r="J1411" s="2" t="s">
        <v>220</v>
      </c>
      <c r="K1411" s="2" t="s">
        <v>267</v>
      </c>
      <c r="L1411" s="3"/>
      <c r="M1411" s="3">
        <v>40234</v>
      </c>
      <c r="N1411" s="3">
        <v>40227</v>
      </c>
      <c r="O1411" s="3">
        <v>40227</v>
      </c>
      <c r="P1411" s="2" t="s">
        <v>112</v>
      </c>
      <c r="Q1411" s="2" t="s">
        <v>113</v>
      </c>
      <c r="R1411" s="2" t="s">
        <v>37</v>
      </c>
      <c r="S1411" s="2" t="s">
        <v>114</v>
      </c>
      <c r="T1411" s="2" t="s">
        <v>47</v>
      </c>
      <c r="U1411" s="2">
        <v>60</v>
      </c>
      <c r="V1411" s="2">
        <v>19942</v>
      </c>
      <c r="W1411" s="2">
        <v>223749.24</v>
      </c>
      <c r="X1411" s="2">
        <v>11.22</v>
      </c>
      <c r="Y1411" s="2">
        <v>0.19</v>
      </c>
      <c r="AB1411">
        <v>1</v>
      </c>
      <c r="AC1411">
        <v>2010</v>
      </c>
      <c r="AE1411" s="2">
        <v>3788.98</v>
      </c>
    </row>
    <row r="1412" spans="2:31" ht="14.5">
      <c r="B1412" s="2">
        <v>85094</v>
      </c>
      <c r="C1412" s="2" t="s">
        <v>1508</v>
      </c>
      <c r="D1412" s="2" t="s">
        <v>1509</v>
      </c>
      <c r="E1412" s="2" t="s">
        <v>118</v>
      </c>
      <c r="F1412" s="2" t="s">
        <v>29</v>
      </c>
      <c r="G1412" s="2" t="s">
        <v>30</v>
      </c>
      <c r="H1412" s="2" t="s">
        <v>218</v>
      </c>
      <c r="I1412" s="2" t="s">
        <v>219</v>
      </c>
      <c r="J1412" s="2" t="s">
        <v>220</v>
      </c>
      <c r="K1412" s="2" t="s">
        <v>34</v>
      </c>
      <c r="L1412" s="3"/>
      <c r="M1412" s="3">
        <v>40256</v>
      </c>
      <c r="N1412" s="3">
        <v>40254</v>
      </c>
      <c r="O1412" s="3">
        <v>40254</v>
      </c>
      <c r="P1412" s="2" t="s">
        <v>95</v>
      </c>
      <c r="Q1412" s="2" t="s">
        <v>96</v>
      </c>
      <c r="R1412" s="2" t="s">
        <v>37</v>
      </c>
      <c r="S1412" s="2" t="s">
        <v>97</v>
      </c>
      <c r="T1412" s="2" t="s">
        <v>39</v>
      </c>
      <c r="U1412" s="2">
        <v>30</v>
      </c>
      <c r="V1412" s="2">
        <v>26697</v>
      </c>
      <c r="W1412" s="2">
        <v>136955.60999999999</v>
      </c>
      <c r="X1412" s="2">
        <v>5.13</v>
      </c>
      <c r="Y1412" s="2">
        <v>0.17</v>
      </c>
      <c r="AB1412">
        <v>1</v>
      </c>
      <c r="AC1412">
        <v>2010</v>
      </c>
      <c r="AE1412" s="2">
        <v>4538.4900000000007</v>
      </c>
    </row>
    <row r="1413" spans="2:31" ht="14.5">
      <c r="B1413" s="2">
        <v>85101</v>
      </c>
      <c r="C1413" s="2" t="s">
        <v>2438</v>
      </c>
      <c r="D1413" s="2" t="s">
        <v>2439</v>
      </c>
      <c r="E1413" s="2" t="s">
        <v>118</v>
      </c>
      <c r="F1413" s="2" t="s">
        <v>29</v>
      </c>
      <c r="G1413" s="2" t="s">
        <v>30</v>
      </c>
      <c r="H1413" s="2" t="s">
        <v>218</v>
      </c>
      <c r="I1413" s="2" t="s">
        <v>219</v>
      </c>
      <c r="J1413" s="2" t="s">
        <v>220</v>
      </c>
      <c r="K1413" s="2" t="s">
        <v>267</v>
      </c>
      <c r="L1413" s="3"/>
      <c r="M1413" s="3">
        <v>40263</v>
      </c>
      <c r="N1413" s="3">
        <v>40262</v>
      </c>
      <c r="O1413" s="3">
        <v>40262</v>
      </c>
      <c r="P1413" s="2" t="s">
        <v>706</v>
      </c>
      <c r="Q1413" s="2" t="s">
        <v>707</v>
      </c>
      <c r="R1413" s="2" t="s">
        <v>37</v>
      </c>
      <c r="S1413" s="2" t="s">
        <v>708</v>
      </c>
      <c r="T1413" s="2" t="s">
        <v>47</v>
      </c>
      <c r="U1413" s="2">
        <v>30</v>
      </c>
      <c r="V1413" s="2">
        <v>3680</v>
      </c>
      <c r="W1413" s="2">
        <v>36800</v>
      </c>
      <c r="X1413" s="2">
        <v>10</v>
      </c>
      <c r="Y1413" s="2">
        <v>0.33</v>
      </c>
      <c r="Z1413" s="2">
        <v>328</v>
      </c>
      <c r="AA1413" s="2">
        <v>3522.52</v>
      </c>
      <c r="AB1413">
        <v>1</v>
      </c>
      <c r="AC1413">
        <v>2010</v>
      </c>
      <c r="AE1413" s="2">
        <v>1214.4000000000001</v>
      </c>
    </row>
    <row r="1414" spans="2:31" ht="14.5">
      <c r="B1414" s="2">
        <v>85102</v>
      </c>
      <c r="C1414" s="2" t="s">
        <v>1512</v>
      </c>
      <c r="D1414" s="2" t="s">
        <v>1513</v>
      </c>
      <c r="E1414" s="2" t="s">
        <v>118</v>
      </c>
      <c r="F1414" s="2" t="s">
        <v>29</v>
      </c>
      <c r="G1414" s="2" t="s">
        <v>30</v>
      </c>
      <c r="H1414" s="2" t="s">
        <v>218</v>
      </c>
      <c r="I1414" s="2" t="s">
        <v>219</v>
      </c>
      <c r="J1414" s="2" t="s">
        <v>220</v>
      </c>
      <c r="K1414" s="2" t="s">
        <v>34</v>
      </c>
      <c r="L1414" s="3"/>
      <c r="M1414" s="3">
        <v>40352</v>
      </c>
      <c r="N1414" s="3">
        <v>40276</v>
      </c>
      <c r="O1414" s="3">
        <v>40276</v>
      </c>
      <c r="P1414" s="2" t="s">
        <v>407</v>
      </c>
      <c r="Q1414" s="2" t="s">
        <v>408</v>
      </c>
      <c r="R1414" s="2" t="s">
        <v>37</v>
      </c>
      <c r="S1414" s="2" t="s">
        <v>409</v>
      </c>
      <c r="T1414" s="2" t="s">
        <v>47</v>
      </c>
      <c r="U1414" s="2">
        <v>60</v>
      </c>
      <c r="V1414" s="2">
        <v>70</v>
      </c>
      <c r="W1414" s="2">
        <v>238</v>
      </c>
      <c r="X1414" s="2">
        <v>3.4</v>
      </c>
      <c r="Y1414" s="2">
        <v>0.06</v>
      </c>
      <c r="AB1414">
        <v>1</v>
      </c>
      <c r="AC1414">
        <v>2010</v>
      </c>
      <c r="AE1414" s="2">
        <v>4.2</v>
      </c>
    </row>
    <row r="1415" spans="2:31" ht="14.5">
      <c r="B1415" s="2">
        <v>85103</v>
      </c>
      <c r="C1415" s="2" t="s">
        <v>2440</v>
      </c>
      <c r="D1415" s="2" t="s">
        <v>2441</v>
      </c>
      <c r="E1415" s="2" t="s">
        <v>118</v>
      </c>
      <c r="F1415" s="2" t="s">
        <v>29</v>
      </c>
      <c r="G1415" s="2" t="s">
        <v>30</v>
      </c>
      <c r="H1415" s="2" t="s">
        <v>218</v>
      </c>
      <c r="I1415" s="2" t="s">
        <v>219</v>
      </c>
      <c r="J1415" s="2" t="s">
        <v>220</v>
      </c>
      <c r="K1415" s="2" t="s">
        <v>34</v>
      </c>
      <c r="L1415" s="3"/>
      <c r="M1415" s="3">
        <v>40331</v>
      </c>
      <c r="N1415" s="3">
        <v>40290</v>
      </c>
      <c r="O1415" s="3">
        <v>40290</v>
      </c>
      <c r="P1415" s="2" t="s">
        <v>44</v>
      </c>
      <c r="Q1415" s="2" t="s">
        <v>45</v>
      </c>
      <c r="R1415" s="2" t="s">
        <v>37</v>
      </c>
      <c r="S1415" s="2" t="s">
        <v>46</v>
      </c>
      <c r="T1415" s="2" t="s">
        <v>47</v>
      </c>
      <c r="U1415" s="2">
        <v>60</v>
      </c>
      <c r="V1415" s="2">
        <v>1600</v>
      </c>
      <c r="W1415" s="2">
        <v>14016</v>
      </c>
      <c r="X1415" s="2">
        <v>8.76</v>
      </c>
      <c r="Y1415" s="2">
        <v>0.15</v>
      </c>
      <c r="Z1415" s="2">
        <v>13</v>
      </c>
      <c r="AA1415" s="2">
        <v>1758.6</v>
      </c>
      <c r="AB1415">
        <v>1</v>
      </c>
      <c r="AC1415">
        <v>2010</v>
      </c>
      <c r="AE1415" s="2">
        <v>240</v>
      </c>
    </row>
    <row r="1416" spans="2:31" ht="14.5">
      <c r="B1416" s="2">
        <v>85110</v>
      </c>
      <c r="C1416" s="2" t="s">
        <v>2442</v>
      </c>
      <c r="D1416" s="2" t="s">
        <v>2443</v>
      </c>
      <c r="E1416" s="2" t="s">
        <v>118</v>
      </c>
      <c r="F1416" s="2" t="s">
        <v>29</v>
      </c>
      <c r="G1416" s="2" t="s">
        <v>30</v>
      </c>
      <c r="H1416" s="2" t="s">
        <v>218</v>
      </c>
      <c r="I1416" s="2" t="s">
        <v>219</v>
      </c>
      <c r="J1416" s="2" t="s">
        <v>220</v>
      </c>
      <c r="K1416" s="2" t="s">
        <v>34</v>
      </c>
      <c r="L1416" s="3"/>
      <c r="M1416" s="3">
        <v>40301</v>
      </c>
      <c r="N1416" s="3">
        <v>40301</v>
      </c>
      <c r="O1416" s="3">
        <v>40301</v>
      </c>
      <c r="P1416" s="2" t="s">
        <v>112</v>
      </c>
      <c r="Q1416" s="2" t="s">
        <v>113</v>
      </c>
      <c r="R1416" s="2" t="s">
        <v>37</v>
      </c>
      <c r="S1416" s="2" t="s">
        <v>114</v>
      </c>
      <c r="T1416" s="2" t="s">
        <v>47</v>
      </c>
      <c r="U1416" s="2">
        <v>60</v>
      </c>
      <c r="V1416" s="2">
        <v>17000</v>
      </c>
      <c r="W1416" s="2">
        <v>190740</v>
      </c>
      <c r="X1416" s="2">
        <v>11.22</v>
      </c>
      <c r="Y1416" s="2">
        <v>0.19</v>
      </c>
      <c r="Z1416" s="2">
        <v>2156</v>
      </c>
      <c r="AA1416" s="2">
        <v>14467.75</v>
      </c>
      <c r="AB1416">
        <v>1</v>
      </c>
      <c r="AC1416">
        <v>2010</v>
      </c>
      <c r="AE1416" s="2">
        <v>3230</v>
      </c>
    </row>
    <row r="1417" spans="2:31" ht="14.5">
      <c r="B1417" s="2">
        <v>85111</v>
      </c>
      <c r="C1417" s="2" t="s">
        <v>2444</v>
      </c>
      <c r="D1417" s="2" t="s">
        <v>2445</v>
      </c>
      <c r="E1417" s="2" t="s">
        <v>118</v>
      </c>
      <c r="F1417" s="2" t="s">
        <v>29</v>
      </c>
      <c r="G1417" s="2" t="s">
        <v>30</v>
      </c>
      <c r="H1417" s="2" t="s">
        <v>218</v>
      </c>
      <c r="I1417" s="2" t="s">
        <v>219</v>
      </c>
      <c r="J1417" s="2" t="s">
        <v>220</v>
      </c>
      <c r="K1417" s="2" t="s">
        <v>34</v>
      </c>
      <c r="L1417" s="3"/>
      <c r="M1417" s="3">
        <v>40340</v>
      </c>
      <c r="N1417" s="3">
        <v>40301</v>
      </c>
      <c r="O1417" s="3">
        <v>40301</v>
      </c>
      <c r="P1417" s="2" t="s">
        <v>44</v>
      </c>
      <c r="Q1417" s="2" t="s">
        <v>45</v>
      </c>
      <c r="R1417" s="2" t="s">
        <v>37</v>
      </c>
      <c r="S1417" s="2" t="s">
        <v>46</v>
      </c>
      <c r="T1417" s="2" t="s">
        <v>47</v>
      </c>
      <c r="U1417" s="2">
        <v>60</v>
      </c>
      <c r="V1417" s="2">
        <v>5000</v>
      </c>
      <c r="W1417" s="2">
        <v>43800</v>
      </c>
      <c r="X1417" s="2">
        <v>8.76</v>
      </c>
      <c r="Y1417" s="2">
        <v>0.15</v>
      </c>
      <c r="Z1417" s="2">
        <v>338</v>
      </c>
      <c r="AA1417" s="2">
        <v>4159.7299999999996</v>
      </c>
      <c r="AB1417">
        <v>1</v>
      </c>
      <c r="AC1417">
        <v>2010</v>
      </c>
      <c r="AE1417" s="2">
        <v>750</v>
      </c>
    </row>
    <row r="1418" spans="2:31" ht="14.5">
      <c r="B1418" s="2">
        <v>85112</v>
      </c>
      <c r="C1418" s="2" t="s">
        <v>2446</v>
      </c>
      <c r="D1418" s="2" t="s">
        <v>2447</v>
      </c>
      <c r="E1418" s="2" t="s">
        <v>28</v>
      </c>
      <c r="F1418" s="2" t="s">
        <v>29</v>
      </c>
      <c r="G1418" s="2" t="s">
        <v>50</v>
      </c>
      <c r="H1418" s="2" t="s">
        <v>218</v>
      </c>
      <c r="I1418" s="2" t="s">
        <v>219</v>
      </c>
      <c r="J1418" s="2" t="s">
        <v>220</v>
      </c>
      <c r="K1418" s="2" t="s">
        <v>34</v>
      </c>
      <c r="L1418" s="3"/>
      <c r="M1418" s="3">
        <v>40388</v>
      </c>
      <c r="N1418" s="3">
        <v>40323</v>
      </c>
      <c r="O1418" s="3">
        <v>40323</v>
      </c>
      <c r="P1418" s="2" t="s">
        <v>329</v>
      </c>
      <c r="Q1418" s="2" t="s">
        <v>54</v>
      </c>
      <c r="R1418" s="2" t="s">
        <v>37</v>
      </c>
      <c r="S1418" s="2" t="s">
        <v>330</v>
      </c>
      <c r="T1418" s="2" t="s">
        <v>180</v>
      </c>
      <c r="U1418" s="2">
        <v>60</v>
      </c>
      <c r="V1418" s="2">
        <v>2159</v>
      </c>
      <c r="W1418" s="2">
        <v>16667.48</v>
      </c>
      <c r="X1418" s="2">
        <v>7.72</v>
      </c>
      <c r="Y1418" s="2">
        <v>0.13</v>
      </c>
      <c r="Z1418" s="2">
        <v>454</v>
      </c>
      <c r="AA1418" s="2">
        <v>3219.93</v>
      </c>
      <c r="AB1418">
        <v>1</v>
      </c>
      <c r="AC1418">
        <v>2010</v>
      </c>
      <c r="AE1418" s="2">
        <v>280.67</v>
      </c>
    </row>
    <row r="1419" spans="2:31" ht="14.5">
      <c r="B1419" s="2">
        <v>85121</v>
      </c>
      <c r="C1419" s="2" t="s">
        <v>2448</v>
      </c>
      <c r="D1419" s="2" t="s">
        <v>2449</v>
      </c>
      <c r="E1419" s="2" t="s">
        <v>118</v>
      </c>
      <c r="F1419" s="2" t="s">
        <v>29</v>
      </c>
      <c r="G1419" s="2" t="s">
        <v>30</v>
      </c>
      <c r="H1419" s="2" t="s">
        <v>218</v>
      </c>
      <c r="I1419" s="2" t="s">
        <v>219</v>
      </c>
      <c r="J1419" s="2" t="s">
        <v>220</v>
      </c>
      <c r="K1419" s="2" t="s">
        <v>34</v>
      </c>
      <c r="L1419" s="3"/>
      <c r="M1419" s="3">
        <v>40359</v>
      </c>
      <c r="N1419" s="3">
        <v>40351</v>
      </c>
      <c r="O1419" s="3">
        <v>40351</v>
      </c>
      <c r="P1419" s="2" t="s">
        <v>1457</v>
      </c>
      <c r="Q1419" s="2" t="s">
        <v>236</v>
      </c>
      <c r="R1419" s="2" t="s">
        <v>37</v>
      </c>
      <c r="S1419" s="2" t="s">
        <v>1458</v>
      </c>
      <c r="T1419" s="2" t="s">
        <v>47</v>
      </c>
      <c r="U1419" s="2">
        <v>30</v>
      </c>
      <c r="V1419" s="2">
        <v>1500</v>
      </c>
      <c r="W1419" s="2">
        <v>17625</v>
      </c>
      <c r="X1419" s="2">
        <v>11.75</v>
      </c>
      <c r="Y1419" s="2">
        <v>0.39</v>
      </c>
      <c r="Z1419" s="2">
        <v>109</v>
      </c>
      <c r="AA1419" s="2">
        <v>2288.29</v>
      </c>
      <c r="AB1419">
        <v>1</v>
      </c>
      <c r="AC1419">
        <v>2010</v>
      </c>
      <c r="AE1419" s="2">
        <v>585</v>
      </c>
    </row>
    <row r="1420" spans="2:31" ht="14.5">
      <c r="B1420" s="2">
        <v>85123</v>
      </c>
      <c r="C1420" s="2" t="s">
        <v>2450</v>
      </c>
      <c r="D1420" s="2" t="s">
        <v>2451</v>
      </c>
      <c r="E1420" s="2" t="s">
        <v>118</v>
      </c>
      <c r="F1420" s="2" t="s">
        <v>29</v>
      </c>
      <c r="G1420" s="2" t="s">
        <v>30</v>
      </c>
      <c r="H1420" s="2" t="s">
        <v>218</v>
      </c>
      <c r="I1420" s="2" t="s">
        <v>219</v>
      </c>
      <c r="J1420" s="2" t="s">
        <v>220</v>
      </c>
      <c r="K1420" s="2" t="s">
        <v>34</v>
      </c>
      <c r="L1420" s="3"/>
      <c r="M1420" s="3">
        <v>40359</v>
      </c>
      <c r="N1420" s="3">
        <v>40344</v>
      </c>
      <c r="O1420" s="3">
        <v>40344</v>
      </c>
      <c r="P1420" s="2" t="s">
        <v>35</v>
      </c>
      <c r="Q1420" s="2" t="s">
        <v>36</v>
      </c>
      <c r="R1420" s="2" t="s">
        <v>37</v>
      </c>
      <c r="S1420" s="2" t="s">
        <v>38</v>
      </c>
      <c r="T1420" s="2" t="s">
        <v>39</v>
      </c>
      <c r="U1420" s="2">
        <v>60</v>
      </c>
      <c r="V1420" s="2">
        <v>2500</v>
      </c>
      <c r="W1420" s="2">
        <v>6825</v>
      </c>
      <c r="X1420" s="2">
        <v>2.73</v>
      </c>
      <c r="Y1420" s="2">
        <v>0.05</v>
      </c>
      <c r="Z1420" s="2">
        <v>132</v>
      </c>
      <c r="AA1420" s="2">
        <v>3661.42</v>
      </c>
      <c r="AB1420">
        <v>1</v>
      </c>
      <c r="AC1420">
        <v>2010</v>
      </c>
      <c r="AE1420" s="2">
        <v>125</v>
      </c>
    </row>
    <row r="1421" spans="2:31" ht="14.5">
      <c r="B1421" s="2">
        <v>85130</v>
      </c>
      <c r="C1421" s="2" t="s">
        <v>1959</v>
      </c>
      <c r="D1421" s="2" t="s">
        <v>1960</v>
      </c>
      <c r="E1421" s="2" t="s">
        <v>118</v>
      </c>
      <c r="F1421" s="2" t="s">
        <v>29</v>
      </c>
      <c r="G1421" s="2" t="s">
        <v>30</v>
      </c>
      <c r="H1421" s="2" t="s">
        <v>218</v>
      </c>
      <c r="I1421" s="2" t="s">
        <v>219</v>
      </c>
      <c r="J1421" s="2" t="s">
        <v>220</v>
      </c>
      <c r="K1421" s="2" t="s">
        <v>34</v>
      </c>
      <c r="L1421" s="3"/>
      <c r="M1421" s="3">
        <v>40394</v>
      </c>
      <c r="N1421" s="3">
        <v>40378</v>
      </c>
      <c r="O1421" s="3">
        <v>40378</v>
      </c>
      <c r="P1421" s="2" t="s">
        <v>1457</v>
      </c>
      <c r="Q1421" s="2" t="s">
        <v>236</v>
      </c>
      <c r="R1421" s="2" t="s">
        <v>37</v>
      </c>
      <c r="S1421" s="2" t="s">
        <v>1458</v>
      </c>
      <c r="T1421" s="2" t="s">
        <v>47</v>
      </c>
      <c r="U1421" s="2">
        <v>30</v>
      </c>
      <c r="V1421" s="2">
        <v>2500</v>
      </c>
      <c r="W1421" s="2">
        <v>29375</v>
      </c>
      <c r="X1421" s="2">
        <v>11.75</v>
      </c>
      <c r="Y1421" s="2">
        <v>0.39</v>
      </c>
      <c r="AB1421">
        <v>1</v>
      </c>
      <c r="AC1421">
        <v>2010</v>
      </c>
      <c r="AE1421" s="2">
        <v>975</v>
      </c>
    </row>
    <row r="1422" spans="2:31" ht="14.5">
      <c r="B1422" s="2">
        <v>85133</v>
      </c>
      <c r="C1422" s="2" t="s">
        <v>1961</v>
      </c>
      <c r="D1422" s="2" t="s">
        <v>1962</v>
      </c>
      <c r="E1422" s="2" t="s">
        <v>118</v>
      </c>
      <c r="F1422" s="2" t="s">
        <v>29</v>
      </c>
      <c r="G1422" s="2" t="s">
        <v>30</v>
      </c>
      <c r="H1422" s="2" t="s">
        <v>218</v>
      </c>
      <c r="I1422" s="2" t="s">
        <v>219</v>
      </c>
      <c r="J1422" s="2" t="s">
        <v>220</v>
      </c>
      <c r="K1422" s="2" t="s">
        <v>34</v>
      </c>
      <c r="L1422" s="3"/>
      <c r="M1422" s="3">
        <v>40394</v>
      </c>
      <c r="N1422" s="3">
        <v>40392</v>
      </c>
      <c r="O1422" s="3">
        <v>40392</v>
      </c>
      <c r="P1422" s="2" t="s">
        <v>95</v>
      </c>
      <c r="Q1422" s="2" t="s">
        <v>96</v>
      </c>
      <c r="R1422" s="2" t="s">
        <v>37</v>
      </c>
      <c r="S1422" s="2" t="s">
        <v>97</v>
      </c>
      <c r="T1422" s="2" t="s">
        <v>39</v>
      </c>
      <c r="U1422" s="2">
        <v>30</v>
      </c>
      <c r="V1422" s="2">
        <v>3000</v>
      </c>
      <c r="W1422" s="2">
        <v>13350</v>
      </c>
      <c r="X1422" s="2">
        <v>4.45</v>
      </c>
      <c r="Y1422" s="2">
        <v>0.15</v>
      </c>
      <c r="AB1422">
        <v>1</v>
      </c>
      <c r="AC1422">
        <v>2010</v>
      </c>
      <c r="AE1422" s="2">
        <v>450</v>
      </c>
    </row>
    <row r="1423" spans="2:31" ht="14.5">
      <c r="B1423" s="2">
        <v>85134</v>
      </c>
      <c r="C1423" s="2" t="s">
        <v>1961</v>
      </c>
      <c r="D1423" s="2" t="s">
        <v>1962</v>
      </c>
      <c r="E1423" s="2" t="s">
        <v>118</v>
      </c>
      <c r="F1423" s="2" t="s">
        <v>29</v>
      </c>
      <c r="G1423" s="2" t="s">
        <v>30</v>
      </c>
      <c r="H1423" s="2" t="s">
        <v>218</v>
      </c>
      <c r="I1423" s="2" t="s">
        <v>219</v>
      </c>
      <c r="J1423" s="2" t="s">
        <v>220</v>
      </c>
      <c r="K1423" s="2" t="s">
        <v>34</v>
      </c>
      <c r="L1423" s="3"/>
      <c r="M1423" s="3">
        <v>40394</v>
      </c>
      <c r="N1423" s="3">
        <v>40392</v>
      </c>
      <c r="O1423" s="3">
        <v>40392</v>
      </c>
      <c r="P1423" s="2" t="s">
        <v>35</v>
      </c>
      <c r="Q1423" s="2" t="s">
        <v>36</v>
      </c>
      <c r="R1423" s="2" t="s">
        <v>37</v>
      </c>
      <c r="S1423" s="2" t="s">
        <v>38</v>
      </c>
      <c r="T1423" s="2" t="s">
        <v>39</v>
      </c>
      <c r="U1423" s="2">
        <v>60</v>
      </c>
      <c r="V1423" s="2">
        <v>3000</v>
      </c>
      <c r="W1423" s="2">
        <v>8190</v>
      </c>
      <c r="X1423" s="2">
        <v>2.73</v>
      </c>
      <c r="Y1423" s="2">
        <v>0.05</v>
      </c>
      <c r="AB1423">
        <v>1</v>
      </c>
      <c r="AC1423">
        <v>2010</v>
      </c>
      <c r="AE1423" s="2">
        <v>150</v>
      </c>
    </row>
    <row r="1424" spans="2:31" ht="14.5">
      <c r="B1424" s="2">
        <v>85139</v>
      </c>
      <c r="C1424" s="2" t="s">
        <v>2452</v>
      </c>
      <c r="D1424" s="2" t="s">
        <v>2453</v>
      </c>
      <c r="E1424" s="2" t="s">
        <v>118</v>
      </c>
      <c r="F1424" s="2" t="s">
        <v>29</v>
      </c>
      <c r="G1424" s="2" t="s">
        <v>30</v>
      </c>
      <c r="H1424" s="2" t="s">
        <v>218</v>
      </c>
      <c r="I1424" s="2" t="s">
        <v>219</v>
      </c>
      <c r="J1424" s="2" t="s">
        <v>220</v>
      </c>
      <c r="K1424" s="2" t="s">
        <v>34</v>
      </c>
      <c r="L1424" s="3"/>
      <c r="M1424" s="3">
        <v>40419</v>
      </c>
      <c r="N1424" s="3">
        <v>40417</v>
      </c>
      <c r="O1424" s="3">
        <v>40417</v>
      </c>
      <c r="P1424" s="2" t="s">
        <v>1457</v>
      </c>
      <c r="Q1424" s="2" t="s">
        <v>236</v>
      </c>
      <c r="R1424" s="2" t="s">
        <v>37</v>
      </c>
      <c r="S1424" s="2" t="s">
        <v>1458</v>
      </c>
      <c r="T1424" s="2" t="s">
        <v>47</v>
      </c>
      <c r="U1424" s="2">
        <v>30</v>
      </c>
      <c r="V1424" s="2">
        <v>4000</v>
      </c>
      <c r="W1424" s="2">
        <v>47000</v>
      </c>
      <c r="X1424" s="2">
        <v>11.75</v>
      </c>
      <c r="Y1424" s="2">
        <v>0.39</v>
      </c>
      <c r="Z1424" s="2">
        <v>365</v>
      </c>
      <c r="AA1424" s="2">
        <v>6068.75</v>
      </c>
      <c r="AB1424">
        <v>1</v>
      </c>
      <c r="AC1424">
        <v>2010</v>
      </c>
      <c r="AE1424" s="2">
        <v>1560</v>
      </c>
    </row>
    <row r="1425" spans="2:31" ht="14.5">
      <c r="B1425" s="2">
        <v>85142</v>
      </c>
      <c r="C1425" s="2" t="s">
        <v>1754</v>
      </c>
      <c r="D1425" s="2" t="s">
        <v>1755</v>
      </c>
      <c r="E1425" s="2" t="s">
        <v>118</v>
      </c>
      <c r="F1425" s="2" t="s">
        <v>29</v>
      </c>
      <c r="G1425" s="2" t="s">
        <v>30</v>
      </c>
      <c r="H1425" s="2" t="s">
        <v>218</v>
      </c>
      <c r="I1425" s="2" t="s">
        <v>219</v>
      </c>
      <c r="J1425" s="2" t="s">
        <v>220</v>
      </c>
      <c r="K1425" s="2" t="s">
        <v>34</v>
      </c>
      <c r="L1425" s="3"/>
      <c r="M1425" s="3">
        <v>40480</v>
      </c>
      <c r="N1425" s="3">
        <v>40448</v>
      </c>
      <c r="O1425" s="3">
        <v>40448</v>
      </c>
      <c r="P1425" s="2" t="s">
        <v>44</v>
      </c>
      <c r="Q1425" s="2" t="s">
        <v>45</v>
      </c>
      <c r="R1425" s="2" t="s">
        <v>37</v>
      </c>
      <c r="S1425" s="2" t="s">
        <v>46</v>
      </c>
      <c r="T1425" s="2" t="s">
        <v>47</v>
      </c>
      <c r="U1425" s="2">
        <v>60</v>
      </c>
      <c r="V1425" s="2">
        <v>4399</v>
      </c>
      <c r="W1425" s="2">
        <v>37611.449999999997</v>
      </c>
      <c r="X1425" s="2">
        <v>8.5500000000000007</v>
      </c>
      <c r="Y1425" s="2">
        <v>0.14000000000000001</v>
      </c>
      <c r="AB1425">
        <v>1</v>
      </c>
      <c r="AC1425">
        <v>2010</v>
      </c>
      <c r="AE1425" s="2">
        <v>615.86</v>
      </c>
    </row>
    <row r="1426" spans="2:31" ht="14.5">
      <c r="B1426" s="2">
        <v>85143</v>
      </c>
      <c r="C1426" s="2" t="s">
        <v>2328</v>
      </c>
      <c r="D1426" s="2" t="s">
        <v>2329</v>
      </c>
      <c r="E1426" s="2" t="s">
        <v>118</v>
      </c>
      <c r="F1426" s="2" t="s">
        <v>29</v>
      </c>
      <c r="G1426" s="2" t="s">
        <v>30</v>
      </c>
      <c r="H1426" s="2" t="s">
        <v>218</v>
      </c>
      <c r="I1426" s="2" t="s">
        <v>219</v>
      </c>
      <c r="J1426" s="2" t="s">
        <v>220</v>
      </c>
      <c r="K1426" s="2" t="s">
        <v>34</v>
      </c>
      <c r="L1426" s="3"/>
      <c r="M1426" s="3">
        <v>40451</v>
      </c>
      <c r="N1426" s="3">
        <v>40413</v>
      </c>
      <c r="O1426" s="3">
        <v>40413</v>
      </c>
      <c r="P1426" s="2" t="s">
        <v>95</v>
      </c>
      <c r="Q1426" s="2" t="s">
        <v>96</v>
      </c>
      <c r="R1426" s="2" t="s">
        <v>37</v>
      </c>
      <c r="S1426" s="2" t="s">
        <v>97</v>
      </c>
      <c r="T1426" s="2" t="s">
        <v>39</v>
      </c>
      <c r="U1426" s="2">
        <v>30</v>
      </c>
      <c r="V1426" s="2">
        <v>667</v>
      </c>
      <c r="W1426" s="2">
        <v>2968.15</v>
      </c>
      <c r="X1426" s="2">
        <v>4.45</v>
      </c>
      <c r="Y1426" s="2">
        <v>0.15</v>
      </c>
      <c r="AB1426">
        <v>1</v>
      </c>
      <c r="AC1426">
        <v>2010</v>
      </c>
      <c r="AE1426" s="2">
        <v>100.05</v>
      </c>
    </row>
    <row r="1427" spans="2:31" ht="14.5">
      <c r="B1427" s="2">
        <v>85145</v>
      </c>
      <c r="C1427" s="2" t="s">
        <v>2454</v>
      </c>
      <c r="D1427" s="2" t="s">
        <v>2455</v>
      </c>
      <c r="E1427" s="2" t="s">
        <v>118</v>
      </c>
      <c r="F1427" s="2" t="s">
        <v>29</v>
      </c>
      <c r="G1427" s="2" t="s">
        <v>30</v>
      </c>
      <c r="H1427" s="2" t="s">
        <v>218</v>
      </c>
      <c r="I1427" s="2" t="s">
        <v>219</v>
      </c>
      <c r="J1427" s="2" t="s">
        <v>220</v>
      </c>
      <c r="K1427" s="2" t="s">
        <v>34</v>
      </c>
      <c r="L1427" s="3"/>
      <c r="M1427" s="3">
        <v>40451</v>
      </c>
      <c r="N1427" s="3">
        <v>40423</v>
      </c>
      <c r="O1427" s="3">
        <v>40423</v>
      </c>
      <c r="P1427" s="2" t="s">
        <v>44</v>
      </c>
      <c r="Q1427" s="2" t="s">
        <v>45</v>
      </c>
      <c r="R1427" s="2" t="s">
        <v>37</v>
      </c>
      <c r="S1427" s="2" t="s">
        <v>46</v>
      </c>
      <c r="T1427" s="2" t="s">
        <v>47</v>
      </c>
      <c r="U1427" s="2">
        <v>60</v>
      </c>
      <c r="V1427" s="2">
        <v>40213</v>
      </c>
      <c r="W1427" s="2">
        <v>343821.15</v>
      </c>
      <c r="X1427" s="2">
        <v>8.5500000000000007</v>
      </c>
      <c r="Y1427" s="2">
        <v>0.14000000000000001</v>
      </c>
      <c r="Z1427" s="2">
        <v>3457</v>
      </c>
      <c r="AA1427" s="2">
        <v>35689.71</v>
      </c>
      <c r="AB1427">
        <v>1</v>
      </c>
      <c r="AC1427">
        <v>2010</v>
      </c>
      <c r="AE1427" s="2">
        <v>5629.8200000000006</v>
      </c>
    </row>
    <row r="1428" spans="2:31" ht="14.5">
      <c r="B1428" s="2">
        <v>85154</v>
      </c>
      <c r="C1428" s="2" t="s">
        <v>2185</v>
      </c>
      <c r="D1428" s="2" t="s">
        <v>2186</v>
      </c>
      <c r="E1428" s="2" t="s">
        <v>118</v>
      </c>
      <c r="F1428" s="2" t="s">
        <v>29</v>
      </c>
      <c r="G1428" s="2" t="s">
        <v>30</v>
      </c>
      <c r="H1428" s="2" t="s">
        <v>218</v>
      </c>
      <c r="I1428" s="2" t="s">
        <v>219</v>
      </c>
      <c r="J1428" s="2" t="s">
        <v>220</v>
      </c>
      <c r="K1428" s="2" t="s">
        <v>34</v>
      </c>
      <c r="L1428" s="3"/>
      <c r="M1428" s="3">
        <v>40471</v>
      </c>
      <c r="N1428" s="3">
        <v>40476</v>
      </c>
      <c r="O1428" s="3">
        <v>40476</v>
      </c>
      <c r="P1428" s="2" t="s">
        <v>44</v>
      </c>
      <c r="Q1428" s="2" t="s">
        <v>45</v>
      </c>
      <c r="R1428" s="2" t="s">
        <v>37</v>
      </c>
      <c r="S1428" s="2" t="s">
        <v>46</v>
      </c>
      <c r="T1428" s="2" t="s">
        <v>47</v>
      </c>
      <c r="U1428" s="2">
        <v>60</v>
      </c>
      <c r="V1428" s="2">
        <v>21506</v>
      </c>
      <c r="W1428" s="2">
        <v>183876.3</v>
      </c>
      <c r="X1428" s="2">
        <v>8.5500000000000007</v>
      </c>
      <c r="Y1428" s="2">
        <v>0.14000000000000001</v>
      </c>
      <c r="AB1428">
        <v>0</v>
      </c>
      <c r="AC1428">
        <v>2010</v>
      </c>
      <c r="AE1428" s="2">
        <v>3010.84</v>
      </c>
    </row>
    <row r="1429" spans="2:31" ht="14.5">
      <c r="B1429" s="2">
        <v>85155</v>
      </c>
      <c r="C1429" s="2" t="s">
        <v>2185</v>
      </c>
      <c r="D1429" s="2" t="s">
        <v>2186</v>
      </c>
      <c r="E1429" s="2" t="s">
        <v>118</v>
      </c>
      <c r="F1429" s="2" t="s">
        <v>29</v>
      </c>
      <c r="G1429" s="2" t="s">
        <v>30</v>
      </c>
      <c r="H1429" s="2" t="s">
        <v>218</v>
      </c>
      <c r="I1429" s="2" t="s">
        <v>219</v>
      </c>
      <c r="J1429" s="2" t="s">
        <v>220</v>
      </c>
      <c r="K1429" s="2" t="s">
        <v>34</v>
      </c>
      <c r="L1429" s="3"/>
      <c r="M1429" s="3">
        <v>40471</v>
      </c>
      <c r="N1429" s="3">
        <v>40476</v>
      </c>
      <c r="O1429" s="3">
        <v>40476</v>
      </c>
      <c r="P1429" s="2" t="s">
        <v>1457</v>
      </c>
      <c r="Q1429" s="2" t="s">
        <v>236</v>
      </c>
      <c r="R1429" s="2" t="s">
        <v>37</v>
      </c>
      <c r="S1429" s="2" t="s">
        <v>1458</v>
      </c>
      <c r="T1429" s="2" t="s">
        <v>47</v>
      </c>
      <c r="U1429" s="2">
        <v>30</v>
      </c>
      <c r="V1429" s="2">
        <v>8375</v>
      </c>
      <c r="W1429" s="2">
        <v>98406.25</v>
      </c>
      <c r="X1429" s="2">
        <v>11.75</v>
      </c>
      <c r="Y1429" s="2">
        <v>0.39</v>
      </c>
      <c r="AB1429">
        <v>0</v>
      </c>
      <c r="AC1429">
        <v>2010</v>
      </c>
      <c r="AE1429" s="2">
        <v>3266.25</v>
      </c>
    </row>
    <row r="1430" spans="2:31" ht="14.5">
      <c r="B1430" s="2">
        <v>85169</v>
      </c>
      <c r="C1430" s="2" t="s">
        <v>2456</v>
      </c>
      <c r="D1430" s="2" t="s">
        <v>2457</v>
      </c>
      <c r="E1430" s="2" t="s">
        <v>118</v>
      </c>
      <c r="F1430" s="2" t="s">
        <v>29</v>
      </c>
      <c r="G1430" s="2" t="s">
        <v>30</v>
      </c>
      <c r="H1430" s="2" t="s">
        <v>218</v>
      </c>
      <c r="I1430" s="2" t="s">
        <v>219</v>
      </c>
      <c r="J1430" s="2" t="s">
        <v>220</v>
      </c>
      <c r="K1430" s="2" t="s">
        <v>267</v>
      </c>
      <c r="L1430" s="3"/>
      <c r="M1430" s="3">
        <v>40557</v>
      </c>
      <c r="N1430" s="3">
        <v>40557</v>
      </c>
      <c r="O1430" s="3">
        <v>40557</v>
      </c>
      <c r="P1430" s="2" t="s">
        <v>112</v>
      </c>
      <c r="Q1430" s="2" t="s">
        <v>113</v>
      </c>
      <c r="R1430" s="2" t="s">
        <v>37</v>
      </c>
      <c r="S1430" s="2" t="s">
        <v>114</v>
      </c>
      <c r="T1430" s="2" t="s">
        <v>47</v>
      </c>
      <c r="U1430" s="2">
        <v>60</v>
      </c>
      <c r="V1430" s="2">
        <v>9255</v>
      </c>
      <c r="W1430" s="2">
        <v>103841.1</v>
      </c>
      <c r="X1430" s="2">
        <v>11.22</v>
      </c>
      <c r="Y1430" s="2">
        <v>0.19</v>
      </c>
      <c r="Z1430" s="2">
        <v>1243</v>
      </c>
      <c r="AA1430" s="2">
        <v>6120.6</v>
      </c>
      <c r="AB1430">
        <v>1</v>
      </c>
      <c r="AC1430">
        <v>2011</v>
      </c>
      <c r="AE1430" s="2">
        <v>1758.45</v>
      </c>
    </row>
    <row r="1431" spans="2:31" ht="14.5">
      <c r="B1431" s="2">
        <v>85176</v>
      </c>
      <c r="C1431" s="2" t="s">
        <v>2458</v>
      </c>
      <c r="D1431" s="2" t="s">
        <v>2459</v>
      </c>
      <c r="E1431" s="2" t="s">
        <v>28</v>
      </c>
      <c r="F1431" s="2" t="s">
        <v>29</v>
      </c>
      <c r="G1431" s="2" t="s">
        <v>50</v>
      </c>
      <c r="H1431" s="2" t="s">
        <v>218</v>
      </c>
      <c r="I1431" s="2" t="s">
        <v>219</v>
      </c>
      <c r="J1431" s="2" t="s">
        <v>220</v>
      </c>
      <c r="K1431" s="2" t="s">
        <v>34</v>
      </c>
      <c r="L1431" s="3"/>
      <c r="M1431" s="3">
        <v>40602</v>
      </c>
      <c r="N1431" s="3">
        <v>40602</v>
      </c>
      <c r="O1431" s="3">
        <v>40602</v>
      </c>
      <c r="P1431" s="2" t="s">
        <v>329</v>
      </c>
      <c r="Q1431" s="2" t="s">
        <v>54</v>
      </c>
      <c r="R1431" s="2" t="s">
        <v>37</v>
      </c>
      <c r="S1431" s="2" t="s">
        <v>330</v>
      </c>
      <c r="T1431" s="2" t="s">
        <v>180</v>
      </c>
      <c r="U1431" s="2">
        <v>60</v>
      </c>
      <c r="V1431" s="2">
        <v>2292</v>
      </c>
      <c r="W1431" s="2">
        <v>17694.240000000002</v>
      </c>
      <c r="X1431" s="2">
        <v>7.72</v>
      </c>
      <c r="Y1431" s="2">
        <v>0.13</v>
      </c>
      <c r="Z1431" s="2">
        <v>617</v>
      </c>
      <c r="AA1431" s="2">
        <v>1647</v>
      </c>
      <c r="AB1431">
        <v>1</v>
      </c>
      <c r="AC1431">
        <v>2011</v>
      </c>
      <c r="AE1431" s="2">
        <v>297.96000000000004</v>
      </c>
    </row>
    <row r="1432" spans="2:31" ht="14.5">
      <c r="B1432" s="2">
        <v>85179</v>
      </c>
      <c r="C1432" s="2" t="s">
        <v>1540</v>
      </c>
      <c r="D1432" s="2" t="s">
        <v>1541</v>
      </c>
      <c r="E1432" s="2" t="s">
        <v>118</v>
      </c>
      <c r="F1432" s="2" t="s">
        <v>29</v>
      </c>
      <c r="G1432" s="2" t="s">
        <v>30</v>
      </c>
      <c r="H1432" s="2" t="s">
        <v>218</v>
      </c>
      <c r="I1432" s="2" t="s">
        <v>219</v>
      </c>
      <c r="J1432" s="2" t="s">
        <v>220</v>
      </c>
      <c r="K1432" s="2" t="s">
        <v>267</v>
      </c>
      <c r="L1432" s="3"/>
      <c r="M1432" s="3">
        <v>40602</v>
      </c>
      <c r="N1432" s="3">
        <v>40624</v>
      </c>
      <c r="O1432" s="3">
        <v>40624</v>
      </c>
      <c r="P1432" s="2" t="s">
        <v>44</v>
      </c>
      <c r="Q1432" s="2" t="s">
        <v>45</v>
      </c>
      <c r="R1432" s="2" t="s">
        <v>37</v>
      </c>
      <c r="S1432" s="2" t="s">
        <v>46</v>
      </c>
      <c r="T1432" s="2" t="s">
        <v>47</v>
      </c>
      <c r="U1432" s="2">
        <v>60</v>
      </c>
      <c r="V1432" s="2">
        <v>6361</v>
      </c>
      <c r="W1432" s="2">
        <v>52541.86</v>
      </c>
      <c r="X1432" s="2">
        <v>8.26</v>
      </c>
      <c r="Y1432" s="2">
        <v>0.14000000000000001</v>
      </c>
      <c r="AB1432">
        <v>0</v>
      </c>
      <c r="AC1432">
        <v>2011</v>
      </c>
      <c r="AE1432" s="2">
        <v>890.54000000000008</v>
      </c>
    </row>
    <row r="1433" spans="2:31" ht="14.5">
      <c r="B1433" s="2">
        <v>85181</v>
      </c>
      <c r="C1433" s="2" t="s">
        <v>1975</v>
      </c>
      <c r="D1433" s="2" t="s">
        <v>1976</v>
      </c>
      <c r="E1433" s="2" t="s">
        <v>118</v>
      </c>
      <c r="F1433" s="2" t="s">
        <v>29</v>
      </c>
      <c r="G1433" s="2" t="s">
        <v>30</v>
      </c>
      <c r="H1433" s="2" t="s">
        <v>218</v>
      </c>
      <c r="I1433" s="2" t="s">
        <v>219</v>
      </c>
      <c r="J1433" s="2" t="s">
        <v>220</v>
      </c>
      <c r="K1433" s="2" t="s">
        <v>267</v>
      </c>
      <c r="L1433" s="3"/>
      <c r="M1433" s="3">
        <v>40633</v>
      </c>
      <c r="N1433" s="3">
        <v>40634</v>
      </c>
      <c r="O1433" s="3">
        <v>40634</v>
      </c>
      <c r="P1433" s="2" t="s">
        <v>35</v>
      </c>
      <c r="Q1433" s="2" t="s">
        <v>36</v>
      </c>
      <c r="R1433" s="2" t="s">
        <v>37</v>
      </c>
      <c r="S1433" s="2" t="s">
        <v>38</v>
      </c>
      <c r="T1433" s="2" t="s">
        <v>39</v>
      </c>
      <c r="U1433" s="2">
        <v>60</v>
      </c>
      <c r="V1433" s="2">
        <v>11979</v>
      </c>
      <c r="W1433" s="2">
        <v>30067.29</v>
      </c>
      <c r="X1433" s="2">
        <v>2.5099999999999998</v>
      </c>
      <c r="Y1433" s="2">
        <v>0.04</v>
      </c>
      <c r="AB1433">
        <v>0</v>
      </c>
      <c r="AC1433">
        <v>2011</v>
      </c>
      <c r="AE1433" s="2">
        <v>479.16</v>
      </c>
    </row>
    <row r="1434" spans="2:31" ht="14.5">
      <c r="B1434" s="2">
        <v>85184</v>
      </c>
      <c r="C1434" s="2" t="s">
        <v>2460</v>
      </c>
      <c r="D1434" s="2" t="s">
        <v>2461</v>
      </c>
      <c r="E1434" s="2" t="s">
        <v>118</v>
      </c>
      <c r="F1434" s="2" t="s">
        <v>29</v>
      </c>
      <c r="G1434" s="2" t="s">
        <v>30</v>
      </c>
      <c r="H1434" s="2" t="s">
        <v>218</v>
      </c>
      <c r="I1434" s="2" t="s">
        <v>219</v>
      </c>
      <c r="J1434" s="2" t="s">
        <v>220</v>
      </c>
      <c r="K1434" s="2" t="s">
        <v>267</v>
      </c>
      <c r="L1434" s="3"/>
      <c r="M1434" s="3">
        <v>40674</v>
      </c>
      <c r="N1434" s="3">
        <v>40687</v>
      </c>
      <c r="O1434" s="3">
        <v>40687</v>
      </c>
      <c r="P1434" s="2" t="s">
        <v>95</v>
      </c>
      <c r="Q1434" s="2" t="s">
        <v>96</v>
      </c>
      <c r="R1434" s="2" t="s">
        <v>37</v>
      </c>
      <c r="S1434" s="2" t="s">
        <v>97</v>
      </c>
      <c r="T1434" s="2" t="s">
        <v>39</v>
      </c>
      <c r="U1434" s="2">
        <v>30</v>
      </c>
      <c r="V1434" s="2">
        <v>45000</v>
      </c>
      <c r="W1434" s="2">
        <v>194400</v>
      </c>
      <c r="X1434" s="2">
        <v>4.32</v>
      </c>
      <c r="Y1434" s="2">
        <v>0.14000000000000001</v>
      </c>
      <c r="Z1434" s="2">
        <v>5075</v>
      </c>
      <c r="AA1434" s="2">
        <v>23711.16</v>
      </c>
      <c r="AB1434">
        <v>0</v>
      </c>
      <c r="AC1434">
        <v>2011</v>
      </c>
      <c r="AE1434" s="2">
        <v>6300.0000000000009</v>
      </c>
    </row>
    <row r="1435" spans="2:31" ht="14.5">
      <c r="B1435" s="2">
        <v>85186</v>
      </c>
      <c r="C1435" s="2" t="s">
        <v>2342</v>
      </c>
      <c r="D1435" s="2" t="s">
        <v>2343</v>
      </c>
      <c r="E1435" s="2" t="s">
        <v>118</v>
      </c>
      <c r="F1435" s="2" t="s">
        <v>29</v>
      </c>
      <c r="G1435" s="2" t="s">
        <v>30</v>
      </c>
      <c r="H1435" s="2" t="s">
        <v>218</v>
      </c>
      <c r="I1435" s="2" t="s">
        <v>219</v>
      </c>
      <c r="J1435" s="2" t="s">
        <v>220</v>
      </c>
      <c r="K1435" s="2" t="s">
        <v>267</v>
      </c>
      <c r="L1435" s="3"/>
      <c r="M1435" s="3">
        <v>40700</v>
      </c>
      <c r="N1435" s="3">
        <v>40695</v>
      </c>
      <c r="O1435" s="3">
        <v>40695</v>
      </c>
      <c r="P1435" s="2" t="s">
        <v>95</v>
      </c>
      <c r="Q1435" s="2" t="s">
        <v>96</v>
      </c>
      <c r="R1435" s="2" t="s">
        <v>37</v>
      </c>
      <c r="S1435" s="2" t="s">
        <v>97</v>
      </c>
      <c r="T1435" s="2" t="s">
        <v>39</v>
      </c>
      <c r="U1435" s="2">
        <v>30</v>
      </c>
      <c r="V1435" s="2">
        <v>2950</v>
      </c>
      <c r="W1435" s="2">
        <v>12449</v>
      </c>
      <c r="X1435" s="2">
        <v>4.22</v>
      </c>
      <c r="Y1435" s="2">
        <v>0.14000000000000001</v>
      </c>
      <c r="AB1435">
        <v>1</v>
      </c>
      <c r="AC1435">
        <v>2011</v>
      </c>
      <c r="AE1435" s="2">
        <v>413.00000000000006</v>
      </c>
    </row>
    <row r="1436" spans="2:31" ht="14.5">
      <c r="B1436" s="2">
        <v>85188</v>
      </c>
      <c r="C1436" s="2" t="s">
        <v>2462</v>
      </c>
      <c r="D1436" s="2" t="s">
        <v>2463</v>
      </c>
      <c r="E1436" s="2" t="s">
        <v>28</v>
      </c>
      <c r="F1436" s="2" t="s">
        <v>29</v>
      </c>
      <c r="G1436" s="2" t="s">
        <v>30</v>
      </c>
      <c r="H1436" s="2" t="s">
        <v>218</v>
      </c>
      <c r="I1436" s="2" t="s">
        <v>219</v>
      </c>
      <c r="J1436" s="2" t="s">
        <v>220</v>
      </c>
      <c r="K1436" s="2" t="s">
        <v>267</v>
      </c>
      <c r="L1436" s="3"/>
      <c r="M1436" s="3">
        <v>40661</v>
      </c>
      <c r="N1436" s="3">
        <v>40695</v>
      </c>
      <c r="O1436" s="3">
        <v>40695</v>
      </c>
      <c r="P1436" s="2" t="s">
        <v>749</v>
      </c>
      <c r="Q1436" s="2" t="s">
        <v>76</v>
      </c>
      <c r="R1436" s="2" t="s">
        <v>37</v>
      </c>
      <c r="S1436" s="2" t="s">
        <v>78</v>
      </c>
      <c r="T1436" s="2" t="s">
        <v>47</v>
      </c>
      <c r="U1436" s="2">
        <v>30</v>
      </c>
      <c r="V1436" s="2">
        <v>28200</v>
      </c>
      <c r="W1436" s="2">
        <v>561744</v>
      </c>
      <c r="X1436" s="2">
        <v>19.920000000000002</v>
      </c>
      <c r="Y1436" s="2">
        <v>0.66</v>
      </c>
      <c r="Z1436" s="2">
        <v>3076</v>
      </c>
      <c r="AA1436" s="2">
        <v>3859</v>
      </c>
      <c r="AB1436">
        <v>0</v>
      </c>
      <c r="AC1436">
        <v>2011</v>
      </c>
      <c r="AE1436" s="2">
        <v>18612</v>
      </c>
    </row>
    <row r="1437" spans="2:31" ht="14.5">
      <c r="B1437" s="2">
        <v>85190</v>
      </c>
      <c r="C1437" s="2" t="s">
        <v>1548</v>
      </c>
      <c r="D1437" s="2" t="s">
        <v>1549</v>
      </c>
      <c r="E1437" s="2" t="s">
        <v>60</v>
      </c>
      <c r="F1437" s="2" t="s">
        <v>29</v>
      </c>
      <c r="G1437" s="2" t="s">
        <v>30</v>
      </c>
      <c r="H1437" s="2" t="s">
        <v>218</v>
      </c>
      <c r="I1437" s="2" t="s">
        <v>219</v>
      </c>
      <c r="J1437" s="2" t="s">
        <v>220</v>
      </c>
      <c r="K1437" s="2" t="s">
        <v>34</v>
      </c>
      <c r="L1437" s="3"/>
      <c r="M1437" s="3">
        <v>40715</v>
      </c>
      <c r="N1437" s="3">
        <v>40695</v>
      </c>
      <c r="O1437" s="3">
        <v>40695</v>
      </c>
      <c r="P1437" s="2" t="s">
        <v>95</v>
      </c>
      <c r="Q1437" s="2" t="s">
        <v>96</v>
      </c>
      <c r="R1437" s="2" t="s">
        <v>37</v>
      </c>
      <c r="S1437" s="2" t="s">
        <v>97</v>
      </c>
      <c r="T1437" s="2" t="s">
        <v>39</v>
      </c>
      <c r="U1437" s="2">
        <v>30</v>
      </c>
      <c r="V1437" s="2">
        <v>49142</v>
      </c>
      <c r="W1437" s="2">
        <v>207379.24</v>
      </c>
      <c r="X1437" s="2">
        <v>4.22</v>
      </c>
      <c r="Y1437" s="2">
        <v>0.14000000000000001</v>
      </c>
      <c r="AB1437">
        <v>1</v>
      </c>
      <c r="AC1437">
        <v>2011</v>
      </c>
      <c r="AE1437" s="2">
        <v>6879.880000000001</v>
      </c>
    </row>
    <row r="1438" spans="2:31" ht="14.5">
      <c r="B1438" s="2">
        <v>85191</v>
      </c>
      <c r="C1438" s="2" t="s">
        <v>2464</v>
      </c>
      <c r="D1438" s="2" t="s">
        <v>2465</v>
      </c>
      <c r="E1438" s="2" t="s">
        <v>60</v>
      </c>
      <c r="F1438" s="2" t="s">
        <v>29</v>
      </c>
      <c r="G1438" s="2" t="s">
        <v>30</v>
      </c>
      <c r="H1438" s="2" t="s">
        <v>218</v>
      </c>
      <c r="I1438" s="2" t="s">
        <v>219</v>
      </c>
      <c r="J1438" s="2" t="s">
        <v>220</v>
      </c>
      <c r="K1438" s="2" t="s">
        <v>34</v>
      </c>
      <c r="L1438" s="3"/>
      <c r="M1438" s="3">
        <v>40715</v>
      </c>
      <c r="N1438" s="3">
        <v>40695</v>
      </c>
      <c r="O1438" s="3">
        <v>40695</v>
      </c>
      <c r="P1438" s="2" t="s">
        <v>95</v>
      </c>
      <c r="Q1438" s="2" t="s">
        <v>96</v>
      </c>
      <c r="R1438" s="2" t="s">
        <v>37</v>
      </c>
      <c r="S1438" s="2" t="s">
        <v>97</v>
      </c>
      <c r="T1438" s="2" t="s">
        <v>39</v>
      </c>
      <c r="U1438" s="2">
        <v>30</v>
      </c>
      <c r="V1438" s="2">
        <v>10158</v>
      </c>
      <c r="W1438" s="2">
        <v>42866.76</v>
      </c>
      <c r="X1438" s="2">
        <v>4.22</v>
      </c>
      <c r="Y1438" s="2">
        <v>0.14000000000000001</v>
      </c>
      <c r="AB1438">
        <v>1</v>
      </c>
      <c r="AC1438">
        <v>2011</v>
      </c>
      <c r="AE1438" s="2">
        <v>1422.1200000000001</v>
      </c>
    </row>
    <row r="1439" spans="2:31" ht="14.5">
      <c r="B1439" s="2">
        <v>85202</v>
      </c>
      <c r="C1439" s="2" t="s">
        <v>2466</v>
      </c>
      <c r="D1439" s="2" t="s">
        <v>2467</v>
      </c>
      <c r="E1439" s="2" t="s">
        <v>28</v>
      </c>
      <c r="F1439" s="2" t="s">
        <v>29</v>
      </c>
      <c r="G1439" s="2" t="s">
        <v>30</v>
      </c>
      <c r="H1439" s="2" t="s">
        <v>218</v>
      </c>
      <c r="I1439" s="2" t="s">
        <v>219</v>
      </c>
      <c r="J1439" s="2" t="s">
        <v>220</v>
      </c>
      <c r="K1439" s="2" t="s">
        <v>267</v>
      </c>
      <c r="L1439" s="3"/>
      <c r="M1439" s="3">
        <v>40819</v>
      </c>
      <c r="N1439" s="3">
        <v>40809</v>
      </c>
      <c r="O1439" s="3">
        <v>40809</v>
      </c>
      <c r="P1439" s="2" t="s">
        <v>749</v>
      </c>
      <c r="Q1439" s="2" t="s">
        <v>76</v>
      </c>
      <c r="R1439" s="2" t="s">
        <v>37</v>
      </c>
      <c r="S1439" s="2" t="s">
        <v>78</v>
      </c>
      <c r="T1439" s="2" t="s">
        <v>47</v>
      </c>
      <c r="U1439" s="2">
        <v>30</v>
      </c>
      <c r="V1439" s="2">
        <v>3428</v>
      </c>
      <c r="W1439" s="2">
        <v>68285.759999999995</v>
      </c>
      <c r="X1439" s="2">
        <v>19.920000000000002</v>
      </c>
      <c r="Y1439" s="2">
        <v>0.66</v>
      </c>
      <c r="Z1439" s="2">
        <v>396</v>
      </c>
      <c r="AA1439" s="2">
        <v>1047.17</v>
      </c>
      <c r="AB1439">
        <v>1</v>
      </c>
      <c r="AC1439">
        <v>2011</v>
      </c>
      <c r="AE1439" s="2">
        <v>2262.48</v>
      </c>
    </row>
    <row r="1440" spans="2:31" ht="14.5">
      <c r="B1440" s="2">
        <v>85208</v>
      </c>
      <c r="C1440" s="2" t="s">
        <v>2468</v>
      </c>
      <c r="D1440" s="2" t="s">
        <v>2469</v>
      </c>
      <c r="E1440" s="2" t="s">
        <v>28</v>
      </c>
      <c r="F1440" s="2" t="s">
        <v>29</v>
      </c>
      <c r="G1440" s="2" t="s">
        <v>50</v>
      </c>
      <c r="H1440" s="2" t="s">
        <v>218</v>
      </c>
      <c r="I1440" s="2" t="s">
        <v>219</v>
      </c>
      <c r="J1440" s="2" t="s">
        <v>220</v>
      </c>
      <c r="K1440" s="2" t="s">
        <v>267</v>
      </c>
      <c r="L1440" s="3"/>
      <c r="M1440" s="3">
        <v>40897</v>
      </c>
      <c r="N1440" s="3">
        <v>40889</v>
      </c>
      <c r="O1440" s="3">
        <v>40889</v>
      </c>
      <c r="P1440" s="2" t="s">
        <v>842</v>
      </c>
      <c r="Q1440" s="2" t="s">
        <v>113</v>
      </c>
      <c r="R1440" s="2" t="s">
        <v>37</v>
      </c>
      <c r="S1440" s="2" t="s">
        <v>843</v>
      </c>
      <c r="T1440" s="2" t="s">
        <v>729</v>
      </c>
      <c r="U1440" s="2">
        <v>60</v>
      </c>
      <c r="V1440" s="2">
        <v>9940</v>
      </c>
      <c r="W1440" s="2">
        <v>42245</v>
      </c>
      <c r="X1440" s="2">
        <v>4.25</v>
      </c>
      <c r="Y1440" s="2">
        <v>7.0000000000000007E-2</v>
      </c>
      <c r="Z1440" s="2">
        <v>562</v>
      </c>
      <c r="AA1440" s="2">
        <v>6614.27</v>
      </c>
      <c r="AB1440">
        <v>1</v>
      </c>
      <c r="AC1440">
        <v>2011</v>
      </c>
      <c r="AE1440" s="2">
        <v>695.80000000000007</v>
      </c>
    </row>
    <row r="1441" spans="2:31" ht="14.5">
      <c r="B1441" s="2">
        <v>85210</v>
      </c>
      <c r="C1441" s="2" t="s">
        <v>2470</v>
      </c>
      <c r="D1441" s="2" t="s">
        <v>2471</v>
      </c>
      <c r="E1441" s="2" t="s">
        <v>42</v>
      </c>
      <c r="F1441" s="2" t="s">
        <v>29</v>
      </c>
      <c r="G1441" s="2" t="s">
        <v>30</v>
      </c>
      <c r="H1441" s="2" t="s">
        <v>218</v>
      </c>
      <c r="I1441" s="2" t="s">
        <v>219</v>
      </c>
      <c r="J1441" s="2" t="s">
        <v>220</v>
      </c>
      <c r="K1441" s="2" t="s">
        <v>267</v>
      </c>
      <c r="L1441" s="3"/>
      <c r="M1441" s="3">
        <v>40885</v>
      </c>
      <c r="N1441" s="3">
        <v>40872</v>
      </c>
      <c r="O1441" s="3">
        <v>40872</v>
      </c>
      <c r="P1441" s="2" t="s">
        <v>780</v>
      </c>
      <c r="Q1441" s="2" t="s">
        <v>54</v>
      </c>
      <c r="R1441" s="2" t="s">
        <v>37</v>
      </c>
      <c r="S1441" s="2" t="s">
        <v>70</v>
      </c>
      <c r="T1441" s="2" t="s">
        <v>773</v>
      </c>
      <c r="U1441" s="2">
        <v>30</v>
      </c>
      <c r="V1441" s="2">
        <v>263</v>
      </c>
      <c r="W1441" s="2">
        <v>5260</v>
      </c>
      <c r="X1441" s="2">
        <v>20</v>
      </c>
      <c r="Y1441" s="2">
        <v>0.67</v>
      </c>
      <c r="Z1441" s="2">
        <v>21</v>
      </c>
      <c r="AA1441" s="2">
        <v>14622.43</v>
      </c>
      <c r="AB1441">
        <v>1</v>
      </c>
      <c r="AC1441">
        <v>2011</v>
      </c>
      <c r="AE1441" s="2">
        <v>176.21</v>
      </c>
    </row>
    <row r="1442" spans="2:31" ht="14.5">
      <c r="B1442" s="2">
        <v>85212</v>
      </c>
      <c r="C1442" s="2" t="s">
        <v>2472</v>
      </c>
      <c r="D1442" s="2" t="s">
        <v>2473</v>
      </c>
      <c r="E1442" s="2" t="s">
        <v>426</v>
      </c>
      <c r="F1442" s="2" t="s">
        <v>29</v>
      </c>
      <c r="G1442" s="2" t="s">
        <v>50</v>
      </c>
      <c r="H1442" s="2" t="s">
        <v>218</v>
      </c>
      <c r="I1442" s="2" t="s">
        <v>219</v>
      </c>
      <c r="J1442" s="2" t="s">
        <v>220</v>
      </c>
      <c r="K1442" s="2" t="s">
        <v>34</v>
      </c>
      <c r="L1442" s="3"/>
      <c r="M1442" s="3">
        <v>40877</v>
      </c>
      <c r="N1442" s="3">
        <v>40858</v>
      </c>
      <c r="O1442" s="3">
        <v>40858</v>
      </c>
      <c r="P1442" s="2" t="s">
        <v>740</v>
      </c>
      <c r="Q1442" s="2" t="s">
        <v>36</v>
      </c>
      <c r="R1442" s="2" t="s">
        <v>37</v>
      </c>
      <c r="S1442" s="2" t="s">
        <v>226</v>
      </c>
      <c r="T1442" s="2" t="s">
        <v>526</v>
      </c>
      <c r="U1442" s="2">
        <v>240</v>
      </c>
      <c r="V1442" s="2">
        <v>4000</v>
      </c>
      <c r="W1442" s="2">
        <v>7800</v>
      </c>
      <c r="X1442" s="2">
        <v>1.95</v>
      </c>
      <c r="Y1442" s="2">
        <v>0.01</v>
      </c>
      <c r="Z1442" s="2">
        <v>1496</v>
      </c>
      <c r="AA1442" s="2">
        <v>5752.74</v>
      </c>
      <c r="AB1442">
        <v>1</v>
      </c>
      <c r="AC1442">
        <v>2011</v>
      </c>
      <c r="AE1442" s="2">
        <v>40</v>
      </c>
    </row>
    <row r="1443" spans="2:31" ht="14.5">
      <c r="B1443" s="2">
        <v>85213</v>
      </c>
      <c r="C1443" s="2" t="s">
        <v>1776</v>
      </c>
      <c r="D1443" s="2" t="s">
        <v>1777</v>
      </c>
      <c r="E1443" s="2" t="s">
        <v>42</v>
      </c>
      <c r="F1443" s="2" t="s">
        <v>29</v>
      </c>
      <c r="G1443" s="2" t="s">
        <v>30</v>
      </c>
      <c r="H1443" s="2" t="s">
        <v>218</v>
      </c>
      <c r="I1443" s="2" t="s">
        <v>219</v>
      </c>
      <c r="J1443" s="2" t="s">
        <v>220</v>
      </c>
      <c r="K1443" s="2" t="s">
        <v>34</v>
      </c>
      <c r="L1443" s="3"/>
      <c r="M1443" s="3">
        <v>40882</v>
      </c>
      <c r="N1443" s="3">
        <v>40879</v>
      </c>
      <c r="O1443" s="3">
        <v>40879</v>
      </c>
      <c r="P1443" s="2" t="s">
        <v>333</v>
      </c>
      <c r="Q1443" s="2" t="s">
        <v>225</v>
      </c>
      <c r="R1443" s="2" t="s">
        <v>37</v>
      </c>
      <c r="S1443" s="2" t="s">
        <v>100</v>
      </c>
      <c r="T1443" s="2" t="s">
        <v>39</v>
      </c>
      <c r="U1443" s="2">
        <v>60</v>
      </c>
      <c r="V1443" s="2">
        <v>90</v>
      </c>
      <c r="W1443" s="2">
        <v>631.79999999999995</v>
      </c>
      <c r="X1443" s="2">
        <v>7.02</v>
      </c>
      <c r="Y1443" s="2">
        <v>0.12</v>
      </c>
      <c r="AB1443">
        <v>1</v>
      </c>
      <c r="AC1443">
        <v>2011</v>
      </c>
      <c r="AE1443" s="2">
        <v>10.799999999999999</v>
      </c>
    </row>
    <row r="1444" spans="2:31" ht="14.5">
      <c r="B1444" s="2">
        <v>85236</v>
      </c>
      <c r="C1444" s="2" t="s">
        <v>2474</v>
      </c>
      <c r="D1444" s="2" t="s">
        <v>2475</v>
      </c>
      <c r="E1444" s="2" t="s">
        <v>28</v>
      </c>
      <c r="F1444" s="2" t="s">
        <v>29</v>
      </c>
      <c r="G1444" s="2" t="s">
        <v>50</v>
      </c>
      <c r="H1444" s="2" t="s">
        <v>218</v>
      </c>
      <c r="I1444" s="2" t="s">
        <v>219</v>
      </c>
      <c r="J1444" s="2" t="s">
        <v>220</v>
      </c>
      <c r="K1444" s="2" t="s">
        <v>267</v>
      </c>
      <c r="L1444" s="3"/>
      <c r="M1444" s="3">
        <v>40998</v>
      </c>
      <c r="N1444" s="3">
        <v>40980</v>
      </c>
      <c r="O1444" s="3">
        <v>40980</v>
      </c>
      <c r="P1444" s="2" t="s">
        <v>547</v>
      </c>
      <c r="Q1444" s="2" t="s">
        <v>96</v>
      </c>
      <c r="R1444" s="2" t="s">
        <v>37</v>
      </c>
      <c r="S1444" s="2" t="s">
        <v>38</v>
      </c>
      <c r="T1444" s="2" t="s">
        <v>64</v>
      </c>
      <c r="U1444" s="2">
        <v>90</v>
      </c>
      <c r="V1444" s="2">
        <v>6510</v>
      </c>
      <c r="W1444" s="2">
        <v>57743.7</v>
      </c>
      <c r="X1444" s="2">
        <v>8.8699999999999992</v>
      </c>
      <c r="Y1444" s="2">
        <v>0.1</v>
      </c>
      <c r="Z1444" s="2">
        <v>830</v>
      </c>
      <c r="AA1444" s="2">
        <v>1698.83</v>
      </c>
      <c r="AB1444">
        <v>1</v>
      </c>
      <c r="AC1444">
        <v>2012</v>
      </c>
      <c r="AE1444" s="2">
        <v>651</v>
      </c>
    </row>
    <row r="1445" spans="2:31" ht="14.5">
      <c r="B1445" s="2">
        <v>85238</v>
      </c>
      <c r="C1445" s="2" t="s">
        <v>1573</v>
      </c>
      <c r="D1445" s="2" t="s">
        <v>1574</v>
      </c>
      <c r="E1445" s="2" t="s">
        <v>28</v>
      </c>
      <c r="F1445" s="2" t="s">
        <v>29</v>
      </c>
      <c r="G1445" s="2" t="s">
        <v>30</v>
      </c>
      <c r="H1445" s="2" t="s">
        <v>218</v>
      </c>
      <c r="I1445" s="2" t="s">
        <v>219</v>
      </c>
      <c r="J1445" s="2" t="s">
        <v>220</v>
      </c>
      <c r="K1445" s="2" t="s">
        <v>267</v>
      </c>
      <c r="L1445" s="3"/>
      <c r="M1445" s="3">
        <v>41005</v>
      </c>
      <c r="N1445" s="3">
        <v>40953</v>
      </c>
      <c r="O1445" s="3">
        <v>40953</v>
      </c>
      <c r="P1445" s="2" t="s">
        <v>333</v>
      </c>
      <c r="Q1445" s="2" t="s">
        <v>225</v>
      </c>
      <c r="R1445" s="2" t="s">
        <v>37</v>
      </c>
      <c r="S1445" s="2" t="s">
        <v>100</v>
      </c>
      <c r="T1445" s="2" t="s">
        <v>39</v>
      </c>
      <c r="U1445" s="2">
        <v>60</v>
      </c>
      <c r="V1445" s="2">
        <v>39402</v>
      </c>
      <c r="W1445" s="2">
        <v>276602.03999999998</v>
      </c>
      <c r="X1445" s="2">
        <v>7.02</v>
      </c>
      <c r="Y1445" s="2">
        <v>0.12</v>
      </c>
      <c r="AB1445">
        <v>1</v>
      </c>
      <c r="AC1445">
        <v>2012</v>
      </c>
      <c r="AE1445" s="2">
        <v>4728.24</v>
      </c>
    </row>
    <row r="1446" spans="2:31" ht="14.5">
      <c r="B1446" s="2">
        <v>85242</v>
      </c>
      <c r="C1446" s="2" t="s">
        <v>2476</v>
      </c>
      <c r="D1446" s="2" t="s">
        <v>2477</v>
      </c>
      <c r="E1446" s="2" t="s">
        <v>28</v>
      </c>
      <c r="F1446" s="2" t="s">
        <v>29</v>
      </c>
      <c r="G1446" s="2" t="s">
        <v>50</v>
      </c>
      <c r="H1446" s="2" t="s">
        <v>218</v>
      </c>
      <c r="I1446" s="2" t="s">
        <v>219</v>
      </c>
      <c r="J1446" s="2" t="s">
        <v>220</v>
      </c>
      <c r="K1446" s="2" t="s">
        <v>267</v>
      </c>
      <c r="L1446" s="3"/>
      <c r="M1446" s="3">
        <v>41010</v>
      </c>
      <c r="N1446" s="3">
        <v>41010</v>
      </c>
      <c r="O1446" s="3">
        <v>41010</v>
      </c>
      <c r="P1446" s="2" t="s">
        <v>842</v>
      </c>
      <c r="Q1446" s="2" t="s">
        <v>113</v>
      </c>
      <c r="R1446" s="2" t="s">
        <v>37</v>
      </c>
      <c r="S1446" s="2" t="s">
        <v>843</v>
      </c>
      <c r="T1446" s="2" t="s">
        <v>729</v>
      </c>
      <c r="U1446" s="2">
        <v>60</v>
      </c>
      <c r="V1446" s="2">
        <v>11262</v>
      </c>
      <c r="W1446" s="2">
        <v>47863.5</v>
      </c>
      <c r="X1446" s="2">
        <v>4.25</v>
      </c>
      <c r="Y1446" s="2">
        <v>7.0000000000000007E-2</v>
      </c>
      <c r="Z1446" s="2">
        <v>641</v>
      </c>
      <c r="AA1446" s="2">
        <v>3279.25</v>
      </c>
      <c r="AB1446">
        <v>1</v>
      </c>
      <c r="AC1446">
        <v>2012</v>
      </c>
      <c r="AE1446" s="2">
        <v>788.34</v>
      </c>
    </row>
    <row r="1447" spans="2:31" ht="14.5">
      <c r="B1447" s="2">
        <v>85244</v>
      </c>
      <c r="C1447" s="2" t="s">
        <v>1792</v>
      </c>
      <c r="D1447" s="2" t="s">
        <v>1793</v>
      </c>
      <c r="E1447" s="2" t="s">
        <v>1581</v>
      </c>
      <c r="F1447" s="2" t="s">
        <v>29</v>
      </c>
      <c r="G1447" s="2" t="s">
        <v>30</v>
      </c>
      <c r="H1447" s="2" t="s">
        <v>218</v>
      </c>
      <c r="I1447" s="2" t="s">
        <v>219</v>
      </c>
      <c r="J1447" s="2" t="s">
        <v>220</v>
      </c>
      <c r="K1447" s="2" t="s">
        <v>34</v>
      </c>
      <c r="L1447" s="3"/>
      <c r="M1447" s="3">
        <v>41025</v>
      </c>
      <c r="N1447" s="3">
        <v>41033</v>
      </c>
      <c r="O1447" s="3">
        <v>41033</v>
      </c>
      <c r="P1447" s="2" t="s">
        <v>150</v>
      </c>
      <c r="Q1447" s="2" t="s">
        <v>84</v>
      </c>
      <c r="R1447" s="2" t="s">
        <v>151</v>
      </c>
      <c r="S1447" s="2" t="s">
        <v>152</v>
      </c>
      <c r="T1447" s="2" t="s">
        <v>39</v>
      </c>
      <c r="U1447" s="2">
        <v>120</v>
      </c>
      <c r="V1447" s="2">
        <v>240</v>
      </c>
      <c r="W1447" s="2">
        <v>8097.6</v>
      </c>
      <c r="X1447" s="2">
        <v>33.74</v>
      </c>
      <c r="Y1447" s="2">
        <v>0.28000000000000003</v>
      </c>
      <c r="AB1447">
        <v>0</v>
      </c>
      <c r="AC1447">
        <v>2012</v>
      </c>
      <c r="AE1447" s="2">
        <v>67.2</v>
      </c>
    </row>
    <row r="1448" spans="2:31" ht="14.5">
      <c r="B1448" s="2">
        <v>85245</v>
      </c>
      <c r="C1448" s="2" t="s">
        <v>1575</v>
      </c>
      <c r="D1448" s="2" t="s">
        <v>1576</v>
      </c>
      <c r="E1448" s="2" t="s">
        <v>118</v>
      </c>
      <c r="F1448" s="2" t="s">
        <v>29</v>
      </c>
      <c r="G1448" s="2" t="s">
        <v>30</v>
      </c>
      <c r="H1448" s="2" t="s">
        <v>218</v>
      </c>
      <c r="I1448" s="2" t="s">
        <v>219</v>
      </c>
      <c r="J1448" s="2" t="s">
        <v>220</v>
      </c>
      <c r="K1448" s="2" t="s">
        <v>267</v>
      </c>
      <c r="L1448" s="3"/>
      <c r="M1448" s="3">
        <v>41023</v>
      </c>
      <c r="N1448" s="3">
        <v>40966</v>
      </c>
      <c r="O1448" s="3">
        <v>40966</v>
      </c>
      <c r="P1448" s="2" t="s">
        <v>44</v>
      </c>
      <c r="Q1448" s="2" t="s">
        <v>45</v>
      </c>
      <c r="R1448" s="2" t="s">
        <v>37</v>
      </c>
      <c r="S1448" s="2" t="s">
        <v>46</v>
      </c>
      <c r="T1448" s="2" t="s">
        <v>47</v>
      </c>
      <c r="U1448" s="2">
        <v>60</v>
      </c>
      <c r="V1448" s="2">
        <v>2900</v>
      </c>
      <c r="W1448" s="2">
        <v>23200</v>
      </c>
      <c r="X1448" s="2">
        <v>8</v>
      </c>
      <c r="Y1448" s="2">
        <v>0.13</v>
      </c>
      <c r="AB1448">
        <v>1</v>
      </c>
      <c r="AC1448">
        <v>2012</v>
      </c>
      <c r="AE1448" s="2">
        <v>377</v>
      </c>
    </row>
    <row r="1449" spans="2:31" ht="14.5">
      <c r="B1449" s="2">
        <v>85249</v>
      </c>
      <c r="C1449" s="2" t="s">
        <v>2005</v>
      </c>
      <c r="D1449" s="2" t="s">
        <v>2006</v>
      </c>
      <c r="E1449" s="2" t="s">
        <v>118</v>
      </c>
      <c r="F1449" s="2" t="s">
        <v>29</v>
      </c>
      <c r="G1449" s="2" t="s">
        <v>30</v>
      </c>
      <c r="H1449" s="2" t="s">
        <v>218</v>
      </c>
      <c r="I1449" s="2" t="s">
        <v>219</v>
      </c>
      <c r="J1449" s="2" t="s">
        <v>220</v>
      </c>
      <c r="K1449" s="2" t="s">
        <v>267</v>
      </c>
      <c r="L1449" s="3"/>
      <c r="M1449" s="3">
        <v>41045</v>
      </c>
      <c r="N1449" s="3">
        <v>40995</v>
      </c>
      <c r="O1449" s="3">
        <v>40995</v>
      </c>
      <c r="P1449" s="2" t="s">
        <v>112</v>
      </c>
      <c r="Q1449" s="2" t="s">
        <v>113</v>
      </c>
      <c r="R1449" s="2" t="s">
        <v>37</v>
      </c>
      <c r="S1449" s="2" t="s">
        <v>114</v>
      </c>
      <c r="T1449" s="2" t="s">
        <v>47</v>
      </c>
      <c r="U1449" s="2">
        <v>60</v>
      </c>
      <c r="V1449" s="2">
        <v>12762</v>
      </c>
      <c r="W1449" s="2">
        <v>140382</v>
      </c>
      <c r="X1449" s="2">
        <v>11</v>
      </c>
      <c r="Y1449" s="2">
        <v>0.18</v>
      </c>
      <c r="AB1449">
        <v>1</v>
      </c>
      <c r="AC1449">
        <v>2012</v>
      </c>
      <c r="AE1449" s="2">
        <v>2297.16</v>
      </c>
    </row>
    <row r="1450" spans="2:31" ht="14.5">
      <c r="B1450" s="2">
        <v>85276</v>
      </c>
      <c r="C1450" s="2" t="s">
        <v>1588</v>
      </c>
      <c r="D1450" s="2" t="s">
        <v>1589</v>
      </c>
      <c r="E1450" s="2" t="s">
        <v>118</v>
      </c>
      <c r="F1450" s="2" t="s">
        <v>29</v>
      </c>
      <c r="G1450" s="2" t="s">
        <v>30</v>
      </c>
      <c r="H1450" s="2" t="s">
        <v>218</v>
      </c>
      <c r="I1450" s="2" t="s">
        <v>219</v>
      </c>
      <c r="J1450" s="2" t="s">
        <v>220</v>
      </c>
      <c r="K1450" s="2" t="s">
        <v>34</v>
      </c>
      <c r="L1450" s="3"/>
      <c r="M1450" s="3">
        <v>41095</v>
      </c>
      <c r="N1450" s="3">
        <v>41106</v>
      </c>
      <c r="O1450" s="3">
        <v>41106</v>
      </c>
      <c r="P1450" s="2" t="s">
        <v>35</v>
      </c>
      <c r="Q1450" s="2" t="s">
        <v>36</v>
      </c>
      <c r="R1450" s="2" t="s">
        <v>37</v>
      </c>
      <c r="S1450" s="2" t="s">
        <v>38</v>
      </c>
      <c r="T1450" s="2" t="s">
        <v>39</v>
      </c>
      <c r="U1450" s="2">
        <v>60</v>
      </c>
      <c r="V1450" s="2">
        <v>36000</v>
      </c>
      <c r="W1450" s="2">
        <v>87840</v>
      </c>
      <c r="X1450" s="2">
        <v>2.44</v>
      </c>
      <c r="Y1450" s="2">
        <v>0.04</v>
      </c>
      <c r="AB1450">
        <v>0</v>
      </c>
      <c r="AC1450">
        <v>2012</v>
      </c>
      <c r="AE1450" s="2">
        <v>1440</v>
      </c>
    </row>
    <row r="1451" spans="2:31" ht="14.5">
      <c r="B1451" s="2">
        <v>85279</v>
      </c>
      <c r="C1451" s="2" t="s">
        <v>1592</v>
      </c>
      <c r="D1451" s="2" t="s">
        <v>1593</v>
      </c>
      <c r="E1451" s="2" t="s">
        <v>118</v>
      </c>
      <c r="F1451" s="2" t="s">
        <v>29</v>
      </c>
      <c r="G1451" s="2" t="s">
        <v>30</v>
      </c>
      <c r="H1451" s="2" t="s">
        <v>218</v>
      </c>
      <c r="I1451" s="2" t="s">
        <v>219</v>
      </c>
      <c r="J1451" s="2" t="s">
        <v>220</v>
      </c>
      <c r="K1451" s="2" t="s">
        <v>267</v>
      </c>
      <c r="L1451" s="3"/>
      <c r="M1451" s="3">
        <v>41157</v>
      </c>
      <c r="N1451" s="3">
        <v>41116</v>
      </c>
      <c r="O1451" s="3">
        <v>41116</v>
      </c>
      <c r="P1451" s="2" t="s">
        <v>164</v>
      </c>
      <c r="Q1451" s="2" t="s">
        <v>165</v>
      </c>
      <c r="R1451" s="2" t="s">
        <v>37</v>
      </c>
      <c r="S1451" s="2" t="s">
        <v>166</v>
      </c>
      <c r="T1451" s="2" t="s">
        <v>39</v>
      </c>
      <c r="U1451" s="2">
        <v>60</v>
      </c>
      <c r="V1451" s="2">
        <v>834</v>
      </c>
      <c r="W1451" s="2">
        <v>1851.48</v>
      </c>
      <c r="X1451" s="2">
        <v>2.2200000000000002</v>
      </c>
      <c r="Y1451" s="2">
        <v>0.04</v>
      </c>
      <c r="AB1451">
        <v>1</v>
      </c>
      <c r="AC1451">
        <v>2012</v>
      </c>
      <c r="AE1451" s="2">
        <v>33.36</v>
      </c>
    </row>
    <row r="1452" spans="2:31" ht="14.5">
      <c r="B1452" s="2">
        <v>85280</v>
      </c>
      <c r="C1452" s="2" t="s">
        <v>2478</v>
      </c>
      <c r="D1452" s="2" t="s">
        <v>2479</v>
      </c>
      <c r="E1452" s="2" t="s">
        <v>118</v>
      </c>
      <c r="F1452" s="2" t="s">
        <v>29</v>
      </c>
      <c r="G1452" s="2" t="s">
        <v>30</v>
      </c>
      <c r="H1452" s="2" t="s">
        <v>218</v>
      </c>
      <c r="I1452" s="2" t="s">
        <v>219</v>
      </c>
      <c r="J1452" s="2" t="s">
        <v>220</v>
      </c>
      <c r="K1452" s="2" t="s">
        <v>34</v>
      </c>
      <c r="L1452" s="3"/>
      <c r="M1452" s="3">
        <v>41138</v>
      </c>
      <c r="N1452" s="3">
        <v>41128</v>
      </c>
      <c r="O1452" s="3">
        <v>41128</v>
      </c>
      <c r="P1452" s="2" t="s">
        <v>44</v>
      </c>
      <c r="Q1452" s="2" t="s">
        <v>45</v>
      </c>
      <c r="R1452" s="2" t="s">
        <v>37</v>
      </c>
      <c r="S1452" s="2" t="s">
        <v>46</v>
      </c>
      <c r="T1452" s="2" t="s">
        <v>47</v>
      </c>
      <c r="U1452" s="2">
        <v>60</v>
      </c>
      <c r="V1452" s="2">
        <v>26574</v>
      </c>
      <c r="W1452" s="2">
        <v>206745.72</v>
      </c>
      <c r="X1452" s="2">
        <v>7.78</v>
      </c>
      <c r="Y1452" s="2">
        <v>0.13</v>
      </c>
      <c r="Z1452" s="2">
        <v>2369</v>
      </c>
      <c r="AA1452" s="2">
        <v>19980.62</v>
      </c>
      <c r="AB1452">
        <v>1</v>
      </c>
      <c r="AC1452">
        <v>2012</v>
      </c>
      <c r="AE1452" s="2">
        <v>3454.62</v>
      </c>
    </row>
    <row r="1453" spans="2:31" ht="14.5">
      <c r="B1453" s="2">
        <v>85283</v>
      </c>
      <c r="C1453" s="2" t="s">
        <v>2480</v>
      </c>
      <c r="D1453" s="2" t="s">
        <v>2481</v>
      </c>
      <c r="E1453" s="2" t="s">
        <v>28</v>
      </c>
      <c r="F1453" s="2" t="s">
        <v>29</v>
      </c>
      <c r="G1453" s="2" t="s">
        <v>50</v>
      </c>
      <c r="H1453" s="2" t="s">
        <v>218</v>
      </c>
      <c r="I1453" s="2" t="s">
        <v>219</v>
      </c>
      <c r="J1453" s="2" t="s">
        <v>220</v>
      </c>
      <c r="K1453" s="2" t="s">
        <v>267</v>
      </c>
      <c r="L1453" s="3"/>
      <c r="M1453" s="3">
        <v>41156</v>
      </c>
      <c r="N1453" s="3">
        <v>41143</v>
      </c>
      <c r="O1453" s="3">
        <v>41143</v>
      </c>
      <c r="P1453" s="2" t="s">
        <v>859</v>
      </c>
      <c r="Q1453" s="2" t="s">
        <v>45</v>
      </c>
      <c r="R1453" s="2" t="s">
        <v>37</v>
      </c>
      <c r="S1453" s="2" t="s">
        <v>728</v>
      </c>
      <c r="T1453" s="2" t="s">
        <v>47</v>
      </c>
      <c r="U1453" s="2">
        <v>60</v>
      </c>
      <c r="V1453" s="2">
        <v>38347</v>
      </c>
      <c r="W1453" s="2">
        <v>105837.72</v>
      </c>
      <c r="X1453" s="2">
        <v>2.76</v>
      </c>
      <c r="Y1453" s="2">
        <v>0.05</v>
      </c>
      <c r="Z1453" s="2">
        <v>1502</v>
      </c>
      <c r="AA1453" s="2">
        <v>6900.62</v>
      </c>
      <c r="AB1453">
        <v>1</v>
      </c>
      <c r="AC1453">
        <v>2012</v>
      </c>
      <c r="AE1453" s="2">
        <v>1917.3500000000001</v>
      </c>
    </row>
    <row r="1454" spans="2:31" ht="14.5">
      <c r="B1454" s="2">
        <v>85288</v>
      </c>
      <c r="C1454" s="2" t="s">
        <v>2482</v>
      </c>
      <c r="D1454" s="2" t="s">
        <v>2483</v>
      </c>
      <c r="E1454" s="2" t="s">
        <v>42</v>
      </c>
      <c r="F1454" s="2" t="s">
        <v>29</v>
      </c>
      <c r="G1454" s="2" t="s">
        <v>30</v>
      </c>
      <c r="H1454" s="2" t="s">
        <v>218</v>
      </c>
      <c r="I1454" s="2" t="s">
        <v>219</v>
      </c>
      <c r="J1454" s="2" t="s">
        <v>220</v>
      </c>
      <c r="K1454" s="2" t="s">
        <v>34</v>
      </c>
      <c r="L1454" s="3"/>
      <c r="M1454" s="3">
        <v>41213</v>
      </c>
      <c r="N1454" s="3">
        <v>41127</v>
      </c>
      <c r="O1454" s="3">
        <v>41127</v>
      </c>
      <c r="P1454" s="2" t="s">
        <v>759</v>
      </c>
      <c r="Q1454" s="2" t="s">
        <v>84</v>
      </c>
      <c r="R1454" s="2" t="s">
        <v>37</v>
      </c>
      <c r="S1454" s="2" t="s">
        <v>152</v>
      </c>
      <c r="T1454" s="2" t="s">
        <v>39</v>
      </c>
      <c r="U1454" s="2">
        <v>120</v>
      </c>
      <c r="V1454" s="2">
        <v>7541</v>
      </c>
      <c r="W1454" s="2">
        <v>223816.88</v>
      </c>
      <c r="X1454" s="2">
        <v>29.68</v>
      </c>
      <c r="Y1454" s="2">
        <v>0.25</v>
      </c>
      <c r="Z1454" s="2">
        <v>2003</v>
      </c>
      <c r="AA1454" s="2">
        <v>32401.62</v>
      </c>
      <c r="AB1454">
        <v>1</v>
      </c>
      <c r="AC1454">
        <v>2012</v>
      </c>
      <c r="AE1454" s="2">
        <v>1885.25</v>
      </c>
    </row>
    <row r="1455" spans="2:31" ht="14.5">
      <c r="B1455" s="2">
        <v>85302</v>
      </c>
      <c r="C1455" s="2" t="s">
        <v>2484</v>
      </c>
      <c r="D1455" s="2" t="s">
        <v>2485</v>
      </c>
      <c r="E1455" s="2" t="s">
        <v>118</v>
      </c>
      <c r="F1455" s="2" t="s">
        <v>29</v>
      </c>
      <c r="G1455" s="2" t="s">
        <v>30</v>
      </c>
      <c r="H1455" s="2" t="s">
        <v>218</v>
      </c>
      <c r="I1455" s="2" t="s">
        <v>219</v>
      </c>
      <c r="J1455" s="2" t="s">
        <v>220</v>
      </c>
      <c r="K1455" s="2" t="s">
        <v>267</v>
      </c>
      <c r="L1455" s="3"/>
      <c r="M1455" s="3">
        <v>41194</v>
      </c>
      <c r="N1455" s="3">
        <v>41177</v>
      </c>
      <c r="O1455" s="3">
        <v>41177</v>
      </c>
      <c r="P1455" s="2" t="s">
        <v>35</v>
      </c>
      <c r="Q1455" s="2" t="s">
        <v>36</v>
      </c>
      <c r="R1455" s="2" t="s">
        <v>37</v>
      </c>
      <c r="S1455" s="2" t="s">
        <v>38</v>
      </c>
      <c r="T1455" s="2" t="s">
        <v>39</v>
      </c>
      <c r="U1455" s="2">
        <v>60</v>
      </c>
      <c r="V1455" s="2">
        <v>22783</v>
      </c>
      <c r="W1455" s="2">
        <v>55134.86</v>
      </c>
      <c r="X1455" s="2">
        <v>2.42</v>
      </c>
      <c r="Y1455" s="2">
        <v>0.04</v>
      </c>
      <c r="Z1455" s="2">
        <v>1285</v>
      </c>
      <c r="AA1455" s="2">
        <v>6265.36</v>
      </c>
      <c r="AB1455">
        <v>1</v>
      </c>
      <c r="AC1455">
        <v>2012</v>
      </c>
      <c r="AE1455" s="2">
        <v>911.32</v>
      </c>
    </row>
    <row r="1456" spans="2:31" ht="14.5">
      <c r="B1456" s="2">
        <v>85303</v>
      </c>
      <c r="C1456" s="2" t="s">
        <v>2486</v>
      </c>
      <c r="D1456" s="2" t="s">
        <v>2487</v>
      </c>
      <c r="E1456" s="2" t="s">
        <v>118</v>
      </c>
      <c r="F1456" s="2" t="s">
        <v>29</v>
      </c>
      <c r="G1456" s="2" t="s">
        <v>30</v>
      </c>
      <c r="H1456" s="2" t="s">
        <v>218</v>
      </c>
      <c r="I1456" s="2" t="s">
        <v>219</v>
      </c>
      <c r="J1456" s="2" t="s">
        <v>220</v>
      </c>
      <c r="K1456" s="2" t="s">
        <v>267</v>
      </c>
      <c r="L1456" s="3"/>
      <c r="M1456" s="3">
        <v>41197</v>
      </c>
      <c r="N1456" s="3">
        <v>41194</v>
      </c>
      <c r="O1456" s="3">
        <v>41194</v>
      </c>
      <c r="P1456" s="2" t="s">
        <v>35</v>
      </c>
      <c r="Q1456" s="2" t="s">
        <v>36</v>
      </c>
      <c r="R1456" s="2" t="s">
        <v>37</v>
      </c>
      <c r="S1456" s="2" t="s">
        <v>38</v>
      </c>
      <c r="T1456" s="2" t="s">
        <v>39</v>
      </c>
      <c r="U1456" s="2">
        <v>60</v>
      </c>
      <c r="V1456" s="2">
        <v>26432</v>
      </c>
      <c r="W1456" s="2">
        <v>63965.440000000002</v>
      </c>
      <c r="X1456" s="2">
        <v>2.42</v>
      </c>
      <c r="Y1456" s="2">
        <v>0.04</v>
      </c>
      <c r="Z1456" s="2">
        <v>1499</v>
      </c>
      <c r="AA1456" s="2">
        <v>10915.97</v>
      </c>
      <c r="AB1456">
        <v>1</v>
      </c>
      <c r="AC1456">
        <v>2012</v>
      </c>
      <c r="AE1456" s="2">
        <v>1057.28</v>
      </c>
    </row>
    <row r="1457" spans="2:31" ht="14.5">
      <c r="B1457" s="2">
        <v>85304</v>
      </c>
      <c r="C1457" s="2" t="s">
        <v>2488</v>
      </c>
      <c r="D1457" s="2" t="s">
        <v>2489</v>
      </c>
      <c r="E1457" s="2" t="s">
        <v>42</v>
      </c>
      <c r="F1457" s="2" t="s">
        <v>29</v>
      </c>
      <c r="G1457" s="2" t="s">
        <v>30</v>
      </c>
      <c r="H1457" s="2" t="s">
        <v>218</v>
      </c>
      <c r="I1457" s="2" t="s">
        <v>219</v>
      </c>
      <c r="J1457" s="2" t="s">
        <v>220</v>
      </c>
      <c r="K1457" s="2" t="s">
        <v>34</v>
      </c>
      <c r="L1457" s="3"/>
      <c r="M1457" s="3">
        <v>41180</v>
      </c>
      <c r="N1457" s="3">
        <v>41192</v>
      </c>
      <c r="O1457" s="3">
        <v>41192</v>
      </c>
      <c r="P1457" s="2" t="s">
        <v>95</v>
      </c>
      <c r="Q1457" s="2" t="s">
        <v>96</v>
      </c>
      <c r="R1457" s="2" t="s">
        <v>37</v>
      </c>
      <c r="S1457" s="2" t="s">
        <v>97</v>
      </c>
      <c r="T1457" s="2" t="s">
        <v>39</v>
      </c>
      <c r="U1457" s="2">
        <v>30</v>
      </c>
      <c r="V1457" s="2">
        <v>50400</v>
      </c>
      <c r="W1457" s="2">
        <v>197064</v>
      </c>
      <c r="X1457" s="2">
        <v>3.91</v>
      </c>
      <c r="Y1457" s="2">
        <v>0.13</v>
      </c>
      <c r="Z1457" s="2">
        <v>3090</v>
      </c>
      <c r="AA1457" s="2">
        <v>16603.900000000001</v>
      </c>
      <c r="AB1457">
        <v>0</v>
      </c>
      <c r="AC1457">
        <v>2012</v>
      </c>
      <c r="AE1457" s="2">
        <v>6552</v>
      </c>
    </row>
    <row r="1458" spans="2:31" ht="14.5">
      <c r="B1458" s="2">
        <v>85305</v>
      </c>
      <c r="C1458" s="2" t="s">
        <v>2845</v>
      </c>
      <c r="D1458" s="2" t="s">
        <v>2846</v>
      </c>
      <c r="E1458" s="2" t="s">
        <v>2817</v>
      </c>
      <c r="F1458" s="2" t="s">
        <v>29</v>
      </c>
      <c r="G1458" s="2" t="s">
        <v>30</v>
      </c>
      <c r="H1458" s="2" t="s">
        <v>218</v>
      </c>
      <c r="I1458" s="2" t="s">
        <v>219</v>
      </c>
      <c r="J1458" s="2" t="s">
        <v>220</v>
      </c>
      <c r="K1458" s="2" t="s">
        <v>34</v>
      </c>
      <c r="L1458" s="3"/>
      <c r="M1458" s="3">
        <v>41200</v>
      </c>
      <c r="N1458" s="3">
        <v>41185</v>
      </c>
      <c r="O1458" s="3">
        <v>41185</v>
      </c>
      <c r="P1458" s="2" t="s">
        <v>35</v>
      </c>
      <c r="Q1458" s="2" t="s">
        <v>36</v>
      </c>
      <c r="R1458" s="2" t="s">
        <v>37</v>
      </c>
      <c r="S1458" s="2" t="s">
        <v>38</v>
      </c>
      <c r="T1458" s="2" t="s">
        <v>39</v>
      </c>
      <c r="U1458" s="2">
        <v>60</v>
      </c>
      <c r="V1458" s="2">
        <v>300</v>
      </c>
      <c r="W1458" s="2">
        <v>726</v>
      </c>
      <c r="X1458" s="2">
        <v>2.42</v>
      </c>
      <c r="Y1458" s="2">
        <v>0.04</v>
      </c>
      <c r="AB1458">
        <v>1</v>
      </c>
      <c r="AC1458">
        <v>2012</v>
      </c>
      <c r="AE1458" s="2">
        <v>12</v>
      </c>
    </row>
    <row r="1459" spans="2:31" ht="14.5">
      <c r="B1459" s="2">
        <v>85306</v>
      </c>
      <c r="C1459" s="2" t="s">
        <v>1604</v>
      </c>
      <c r="D1459" s="2" t="s">
        <v>1605</v>
      </c>
      <c r="E1459" s="2" t="s">
        <v>42</v>
      </c>
      <c r="F1459" s="2" t="s">
        <v>29</v>
      </c>
      <c r="G1459" s="2" t="s">
        <v>30</v>
      </c>
      <c r="H1459" s="2" t="s">
        <v>218</v>
      </c>
      <c r="I1459" s="2" t="s">
        <v>219</v>
      </c>
      <c r="J1459" s="2" t="s">
        <v>220</v>
      </c>
      <c r="K1459" s="2" t="s">
        <v>34</v>
      </c>
      <c r="L1459" s="3"/>
      <c r="M1459" s="3">
        <v>41201</v>
      </c>
      <c r="N1459" s="3">
        <v>41200</v>
      </c>
      <c r="O1459" s="3">
        <v>41200</v>
      </c>
      <c r="P1459" s="2" t="s">
        <v>706</v>
      </c>
      <c r="Q1459" s="2" t="s">
        <v>707</v>
      </c>
      <c r="R1459" s="2" t="s">
        <v>37</v>
      </c>
      <c r="S1459" s="2" t="s">
        <v>708</v>
      </c>
      <c r="T1459" s="2" t="s">
        <v>47</v>
      </c>
      <c r="U1459" s="2">
        <v>30</v>
      </c>
      <c r="V1459" s="2">
        <v>11492</v>
      </c>
      <c r="W1459" s="2">
        <v>63665.68</v>
      </c>
      <c r="X1459" s="2">
        <v>5.54</v>
      </c>
      <c r="Y1459" s="2">
        <v>0.18</v>
      </c>
      <c r="AB1459">
        <v>1</v>
      </c>
      <c r="AC1459">
        <v>2012</v>
      </c>
      <c r="AE1459" s="2">
        <v>2068.56</v>
      </c>
    </row>
    <row r="1460" spans="2:31" ht="14.5">
      <c r="B1460" s="2">
        <v>85319</v>
      </c>
      <c r="C1460" s="2" t="s">
        <v>2490</v>
      </c>
      <c r="D1460" s="2" t="s">
        <v>2491</v>
      </c>
      <c r="E1460" s="2" t="s">
        <v>118</v>
      </c>
      <c r="F1460" s="2" t="s">
        <v>29</v>
      </c>
      <c r="G1460" s="2" t="s">
        <v>30</v>
      </c>
      <c r="H1460" s="2" t="s">
        <v>218</v>
      </c>
      <c r="I1460" s="2" t="s">
        <v>219</v>
      </c>
      <c r="J1460" s="2" t="s">
        <v>220</v>
      </c>
      <c r="K1460" s="2" t="s">
        <v>34</v>
      </c>
      <c r="L1460" s="3"/>
      <c r="M1460" s="3">
        <v>41307</v>
      </c>
      <c r="N1460" s="3">
        <v>41307</v>
      </c>
      <c r="O1460" s="3">
        <v>41307</v>
      </c>
      <c r="P1460" s="2" t="s">
        <v>164</v>
      </c>
      <c r="Q1460" s="2" t="s">
        <v>165</v>
      </c>
      <c r="R1460" s="2" t="s">
        <v>37</v>
      </c>
      <c r="S1460" s="2" t="s">
        <v>166</v>
      </c>
      <c r="T1460" s="2" t="s">
        <v>39</v>
      </c>
      <c r="U1460" s="2">
        <v>60</v>
      </c>
      <c r="V1460" s="2">
        <v>2131</v>
      </c>
      <c r="W1460" s="2">
        <v>4602.96</v>
      </c>
      <c r="X1460" s="2">
        <v>2.16</v>
      </c>
      <c r="Y1460" s="2">
        <v>0.04</v>
      </c>
      <c r="Z1460" s="2">
        <v>117</v>
      </c>
      <c r="AA1460" s="2">
        <v>2005.48</v>
      </c>
      <c r="AB1460">
        <v>1</v>
      </c>
      <c r="AC1460">
        <v>2013</v>
      </c>
      <c r="AE1460" s="2">
        <v>85.24</v>
      </c>
    </row>
    <row r="1461" spans="2:31" ht="14.5">
      <c r="B1461" s="2">
        <v>85320</v>
      </c>
      <c r="C1461" s="2" t="s">
        <v>2492</v>
      </c>
      <c r="D1461" s="2" t="s">
        <v>2493</v>
      </c>
      <c r="E1461" s="2" t="s">
        <v>28</v>
      </c>
      <c r="F1461" s="2" t="s">
        <v>29</v>
      </c>
      <c r="G1461" s="2" t="s">
        <v>30</v>
      </c>
      <c r="H1461" s="2" t="s">
        <v>218</v>
      </c>
      <c r="I1461" s="2" t="s">
        <v>219</v>
      </c>
      <c r="J1461" s="2" t="s">
        <v>220</v>
      </c>
      <c r="K1461" s="2" t="s">
        <v>267</v>
      </c>
      <c r="L1461" s="3"/>
      <c r="M1461" s="3">
        <v>41337</v>
      </c>
      <c r="N1461" s="3">
        <v>41337</v>
      </c>
      <c r="O1461" s="3">
        <v>41337</v>
      </c>
      <c r="P1461" s="2" t="s">
        <v>759</v>
      </c>
      <c r="Q1461" s="2" t="s">
        <v>84</v>
      </c>
      <c r="R1461" s="2" t="s">
        <v>37</v>
      </c>
      <c r="S1461" s="2" t="s">
        <v>152</v>
      </c>
      <c r="T1461" s="2" t="s">
        <v>39</v>
      </c>
      <c r="U1461" s="2">
        <v>120</v>
      </c>
      <c r="V1461" s="2">
        <v>574</v>
      </c>
      <c r="W1461" s="2">
        <v>15325.8</v>
      </c>
      <c r="X1461" s="2">
        <v>26.7</v>
      </c>
      <c r="Y1461" s="2">
        <v>0.22</v>
      </c>
      <c r="Z1461" s="2">
        <v>4758</v>
      </c>
      <c r="AA1461" s="2">
        <v>6031.15</v>
      </c>
      <c r="AB1461">
        <v>1</v>
      </c>
      <c r="AC1461">
        <v>2013</v>
      </c>
      <c r="AE1461" s="2">
        <v>126.28</v>
      </c>
    </row>
    <row r="1462" spans="2:31" ht="14.5">
      <c r="B1462" s="2">
        <v>85332</v>
      </c>
      <c r="C1462" s="2" t="s">
        <v>2386</v>
      </c>
      <c r="D1462" s="2" t="s">
        <v>2387</v>
      </c>
      <c r="E1462" s="2" t="s">
        <v>118</v>
      </c>
      <c r="F1462" s="2" t="s">
        <v>29</v>
      </c>
      <c r="G1462" s="2" t="s">
        <v>30</v>
      </c>
      <c r="H1462" s="2" t="s">
        <v>218</v>
      </c>
      <c r="I1462" s="2" t="s">
        <v>219</v>
      </c>
      <c r="J1462" s="2" t="s">
        <v>220</v>
      </c>
      <c r="K1462" s="2" t="s">
        <v>34</v>
      </c>
      <c r="L1462" s="3"/>
      <c r="M1462" s="3">
        <v>41362</v>
      </c>
      <c r="N1462" s="3">
        <v>41334</v>
      </c>
      <c r="O1462" s="3">
        <v>41334</v>
      </c>
      <c r="P1462" s="2" t="s">
        <v>754</v>
      </c>
      <c r="Q1462" s="2" t="s">
        <v>755</v>
      </c>
      <c r="R1462" s="2" t="s">
        <v>37</v>
      </c>
      <c r="S1462" s="2" t="s">
        <v>756</v>
      </c>
      <c r="T1462" s="2" t="s">
        <v>47</v>
      </c>
      <c r="U1462" s="2">
        <v>30</v>
      </c>
      <c r="V1462" s="2">
        <v>14704</v>
      </c>
      <c r="W1462" s="2">
        <v>178065.44</v>
      </c>
      <c r="X1462" s="2">
        <v>12.11</v>
      </c>
      <c r="Y1462" s="2">
        <v>0.4</v>
      </c>
      <c r="AB1462">
        <v>1</v>
      </c>
      <c r="AC1462">
        <v>2013</v>
      </c>
      <c r="AE1462" s="2">
        <v>5881.6</v>
      </c>
    </row>
    <row r="1463" spans="2:31" ht="14.5">
      <c r="B1463" s="2">
        <v>85338</v>
      </c>
      <c r="C1463" s="2" t="s">
        <v>2047</v>
      </c>
      <c r="D1463" s="2" t="s">
        <v>2048</v>
      </c>
      <c r="E1463" s="2" t="s">
        <v>118</v>
      </c>
      <c r="F1463" s="2" t="s">
        <v>29</v>
      </c>
      <c r="G1463" s="2" t="s">
        <v>30</v>
      </c>
      <c r="H1463" s="2" t="s">
        <v>218</v>
      </c>
      <c r="I1463" s="2" t="s">
        <v>219</v>
      </c>
      <c r="J1463" s="2" t="s">
        <v>220</v>
      </c>
      <c r="K1463" s="2" t="s">
        <v>34</v>
      </c>
      <c r="L1463" s="3"/>
      <c r="M1463" s="3">
        <v>41342</v>
      </c>
      <c r="N1463" s="3">
        <v>41340</v>
      </c>
      <c r="O1463" s="3">
        <v>41340</v>
      </c>
      <c r="P1463" s="2" t="s">
        <v>35</v>
      </c>
      <c r="Q1463" s="2" t="s">
        <v>36</v>
      </c>
      <c r="R1463" s="2" t="s">
        <v>37</v>
      </c>
      <c r="S1463" s="2" t="s">
        <v>38</v>
      </c>
      <c r="T1463" s="2" t="s">
        <v>39</v>
      </c>
      <c r="U1463" s="2">
        <v>60</v>
      </c>
      <c r="V1463" s="2">
        <v>7875</v>
      </c>
      <c r="W1463" s="2">
        <v>17797.5</v>
      </c>
      <c r="X1463" s="2">
        <v>2.2599999999999998</v>
      </c>
      <c r="Y1463" s="2">
        <v>0.04</v>
      </c>
      <c r="AB1463">
        <v>1</v>
      </c>
      <c r="AC1463">
        <v>2013</v>
      </c>
      <c r="AE1463" s="2">
        <v>315</v>
      </c>
    </row>
    <row r="1464" spans="2:31" ht="14.5">
      <c r="B1464" s="2">
        <v>85343</v>
      </c>
      <c r="C1464" s="2" t="s">
        <v>1842</v>
      </c>
      <c r="D1464" s="2" t="s">
        <v>1843</v>
      </c>
      <c r="E1464" s="2" t="s">
        <v>118</v>
      </c>
      <c r="F1464" s="2" t="s">
        <v>29</v>
      </c>
      <c r="G1464" s="2" t="s">
        <v>50</v>
      </c>
      <c r="H1464" s="2" t="s">
        <v>218</v>
      </c>
      <c r="I1464" s="2" t="s">
        <v>219</v>
      </c>
      <c r="J1464" s="2" t="s">
        <v>220</v>
      </c>
      <c r="K1464" s="2" t="s">
        <v>267</v>
      </c>
      <c r="L1464" s="3"/>
      <c r="M1464" s="3">
        <v>41453</v>
      </c>
      <c r="N1464" s="3">
        <v>41353</v>
      </c>
      <c r="O1464" s="3">
        <v>41353</v>
      </c>
      <c r="P1464" s="2" t="s">
        <v>859</v>
      </c>
      <c r="Q1464" s="2" t="s">
        <v>45</v>
      </c>
      <c r="R1464" s="2" t="s">
        <v>37</v>
      </c>
      <c r="S1464" s="2" t="s">
        <v>728</v>
      </c>
      <c r="T1464" s="2" t="s">
        <v>47</v>
      </c>
      <c r="U1464" s="2">
        <v>60</v>
      </c>
      <c r="V1464" s="2">
        <v>2125</v>
      </c>
      <c r="W1464" s="2">
        <v>4802.5</v>
      </c>
      <c r="X1464" s="2">
        <v>2.2599999999999998</v>
      </c>
      <c r="Y1464" s="2">
        <v>0.04</v>
      </c>
      <c r="AB1464">
        <v>1</v>
      </c>
      <c r="AC1464">
        <v>2013</v>
      </c>
      <c r="AE1464" s="2">
        <v>85</v>
      </c>
    </row>
    <row r="1465" spans="2:31" ht="14.5">
      <c r="B1465" s="2">
        <v>85349</v>
      </c>
      <c r="C1465" s="2" t="s">
        <v>2494</v>
      </c>
      <c r="D1465" s="2" t="s">
        <v>2495</v>
      </c>
      <c r="E1465" s="2" t="s">
        <v>28</v>
      </c>
      <c r="F1465" s="2" t="s">
        <v>29</v>
      </c>
      <c r="G1465" s="2" t="s">
        <v>30</v>
      </c>
      <c r="H1465" s="2" t="s">
        <v>218</v>
      </c>
      <c r="I1465" s="2" t="s">
        <v>219</v>
      </c>
      <c r="J1465" s="2" t="s">
        <v>220</v>
      </c>
      <c r="K1465" s="2" t="s">
        <v>267</v>
      </c>
      <c r="L1465" s="3"/>
      <c r="M1465" s="3">
        <v>41425</v>
      </c>
      <c r="N1465" s="3">
        <v>41386</v>
      </c>
      <c r="O1465" s="3">
        <v>41386</v>
      </c>
      <c r="P1465" s="2" t="s">
        <v>1457</v>
      </c>
      <c r="Q1465" s="2" t="s">
        <v>236</v>
      </c>
      <c r="R1465" s="2" t="s">
        <v>37</v>
      </c>
      <c r="S1465" s="2" t="s">
        <v>1458</v>
      </c>
      <c r="T1465" s="2" t="s">
        <v>47</v>
      </c>
      <c r="U1465" s="2">
        <v>30</v>
      </c>
      <c r="V1465" s="2">
        <v>31512</v>
      </c>
      <c r="W1465" s="2">
        <v>191277.84</v>
      </c>
      <c r="X1465" s="2">
        <v>6.07</v>
      </c>
      <c r="Y1465" s="2">
        <v>0.2</v>
      </c>
      <c r="Z1465" s="2">
        <v>2635</v>
      </c>
      <c r="AA1465" s="2">
        <v>3300.95</v>
      </c>
      <c r="AB1465">
        <v>1</v>
      </c>
      <c r="AC1465">
        <v>2013</v>
      </c>
      <c r="AE1465" s="2">
        <v>6302.4000000000005</v>
      </c>
    </row>
    <row r="1466" spans="2:31" ht="14.5">
      <c r="B1466" s="2">
        <v>85350</v>
      </c>
      <c r="C1466" s="2" t="s">
        <v>2496</v>
      </c>
      <c r="D1466" s="2" t="s">
        <v>2497</v>
      </c>
      <c r="E1466" s="2" t="s">
        <v>118</v>
      </c>
      <c r="F1466" s="2" t="s">
        <v>29</v>
      </c>
      <c r="G1466" s="2" t="s">
        <v>50</v>
      </c>
      <c r="H1466" s="2" t="s">
        <v>218</v>
      </c>
      <c r="I1466" s="2" t="s">
        <v>219</v>
      </c>
      <c r="J1466" s="2" t="s">
        <v>220</v>
      </c>
      <c r="K1466" s="2" t="s">
        <v>267</v>
      </c>
      <c r="L1466" s="3"/>
      <c r="M1466" s="3">
        <v>41380</v>
      </c>
      <c r="N1466" s="3">
        <v>41389</v>
      </c>
      <c r="O1466" s="3">
        <v>41389</v>
      </c>
      <c r="P1466" s="2" t="s">
        <v>740</v>
      </c>
      <c r="Q1466" s="2" t="s">
        <v>36</v>
      </c>
      <c r="R1466" s="2" t="s">
        <v>37</v>
      </c>
      <c r="S1466" s="2" t="s">
        <v>226</v>
      </c>
      <c r="T1466" s="2" t="s">
        <v>526</v>
      </c>
      <c r="U1466" s="2">
        <v>240</v>
      </c>
      <c r="V1466" s="2">
        <v>36229</v>
      </c>
      <c r="W1466" s="2">
        <v>70646.55</v>
      </c>
      <c r="X1466" s="2">
        <v>1.95</v>
      </c>
      <c r="Y1466" s="2">
        <v>0.01</v>
      </c>
      <c r="Z1466" s="2">
        <v>13310</v>
      </c>
      <c r="AA1466" s="2">
        <v>12203.29</v>
      </c>
      <c r="AB1466">
        <v>0</v>
      </c>
      <c r="AC1466">
        <v>2013</v>
      </c>
      <c r="AE1466" s="2">
        <v>362.29</v>
      </c>
    </row>
    <row r="1467" spans="2:31" ht="14.5">
      <c r="B1467" s="2">
        <v>85351</v>
      </c>
      <c r="C1467" s="2" t="s">
        <v>2498</v>
      </c>
      <c r="D1467" s="2" t="s">
        <v>2499</v>
      </c>
      <c r="E1467" s="2" t="s">
        <v>28</v>
      </c>
      <c r="F1467" s="2" t="s">
        <v>29</v>
      </c>
      <c r="G1467" s="2" t="s">
        <v>30</v>
      </c>
      <c r="H1467" s="2" t="s">
        <v>218</v>
      </c>
      <c r="I1467" s="2" t="s">
        <v>219</v>
      </c>
      <c r="J1467" s="2" t="s">
        <v>220</v>
      </c>
      <c r="K1467" s="2" t="s">
        <v>267</v>
      </c>
      <c r="L1467" s="3"/>
      <c r="M1467" s="3">
        <v>41425</v>
      </c>
      <c r="N1467" s="3">
        <v>41403</v>
      </c>
      <c r="O1467" s="3">
        <v>41403</v>
      </c>
      <c r="P1467" s="2" t="s">
        <v>484</v>
      </c>
      <c r="Q1467" s="2" t="s">
        <v>105</v>
      </c>
      <c r="R1467" s="2" t="s">
        <v>37</v>
      </c>
      <c r="S1467" s="2" t="s">
        <v>100</v>
      </c>
      <c r="T1467" s="2" t="s">
        <v>39</v>
      </c>
      <c r="U1467" s="2">
        <v>30</v>
      </c>
      <c r="V1467" s="2">
        <v>1980</v>
      </c>
      <c r="W1467" s="2">
        <v>7999.2</v>
      </c>
      <c r="X1467" s="2">
        <v>4.04</v>
      </c>
      <c r="Y1467" s="2">
        <v>0.13</v>
      </c>
      <c r="Z1467" s="2">
        <v>126</v>
      </c>
      <c r="AA1467" s="2">
        <v>1382</v>
      </c>
      <c r="AB1467">
        <v>1</v>
      </c>
      <c r="AC1467">
        <v>2013</v>
      </c>
      <c r="AE1467" s="2">
        <v>257.40000000000003</v>
      </c>
    </row>
    <row r="1468" spans="2:31" ht="14.5">
      <c r="B1468" s="2">
        <v>85353</v>
      </c>
      <c r="C1468" s="2" t="s">
        <v>1624</v>
      </c>
      <c r="D1468" s="2" t="s">
        <v>1625</v>
      </c>
      <c r="E1468" s="2" t="s">
        <v>1581</v>
      </c>
      <c r="F1468" s="2" t="s">
        <v>29</v>
      </c>
      <c r="G1468" s="2" t="s">
        <v>30</v>
      </c>
      <c r="H1468" s="2" t="s">
        <v>218</v>
      </c>
      <c r="I1468" s="2" t="s">
        <v>219</v>
      </c>
      <c r="J1468" s="2" t="s">
        <v>220</v>
      </c>
      <c r="K1468" s="2" t="s">
        <v>34</v>
      </c>
      <c r="L1468" s="3"/>
      <c r="M1468" s="3">
        <v>41425</v>
      </c>
      <c r="N1468" s="3">
        <v>41417</v>
      </c>
      <c r="O1468" s="3">
        <v>41417</v>
      </c>
      <c r="P1468" s="2" t="s">
        <v>35</v>
      </c>
      <c r="Q1468" s="2" t="s">
        <v>36</v>
      </c>
      <c r="R1468" s="2" t="s">
        <v>37</v>
      </c>
      <c r="S1468" s="2" t="s">
        <v>38</v>
      </c>
      <c r="T1468" s="2" t="s">
        <v>39</v>
      </c>
      <c r="U1468" s="2">
        <v>60</v>
      </c>
      <c r="V1468" s="2">
        <v>450</v>
      </c>
      <c r="W1468" s="2">
        <v>1017</v>
      </c>
      <c r="X1468" s="2">
        <v>2.2599999999999998</v>
      </c>
      <c r="Y1468" s="2">
        <v>0.04</v>
      </c>
      <c r="AB1468">
        <v>1</v>
      </c>
      <c r="AC1468">
        <v>2013</v>
      </c>
      <c r="AE1468" s="2">
        <v>18</v>
      </c>
    </row>
    <row r="1469" spans="2:31" ht="14.5">
      <c r="B1469" s="2">
        <v>85354</v>
      </c>
      <c r="C1469" s="2" t="s">
        <v>1626</v>
      </c>
      <c r="D1469" s="2" t="s">
        <v>1627</v>
      </c>
      <c r="E1469" s="2" t="s">
        <v>118</v>
      </c>
      <c r="F1469" s="2" t="s">
        <v>29</v>
      </c>
      <c r="G1469" s="2" t="s">
        <v>30</v>
      </c>
      <c r="H1469" s="2" t="s">
        <v>218</v>
      </c>
      <c r="I1469" s="2" t="s">
        <v>219</v>
      </c>
      <c r="J1469" s="2" t="s">
        <v>220</v>
      </c>
      <c r="K1469" s="2" t="s">
        <v>267</v>
      </c>
      <c r="L1469" s="3"/>
      <c r="M1469" s="3">
        <v>41432</v>
      </c>
      <c r="N1469" s="3">
        <v>41432</v>
      </c>
      <c r="O1469" s="3">
        <v>41432</v>
      </c>
      <c r="P1469" s="2" t="s">
        <v>95</v>
      </c>
      <c r="Q1469" s="2" t="s">
        <v>96</v>
      </c>
      <c r="R1469" s="2" t="s">
        <v>37</v>
      </c>
      <c r="S1469" s="2" t="s">
        <v>97</v>
      </c>
      <c r="T1469" s="2" t="s">
        <v>39</v>
      </c>
      <c r="U1469" s="2">
        <v>30</v>
      </c>
      <c r="V1469" s="2">
        <v>24912</v>
      </c>
      <c r="W1469" s="2">
        <v>82956.960000000006</v>
      </c>
      <c r="X1469" s="2">
        <v>3.33</v>
      </c>
      <c r="Y1469" s="2">
        <v>0.11</v>
      </c>
      <c r="AB1469">
        <v>1</v>
      </c>
      <c r="AC1469">
        <v>2013</v>
      </c>
      <c r="AE1469" s="2">
        <v>2740.32</v>
      </c>
    </row>
    <row r="1470" spans="2:31" ht="14.5">
      <c r="B1470" s="2">
        <v>85355</v>
      </c>
      <c r="C1470" s="2" t="s">
        <v>1626</v>
      </c>
      <c r="D1470" s="2" t="s">
        <v>1627</v>
      </c>
      <c r="E1470" s="2" t="s">
        <v>118</v>
      </c>
      <c r="F1470" s="2" t="s">
        <v>29</v>
      </c>
      <c r="G1470" s="2" t="s">
        <v>30</v>
      </c>
      <c r="H1470" s="2" t="s">
        <v>218</v>
      </c>
      <c r="I1470" s="2" t="s">
        <v>219</v>
      </c>
      <c r="J1470" s="2" t="s">
        <v>220</v>
      </c>
      <c r="K1470" s="2" t="s">
        <v>267</v>
      </c>
      <c r="L1470" s="3"/>
      <c r="M1470" s="3">
        <v>41432</v>
      </c>
      <c r="N1470" s="3">
        <v>41432</v>
      </c>
      <c r="O1470" s="3">
        <v>41432</v>
      </c>
      <c r="P1470" s="2" t="s">
        <v>112</v>
      </c>
      <c r="Q1470" s="2" t="s">
        <v>113</v>
      </c>
      <c r="R1470" s="2" t="s">
        <v>37</v>
      </c>
      <c r="S1470" s="2" t="s">
        <v>114</v>
      </c>
      <c r="T1470" s="2" t="s">
        <v>47</v>
      </c>
      <c r="U1470" s="2">
        <v>60</v>
      </c>
      <c r="V1470" s="2">
        <v>68736</v>
      </c>
      <c r="W1470" s="2">
        <v>589754.88</v>
      </c>
      <c r="X1470" s="2">
        <v>8.58</v>
      </c>
      <c r="Y1470" s="2">
        <v>0.14000000000000001</v>
      </c>
      <c r="AB1470">
        <v>1</v>
      </c>
      <c r="AC1470">
        <v>2013</v>
      </c>
      <c r="AE1470" s="2">
        <v>9623.0400000000009</v>
      </c>
    </row>
    <row r="1471" spans="2:31" ht="14.5">
      <c r="B1471" s="2">
        <v>85356</v>
      </c>
      <c r="C1471" s="2" t="s">
        <v>2832</v>
      </c>
      <c r="D1471" s="2" t="s">
        <v>2833</v>
      </c>
      <c r="E1471" s="2" t="s">
        <v>2817</v>
      </c>
      <c r="F1471" s="2" t="s">
        <v>29</v>
      </c>
      <c r="G1471" s="2" t="s">
        <v>30</v>
      </c>
      <c r="H1471" s="2" t="s">
        <v>218</v>
      </c>
      <c r="I1471" s="2" t="s">
        <v>219</v>
      </c>
      <c r="J1471" s="2" t="s">
        <v>220</v>
      </c>
      <c r="K1471" s="2" t="s">
        <v>34</v>
      </c>
      <c r="L1471" s="3"/>
      <c r="M1471" s="3">
        <v>41394</v>
      </c>
      <c r="N1471" s="3">
        <v>41388</v>
      </c>
      <c r="O1471" s="3">
        <v>41388</v>
      </c>
      <c r="P1471" s="2" t="s">
        <v>754</v>
      </c>
      <c r="Q1471" s="2" t="s">
        <v>755</v>
      </c>
      <c r="R1471" s="2" t="s">
        <v>37</v>
      </c>
      <c r="S1471" s="2" t="s">
        <v>756</v>
      </c>
      <c r="T1471" s="2" t="s">
        <v>47</v>
      </c>
      <c r="U1471" s="2">
        <v>30</v>
      </c>
      <c r="V1471" s="2">
        <v>1278</v>
      </c>
      <c r="W1471" s="2">
        <v>13444.56</v>
      </c>
      <c r="X1471" s="2">
        <v>10.52</v>
      </c>
      <c r="Y1471" s="2">
        <v>0.35</v>
      </c>
      <c r="AB1471">
        <v>1</v>
      </c>
      <c r="AC1471">
        <v>2013</v>
      </c>
      <c r="AE1471" s="2">
        <v>447.29999999999995</v>
      </c>
    </row>
    <row r="1472" spans="2:31" ht="14.5">
      <c r="B1472" s="2">
        <v>85357</v>
      </c>
      <c r="C1472" s="2" t="s">
        <v>2500</v>
      </c>
      <c r="D1472" s="2" t="s">
        <v>2501</v>
      </c>
      <c r="E1472" s="2" t="s">
        <v>118</v>
      </c>
      <c r="F1472" s="2" t="s">
        <v>29</v>
      </c>
      <c r="G1472" s="2" t="s">
        <v>30</v>
      </c>
      <c r="H1472" s="2" t="s">
        <v>218</v>
      </c>
      <c r="I1472" s="2" t="s">
        <v>219</v>
      </c>
      <c r="J1472" s="2" t="s">
        <v>220</v>
      </c>
      <c r="K1472" s="2" t="s">
        <v>267</v>
      </c>
      <c r="L1472" s="3"/>
      <c r="M1472" s="3">
        <v>41429</v>
      </c>
      <c r="N1472" s="3">
        <v>41429</v>
      </c>
      <c r="O1472" s="3">
        <v>41429</v>
      </c>
      <c r="P1472" s="2" t="s">
        <v>706</v>
      </c>
      <c r="Q1472" s="2" t="s">
        <v>707</v>
      </c>
      <c r="R1472" s="2" t="s">
        <v>37</v>
      </c>
      <c r="S1472" s="2" t="s">
        <v>708</v>
      </c>
      <c r="T1472" s="2" t="s">
        <v>47</v>
      </c>
      <c r="U1472" s="2">
        <v>30</v>
      </c>
      <c r="V1472" s="2">
        <v>26940</v>
      </c>
      <c r="W1472" s="2">
        <v>126618</v>
      </c>
      <c r="X1472" s="2">
        <v>4.7</v>
      </c>
      <c r="Y1472" s="2">
        <v>0.16</v>
      </c>
      <c r="Z1472" s="2">
        <v>2517</v>
      </c>
      <c r="AA1472" s="2">
        <v>11803.13</v>
      </c>
      <c r="AB1472">
        <v>1</v>
      </c>
      <c r="AC1472">
        <v>2013</v>
      </c>
      <c r="AE1472" s="2">
        <v>4310.3999999999996</v>
      </c>
    </row>
    <row r="1473" spans="2:31" ht="14.5">
      <c r="B1473" s="2">
        <v>85359</v>
      </c>
      <c r="C1473" s="2" t="s">
        <v>2502</v>
      </c>
      <c r="D1473" s="2" t="s">
        <v>2503</v>
      </c>
      <c r="E1473" s="2" t="s">
        <v>118</v>
      </c>
      <c r="F1473" s="2" t="s">
        <v>29</v>
      </c>
      <c r="G1473" s="2" t="s">
        <v>50</v>
      </c>
      <c r="H1473" s="2" t="s">
        <v>218</v>
      </c>
      <c r="I1473" s="2" t="s">
        <v>219</v>
      </c>
      <c r="J1473" s="2" t="s">
        <v>220</v>
      </c>
      <c r="K1473" s="2" t="s">
        <v>267</v>
      </c>
      <c r="L1473" s="3"/>
      <c r="M1473" s="3">
        <v>41453</v>
      </c>
      <c r="N1473" s="3">
        <v>41409</v>
      </c>
      <c r="O1473" s="3">
        <v>41409</v>
      </c>
      <c r="P1473" s="2" t="s">
        <v>842</v>
      </c>
      <c r="Q1473" s="2" t="s">
        <v>113</v>
      </c>
      <c r="R1473" s="2" t="s">
        <v>37</v>
      </c>
      <c r="S1473" s="2" t="s">
        <v>843</v>
      </c>
      <c r="T1473" s="2" t="s">
        <v>729</v>
      </c>
      <c r="U1473" s="2">
        <v>60</v>
      </c>
      <c r="V1473" s="2">
        <v>5861</v>
      </c>
      <c r="W1473" s="2">
        <v>24323.15</v>
      </c>
      <c r="X1473" s="2">
        <v>4.1500000000000004</v>
      </c>
      <c r="Y1473" s="2">
        <v>7.0000000000000007E-2</v>
      </c>
      <c r="Z1473" s="2">
        <v>345</v>
      </c>
      <c r="AA1473" s="2">
        <v>3426.68</v>
      </c>
      <c r="AB1473">
        <v>1</v>
      </c>
      <c r="AC1473">
        <v>2013</v>
      </c>
      <c r="AE1473" s="2">
        <v>410.27000000000004</v>
      </c>
    </row>
    <row r="1474" spans="2:31" ht="14.5">
      <c r="B1474" s="2">
        <v>85362</v>
      </c>
      <c r="C1474" s="2" t="s">
        <v>2504</v>
      </c>
      <c r="D1474" s="2" t="s">
        <v>2505</v>
      </c>
      <c r="E1474" s="2" t="s">
        <v>42</v>
      </c>
      <c r="F1474" s="2" t="s">
        <v>29</v>
      </c>
      <c r="G1474" s="2" t="s">
        <v>50</v>
      </c>
      <c r="H1474" s="2" t="s">
        <v>218</v>
      </c>
      <c r="I1474" s="2" t="s">
        <v>219</v>
      </c>
      <c r="J1474" s="2" t="s">
        <v>220</v>
      </c>
      <c r="K1474" s="2" t="s">
        <v>34</v>
      </c>
      <c r="L1474" s="3"/>
      <c r="M1474" s="3">
        <v>41453</v>
      </c>
      <c r="N1474" s="3">
        <v>41418</v>
      </c>
      <c r="O1474" s="3">
        <v>41418</v>
      </c>
      <c r="P1474" s="2" t="s">
        <v>1926</v>
      </c>
      <c r="Q1474" s="2" t="s">
        <v>225</v>
      </c>
      <c r="R1474" s="2" t="s">
        <v>37</v>
      </c>
      <c r="S1474" s="2" t="s">
        <v>226</v>
      </c>
      <c r="T1474" s="2" t="s">
        <v>87</v>
      </c>
      <c r="U1474" s="2">
        <v>240</v>
      </c>
      <c r="V1474" s="2">
        <v>3000</v>
      </c>
      <c r="W1474" s="2">
        <v>6300</v>
      </c>
      <c r="X1474" s="2">
        <v>2.1</v>
      </c>
      <c r="Y1474" s="2">
        <v>0.01</v>
      </c>
      <c r="Z1474" s="2">
        <v>1151</v>
      </c>
      <c r="AA1474" s="2">
        <v>7086.88</v>
      </c>
      <c r="AB1474">
        <v>1</v>
      </c>
      <c r="AC1474">
        <v>2013</v>
      </c>
      <c r="AE1474" s="2">
        <v>30</v>
      </c>
    </row>
    <row r="1475" spans="2:31" ht="14.5">
      <c r="B1475" s="2">
        <v>85381</v>
      </c>
      <c r="C1475" s="2" t="s">
        <v>2506</v>
      </c>
      <c r="D1475" s="2" t="s">
        <v>2507</v>
      </c>
      <c r="E1475" s="2" t="s">
        <v>28</v>
      </c>
      <c r="F1475" s="2" t="s">
        <v>29</v>
      </c>
      <c r="G1475" s="2" t="s">
        <v>50</v>
      </c>
      <c r="H1475" s="2" t="s">
        <v>218</v>
      </c>
      <c r="I1475" s="2" t="s">
        <v>219</v>
      </c>
      <c r="J1475" s="2" t="s">
        <v>220</v>
      </c>
      <c r="K1475" s="2" t="s">
        <v>267</v>
      </c>
      <c r="L1475" s="3"/>
      <c r="M1475" s="3">
        <v>41528</v>
      </c>
      <c r="N1475" s="3">
        <v>41528</v>
      </c>
      <c r="O1475" s="3">
        <v>41528</v>
      </c>
      <c r="P1475" s="2" t="s">
        <v>1664</v>
      </c>
      <c r="Q1475" s="2" t="s">
        <v>1000</v>
      </c>
      <c r="R1475" s="2" t="s">
        <v>37</v>
      </c>
      <c r="S1475" s="2" t="s">
        <v>1665</v>
      </c>
      <c r="T1475" s="2" t="s">
        <v>47</v>
      </c>
      <c r="U1475" s="2">
        <v>60</v>
      </c>
      <c r="V1475" s="2">
        <v>578</v>
      </c>
      <c r="W1475" s="2">
        <v>2312</v>
      </c>
      <c r="X1475" s="2">
        <v>4</v>
      </c>
      <c r="Y1475" s="2">
        <v>7.0000000000000007E-2</v>
      </c>
      <c r="Z1475" s="2">
        <v>24</v>
      </c>
      <c r="AA1475" s="2">
        <v>1506.5</v>
      </c>
      <c r="AB1475">
        <v>1</v>
      </c>
      <c r="AC1475">
        <v>2013</v>
      </c>
      <c r="AE1475" s="2">
        <v>40.46</v>
      </c>
    </row>
    <row r="1476" spans="2:31" ht="14.5">
      <c r="B1476" s="2">
        <v>85383</v>
      </c>
      <c r="C1476" s="2" t="s">
        <v>2859</v>
      </c>
      <c r="D1476" s="2" t="s">
        <v>2860</v>
      </c>
      <c r="E1476" s="2" t="s">
        <v>2817</v>
      </c>
      <c r="F1476" s="2" t="s">
        <v>29</v>
      </c>
      <c r="G1476" s="2" t="s">
        <v>30</v>
      </c>
      <c r="H1476" s="2" t="s">
        <v>218</v>
      </c>
      <c r="I1476" s="2" t="s">
        <v>219</v>
      </c>
      <c r="J1476" s="2" t="s">
        <v>220</v>
      </c>
      <c r="K1476" s="2" t="s">
        <v>267</v>
      </c>
      <c r="L1476" s="3"/>
      <c r="M1476" s="3">
        <v>41512</v>
      </c>
      <c r="N1476" s="3">
        <v>41512</v>
      </c>
      <c r="O1476" s="3">
        <v>41512</v>
      </c>
      <c r="P1476" s="2" t="s">
        <v>44</v>
      </c>
      <c r="Q1476" s="2" t="s">
        <v>45</v>
      </c>
      <c r="R1476" s="2" t="s">
        <v>37</v>
      </c>
      <c r="S1476" s="2" t="s">
        <v>46</v>
      </c>
      <c r="T1476" s="2" t="s">
        <v>47</v>
      </c>
      <c r="U1476" s="2">
        <v>60</v>
      </c>
      <c r="V1476" s="2">
        <v>240</v>
      </c>
      <c r="W1476" s="2">
        <v>1744.8</v>
      </c>
      <c r="X1476" s="2">
        <v>7.27</v>
      </c>
      <c r="Y1476" s="2">
        <v>0.12</v>
      </c>
      <c r="AB1476">
        <v>1</v>
      </c>
      <c r="AC1476">
        <v>2013</v>
      </c>
      <c r="AE1476" s="2">
        <v>28.799999999999997</v>
      </c>
    </row>
    <row r="1477" spans="2:31" ht="14.5">
      <c r="B1477" s="2">
        <v>85384</v>
      </c>
      <c r="C1477" s="2" t="s">
        <v>2508</v>
      </c>
      <c r="D1477" s="2" t="s">
        <v>2509</v>
      </c>
      <c r="E1477" s="2" t="s">
        <v>28</v>
      </c>
      <c r="F1477" s="2" t="s">
        <v>29</v>
      </c>
      <c r="G1477" s="2" t="s">
        <v>30</v>
      </c>
      <c r="H1477" s="2" t="s">
        <v>218</v>
      </c>
      <c r="I1477" s="2" t="s">
        <v>219</v>
      </c>
      <c r="J1477" s="2" t="s">
        <v>220</v>
      </c>
      <c r="K1477" s="2" t="s">
        <v>34</v>
      </c>
      <c r="L1477" s="3"/>
      <c r="M1477" s="3">
        <v>41563</v>
      </c>
      <c r="N1477" s="3">
        <v>41522</v>
      </c>
      <c r="O1477" s="3">
        <v>41522</v>
      </c>
      <c r="P1477" s="2" t="s">
        <v>112</v>
      </c>
      <c r="Q1477" s="2" t="s">
        <v>113</v>
      </c>
      <c r="R1477" s="2" t="s">
        <v>37</v>
      </c>
      <c r="S1477" s="2" t="s">
        <v>114</v>
      </c>
      <c r="T1477" s="2" t="s">
        <v>47</v>
      </c>
      <c r="U1477" s="2">
        <v>60</v>
      </c>
      <c r="V1477" s="2">
        <v>60000</v>
      </c>
      <c r="W1477" s="2">
        <v>495600</v>
      </c>
      <c r="X1477" s="2">
        <v>8.26</v>
      </c>
      <c r="Y1477" s="2">
        <v>0.14000000000000001</v>
      </c>
      <c r="Z1477" s="2">
        <v>7857</v>
      </c>
      <c r="AA1477" s="2">
        <v>40857.69</v>
      </c>
      <c r="AB1477">
        <v>1</v>
      </c>
      <c r="AC1477">
        <v>2013</v>
      </c>
      <c r="AE1477" s="2">
        <v>8400</v>
      </c>
    </row>
    <row r="1478" spans="2:31" ht="14.5">
      <c r="B1478" s="2">
        <v>85385</v>
      </c>
      <c r="C1478" s="2" t="s">
        <v>2073</v>
      </c>
      <c r="D1478" s="2" t="s">
        <v>2074</v>
      </c>
      <c r="E1478" s="2" t="s">
        <v>118</v>
      </c>
      <c r="F1478" s="2" t="s">
        <v>29</v>
      </c>
      <c r="G1478" s="2" t="s">
        <v>30</v>
      </c>
      <c r="H1478" s="2" t="s">
        <v>218</v>
      </c>
      <c r="I1478" s="2" t="s">
        <v>219</v>
      </c>
      <c r="J1478" s="2" t="s">
        <v>220</v>
      </c>
      <c r="K1478" s="2" t="s">
        <v>34</v>
      </c>
      <c r="L1478" s="3"/>
      <c r="M1478" s="3">
        <v>41515</v>
      </c>
      <c r="N1478" s="3">
        <v>41530</v>
      </c>
      <c r="O1478" s="3">
        <v>41530</v>
      </c>
      <c r="P1478" s="2" t="s">
        <v>112</v>
      </c>
      <c r="Q1478" s="2" t="s">
        <v>113</v>
      </c>
      <c r="R1478" s="2" t="s">
        <v>37</v>
      </c>
      <c r="S1478" s="2" t="s">
        <v>114</v>
      </c>
      <c r="T1478" s="2" t="s">
        <v>47</v>
      </c>
      <c r="U1478" s="2">
        <v>60</v>
      </c>
      <c r="V1478" s="2">
        <v>100000</v>
      </c>
      <c r="W1478" s="2">
        <v>858000</v>
      </c>
      <c r="X1478" s="2">
        <v>8.58</v>
      </c>
      <c r="Y1478" s="2">
        <v>0.14000000000000001</v>
      </c>
      <c r="AB1478">
        <v>0</v>
      </c>
      <c r="AC1478">
        <v>2013</v>
      </c>
      <c r="AE1478" s="2">
        <v>14000.000000000002</v>
      </c>
    </row>
    <row r="1479" spans="2:31" ht="14.5">
      <c r="B1479" s="2">
        <v>85388</v>
      </c>
      <c r="C1479" s="2" t="s">
        <v>2510</v>
      </c>
      <c r="D1479" s="2" t="s">
        <v>2511</v>
      </c>
      <c r="E1479" s="2" t="s">
        <v>1581</v>
      </c>
      <c r="F1479" s="2" t="s">
        <v>29</v>
      </c>
      <c r="G1479" s="2" t="s">
        <v>50</v>
      </c>
      <c r="H1479" s="2" t="s">
        <v>218</v>
      </c>
      <c r="I1479" s="2" t="s">
        <v>219</v>
      </c>
      <c r="J1479" s="2" t="s">
        <v>220</v>
      </c>
      <c r="K1479" s="2" t="s">
        <v>34</v>
      </c>
      <c r="L1479" s="3"/>
      <c r="M1479" s="3">
        <v>41464</v>
      </c>
      <c r="N1479" s="3">
        <v>41509</v>
      </c>
      <c r="O1479" s="3">
        <v>41509</v>
      </c>
      <c r="P1479" s="2" t="s">
        <v>1288</v>
      </c>
      <c r="Q1479" s="2" t="s">
        <v>165</v>
      </c>
      <c r="R1479" s="2" t="s">
        <v>37</v>
      </c>
      <c r="S1479" s="2" t="s">
        <v>226</v>
      </c>
      <c r="T1479" s="2" t="s">
        <v>87</v>
      </c>
      <c r="U1479" s="2">
        <v>240</v>
      </c>
      <c r="V1479" s="2">
        <v>927</v>
      </c>
      <c r="W1479" s="2">
        <v>1714.95</v>
      </c>
      <c r="X1479" s="2">
        <v>1.85</v>
      </c>
      <c r="Y1479" s="2">
        <v>0.01</v>
      </c>
      <c r="Z1479" s="2">
        <v>891</v>
      </c>
      <c r="AA1479" s="2">
        <v>4674.58</v>
      </c>
      <c r="AB1479">
        <v>0</v>
      </c>
      <c r="AC1479">
        <v>2013</v>
      </c>
      <c r="AE1479" s="2">
        <v>9.27</v>
      </c>
    </row>
    <row r="1480" spans="2:31" ht="14.5">
      <c r="B1480" s="2">
        <v>85389</v>
      </c>
      <c r="C1480" s="2" t="s">
        <v>2510</v>
      </c>
      <c r="D1480" s="2" t="s">
        <v>2511</v>
      </c>
      <c r="E1480" s="2" t="s">
        <v>1581</v>
      </c>
      <c r="F1480" s="2" t="s">
        <v>29</v>
      </c>
      <c r="G1480" s="2" t="s">
        <v>50</v>
      </c>
      <c r="H1480" s="2" t="s">
        <v>218</v>
      </c>
      <c r="I1480" s="2" t="s">
        <v>219</v>
      </c>
      <c r="J1480" s="2" t="s">
        <v>220</v>
      </c>
      <c r="K1480" s="2" t="s">
        <v>34</v>
      </c>
      <c r="L1480" s="3"/>
      <c r="M1480" s="3">
        <v>41464</v>
      </c>
      <c r="N1480" s="3">
        <v>41509</v>
      </c>
      <c r="O1480" s="3">
        <v>41509</v>
      </c>
      <c r="P1480" s="2" t="s">
        <v>1926</v>
      </c>
      <c r="Q1480" s="2" t="s">
        <v>225</v>
      </c>
      <c r="R1480" s="2" t="s">
        <v>37</v>
      </c>
      <c r="S1480" s="2" t="s">
        <v>226</v>
      </c>
      <c r="T1480" s="2" t="s">
        <v>87</v>
      </c>
      <c r="U1480" s="2">
        <v>240</v>
      </c>
      <c r="V1480" s="2">
        <v>1480</v>
      </c>
      <c r="W1480" s="2">
        <v>3108</v>
      </c>
      <c r="X1480" s="2">
        <v>2.1</v>
      </c>
      <c r="Y1480" s="2">
        <v>0.01</v>
      </c>
      <c r="AB1480">
        <v>0</v>
      </c>
      <c r="AC1480">
        <v>2013</v>
      </c>
      <c r="AE1480" s="2">
        <v>14.8</v>
      </c>
    </row>
    <row r="1481" spans="2:31" ht="14.5">
      <c r="B1481" s="2">
        <v>85393</v>
      </c>
      <c r="C1481" s="2" t="s">
        <v>2512</v>
      </c>
      <c r="D1481" s="2" t="s">
        <v>2513</v>
      </c>
      <c r="E1481" s="2" t="s">
        <v>118</v>
      </c>
      <c r="F1481" s="2" t="s">
        <v>29</v>
      </c>
      <c r="G1481" s="2" t="s">
        <v>30</v>
      </c>
      <c r="H1481" s="2" t="s">
        <v>218</v>
      </c>
      <c r="I1481" s="2" t="s">
        <v>219</v>
      </c>
      <c r="J1481" s="2" t="s">
        <v>220</v>
      </c>
      <c r="K1481" s="2" t="s">
        <v>34</v>
      </c>
      <c r="L1481" s="3"/>
      <c r="M1481" s="3">
        <v>41522</v>
      </c>
      <c r="N1481" s="3">
        <v>41522</v>
      </c>
      <c r="O1481" s="3">
        <v>41522</v>
      </c>
      <c r="P1481" s="2" t="s">
        <v>112</v>
      </c>
      <c r="Q1481" s="2" t="s">
        <v>113</v>
      </c>
      <c r="R1481" s="2" t="s">
        <v>37</v>
      </c>
      <c r="S1481" s="2" t="s">
        <v>114</v>
      </c>
      <c r="T1481" s="2" t="s">
        <v>47</v>
      </c>
      <c r="U1481" s="2">
        <v>60</v>
      </c>
      <c r="V1481" s="2">
        <v>50000</v>
      </c>
      <c r="W1481" s="2">
        <v>413000</v>
      </c>
      <c r="X1481" s="2">
        <v>8.26</v>
      </c>
      <c r="Y1481" s="2">
        <v>0.14000000000000001</v>
      </c>
      <c r="Z1481" s="2">
        <v>6481</v>
      </c>
      <c r="AA1481" s="2">
        <v>36226.26</v>
      </c>
      <c r="AB1481">
        <v>1</v>
      </c>
      <c r="AC1481">
        <v>2013</v>
      </c>
      <c r="AE1481" s="2">
        <v>7000.0000000000009</v>
      </c>
    </row>
    <row r="1482" spans="2:31" ht="14.5">
      <c r="B1482" s="2">
        <v>85394</v>
      </c>
      <c r="C1482" s="2" t="s">
        <v>2514</v>
      </c>
      <c r="D1482" s="2" t="s">
        <v>2515</v>
      </c>
      <c r="E1482" s="2" t="s">
        <v>118</v>
      </c>
      <c r="F1482" s="2" t="s">
        <v>29</v>
      </c>
      <c r="G1482" s="2" t="s">
        <v>30</v>
      </c>
      <c r="H1482" s="2" t="s">
        <v>218</v>
      </c>
      <c r="I1482" s="2" t="s">
        <v>219</v>
      </c>
      <c r="J1482" s="2" t="s">
        <v>220</v>
      </c>
      <c r="K1482" s="2" t="s">
        <v>34</v>
      </c>
      <c r="L1482" s="3"/>
      <c r="M1482" s="3">
        <v>41519</v>
      </c>
      <c r="N1482" s="3">
        <v>41519</v>
      </c>
      <c r="O1482" s="3">
        <v>41519</v>
      </c>
      <c r="P1482" s="2" t="s">
        <v>112</v>
      </c>
      <c r="Q1482" s="2" t="s">
        <v>113</v>
      </c>
      <c r="R1482" s="2" t="s">
        <v>37</v>
      </c>
      <c r="S1482" s="2" t="s">
        <v>114</v>
      </c>
      <c r="T1482" s="2" t="s">
        <v>47</v>
      </c>
      <c r="U1482" s="2">
        <v>60</v>
      </c>
      <c r="V1482" s="2">
        <v>59680</v>
      </c>
      <c r="W1482" s="2">
        <v>512054.4</v>
      </c>
      <c r="X1482" s="2">
        <v>8.58</v>
      </c>
      <c r="Y1482" s="2">
        <v>0.14000000000000001</v>
      </c>
      <c r="Z1482" s="2">
        <v>9886</v>
      </c>
      <c r="AA1482" s="2">
        <v>58707</v>
      </c>
      <c r="AB1482">
        <v>1</v>
      </c>
      <c r="AC1482">
        <v>2013</v>
      </c>
      <c r="AE1482" s="2">
        <v>8355.2000000000007</v>
      </c>
    </row>
    <row r="1483" spans="2:31" ht="14.5">
      <c r="B1483" s="2">
        <v>85397</v>
      </c>
      <c r="C1483" s="2" t="s">
        <v>2516</v>
      </c>
      <c r="D1483" s="2" t="s">
        <v>2517</v>
      </c>
      <c r="E1483" s="2" t="s">
        <v>1581</v>
      </c>
      <c r="F1483" s="2" t="s">
        <v>29</v>
      </c>
      <c r="G1483" s="2" t="s">
        <v>30</v>
      </c>
      <c r="H1483" s="2" t="s">
        <v>218</v>
      </c>
      <c r="I1483" s="2" t="s">
        <v>219</v>
      </c>
      <c r="J1483" s="2" t="s">
        <v>220</v>
      </c>
      <c r="K1483" s="2" t="s">
        <v>34</v>
      </c>
      <c r="L1483" s="3"/>
      <c r="M1483" s="3">
        <v>41516</v>
      </c>
      <c r="N1483" s="3">
        <v>41513</v>
      </c>
      <c r="O1483" s="3">
        <v>41513</v>
      </c>
      <c r="P1483" s="2" t="s">
        <v>1457</v>
      </c>
      <c r="Q1483" s="2" t="s">
        <v>236</v>
      </c>
      <c r="R1483" s="2" t="s">
        <v>37</v>
      </c>
      <c r="S1483" s="2" t="s">
        <v>1458</v>
      </c>
      <c r="T1483" s="2" t="s">
        <v>47</v>
      </c>
      <c r="U1483" s="2">
        <v>30</v>
      </c>
      <c r="V1483" s="2">
        <v>2562</v>
      </c>
      <c r="W1483" s="2">
        <v>15551.34</v>
      </c>
      <c r="X1483" s="2">
        <v>6.07</v>
      </c>
      <c r="Y1483" s="2">
        <v>0.2</v>
      </c>
      <c r="Z1483" s="2">
        <v>240</v>
      </c>
      <c r="AA1483" s="2">
        <v>1634.38</v>
      </c>
      <c r="AB1483">
        <v>1</v>
      </c>
      <c r="AC1483">
        <v>2013</v>
      </c>
      <c r="AE1483" s="2">
        <v>512.4</v>
      </c>
    </row>
    <row r="1484" spans="2:31" ht="14.5">
      <c r="B1484" s="2">
        <v>85398</v>
      </c>
      <c r="C1484" s="2" t="s">
        <v>2518</v>
      </c>
      <c r="D1484" s="2" t="s">
        <v>2519</v>
      </c>
      <c r="E1484" s="2" t="s">
        <v>28</v>
      </c>
      <c r="F1484" s="2" t="s">
        <v>29</v>
      </c>
      <c r="G1484" s="2" t="s">
        <v>50</v>
      </c>
      <c r="H1484" s="2" t="s">
        <v>218</v>
      </c>
      <c r="I1484" s="2" t="s">
        <v>219</v>
      </c>
      <c r="J1484" s="2" t="s">
        <v>220</v>
      </c>
      <c r="K1484" s="2" t="s">
        <v>267</v>
      </c>
      <c r="L1484" s="3"/>
      <c r="M1484" s="3">
        <v>41562</v>
      </c>
      <c r="N1484" s="3">
        <v>41522</v>
      </c>
      <c r="O1484" s="3">
        <v>41522</v>
      </c>
      <c r="P1484" s="2" t="s">
        <v>740</v>
      </c>
      <c r="Q1484" s="2" t="s">
        <v>36</v>
      </c>
      <c r="R1484" s="2" t="s">
        <v>37</v>
      </c>
      <c r="S1484" s="2" t="s">
        <v>226</v>
      </c>
      <c r="T1484" s="2" t="s">
        <v>526</v>
      </c>
      <c r="U1484" s="2">
        <v>240</v>
      </c>
      <c r="V1484" s="2">
        <v>14146</v>
      </c>
      <c r="W1484" s="2">
        <v>27584.7</v>
      </c>
      <c r="X1484" s="2">
        <v>1.95</v>
      </c>
      <c r="Y1484" s="2">
        <v>0.01</v>
      </c>
      <c r="Z1484" s="2">
        <v>5475</v>
      </c>
      <c r="AA1484" s="2">
        <v>17114.5</v>
      </c>
      <c r="AB1484">
        <v>1</v>
      </c>
      <c r="AC1484">
        <v>2013</v>
      </c>
      <c r="AE1484" s="2">
        <v>141.46</v>
      </c>
    </row>
    <row r="1485" spans="2:31" ht="14.5">
      <c r="B1485" s="2">
        <v>85414</v>
      </c>
      <c r="C1485" s="2" t="s">
        <v>2520</v>
      </c>
      <c r="D1485" s="2" t="s">
        <v>2521</v>
      </c>
      <c r="E1485" s="2" t="s">
        <v>1581</v>
      </c>
      <c r="F1485" s="2" t="s">
        <v>29</v>
      </c>
      <c r="G1485" s="2" t="s">
        <v>30</v>
      </c>
      <c r="H1485" s="2" t="s">
        <v>218</v>
      </c>
      <c r="I1485" s="2" t="s">
        <v>219</v>
      </c>
      <c r="J1485" s="2" t="s">
        <v>220</v>
      </c>
      <c r="K1485" s="2" t="s">
        <v>34</v>
      </c>
      <c r="L1485" s="3"/>
      <c r="M1485" s="3">
        <v>41637</v>
      </c>
      <c r="N1485" s="3">
        <v>41598</v>
      </c>
      <c r="O1485" s="3">
        <v>41605</v>
      </c>
      <c r="P1485" s="2" t="s">
        <v>754</v>
      </c>
      <c r="Q1485" s="2" t="s">
        <v>755</v>
      </c>
      <c r="R1485" s="2" t="s">
        <v>37</v>
      </c>
      <c r="S1485" s="2" t="s">
        <v>756</v>
      </c>
      <c r="T1485" s="2" t="s">
        <v>47</v>
      </c>
      <c r="U1485" s="2">
        <v>30</v>
      </c>
      <c r="V1485" s="2">
        <v>6120</v>
      </c>
      <c r="W1485" s="2">
        <v>68238</v>
      </c>
      <c r="X1485" s="2">
        <v>11.15</v>
      </c>
      <c r="Y1485" s="2">
        <v>0.37</v>
      </c>
      <c r="Z1485" s="2">
        <v>820</v>
      </c>
      <c r="AA1485" s="2">
        <v>4581.26</v>
      </c>
      <c r="AB1485">
        <v>1</v>
      </c>
      <c r="AC1485">
        <v>2013</v>
      </c>
      <c r="AE1485" s="2">
        <v>2264.4</v>
      </c>
    </row>
    <row r="1486" spans="2:31" ht="14.5">
      <c r="B1486" s="2">
        <v>85415</v>
      </c>
      <c r="C1486" s="2" t="s">
        <v>2522</v>
      </c>
      <c r="D1486" s="2" t="s">
        <v>2523</v>
      </c>
      <c r="E1486" s="2" t="s">
        <v>118</v>
      </c>
      <c r="F1486" s="2" t="s">
        <v>29</v>
      </c>
      <c r="G1486" s="2" t="s">
        <v>30</v>
      </c>
      <c r="H1486" s="2" t="s">
        <v>218</v>
      </c>
      <c r="I1486" s="2" t="s">
        <v>219</v>
      </c>
      <c r="J1486" s="2" t="s">
        <v>220</v>
      </c>
      <c r="K1486" s="2" t="s">
        <v>267</v>
      </c>
      <c r="L1486" s="3"/>
      <c r="M1486" s="3">
        <v>41607</v>
      </c>
      <c r="N1486" s="3">
        <v>41591</v>
      </c>
      <c r="O1486" s="3">
        <v>41605</v>
      </c>
      <c r="P1486" s="2" t="s">
        <v>98</v>
      </c>
      <c r="Q1486" s="2" t="s">
        <v>99</v>
      </c>
      <c r="R1486" s="2" t="s">
        <v>37</v>
      </c>
      <c r="S1486" s="2" t="s">
        <v>100</v>
      </c>
      <c r="T1486" s="2" t="s">
        <v>39</v>
      </c>
      <c r="U1486" s="2">
        <v>60</v>
      </c>
      <c r="V1486" s="2">
        <v>990</v>
      </c>
      <c r="W1486" s="2">
        <v>11345.4</v>
      </c>
      <c r="X1486" s="2">
        <v>11.46</v>
      </c>
      <c r="Y1486" s="2">
        <v>0.19</v>
      </c>
      <c r="Z1486" s="2">
        <v>597</v>
      </c>
      <c r="AA1486" s="2">
        <v>2279.5</v>
      </c>
      <c r="AB1486">
        <v>1</v>
      </c>
      <c r="AC1486">
        <v>2013</v>
      </c>
      <c r="AE1486" s="2">
        <v>188.1</v>
      </c>
    </row>
    <row r="1487" spans="2:31" ht="14.5">
      <c r="B1487" s="2">
        <v>85419</v>
      </c>
      <c r="C1487" s="2" t="s">
        <v>1881</v>
      </c>
      <c r="D1487" s="2" t="s">
        <v>1882</v>
      </c>
      <c r="E1487" s="2" t="s">
        <v>28</v>
      </c>
      <c r="F1487" s="2" t="s">
        <v>29</v>
      </c>
      <c r="G1487" s="2" t="s">
        <v>30</v>
      </c>
      <c r="H1487" s="2" t="s">
        <v>218</v>
      </c>
      <c r="I1487" s="2" t="s">
        <v>219</v>
      </c>
      <c r="J1487" s="2" t="s">
        <v>220</v>
      </c>
      <c r="K1487" s="2" t="s">
        <v>267</v>
      </c>
      <c r="L1487" s="3"/>
      <c r="M1487" s="3">
        <v>41634</v>
      </c>
      <c r="N1487" s="3">
        <v>41624</v>
      </c>
      <c r="O1487" s="3">
        <v>41656</v>
      </c>
      <c r="P1487" s="2" t="s">
        <v>35</v>
      </c>
      <c r="Q1487" s="2" t="s">
        <v>36</v>
      </c>
      <c r="R1487" s="2" t="s">
        <v>37</v>
      </c>
      <c r="S1487" s="2" t="s">
        <v>38</v>
      </c>
      <c r="T1487" s="2" t="s">
        <v>39</v>
      </c>
      <c r="U1487" s="2">
        <v>60</v>
      </c>
      <c r="V1487" s="2">
        <v>72518</v>
      </c>
      <c r="W1487" s="2">
        <v>163890.68</v>
      </c>
      <c r="X1487" s="2">
        <v>2.2599999999999998</v>
      </c>
      <c r="Y1487" s="2">
        <v>0.04</v>
      </c>
      <c r="AB1487">
        <v>1</v>
      </c>
      <c r="AC1487">
        <v>2014</v>
      </c>
      <c r="AE1487" s="2">
        <v>2900.7200000000003</v>
      </c>
    </row>
    <row r="1488" spans="2:31" ht="14.5">
      <c r="B1488" s="2">
        <v>85420</v>
      </c>
      <c r="C1488" s="2" t="s">
        <v>2524</v>
      </c>
      <c r="D1488" s="2" t="s">
        <v>2525</v>
      </c>
      <c r="E1488" s="2" t="s">
        <v>28</v>
      </c>
      <c r="F1488" s="2" t="s">
        <v>29</v>
      </c>
      <c r="G1488" s="2" t="s">
        <v>50</v>
      </c>
      <c r="H1488" s="2" t="s">
        <v>218</v>
      </c>
      <c r="I1488" s="2" t="s">
        <v>219</v>
      </c>
      <c r="J1488" s="2" t="s">
        <v>220</v>
      </c>
      <c r="K1488" s="2" t="s">
        <v>267</v>
      </c>
      <c r="L1488" s="3"/>
      <c r="M1488" s="3">
        <v>41639</v>
      </c>
      <c r="N1488" s="3">
        <v>41648</v>
      </c>
      <c r="O1488" s="3">
        <v>41670</v>
      </c>
      <c r="P1488" s="2" t="s">
        <v>842</v>
      </c>
      <c r="Q1488" s="2" t="s">
        <v>113</v>
      </c>
      <c r="R1488" s="2" t="s">
        <v>37</v>
      </c>
      <c r="S1488" s="2" t="s">
        <v>843</v>
      </c>
      <c r="T1488" s="2" t="s">
        <v>729</v>
      </c>
      <c r="U1488" s="2">
        <v>60</v>
      </c>
      <c r="V1488" s="2">
        <v>50000</v>
      </c>
      <c r="W1488" s="2">
        <v>194500</v>
      </c>
      <c r="X1488" s="2">
        <v>3.89</v>
      </c>
      <c r="Y1488" s="2">
        <v>0.06</v>
      </c>
      <c r="Z1488" s="2">
        <v>2791</v>
      </c>
      <c r="AA1488" s="2">
        <v>10167.540000000001</v>
      </c>
      <c r="AB1488">
        <v>0</v>
      </c>
      <c r="AC1488">
        <v>2014</v>
      </c>
      <c r="AE1488" s="2">
        <v>3000</v>
      </c>
    </row>
    <row r="1489" spans="2:31" ht="14.5">
      <c r="B1489" s="2">
        <v>85427</v>
      </c>
      <c r="C1489" s="2" t="s">
        <v>1883</v>
      </c>
      <c r="D1489" s="2" t="s">
        <v>1884</v>
      </c>
      <c r="E1489" s="2" t="s">
        <v>28</v>
      </c>
      <c r="F1489" s="2" t="s">
        <v>29</v>
      </c>
      <c r="G1489" s="2" t="s">
        <v>30</v>
      </c>
      <c r="H1489" s="2" t="s">
        <v>218</v>
      </c>
      <c r="I1489" s="2" t="s">
        <v>219</v>
      </c>
      <c r="J1489" s="2" t="s">
        <v>220</v>
      </c>
      <c r="K1489" s="2" t="s">
        <v>267</v>
      </c>
      <c r="L1489" s="3"/>
      <c r="M1489" s="3">
        <v>41670</v>
      </c>
      <c r="N1489" s="3">
        <v>41659</v>
      </c>
      <c r="O1489" s="3">
        <v>41668</v>
      </c>
      <c r="P1489" s="2" t="s">
        <v>754</v>
      </c>
      <c r="Q1489" s="2" t="s">
        <v>755</v>
      </c>
      <c r="R1489" s="2" t="s">
        <v>37</v>
      </c>
      <c r="S1489" s="2" t="s">
        <v>756</v>
      </c>
      <c r="T1489" s="2" t="s">
        <v>47</v>
      </c>
      <c r="U1489" s="2">
        <v>30</v>
      </c>
      <c r="V1489" s="2">
        <v>5531</v>
      </c>
      <c r="W1489" s="2">
        <v>61670.65</v>
      </c>
      <c r="X1489" s="2">
        <v>11.15</v>
      </c>
      <c r="Y1489" s="2">
        <v>0.37</v>
      </c>
      <c r="AB1489">
        <v>1</v>
      </c>
      <c r="AC1489">
        <v>2014</v>
      </c>
      <c r="AE1489" s="2">
        <v>2046.47</v>
      </c>
    </row>
    <row r="1490" spans="2:31" ht="14.5">
      <c r="B1490" s="2">
        <v>85430</v>
      </c>
      <c r="C1490" s="2" t="s">
        <v>2262</v>
      </c>
      <c r="D1490" s="2" t="s">
        <v>2263</v>
      </c>
      <c r="E1490" s="2" t="s">
        <v>1581</v>
      </c>
      <c r="F1490" s="2" t="s">
        <v>29</v>
      </c>
      <c r="G1490" s="2" t="s">
        <v>30</v>
      </c>
      <c r="H1490" s="2" t="s">
        <v>218</v>
      </c>
      <c r="I1490" s="2" t="s">
        <v>219</v>
      </c>
      <c r="J1490" s="2" t="s">
        <v>220</v>
      </c>
      <c r="K1490" s="2" t="s">
        <v>34</v>
      </c>
      <c r="L1490" s="3"/>
      <c r="M1490" s="3">
        <v>41593</v>
      </c>
      <c r="N1490" s="3">
        <v>41600</v>
      </c>
      <c r="O1490" s="3">
        <v>41660</v>
      </c>
      <c r="P1490" s="2" t="s">
        <v>35</v>
      </c>
      <c r="Q1490" s="2" t="s">
        <v>36</v>
      </c>
      <c r="R1490" s="2" t="s">
        <v>37</v>
      </c>
      <c r="S1490" s="2" t="s">
        <v>38</v>
      </c>
      <c r="T1490" s="2" t="s">
        <v>39</v>
      </c>
      <c r="U1490" s="2">
        <v>60</v>
      </c>
      <c r="V1490" s="2">
        <v>687</v>
      </c>
      <c r="W1490" s="2">
        <v>1552.62</v>
      </c>
      <c r="X1490" s="2">
        <v>2.2599999999999998</v>
      </c>
      <c r="Y1490" s="2">
        <v>0.04</v>
      </c>
      <c r="AB1490">
        <v>0</v>
      </c>
      <c r="AC1490">
        <v>2014</v>
      </c>
      <c r="AE1490" s="2">
        <v>27.48</v>
      </c>
    </row>
    <row r="1491" spans="2:31" ht="14.5">
      <c r="B1491" s="2">
        <v>85432</v>
      </c>
      <c r="C1491" s="2" t="s">
        <v>2855</v>
      </c>
      <c r="D1491" s="2" t="s">
        <v>2856</v>
      </c>
      <c r="E1491" s="2" t="s">
        <v>2817</v>
      </c>
      <c r="F1491" s="2" t="s">
        <v>29</v>
      </c>
      <c r="G1491" s="2" t="s">
        <v>50</v>
      </c>
      <c r="H1491" s="2" t="s">
        <v>218</v>
      </c>
      <c r="I1491" s="2" t="s">
        <v>219</v>
      </c>
      <c r="J1491" s="2" t="s">
        <v>220</v>
      </c>
      <c r="K1491" s="2" t="s">
        <v>34</v>
      </c>
      <c r="L1491" s="3"/>
      <c r="M1491" s="3">
        <v>41661</v>
      </c>
      <c r="N1491" s="3">
        <v>41681</v>
      </c>
      <c r="O1491" s="3">
        <v>41683</v>
      </c>
      <c r="P1491" s="2" t="s">
        <v>802</v>
      </c>
      <c r="Q1491" s="2" t="s">
        <v>96</v>
      </c>
      <c r="R1491" s="2" t="s">
        <v>37</v>
      </c>
      <c r="S1491" s="2" t="s">
        <v>38</v>
      </c>
      <c r="T1491" s="2" t="s">
        <v>39</v>
      </c>
      <c r="U1491" s="2">
        <v>90</v>
      </c>
      <c r="V1491" s="2">
        <v>66</v>
      </c>
      <c r="W1491" s="2">
        <v>613.79999999999995</v>
      </c>
      <c r="X1491" s="2">
        <v>9.3000000000000007</v>
      </c>
      <c r="Y1491" s="2">
        <v>0.1</v>
      </c>
      <c r="AB1491">
        <v>0</v>
      </c>
      <c r="AC1491">
        <v>2014</v>
      </c>
      <c r="AE1491" s="2">
        <v>6.6000000000000005</v>
      </c>
    </row>
    <row r="1492" spans="2:31" ht="14.5">
      <c r="B1492" s="2">
        <v>85438</v>
      </c>
      <c r="C1492" s="2" t="s">
        <v>2526</v>
      </c>
      <c r="D1492" s="2" t="s">
        <v>2527</v>
      </c>
      <c r="E1492" s="2" t="s">
        <v>118</v>
      </c>
      <c r="F1492" s="2" t="s">
        <v>29</v>
      </c>
      <c r="G1492" s="2" t="s">
        <v>30</v>
      </c>
      <c r="H1492" s="2" t="s">
        <v>218</v>
      </c>
      <c r="I1492" s="2" t="s">
        <v>219</v>
      </c>
      <c r="J1492" s="2" t="s">
        <v>220</v>
      </c>
      <c r="K1492" s="2" t="s">
        <v>34</v>
      </c>
      <c r="L1492" s="3"/>
      <c r="M1492" s="3">
        <v>41698</v>
      </c>
      <c r="N1492" s="3">
        <v>41691</v>
      </c>
      <c r="O1492" s="3">
        <v>41733</v>
      </c>
      <c r="P1492" s="2" t="s">
        <v>35</v>
      </c>
      <c r="Q1492" s="2" t="s">
        <v>36</v>
      </c>
      <c r="R1492" s="2" t="s">
        <v>37</v>
      </c>
      <c r="S1492" s="2" t="s">
        <v>38</v>
      </c>
      <c r="T1492" s="2" t="s">
        <v>39</v>
      </c>
      <c r="U1492" s="2">
        <v>60</v>
      </c>
      <c r="V1492" s="2">
        <v>23819</v>
      </c>
      <c r="W1492" s="2">
        <v>53830.94</v>
      </c>
      <c r="X1492" s="2">
        <v>2.2599999999999998</v>
      </c>
      <c r="Y1492" s="2">
        <v>0.04</v>
      </c>
      <c r="Z1492" s="2">
        <v>1447</v>
      </c>
      <c r="AA1492" s="2">
        <v>8854.24</v>
      </c>
      <c r="AB1492">
        <v>1</v>
      </c>
      <c r="AC1492">
        <v>2014</v>
      </c>
      <c r="AE1492" s="2">
        <v>952.76</v>
      </c>
    </row>
    <row r="1493" spans="2:31" ht="14.5">
      <c r="B1493" s="2">
        <v>85448</v>
      </c>
      <c r="C1493" s="2" t="s">
        <v>1895</v>
      </c>
      <c r="D1493" s="2" t="s">
        <v>1896</v>
      </c>
      <c r="E1493" s="2" t="s">
        <v>42</v>
      </c>
      <c r="F1493" s="2" t="s">
        <v>29</v>
      </c>
      <c r="G1493" s="2" t="s">
        <v>30</v>
      </c>
      <c r="H1493" s="2" t="s">
        <v>218</v>
      </c>
      <c r="I1493" s="2" t="s">
        <v>219</v>
      </c>
      <c r="J1493" s="2" t="s">
        <v>220</v>
      </c>
      <c r="K1493" s="2" t="s">
        <v>267</v>
      </c>
      <c r="L1493" s="3"/>
      <c r="M1493" s="3">
        <v>41726</v>
      </c>
      <c r="N1493" s="3">
        <v>41731</v>
      </c>
      <c r="O1493" s="3">
        <v>41743</v>
      </c>
      <c r="P1493" s="2" t="s">
        <v>706</v>
      </c>
      <c r="Q1493" s="2" t="s">
        <v>707</v>
      </c>
      <c r="R1493" s="2" t="s">
        <v>37</v>
      </c>
      <c r="S1493" s="2" t="s">
        <v>708</v>
      </c>
      <c r="T1493" s="2" t="s">
        <v>47</v>
      </c>
      <c r="U1493" s="2">
        <v>30</v>
      </c>
      <c r="V1493" s="2">
        <v>36406</v>
      </c>
      <c r="W1493" s="2">
        <v>171108.2</v>
      </c>
      <c r="X1493" s="2">
        <v>4.7</v>
      </c>
      <c r="Y1493" s="2">
        <v>0.16</v>
      </c>
      <c r="AB1493">
        <v>0</v>
      </c>
      <c r="AC1493">
        <v>2014</v>
      </c>
      <c r="AE1493" s="2">
        <v>5824.96</v>
      </c>
    </row>
    <row r="1494" spans="2:31" ht="14.5">
      <c r="B1494" s="2">
        <v>85457</v>
      </c>
      <c r="C1494" s="2" t="s">
        <v>2528</v>
      </c>
      <c r="D1494" s="2" t="s">
        <v>2529</v>
      </c>
      <c r="E1494" s="2" t="s">
        <v>28</v>
      </c>
      <c r="F1494" s="2" t="s">
        <v>29</v>
      </c>
      <c r="G1494" s="2" t="s">
        <v>30</v>
      </c>
      <c r="H1494" s="2" t="s">
        <v>218</v>
      </c>
      <c r="I1494" s="2" t="s">
        <v>219</v>
      </c>
      <c r="J1494" s="2" t="s">
        <v>220</v>
      </c>
      <c r="K1494" s="2" t="s">
        <v>267</v>
      </c>
      <c r="L1494" s="3"/>
      <c r="M1494" s="3">
        <v>41820</v>
      </c>
      <c r="N1494" s="3">
        <v>41866</v>
      </c>
      <c r="O1494" s="3">
        <v>41890</v>
      </c>
      <c r="P1494" s="2" t="s">
        <v>749</v>
      </c>
      <c r="Q1494" s="2" t="s">
        <v>76</v>
      </c>
      <c r="R1494" s="2" t="s">
        <v>37</v>
      </c>
      <c r="S1494" s="2" t="s">
        <v>78</v>
      </c>
      <c r="T1494" s="2" t="s">
        <v>47</v>
      </c>
      <c r="U1494" s="2">
        <v>30</v>
      </c>
      <c r="V1494" s="2">
        <v>76134</v>
      </c>
      <c r="W1494" s="2">
        <v>905233.26</v>
      </c>
      <c r="X1494" s="2">
        <v>11.89</v>
      </c>
      <c r="Y1494" s="2">
        <v>0.4</v>
      </c>
      <c r="Z1494" s="2">
        <v>9400</v>
      </c>
      <c r="AA1494" s="2">
        <v>43758.8</v>
      </c>
      <c r="AB1494">
        <v>0</v>
      </c>
      <c r="AC1494">
        <v>2014</v>
      </c>
      <c r="AE1494" s="2">
        <v>30453.600000000002</v>
      </c>
    </row>
    <row r="1495" spans="2:31" ht="14.5">
      <c r="B1495" s="2">
        <v>85461</v>
      </c>
      <c r="C1495" s="2" t="s">
        <v>2530</v>
      </c>
      <c r="D1495" s="2" t="s">
        <v>2531</v>
      </c>
      <c r="E1495" s="2" t="s">
        <v>28</v>
      </c>
      <c r="F1495" s="2" t="s">
        <v>29</v>
      </c>
      <c r="G1495" s="2" t="s">
        <v>30</v>
      </c>
      <c r="H1495" s="2" t="s">
        <v>218</v>
      </c>
      <c r="I1495" s="2" t="s">
        <v>219</v>
      </c>
      <c r="J1495" s="2" t="s">
        <v>220</v>
      </c>
      <c r="K1495" s="2" t="s">
        <v>267</v>
      </c>
      <c r="L1495" s="3"/>
      <c r="M1495" s="3">
        <v>41897</v>
      </c>
      <c r="N1495" s="3">
        <v>41907</v>
      </c>
      <c r="O1495" s="3">
        <v>41950</v>
      </c>
      <c r="P1495" s="2" t="s">
        <v>1457</v>
      </c>
      <c r="Q1495" s="2" t="s">
        <v>236</v>
      </c>
      <c r="R1495" s="2" t="s">
        <v>37</v>
      </c>
      <c r="S1495" s="2" t="s">
        <v>1458</v>
      </c>
      <c r="T1495" s="2" t="s">
        <v>47</v>
      </c>
      <c r="U1495" s="2">
        <v>30</v>
      </c>
      <c r="V1495" s="2">
        <v>1542</v>
      </c>
      <c r="W1495" s="2">
        <v>8851.08</v>
      </c>
      <c r="X1495" s="2">
        <v>5.74</v>
      </c>
      <c r="Y1495" s="2">
        <v>0.19</v>
      </c>
      <c r="Z1495" s="2">
        <v>9400</v>
      </c>
      <c r="AA1495" s="2">
        <v>2317.16</v>
      </c>
      <c r="AB1495">
        <v>0</v>
      </c>
      <c r="AC1495">
        <v>2014</v>
      </c>
      <c r="AE1495" s="2">
        <v>292.98</v>
      </c>
    </row>
    <row r="1496" spans="2:31" ht="14.5">
      <c r="B1496" s="2">
        <v>85468</v>
      </c>
      <c r="C1496" s="2" t="s">
        <v>2532</v>
      </c>
      <c r="D1496" s="2" t="s">
        <v>2533</v>
      </c>
      <c r="E1496" s="2" t="s">
        <v>118</v>
      </c>
      <c r="F1496" s="2" t="s">
        <v>29</v>
      </c>
      <c r="G1496" s="2" t="s">
        <v>30</v>
      </c>
      <c r="H1496" s="2" t="s">
        <v>218</v>
      </c>
      <c r="I1496" s="2" t="s">
        <v>219</v>
      </c>
      <c r="J1496" s="2" t="s">
        <v>220</v>
      </c>
      <c r="K1496" s="2" t="s">
        <v>267</v>
      </c>
      <c r="L1496" s="3"/>
      <c r="M1496" s="3">
        <v>41779</v>
      </c>
      <c r="N1496" s="3">
        <v>41767</v>
      </c>
      <c r="O1496" s="3">
        <v>41803</v>
      </c>
      <c r="P1496" s="2" t="s">
        <v>44</v>
      </c>
      <c r="Q1496" s="2" t="s">
        <v>45</v>
      </c>
      <c r="R1496" s="2" t="s">
        <v>37</v>
      </c>
      <c r="S1496" s="2" t="s">
        <v>46</v>
      </c>
      <c r="T1496" s="2" t="s">
        <v>47</v>
      </c>
      <c r="U1496" s="2">
        <v>60</v>
      </c>
      <c r="V1496" s="2">
        <v>114630</v>
      </c>
      <c r="W1496" s="2">
        <v>771459.9</v>
      </c>
      <c r="X1496" s="2">
        <v>6.73</v>
      </c>
      <c r="Y1496" s="2">
        <v>0.11</v>
      </c>
      <c r="Z1496" s="2">
        <v>10166</v>
      </c>
      <c r="AA1496" s="2">
        <v>4909.97</v>
      </c>
      <c r="AB1496">
        <v>1</v>
      </c>
      <c r="AC1496">
        <v>2014</v>
      </c>
      <c r="AE1496" s="2">
        <v>12609.3</v>
      </c>
    </row>
    <row r="1497" spans="2:31" ht="14.5">
      <c r="B1497" s="2">
        <v>85472</v>
      </c>
      <c r="C1497" s="2" t="s">
        <v>2534</v>
      </c>
      <c r="D1497" s="2" t="s">
        <v>2535</v>
      </c>
      <c r="E1497" s="2" t="s">
        <v>28</v>
      </c>
      <c r="F1497" s="2" t="s">
        <v>29</v>
      </c>
      <c r="G1497" s="2" t="s">
        <v>30</v>
      </c>
      <c r="H1497" s="2" t="s">
        <v>218</v>
      </c>
      <c r="I1497" s="2" t="s">
        <v>219</v>
      </c>
      <c r="J1497" s="2" t="s">
        <v>220</v>
      </c>
      <c r="K1497" s="2" t="s">
        <v>267</v>
      </c>
      <c r="L1497" s="3"/>
      <c r="M1497" s="3">
        <v>41820</v>
      </c>
      <c r="N1497" s="3">
        <v>41814</v>
      </c>
      <c r="O1497" s="3">
        <v>41872</v>
      </c>
      <c r="P1497" s="2" t="s">
        <v>749</v>
      </c>
      <c r="Q1497" s="2" t="s">
        <v>76</v>
      </c>
      <c r="R1497" s="2" t="s">
        <v>37</v>
      </c>
      <c r="S1497" s="2" t="s">
        <v>78</v>
      </c>
      <c r="T1497" s="2" t="s">
        <v>47</v>
      </c>
      <c r="U1497" s="2">
        <v>30</v>
      </c>
      <c r="V1497" s="2">
        <v>50000</v>
      </c>
      <c r="W1497" s="2">
        <v>594500</v>
      </c>
      <c r="X1497" s="2">
        <v>11.89</v>
      </c>
      <c r="Y1497" s="2">
        <v>0.4</v>
      </c>
      <c r="Z1497" s="2">
        <v>5446</v>
      </c>
      <c r="AA1497" s="2">
        <v>27804.65</v>
      </c>
      <c r="AB1497">
        <v>1</v>
      </c>
      <c r="AC1497">
        <v>2014</v>
      </c>
      <c r="AE1497" s="2">
        <v>20000</v>
      </c>
    </row>
    <row r="1498" spans="2:31" ht="14.5">
      <c r="B1498" s="2">
        <v>85474</v>
      </c>
      <c r="C1498" s="2" t="s">
        <v>2536</v>
      </c>
      <c r="D1498" s="2" t="s">
        <v>2537</v>
      </c>
      <c r="E1498" s="2" t="s">
        <v>28</v>
      </c>
      <c r="F1498" s="2" t="s">
        <v>29</v>
      </c>
      <c r="G1498" s="2" t="s">
        <v>30</v>
      </c>
      <c r="H1498" s="2" t="s">
        <v>218</v>
      </c>
      <c r="I1498" s="2" t="s">
        <v>219</v>
      </c>
      <c r="J1498" s="2" t="s">
        <v>220</v>
      </c>
      <c r="K1498" s="2" t="s">
        <v>267</v>
      </c>
      <c r="L1498" s="3"/>
      <c r="M1498" s="3">
        <v>41791</v>
      </c>
      <c r="N1498" s="3">
        <v>41795</v>
      </c>
      <c r="O1498" s="3">
        <v>41802</v>
      </c>
      <c r="P1498" s="2" t="s">
        <v>754</v>
      </c>
      <c r="Q1498" s="2" t="s">
        <v>755</v>
      </c>
      <c r="R1498" s="2" t="s">
        <v>37</v>
      </c>
      <c r="S1498" s="2" t="s">
        <v>756</v>
      </c>
      <c r="T1498" s="2" t="s">
        <v>47</v>
      </c>
      <c r="U1498" s="2">
        <v>30</v>
      </c>
      <c r="V1498" s="2">
        <v>151208</v>
      </c>
      <c r="W1498" s="2">
        <v>1590708.16</v>
      </c>
      <c r="X1498" s="2">
        <v>10.52</v>
      </c>
      <c r="Y1498" s="2">
        <v>0.35</v>
      </c>
      <c r="Z1498" s="2">
        <v>20501</v>
      </c>
      <c r="AA1498" s="2">
        <v>13765.17</v>
      </c>
      <c r="AB1498">
        <v>0</v>
      </c>
      <c r="AC1498">
        <v>2014</v>
      </c>
      <c r="AE1498" s="2">
        <v>52922.799999999996</v>
      </c>
    </row>
    <row r="1499" spans="2:31" ht="14.5">
      <c r="B1499" s="2">
        <v>85480</v>
      </c>
      <c r="C1499" s="2" t="s">
        <v>2538</v>
      </c>
      <c r="D1499" s="2" t="s">
        <v>2539</v>
      </c>
      <c r="E1499" s="2" t="s">
        <v>118</v>
      </c>
      <c r="F1499" s="2" t="s">
        <v>29</v>
      </c>
      <c r="G1499" s="2" t="s">
        <v>30</v>
      </c>
      <c r="H1499" s="2" t="s">
        <v>218</v>
      </c>
      <c r="I1499" s="2" t="s">
        <v>219</v>
      </c>
      <c r="J1499" s="2" t="s">
        <v>220</v>
      </c>
      <c r="K1499" s="2" t="s">
        <v>267</v>
      </c>
      <c r="L1499" s="3"/>
      <c r="M1499" s="3">
        <v>41820</v>
      </c>
      <c r="N1499" s="3">
        <v>41820</v>
      </c>
      <c r="O1499" s="3">
        <v>41821</v>
      </c>
      <c r="P1499" s="2" t="s">
        <v>112</v>
      </c>
      <c r="Q1499" s="2" t="s">
        <v>113</v>
      </c>
      <c r="R1499" s="2" t="s">
        <v>37</v>
      </c>
      <c r="S1499" s="2" t="s">
        <v>114</v>
      </c>
      <c r="T1499" s="2" t="s">
        <v>47</v>
      </c>
      <c r="U1499" s="2">
        <v>60</v>
      </c>
      <c r="V1499" s="2">
        <v>212934</v>
      </c>
      <c r="W1499" s="2">
        <v>1758834.84</v>
      </c>
      <c r="X1499" s="2">
        <v>8.26</v>
      </c>
      <c r="Y1499" s="2">
        <v>0.14000000000000001</v>
      </c>
      <c r="Z1499" s="2">
        <v>27953</v>
      </c>
      <c r="AA1499" s="2">
        <v>19248.7</v>
      </c>
      <c r="AB1499">
        <v>1</v>
      </c>
      <c r="AC1499">
        <v>2014</v>
      </c>
      <c r="AE1499" s="2">
        <v>29810.760000000002</v>
      </c>
    </row>
    <row r="1500" spans="2:31" ht="14.5">
      <c r="B1500" s="2">
        <v>85499</v>
      </c>
      <c r="C1500" s="2" t="s">
        <v>2540</v>
      </c>
      <c r="D1500" s="2" t="s">
        <v>2541</v>
      </c>
      <c r="E1500" s="2" t="s">
        <v>1581</v>
      </c>
      <c r="F1500" s="2" t="s">
        <v>29</v>
      </c>
      <c r="G1500" s="2" t="s">
        <v>30</v>
      </c>
      <c r="H1500" s="2" t="s">
        <v>218</v>
      </c>
      <c r="I1500" s="2" t="s">
        <v>219</v>
      </c>
      <c r="J1500" s="2" t="s">
        <v>220</v>
      </c>
      <c r="K1500" s="2" t="s">
        <v>34</v>
      </c>
      <c r="L1500" s="3"/>
      <c r="M1500" s="3">
        <v>41881</v>
      </c>
      <c r="N1500" s="3">
        <v>41887</v>
      </c>
      <c r="O1500" s="3">
        <v>41900</v>
      </c>
      <c r="P1500" s="2" t="s">
        <v>759</v>
      </c>
      <c r="Q1500" s="2" t="s">
        <v>84</v>
      </c>
      <c r="R1500" s="2" t="s">
        <v>37</v>
      </c>
      <c r="S1500" s="2" t="s">
        <v>152</v>
      </c>
      <c r="T1500" s="2" t="s">
        <v>39</v>
      </c>
      <c r="U1500" s="2">
        <v>120</v>
      </c>
      <c r="V1500" s="2">
        <v>200</v>
      </c>
      <c r="W1500" s="2">
        <v>4008</v>
      </c>
      <c r="X1500" s="2">
        <v>20.04</v>
      </c>
      <c r="Y1500" s="2">
        <v>0.17</v>
      </c>
      <c r="Z1500" s="2">
        <v>53</v>
      </c>
      <c r="AA1500" s="2">
        <v>1621.53</v>
      </c>
      <c r="AB1500">
        <v>0</v>
      </c>
      <c r="AC1500">
        <v>2014</v>
      </c>
      <c r="AE1500" s="2">
        <v>34</v>
      </c>
    </row>
    <row r="1501" spans="2:31" ht="14.5">
      <c r="B1501" s="2">
        <v>85500</v>
      </c>
      <c r="C1501" s="2" t="s">
        <v>2542</v>
      </c>
      <c r="D1501" s="2" t="s">
        <v>2543</v>
      </c>
      <c r="E1501" s="2" t="s">
        <v>42</v>
      </c>
      <c r="F1501" s="2" t="s">
        <v>29</v>
      </c>
      <c r="G1501" s="2" t="s">
        <v>50</v>
      </c>
      <c r="H1501" s="2" t="s">
        <v>218</v>
      </c>
      <c r="I1501" s="2" t="s">
        <v>219</v>
      </c>
      <c r="J1501" s="2" t="s">
        <v>220</v>
      </c>
      <c r="K1501" s="2" t="s">
        <v>267</v>
      </c>
      <c r="L1501" s="3"/>
      <c r="M1501" s="3">
        <v>41912</v>
      </c>
      <c r="N1501" s="3">
        <v>41836</v>
      </c>
      <c r="O1501" s="3">
        <v>41841</v>
      </c>
      <c r="P1501" s="2" t="s">
        <v>1664</v>
      </c>
      <c r="Q1501" s="2" t="s">
        <v>1000</v>
      </c>
      <c r="R1501" s="2" t="s">
        <v>37</v>
      </c>
      <c r="S1501" s="2" t="s">
        <v>1665</v>
      </c>
      <c r="T1501" s="2" t="s">
        <v>47</v>
      </c>
      <c r="U1501" s="2">
        <v>60</v>
      </c>
      <c r="V1501" s="2">
        <v>1419</v>
      </c>
      <c r="W1501" s="2">
        <v>6385.5</v>
      </c>
      <c r="X1501" s="2">
        <v>4.5</v>
      </c>
      <c r="Y1501" s="2">
        <v>0.08</v>
      </c>
      <c r="Z1501" s="2">
        <v>71</v>
      </c>
      <c r="AA1501" s="2">
        <v>961.06</v>
      </c>
      <c r="AB1501">
        <v>1</v>
      </c>
      <c r="AC1501">
        <v>2014</v>
      </c>
      <c r="AE1501" s="2">
        <v>113.52</v>
      </c>
    </row>
    <row r="1502" spans="2:31" ht="14.5">
      <c r="B1502" s="2">
        <v>85503</v>
      </c>
      <c r="C1502" s="2" t="s">
        <v>2544</v>
      </c>
      <c r="D1502" s="2" t="s">
        <v>2545</v>
      </c>
      <c r="E1502" s="2" t="s">
        <v>28</v>
      </c>
      <c r="F1502" s="2" t="s">
        <v>29</v>
      </c>
      <c r="G1502" s="2" t="s">
        <v>50</v>
      </c>
      <c r="H1502" s="2" t="s">
        <v>218</v>
      </c>
      <c r="I1502" s="2" t="s">
        <v>219</v>
      </c>
      <c r="J1502" s="2" t="s">
        <v>220</v>
      </c>
      <c r="K1502" s="2" t="s">
        <v>267</v>
      </c>
      <c r="L1502" s="3"/>
      <c r="M1502" s="3">
        <v>41880</v>
      </c>
      <c r="N1502" s="3">
        <v>41905</v>
      </c>
      <c r="O1502" s="3">
        <v>41967</v>
      </c>
      <c r="P1502" s="2" t="s">
        <v>842</v>
      </c>
      <c r="Q1502" s="2" t="s">
        <v>113</v>
      </c>
      <c r="R1502" s="2" t="s">
        <v>37</v>
      </c>
      <c r="S1502" s="2" t="s">
        <v>843</v>
      </c>
      <c r="T1502" s="2" t="s">
        <v>729</v>
      </c>
      <c r="U1502" s="2">
        <v>60</v>
      </c>
      <c r="V1502" s="2">
        <v>17000</v>
      </c>
      <c r="W1502" s="2">
        <v>63410</v>
      </c>
      <c r="X1502" s="2">
        <v>3.73</v>
      </c>
      <c r="Y1502" s="2">
        <v>0.06</v>
      </c>
      <c r="Z1502" s="2">
        <v>931</v>
      </c>
      <c r="AA1502" s="2">
        <v>6002</v>
      </c>
      <c r="AB1502">
        <v>0</v>
      </c>
      <c r="AC1502">
        <v>2014</v>
      </c>
      <c r="AE1502" s="2">
        <v>1020</v>
      </c>
    </row>
    <row r="1503" spans="2:31" ht="14.5">
      <c r="B1503" s="2">
        <v>85520</v>
      </c>
      <c r="C1503" s="2" t="s">
        <v>2546</v>
      </c>
      <c r="D1503" s="2" t="s">
        <v>2547</v>
      </c>
      <c r="E1503" s="2" t="s">
        <v>28</v>
      </c>
      <c r="F1503" s="2" t="s">
        <v>29</v>
      </c>
      <c r="G1503" s="2" t="s">
        <v>50</v>
      </c>
      <c r="H1503" s="2" t="s">
        <v>218</v>
      </c>
      <c r="I1503" s="2" t="s">
        <v>219</v>
      </c>
      <c r="J1503" s="2" t="s">
        <v>220</v>
      </c>
      <c r="K1503" s="2" t="s">
        <v>267</v>
      </c>
      <c r="L1503" s="3"/>
      <c r="M1503" s="3">
        <v>41880</v>
      </c>
      <c r="N1503" s="3">
        <v>41911</v>
      </c>
      <c r="O1503" s="3">
        <v>41918</v>
      </c>
      <c r="P1503" s="2" t="s">
        <v>842</v>
      </c>
      <c r="Q1503" s="2" t="s">
        <v>113</v>
      </c>
      <c r="R1503" s="2" t="s">
        <v>37</v>
      </c>
      <c r="S1503" s="2" t="s">
        <v>843</v>
      </c>
      <c r="T1503" s="2" t="s">
        <v>729</v>
      </c>
      <c r="U1503" s="2">
        <v>60</v>
      </c>
      <c r="V1503" s="2">
        <v>57859</v>
      </c>
      <c r="W1503" s="2">
        <v>215814.07</v>
      </c>
      <c r="X1503" s="2">
        <v>3.73</v>
      </c>
      <c r="Y1503" s="2">
        <v>0.06</v>
      </c>
      <c r="Z1503" s="2">
        <v>3090</v>
      </c>
      <c r="AA1503" s="2">
        <v>17858.3</v>
      </c>
      <c r="AB1503">
        <v>0</v>
      </c>
      <c r="AC1503">
        <v>2014</v>
      </c>
      <c r="AE1503" s="2">
        <v>3471.54</v>
      </c>
    </row>
    <row r="1504" spans="2:31" ht="14.5">
      <c r="B1504" s="2">
        <v>85527</v>
      </c>
      <c r="C1504" s="2" t="s">
        <v>2548</v>
      </c>
      <c r="D1504" s="2" t="s">
        <v>2549</v>
      </c>
      <c r="E1504" s="2" t="s">
        <v>28</v>
      </c>
      <c r="F1504" s="2" t="s">
        <v>29</v>
      </c>
      <c r="G1504" s="2" t="s">
        <v>30</v>
      </c>
      <c r="H1504" s="2" t="s">
        <v>218</v>
      </c>
      <c r="I1504" s="2" t="s">
        <v>219</v>
      </c>
      <c r="J1504" s="2" t="s">
        <v>220</v>
      </c>
      <c r="K1504" s="2" t="s">
        <v>267</v>
      </c>
      <c r="L1504" s="3"/>
      <c r="M1504" s="3">
        <v>41946</v>
      </c>
      <c r="N1504" s="3">
        <v>41940</v>
      </c>
      <c r="O1504" s="3">
        <v>41943</v>
      </c>
      <c r="P1504" s="2" t="s">
        <v>98</v>
      </c>
      <c r="Q1504" s="2" t="s">
        <v>99</v>
      </c>
      <c r="R1504" s="2" t="s">
        <v>37</v>
      </c>
      <c r="S1504" s="2" t="s">
        <v>100</v>
      </c>
      <c r="T1504" s="2" t="s">
        <v>39</v>
      </c>
      <c r="U1504" s="2">
        <v>60</v>
      </c>
      <c r="V1504" s="2">
        <v>2469</v>
      </c>
      <c r="W1504" s="2">
        <v>27726.87</v>
      </c>
      <c r="X1504" s="2">
        <v>11.23</v>
      </c>
      <c r="Y1504" s="2">
        <v>0.19</v>
      </c>
      <c r="Z1504" s="2">
        <v>230</v>
      </c>
      <c r="AA1504" s="2">
        <v>1163.2</v>
      </c>
      <c r="AB1504">
        <v>1</v>
      </c>
      <c r="AC1504">
        <v>2014</v>
      </c>
      <c r="AE1504" s="2">
        <v>469.11</v>
      </c>
    </row>
    <row r="1505" spans="2:31" ht="14.5">
      <c r="B1505" s="2">
        <v>85529</v>
      </c>
      <c r="C1505" s="2" t="s">
        <v>2550</v>
      </c>
      <c r="D1505" s="2" t="s">
        <v>2551</v>
      </c>
      <c r="E1505" s="2" t="s">
        <v>28</v>
      </c>
      <c r="F1505" s="2" t="s">
        <v>29</v>
      </c>
      <c r="G1505" s="2" t="s">
        <v>30</v>
      </c>
      <c r="H1505" s="2" t="s">
        <v>218</v>
      </c>
      <c r="I1505" s="2" t="s">
        <v>219</v>
      </c>
      <c r="J1505" s="2" t="s">
        <v>220</v>
      </c>
      <c r="K1505" s="2" t="s">
        <v>267</v>
      </c>
      <c r="L1505" s="3"/>
      <c r="M1505" s="3">
        <v>41946</v>
      </c>
      <c r="N1505" s="3">
        <v>41929</v>
      </c>
      <c r="O1505" s="3">
        <v>41950</v>
      </c>
      <c r="P1505" s="2" t="s">
        <v>749</v>
      </c>
      <c r="Q1505" s="2" t="s">
        <v>76</v>
      </c>
      <c r="R1505" s="2" t="s">
        <v>37</v>
      </c>
      <c r="S1505" s="2" t="s">
        <v>78</v>
      </c>
      <c r="T1505" s="2" t="s">
        <v>47</v>
      </c>
      <c r="U1505" s="2">
        <v>30</v>
      </c>
      <c r="V1505" s="2">
        <v>17851</v>
      </c>
      <c r="W1505" s="2">
        <v>212248.39</v>
      </c>
      <c r="X1505" s="2">
        <v>11.89</v>
      </c>
      <c r="Y1505" s="2">
        <v>0.4</v>
      </c>
      <c r="Z1505" s="2">
        <v>2117</v>
      </c>
      <c r="AA1505" s="2">
        <v>1663.18</v>
      </c>
      <c r="AB1505">
        <v>1</v>
      </c>
      <c r="AC1505">
        <v>2014</v>
      </c>
      <c r="AE1505" s="2">
        <v>7140.4000000000005</v>
      </c>
    </row>
    <row r="1506" spans="2:31" ht="14.5">
      <c r="B1506" s="2">
        <v>85530</v>
      </c>
      <c r="C1506" s="2" t="s">
        <v>2552</v>
      </c>
      <c r="D1506" s="2" t="s">
        <v>2553</v>
      </c>
      <c r="E1506" s="2" t="s">
        <v>118</v>
      </c>
      <c r="F1506" s="2" t="s">
        <v>29</v>
      </c>
      <c r="G1506" s="2" t="s">
        <v>30</v>
      </c>
      <c r="H1506" s="2" t="s">
        <v>218</v>
      </c>
      <c r="I1506" s="2" t="s">
        <v>219</v>
      </c>
      <c r="J1506" s="2" t="s">
        <v>220</v>
      </c>
      <c r="K1506" s="2" t="s">
        <v>34</v>
      </c>
      <c r="L1506" s="3"/>
      <c r="M1506" s="3">
        <v>41912</v>
      </c>
      <c r="N1506" s="3">
        <v>41913</v>
      </c>
      <c r="O1506" s="3">
        <v>41933</v>
      </c>
      <c r="P1506" s="2" t="s">
        <v>999</v>
      </c>
      <c r="Q1506" s="2" t="s">
        <v>1000</v>
      </c>
      <c r="R1506" s="2" t="s">
        <v>37</v>
      </c>
      <c r="S1506" s="2" t="s">
        <v>1001</v>
      </c>
      <c r="T1506" s="2" t="s">
        <v>47</v>
      </c>
      <c r="U1506" s="2">
        <v>30</v>
      </c>
      <c r="V1506" s="2">
        <v>3273</v>
      </c>
      <c r="W1506" s="2">
        <v>44250.96</v>
      </c>
      <c r="X1506" s="2">
        <v>13.52</v>
      </c>
      <c r="Y1506" s="2">
        <v>0.45</v>
      </c>
      <c r="Z1506" s="2">
        <v>389</v>
      </c>
      <c r="AA1506" s="2">
        <v>2786.61</v>
      </c>
      <c r="AB1506">
        <v>0</v>
      </c>
      <c r="AC1506">
        <v>2014</v>
      </c>
      <c r="AE1506" s="2">
        <v>1472.8500000000001</v>
      </c>
    </row>
    <row r="1507" spans="2:31" ht="14.5">
      <c r="B1507" s="2">
        <v>85534</v>
      </c>
      <c r="C1507" s="2" t="s">
        <v>2554</v>
      </c>
      <c r="D1507" s="2" t="s">
        <v>2555</v>
      </c>
      <c r="E1507" s="2" t="s">
        <v>28</v>
      </c>
      <c r="F1507" s="2" t="s">
        <v>29</v>
      </c>
      <c r="G1507" s="2" t="s">
        <v>50</v>
      </c>
      <c r="H1507" s="2" t="s">
        <v>218</v>
      </c>
      <c r="I1507" s="2" t="s">
        <v>219</v>
      </c>
      <c r="J1507" s="2" t="s">
        <v>220</v>
      </c>
      <c r="K1507" s="2" t="s">
        <v>267</v>
      </c>
      <c r="L1507" s="3"/>
      <c r="M1507" s="3">
        <v>41971</v>
      </c>
      <c r="N1507" s="3">
        <v>41962</v>
      </c>
      <c r="O1507" s="3">
        <v>41963</v>
      </c>
      <c r="P1507" s="2" t="s">
        <v>727</v>
      </c>
      <c r="Q1507" s="2" t="s">
        <v>45</v>
      </c>
      <c r="R1507" s="2" t="s">
        <v>37</v>
      </c>
      <c r="S1507" s="2" t="s">
        <v>728</v>
      </c>
      <c r="T1507" s="2" t="s">
        <v>729</v>
      </c>
      <c r="U1507" s="2">
        <v>60</v>
      </c>
      <c r="V1507" s="2">
        <v>34374</v>
      </c>
      <c r="W1507" s="2">
        <v>73904.100000000006</v>
      </c>
      <c r="X1507" s="2">
        <v>2.15</v>
      </c>
      <c r="Y1507" s="2">
        <v>0.04</v>
      </c>
      <c r="Z1507" s="2">
        <v>2346</v>
      </c>
      <c r="AA1507" s="2">
        <v>1462.81</v>
      </c>
      <c r="AB1507">
        <v>1</v>
      </c>
      <c r="AC1507">
        <v>2014</v>
      </c>
      <c r="AE1507" s="2">
        <v>1374.96</v>
      </c>
    </row>
    <row r="1508" spans="2:31" ht="14.5">
      <c r="B1508" s="2">
        <v>85541</v>
      </c>
      <c r="C1508" s="2" t="s">
        <v>2556</v>
      </c>
      <c r="D1508" s="2" t="s">
        <v>2557</v>
      </c>
      <c r="E1508" s="2" t="s">
        <v>118</v>
      </c>
      <c r="F1508" s="2" t="s">
        <v>29</v>
      </c>
      <c r="G1508" s="2" t="s">
        <v>30</v>
      </c>
      <c r="H1508" s="2" t="s">
        <v>218</v>
      </c>
      <c r="I1508" s="2" t="s">
        <v>219</v>
      </c>
      <c r="J1508" s="2" t="s">
        <v>220</v>
      </c>
      <c r="K1508" s="2" t="s">
        <v>267</v>
      </c>
      <c r="L1508" s="3"/>
      <c r="M1508" s="3">
        <v>41943</v>
      </c>
      <c r="N1508" s="3">
        <v>41968</v>
      </c>
      <c r="O1508" s="3">
        <v>41971</v>
      </c>
      <c r="P1508" s="2" t="s">
        <v>999</v>
      </c>
      <c r="Q1508" s="2" t="s">
        <v>1000</v>
      </c>
      <c r="R1508" s="2" t="s">
        <v>37</v>
      </c>
      <c r="S1508" s="2" t="s">
        <v>1001</v>
      </c>
      <c r="T1508" s="2" t="s">
        <v>47</v>
      </c>
      <c r="U1508" s="2">
        <v>30</v>
      </c>
      <c r="V1508" s="2">
        <v>5403</v>
      </c>
      <c r="W1508" s="2">
        <v>73048.56</v>
      </c>
      <c r="X1508" s="2">
        <v>13.52</v>
      </c>
      <c r="Y1508" s="2">
        <v>0.45</v>
      </c>
      <c r="Z1508" s="2">
        <v>490</v>
      </c>
      <c r="AA1508" s="2">
        <v>2016.1</v>
      </c>
      <c r="AB1508">
        <v>0</v>
      </c>
      <c r="AC1508">
        <v>2014</v>
      </c>
      <c r="AE1508" s="2">
        <v>2431.35</v>
      </c>
    </row>
    <row r="1509" spans="2:31" ht="14.5">
      <c r="B1509" s="2">
        <v>85566</v>
      </c>
      <c r="C1509" s="2" t="s">
        <v>1706</v>
      </c>
      <c r="D1509" s="2" t="s">
        <v>1707</v>
      </c>
      <c r="E1509" s="2" t="s">
        <v>1581</v>
      </c>
      <c r="F1509" s="2" t="s">
        <v>29</v>
      </c>
      <c r="G1509" s="2" t="s">
        <v>50</v>
      </c>
      <c r="H1509" s="2" t="s">
        <v>218</v>
      </c>
      <c r="I1509" s="2" t="s">
        <v>219</v>
      </c>
      <c r="J1509" s="2" t="s">
        <v>220</v>
      </c>
      <c r="K1509" s="2" t="s">
        <v>34</v>
      </c>
      <c r="L1509" s="3"/>
      <c r="M1509" s="3">
        <v>42062</v>
      </c>
      <c r="N1509" s="3">
        <v>42063</v>
      </c>
      <c r="O1509" s="3">
        <v>42068</v>
      </c>
      <c r="P1509" s="2" t="s">
        <v>727</v>
      </c>
      <c r="Q1509" s="2" t="s">
        <v>45</v>
      </c>
      <c r="R1509" s="2" t="s">
        <v>37</v>
      </c>
      <c r="S1509" s="2" t="s">
        <v>728</v>
      </c>
      <c r="T1509" s="2" t="s">
        <v>729</v>
      </c>
      <c r="U1509" s="2">
        <v>60</v>
      </c>
      <c r="V1509" s="2">
        <v>325</v>
      </c>
      <c r="W1509" s="2">
        <v>646.75</v>
      </c>
      <c r="X1509" s="2">
        <v>1.99</v>
      </c>
      <c r="Y1509" s="2">
        <v>0.03</v>
      </c>
      <c r="AB1509">
        <v>0</v>
      </c>
      <c r="AC1509">
        <v>2015</v>
      </c>
      <c r="AE1509" s="2">
        <v>9.75</v>
      </c>
    </row>
    <row r="1510" spans="2:31" ht="14.5">
      <c r="B1510" s="2">
        <v>85567</v>
      </c>
      <c r="C1510" s="2" t="s">
        <v>1708</v>
      </c>
      <c r="D1510" s="2" t="s">
        <v>1709</v>
      </c>
      <c r="E1510" s="2" t="s">
        <v>42</v>
      </c>
      <c r="F1510" s="2" t="s">
        <v>29</v>
      </c>
      <c r="G1510" s="2" t="s">
        <v>30</v>
      </c>
      <c r="H1510" s="2" t="s">
        <v>218</v>
      </c>
      <c r="I1510" s="2" t="s">
        <v>219</v>
      </c>
      <c r="J1510" s="2" t="s">
        <v>220</v>
      </c>
      <c r="K1510" s="2" t="s">
        <v>267</v>
      </c>
      <c r="L1510" s="3"/>
      <c r="M1510" s="3">
        <v>42094</v>
      </c>
      <c r="N1510" s="3">
        <v>42087</v>
      </c>
      <c r="O1510" s="3">
        <v>42087</v>
      </c>
      <c r="P1510" s="2" t="s">
        <v>706</v>
      </c>
      <c r="Q1510" s="2" t="s">
        <v>707</v>
      </c>
      <c r="R1510" s="2" t="s">
        <v>37</v>
      </c>
      <c r="S1510" s="2" t="s">
        <v>708</v>
      </c>
      <c r="T1510" s="2" t="s">
        <v>47</v>
      </c>
      <c r="U1510" s="2">
        <v>30</v>
      </c>
      <c r="V1510" s="2">
        <v>13653</v>
      </c>
      <c r="W1510" s="2">
        <v>62667.27</v>
      </c>
      <c r="X1510" s="2">
        <v>4.59</v>
      </c>
      <c r="Y1510" s="2">
        <v>0.15</v>
      </c>
      <c r="AB1510">
        <v>1</v>
      </c>
      <c r="AC1510">
        <v>2015</v>
      </c>
      <c r="AE1510" s="2">
        <v>2047.9499999999998</v>
      </c>
    </row>
    <row r="1511" spans="2:31" ht="14.5">
      <c r="B1511" s="2">
        <v>85572</v>
      </c>
      <c r="C1511" s="2" t="s">
        <v>2300</v>
      </c>
      <c r="D1511" s="2" t="s">
        <v>2301</v>
      </c>
      <c r="E1511" s="2" t="s">
        <v>1581</v>
      </c>
      <c r="F1511" s="2" t="s">
        <v>29</v>
      </c>
      <c r="G1511" s="2" t="s">
        <v>30</v>
      </c>
      <c r="H1511" s="2" t="s">
        <v>218</v>
      </c>
      <c r="I1511" s="2" t="s">
        <v>219</v>
      </c>
      <c r="J1511" s="2" t="s">
        <v>220</v>
      </c>
      <c r="K1511" s="2" t="s">
        <v>34</v>
      </c>
      <c r="L1511" s="3"/>
      <c r="M1511" s="3">
        <v>42153</v>
      </c>
      <c r="N1511" s="3">
        <v>42088</v>
      </c>
      <c r="O1511" s="3">
        <v>42093</v>
      </c>
      <c r="P1511" s="2" t="s">
        <v>706</v>
      </c>
      <c r="Q1511" s="2" t="s">
        <v>707</v>
      </c>
      <c r="R1511" s="2" t="s">
        <v>37</v>
      </c>
      <c r="S1511" s="2" t="s">
        <v>708</v>
      </c>
      <c r="T1511" s="2" t="s">
        <v>47</v>
      </c>
      <c r="U1511" s="2">
        <v>30</v>
      </c>
      <c r="V1511" s="2">
        <v>240</v>
      </c>
      <c r="W1511" s="2">
        <v>1101.5999999999999</v>
      </c>
      <c r="X1511" s="2">
        <v>4.59</v>
      </c>
      <c r="Y1511" s="2">
        <v>0.15</v>
      </c>
      <c r="AB1511">
        <v>1</v>
      </c>
      <c r="AC1511">
        <v>2015</v>
      </c>
      <c r="AE1511" s="2">
        <v>36</v>
      </c>
    </row>
    <row r="1512" spans="2:31" ht="14.5">
      <c r="B1512" s="2">
        <v>85580</v>
      </c>
      <c r="C1512" s="2" t="s">
        <v>2558</v>
      </c>
      <c r="D1512" s="2" t="s">
        <v>2559</v>
      </c>
      <c r="E1512" s="2" t="s">
        <v>42</v>
      </c>
      <c r="F1512" s="2" t="s">
        <v>29</v>
      </c>
      <c r="G1512" s="2" t="s">
        <v>50</v>
      </c>
      <c r="H1512" s="2" t="s">
        <v>218</v>
      </c>
      <c r="I1512" s="2" t="s">
        <v>219</v>
      </c>
      <c r="J1512" s="2" t="s">
        <v>220</v>
      </c>
      <c r="K1512" s="2" t="s">
        <v>267</v>
      </c>
      <c r="L1512" s="3"/>
      <c r="M1512" s="3">
        <v>42100</v>
      </c>
      <c r="N1512" s="3">
        <v>42114</v>
      </c>
      <c r="O1512" s="3">
        <v>42114</v>
      </c>
      <c r="P1512" s="2" t="s">
        <v>291</v>
      </c>
      <c r="Q1512" s="2" t="s">
        <v>99</v>
      </c>
      <c r="R1512" s="2" t="s">
        <v>37</v>
      </c>
      <c r="S1512" s="2" t="s">
        <v>172</v>
      </c>
      <c r="T1512" s="2" t="s">
        <v>87</v>
      </c>
      <c r="U1512" s="2">
        <v>240</v>
      </c>
      <c r="V1512" s="2">
        <v>2966</v>
      </c>
      <c r="W1512" s="2">
        <v>20257.78</v>
      </c>
      <c r="X1512" s="2">
        <v>6.83</v>
      </c>
      <c r="Y1512" s="2">
        <v>0.03</v>
      </c>
      <c r="Z1512" s="2">
        <v>1067</v>
      </c>
      <c r="AA1512" s="2">
        <v>6310.4</v>
      </c>
      <c r="AB1512">
        <v>0</v>
      </c>
      <c r="AC1512">
        <v>2015</v>
      </c>
      <c r="AE1512" s="2">
        <v>88.97999999999999</v>
      </c>
    </row>
    <row r="1513" spans="2:31" ht="14.5">
      <c r="B1513" s="2">
        <v>85584</v>
      </c>
      <c r="C1513" s="2" t="s">
        <v>2137</v>
      </c>
      <c r="D1513" s="2" t="s">
        <v>2138</v>
      </c>
      <c r="E1513" s="2" t="s">
        <v>1581</v>
      </c>
      <c r="F1513" s="2" t="s">
        <v>29</v>
      </c>
      <c r="G1513" s="2" t="s">
        <v>50</v>
      </c>
      <c r="H1513" s="2" t="s">
        <v>218</v>
      </c>
      <c r="I1513" s="2" t="s">
        <v>219</v>
      </c>
      <c r="J1513" s="2" t="s">
        <v>220</v>
      </c>
      <c r="K1513" s="2" t="s">
        <v>34</v>
      </c>
      <c r="L1513" s="3"/>
      <c r="M1513" s="3">
        <v>42185</v>
      </c>
      <c r="N1513" s="3">
        <v>42116</v>
      </c>
      <c r="O1513" s="3">
        <v>42117</v>
      </c>
      <c r="P1513" s="2" t="s">
        <v>727</v>
      </c>
      <c r="Q1513" s="2" t="s">
        <v>45</v>
      </c>
      <c r="R1513" s="2" t="s">
        <v>37</v>
      </c>
      <c r="S1513" s="2" t="s">
        <v>728</v>
      </c>
      <c r="T1513" s="2" t="s">
        <v>729</v>
      </c>
      <c r="U1513" s="2">
        <v>60</v>
      </c>
      <c r="V1513" s="2">
        <v>164</v>
      </c>
      <c r="W1513" s="2">
        <v>314.88</v>
      </c>
      <c r="X1513" s="2">
        <v>1.92</v>
      </c>
      <c r="Y1513" s="2">
        <v>0.03</v>
      </c>
      <c r="AB1513">
        <v>1</v>
      </c>
      <c r="AC1513">
        <v>2015</v>
      </c>
      <c r="AE1513" s="2">
        <v>4.92</v>
      </c>
    </row>
    <row r="1514" spans="2:31" ht="14.5">
      <c r="B1514" s="2">
        <v>85585</v>
      </c>
      <c r="C1514" s="2" t="s">
        <v>2137</v>
      </c>
      <c r="D1514" s="2" t="s">
        <v>2138</v>
      </c>
      <c r="E1514" s="2" t="s">
        <v>1581</v>
      </c>
      <c r="F1514" s="2" t="s">
        <v>29</v>
      </c>
      <c r="G1514" s="2" t="s">
        <v>30</v>
      </c>
      <c r="H1514" s="2" t="s">
        <v>218</v>
      </c>
      <c r="I1514" s="2" t="s">
        <v>219</v>
      </c>
      <c r="J1514" s="2" t="s">
        <v>220</v>
      </c>
      <c r="K1514" s="2" t="s">
        <v>34</v>
      </c>
      <c r="L1514" s="3"/>
      <c r="M1514" s="3">
        <v>42185</v>
      </c>
      <c r="N1514" s="3">
        <v>42116</v>
      </c>
      <c r="O1514" s="3">
        <v>42117</v>
      </c>
      <c r="P1514" s="2" t="s">
        <v>706</v>
      </c>
      <c r="Q1514" s="2" t="s">
        <v>707</v>
      </c>
      <c r="R1514" s="2" t="s">
        <v>37</v>
      </c>
      <c r="S1514" s="2" t="s">
        <v>708</v>
      </c>
      <c r="T1514" s="2" t="s">
        <v>47</v>
      </c>
      <c r="U1514" s="2">
        <v>30</v>
      </c>
      <c r="V1514" s="2">
        <v>240</v>
      </c>
      <c r="W1514" s="2">
        <v>1101.5999999999999</v>
      </c>
      <c r="X1514" s="2">
        <v>4.59</v>
      </c>
      <c r="Y1514" s="2">
        <v>0.15</v>
      </c>
      <c r="AB1514">
        <v>1</v>
      </c>
      <c r="AC1514">
        <v>2015</v>
      </c>
      <c r="AE1514" s="2">
        <v>36</v>
      </c>
    </row>
    <row r="1515" spans="2:31" ht="14.5">
      <c r="B1515" s="2">
        <v>85586</v>
      </c>
      <c r="C1515" s="2" t="s">
        <v>1714</v>
      </c>
      <c r="D1515" s="2" t="s">
        <v>1715</v>
      </c>
      <c r="E1515" s="2" t="s">
        <v>118</v>
      </c>
      <c r="F1515" s="2" t="s">
        <v>29</v>
      </c>
      <c r="G1515" s="2" t="s">
        <v>30</v>
      </c>
      <c r="H1515" s="2" t="s">
        <v>218</v>
      </c>
      <c r="I1515" s="2" t="s">
        <v>219</v>
      </c>
      <c r="J1515" s="2" t="s">
        <v>220</v>
      </c>
      <c r="K1515" s="2" t="s">
        <v>267</v>
      </c>
      <c r="L1515" s="3"/>
      <c r="M1515" s="3">
        <v>42124</v>
      </c>
      <c r="N1515" s="3">
        <v>42116</v>
      </c>
      <c r="O1515" s="3">
        <v>42118</v>
      </c>
      <c r="P1515" s="2" t="s">
        <v>754</v>
      </c>
      <c r="Q1515" s="2" t="s">
        <v>755</v>
      </c>
      <c r="R1515" s="2" t="s">
        <v>37</v>
      </c>
      <c r="S1515" s="2" t="s">
        <v>756</v>
      </c>
      <c r="T1515" s="2" t="s">
        <v>47</v>
      </c>
      <c r="U1515" s="2">
        <v>30</v>
      </c>
      <c r="V1515" s="2">
        <v>101900</v>
      </c>
      <c r="W1515" s="2">
        <v>978240</v>
      </c>
      <c r="X1515" s="2">
        <v>9.6</v>
      </c>
      <c r="Y1515" s="2">
        <v>0.32</v>
      </c>
      <c r="AB1515">
        <v>1</v>
      </c>
      <c r="AC1515">
        <v>2015</v>
      </c>
      <c r="AE1515" s="2">
        <v>32608</v>
      </c>
    </row>
    <row r="1516" spans="2:31" ht="14.5">
      <c r="B1516" s="2">
        <v>85587</v>
      </c>
      <c r="C1516" s="2" t="s">
        <v>1927</v>
      </c>
      <c r="D1516" s="2" t="s">
        <v>1928</v>
      </c>
      <c r="E1516" s="2" t="s">
        <v>118</v>
      </c>
      <c r="F1516" s="2" t="s">
        <v>29</v>
      </c>
      <c r="G1516" s="2" t="s">
        <v>30</v>
      </c>
      <c r="H1516" s="2" t="s">
        <v>218</v>
      </c>
      <c r="I1516" s="2" t="s">
        <v>219</v>
      </c>
      <c r="J1516" s="2" t="s">
        <v>220</v>
      </c>
      <c r="K1516" s="2" t="s">
        <v>267</v>
      </c>
      <c r="L1516" s="3"/>
      <c r="M1516" s="3">
        <v>42170</v>
      </c>
      <c r="N1516" s="3">
        <v>42138</v>
      </c>
      <c r="O1516" s="3">
        <v>42139</v>
      </c>
      <c r="P1516" s="2" t="s">
        <v>35</v>
      </c>
      <c r="Q1516" s="2" t="s">
        <v>36</v>
      </c>
      <c r="R1516" s="2" t="s">
        <v>37</v>
      </c>
      <c r="S1516" s="2" t="s">
        <v>38</v>
      </c>
      <c r="T1516" s="2" t="s">
        <v>39</v>
      </c>
      <c r="U1516" s="2">
        <v>60</v>
      </c>
      <c r="V1516" s="2">
        <v>79258</v>
      </c>
      <c r="W1516" s="2">
        <v>172782.44</v>
      </c>
      <c r="X1516" s="2">
        <v>2.1800000000000002</v>
      </c>
      <c r="Y1516" s="2">
        <v>0.04</v>
      </c>
      <c r="AB1516">
        <v>1</v>
      </c>
      <c r="AC1516">
        <v>2015</v>
      </c>
      <c r="AE1516" s="2">
        <v>3170.32</v>
      </c>
    </row>
    <row r="1517" spans="2:31" ht="14.5">
      <c r="B1517" s="2">
        <v>85599</v>
      </c>
      <c r="C1517" s="2" t="s">
        <v>2560</v>
      </c>
      <c r="D1517" s="2" t="s">
        <v>2561</v>
      </c>
      <c r="E1517" s="2" t="s">
        <v>42</v>
      </c>
      <c r="F1517" s="2" t="s">
        <v>29</v>
      </c>
      <c r="G1517" s="2" t="s">
        <v>30</v>
      </c>
      <c r="H1517" s="2" t="s">
        <v>218</v>
      </c>
      <c r="I1517" s="2" t="s">
        <v>219</v>
      </c>
      <c r="J1517" s="2" t="s">
        <v>220</v>
      </c>
      <c r="K1517" s="2" t="s">
        <v>267</v>
      </c>
      <c r="L1517" s="3"/>
      <c r="M1517" s="3">
        <v>42185</v>
      </c>
      <c r="N1517" s="3">
        <v>42172</v>
      </c>
      <c r="O1517" s="3">
        <v>42184</v>
      </c>
      <c r="P1517" s="2" t="s">
        <v>754</v>
      </c>
      <c r="Q1517" s="2" t="s">
        <v>755</v>
      </c>
      <c r="R1517" s="2" t="s">
        <v>37</v>
      </c>
      <c r="S1517" s="2" t="s">
        <v>756</v>
      </c>
      <c r="T1517" s="2" t="s">
        <v>47</v>
      </c>
      <c r="U1517" s="2">
        <v>30</v>
      </c>
      <c r="V1517" s="2">
        <v>294399</v>
      </c>
      <c r="W1517" s="2">
        <v>2826230.4</v>
      </c>
      <c r="X1517" s="2">
        <v>9.6</v>
      </c>
      <c r="Y1517" s="2">
        <v>0.32</v>
      </c>
      <c r="Z1517" s="2">
        <v>33500</v>
      </c>
      <c r="AB1517">
        <v>1</v>
      </c>
      <c r="AC1517">
        <v>2015</v>
      </c>
      <c r="AE1517" s="2">
        <v>94207.680000000008</v>
      </c>
    </row>
    <row r="1518" spans="2:31" ht="14.5">
      <c r="B1518" s="2">
        <v>85601</v>
      </c>
      <c r="C1518" s="2" t="s">
        <v>2843</v>
      </c>
      <c r="D1518" s="2" t="s">
        <v>2844</v>
      </c>
      <c r="E1518" s="2" t="s">
        <v>2817</v>
      </c>
      <c r="F1518" s="2" t="s">
        <v>29</v>
      </c>
      <c r="G1518" s="2" t="s">
        <v>50</v>
      </c>
      <c r="H1518" s="2" t="s">
        <v>218</v>
      </c>
      <c r="I1518" s="2" t="s">
        <v>219</v>
      </c>
      <c r="J1518" s="2" t="s">
        <v>220</v>
      </c>
      <c r="K1518" s="2" t="s">
        <v>34</v>
      </c>
      <c r="L1518" s="3"/>
      <c r="M1518" s="3">
        <v>42180</v>
      </c>
      <c r="N1518" s="3">
        <v>42174</v>
      </c>
      <c r="O1518" s="3">
        <v>42178</v>
      </c>
      <c r="P1518" s="2" t="s">
        <v>842</v>
      </c>
      <c r="Q1518" s="2" t="s">
        <v>113</v>
      </c>
      <c r="R1518" s="2" t="s">
        <v>37</v>
      </c>
      <c r="S1518" s="2" t="s">
        <v>843</v>
      </c>
      <c r="T1518" s="2" t="s">
        <v>729</v>
      </c>
      <c r="U1518" s="2">
        <v>60</v>
      </c>
      <c r="V1518" s="2">
        <v>4471</v>
      </c>
      <c r="W1518" s="2">
        <v>16095.6</v>
      </c>
      <c r="X1518" s="2">
        <v>3.6</v>
      </c>
      <c r="Y1518" s="2">
        <v>0.06</v>
      </c>
      <c r="AB1518">
        <v>1</v>
      </c>
      <c r="AC1518">
        <v>2015</v>
      </c>
      <c r="AE1518" s="2">
        <v>268.26</v>
      </c>
    </row>
    <row r="1519" spans="2:31" ht="14.5">
      <c r="B1519" s="2">
        <v>85602</v>
      </c>
      <c r="C1519" s="2" t="s">
        <v>1931</v>
      </c>
      <c r="D1519" s="2" t="s">
        <v>1932</v>
      </c>
      <c r="E1519" s="2" t="s">
        <v>42</v>
      </c>
      <c r="F1519" s="2" t="s">
        <v>29</v>
      </c>
      <c r="G1519" s="2" t="s">
        <v>30</v>
      </c>
      <c r="H1519" s="2" t="s">
        <v>218</v>
      </c>
      <c r="I1519" s="2" t="s">
        <v>219</v>
      </c>
      <c r="J1519" s="2" t="s">
        <v>220</v>
      </c>
      <c r="K1519" s="2" t="s">
        <v>34</v>
      </c>
      <c r="L1519" s="3"/>
      <c r="M1519" s="3">
        <v>42234</v>
      </c>
      <c r="N1519" s="3">
        <v>42222</v>
      </c>
      <c r="O1519" s="3">
        <v>42227</v>
      </c>
      <c r="P1519" s="2" t="s">
        <v>112</v>
      </c>
      <c r="Q1519" s="2" t="s">
        <v>113</v>
      </c>
      <c r="R1519" s="2" t="s">
        <v>37</v>
      </c>
      <c r="S1519" s="2" t="s">
        <v>114</v>
      </c>
      <c r="T1519" s="2" t="s">
        <v>47</v>
      </c>
      <c r="U1519" s="2">
        <v>60</v>
      </c>
      <c r="V1519" s="2">
        <v>8998</v>
      </c>
      <c r="W1519" s="2">
        <v>72973.78</v>
      </c>
      <c r="X1519" s="2">
        <v>8.11</v>
      </c>
      <c r="Y1519" s="2">
        <v>0.14000000000000001</v>
      </c>
      <c r="AB1519">
        <v>1</v>
      </c>
      <c r="AC1519">
        <v>2015</v>
      </c>
      <c r="AE1519" s="2">
        <v>1259.72</v>
      </c>
    </row>
    <row r="1520" spans="2:31" ht="14.5">
      <c r="B1520" s="2">
        <v>85603</v>
      </c>
      <c r="C1520" s="2" t="s">
        <v>2562</v>
      </c>
      <c r="D1520" s="2" t="s">
        <v>2563</v>
      </c>
      <c r="E1520" s="2" t="s">
        <v>42</v>
      </c>
      <c r="F1520" s="2" t="s">
        <v>29</v>
      </c>
      <c r="G1520" s="2" t="s">
        <v>50</v>
      </c>
      <c r="H1520" s="2" t="s">
        <v>218</v>
      </c>
      <c r="I1520" s="2" t="s">
        <v>219</v>
      </c>
      <c r="J1520" s="2" t="s">
        <v>220</v>
      </c>
      <c r="K1520" s="2" t="s">
        <v>34</v>
      </c>
      <c r="L1520" s="3"/>
      <c r="M1520" s="3">
        <v>42277</v>
      </c>
      <c r="N1520" s="3">
        <v>42219</v>
      </c>
      <c r="O1520" s="3">
        <v>42227</v>
      </c>
      <c r="P1520" s="2" t="s">
        <v>1917</v>
      </c>
      <c r="Q1520" s="2" t="s">
        <v>1000</v>
      </c>
      <c r="R1520" s="2" t="s">
        <v>37</v>
      </c>
      <c r="S1520" s="2" t="s">
        <v>1665</v>
      </c>
      <c r="T1520" s="2" t="s">
        <v>729</v>
      </c>
      <c r="U1520" s="2">
        <v>60</v>
      </c>
      <c r="V1520" s="2">
        <v>28622</v>
      </c>
      <c r="W1520" s="2">
        <v>145685.98000000001</v>
      </c>
      <c r="X1520" s="2">
        <v>5.09</v>
      </c>
      <c r="Y1520" s="2">
        <v>0.08</v>
      </c>
      <c r="AB1520">
        <v>1</v>
      </c>
      <c r="AC1520">
        <v>2015</v>
      </c>
      <c r="AE1520" s="2">
        <v>2289.7600000000002</v>
      </c>
    </row>
    <row r="1521" spans="2:31" ht="14.5">
      <c r="B1521" s="2">
        <v>85628</v>
      </c>
      <c r="C1521" s="2" t="s">
        <v>1500</v>
      </c>
      <c r="D1521" s="2" t="s">
        <v>1501</v>
      </c>
      <c r="E1521" s="2" t="s">
        <v>118</v>
      </c>
      <c r="F1521" s="2" t="s">
        <v>29</v>
      </c>
      <c r="G1521" s="2" t="s">
        <v>30</v>
      </c>
      <c r="H1521" s="2" t="s">
        <v>218</v>
      </c>
      <c r="I1521" s="2" t="s">
        <v>219</v>
      </c>
      <c r="J1521" s="2" t="s">
        <v>220</v>
      </c>
      <c r="K1521" s="2" t="s">
        <v>34</v>
      </c>
      <c r="L1521" s="3"/>
      <c r="M1521" s="3">
        <v>40094</v>
      </c>
      <c r="N1521" s="3">
        <v>40094</v>
      </c>
      <c r="O1521" s="3">
        <v>40094</v>
      </c>
      <c r="P1521" s="2" t="s">
        <v>706</v>
      </c>
      <c r="Q1521" s="2" t="s">
        <v>707</v>
      </c>
      <c r="R1521" s="2" t="s">
        <v>37</v>
      </c>
      <c r="S1521" s="2" t="s">
        <v>708</v>
      </c>
      <c r="T1521" s="2" t="s">
        <v>47</v>
      </c>
      <c r="U1521" s="2">
        <v>30</v>
      </c>
      <c r="V1521" s="2">
        <v>280</v>
      </c>
      <c r="W1521" s="2">
        <v>2800</v>
      </c>
      <c r="X1521" s="2">
        <v>10</v>
      </c>
      <c r="Y1521" s="2">
        <v>0.33</v>
      </c>
      <c r="AB1521">
        <v>1</v>
      </c>
      <c r="AC1521">
        <v>2009</v>
      </c>
      <c r="AE1521" s="2">
        <v>92.4</v>
      </c>
    </row>
    <row r="1522" spans="2:31" ht="14.5">
      <c r="B1522" s="2">
        <v>85629</v>
      </c>
      <c r="C1522" s="2" t="s">
        <v>2564</v>
      </c>
      <c r="D1522" s="2" t="s">
        <v>2565</v>
      </c>
      <c r="E1522" s="2" t="s">
        <v>118</v>
      </c>
      <c r="F1522" s="2" t="s">
        <v>29</v>
      </c>
      <c r="G1522" s="2" t="s">
        <v>30</v>
      </c>
      <c r="H1522" s="2" t="s">
        <v>218</v>
      </c>
      <c r="I1522" s="2" t="s">
        <v>219</v>
      </c>
      <c r="J1522" s="2" t="s">
        <v>220</v>
      </c>
      <c r="K1522" s="2" t="s">
        <v>34</v>
      </c>
      <c r="L1522" s="3"/>
      <c r="M1522" s="3">
        <v>40094</v>
      </c>
      <c r="N1522" s="3">
        <v>40094</v>
      </c>
      <c r="O1522" s="3">
        <v>40094</v>
      </c>
      <c r="P1522" s="2" t="s">
        <v>95</v>
      </c>
      <c r="Q1522" s="2" t="s">
        <v>96</v>
      </c>
      <c r="R1522" s="2" t="s">
        <v>37</v>
      </c>
      <c r="S1522" s="2" t="s">
        <v>97</v>
      </c>
      <c r="T1522" s="2" t="s">
        <v>39</v>
      </c>
      <c r="U1522" s="2">
        <v>30</v>
      </c>
      <c r="V1522" s="2">
        <v>200</v>
      </c>
      <c r="W1522" s="2">
        <v>1370</v>
      </c>
      <c r="X1522" s="2">
        <v>6.85</v>
      </c>
      <c r="Y1522" s="2">
        <v>0.23</v>
      </c>
      <c r="Z1522" s="2">
        <v>18</v>
      </c>
      <c r="AA1522" s="2">
        <v>1140.08</v>
      </c>
      <c r="AB1522">
        <v>1</v>
      </c>
      <c r="AC1522">
        <v>2009</v>
      </c>
      <c r="AE1522" s="2">
        <v>46</v>
      </c>
    </row>
    <row r="1523" spans="2:31" ht="14.5">
      <c r="B1523" s="2">
        <v>85633</v>
      </c>
      <c r="C1523" s="2" t="s">
        <v>1724</v>
      </c>
      <c r="D1523" s="2" t="s">
        <v>1725</v>
      </c>
      <c r="E1523" s="2" t="s">
        <v>118</v>
      </c>
      <c r="F1523" s="2" t="s">
        <v>29</v>
      </c>
      <c r="G1523" s="2" t="s">
        <v>30</v>
      </c>
      <c r="H1523" s="2" t="s">
        <v>218</v>
      </c>
      <c r="I1523" s="2" t="s">
        <v>219</v>
      </c>
      <c r="J1523" s="2" t="s">
        <v>220</v>
      </c>
      <c r="K1523" s="2" t="s">
        <v>34</v>
      </c>
      <c r="L1523" s="3"/>
      <c r="M1523" s="3">
        <v>40150</v>
      </c>
      <c r="N1523" s="3">
        <v>40147</v>
      </c>
      <c r="O1523" s="3">
        <v>40147</v>
      </c>
      <c r="P1523" s="2" t="s">
        <v>44</v>
      </c>
      <c r="Q1523" s="2" t="s">
        <v>45</v>
      </c>
      <c r="R1523" s="2" t="s">
        <v>37</v>
      </c>
      <c r="S1523" s="2" t="s">
        <v>46</v>
      </c>
      <c r="T1523" s="2" t="s">
        <v>47</v>
      </c>
      <c r="U1523" s="2">
        <v>60</v>
      </c>
      <c r="V1523" s="2">
        <v>16577</v>
      </c>
      <c r="W1523" s="2">
        <v>145214.51999999999</v>
      </c>
      <c r="X1523" s="2">
        <v>8.76</v>
      </c>
      <c r="Y1523" s="2">
        <v>0.15</v>
      </c>
      <c r="AB1523">
        <v>1</v>
      </c>
      <c r="AC1523">
        <v>2009</v>
      </c>
      <c r="AE1523" s="2">
        <v>2486.5499999999997</v>
      </c>
    </row>
    <row r="1524" spans="2:31" ht="14.5">
      <c r="B1524" s="2">
        <v>85638</v>
      </c>
      <c r="C1524" s="2" t="s">
        <v>2434</v>
      </c>
      <c r="D1524" s="2" t="s">
        <v>2435</v>
      </c>
      <c r="E1524" s="2" t="s">
        <v>118</v>
      </c>
      <c r="F1524" s="2" t="s">
        <v>29</v>
      </c>
      <c r="G1524" s="2" t="s">
        <v>30</v>
      </c>
      <c r="H1524" s="2" t="s">
        <v>218</v>
      </c>
      <c r="I1524" s="2" t="s">
        <v>219</v>
      </c>
      <c r="J1524" s="2" t="s">
        <v>220</v>
      </c>
      <c r="K1524" s="2" t="s">
        <v>34</v>
      </c>
      <c r="L1524" s="3"/>
      <c r="M1524" s="3">
        <v>40147</v>
      </c>
      <c r="N1524" s="3">
        <v>40149</v>
      </c>
      <c r="O1524" s="3">
        <v>40149</v>
      </c>
      <c r="P1524" s="2" t="s">
        <v>44</v>
      </c>
      <c r="Q1524" s="2" t="s">
        <v>45</v>
      </c>
      <c r="R1524" s="2" t="s">
        <v>37</v>
      </c>
      <c r="S1524" s="2" t="s">
        <v>46</v>
      </c>
      <c r="T1524" s="2" t="s">
        <v>47</v>
      </c>
      <c r="U1524" s="2">
        <v>60</v>
      </c>
      <c r="V1524" s="2">
        <v>3360</v>
      </c>
      <c r="W1524" s="2">
        <v>29433.599999999999</v>
      </c>
      <c r="X1524" s="2">
        <v>8.76</v>
      </c>
      <c r="Y1524" s="2">
        <v>0.15</v>
      </c>
      <c r="AB1524">
        <v>0</v>
      </c>
      <c r="AC1524">
        <v>2009</v>
      </c>
      <c r="AE1524" s="2">
        <v>504</v>
      </c>
    </row>
    <row r="1525" spans="2:31" ht="14.5">
      <c r="B1525" s="2">
        <v>85639</v>
      </c>
      <c r="C1525" s="2" t="s">
        <v>2434</v>
      </c>
      <c r="D1525" s="2" t="s">
        <v>2435</v>
      </c>
      <c r="E1525" s="2" t="s">
        <v>118</v>
      </c>
      <c r="F1525" s="2" t="s">
        <v>29</v>
      </c>
      <c r="G1525" s="2" t="s">
        <v>30</v>
      </c>
      <c r="H1525" s="2" t="s">
        <v>218</v>
      </c>
      <c r="I1525" s="2" t="s">
        <v>219</v>
      </c>
      <c r="J1525" s="2" t="s">
        <v>220</v>
      </c>
      <c r="K1525" s="2" t="s">
        <v>34</v>
      </c>
      <c r="L1525" s="3"/>
      <c r="M1525" s="3">
        <v>40147</v>
      </c>
      <c r="N1525" s="3">
        <v>40149</v>
      </c>
      <c r="O1525" s="3">
        <v>40149</v>
      </c>
      <c r="P1525" s="2" t="s">
        <v>35</v>
      </c>
      <c r="Q1525" s="2" t="s">
        <v>36</v>
      </c>
      <c r="R1525" s="2" t="s">
        <v>37</v>
      </c>
      <c r="S1525" s="2" t="s">
        <v>38</v>
      </c>
      <c r="T1525" s="2" t="s">
        <v>39</v>
      </c>
      <c r="U1525" s="2">
        <v>60</v>
      </c>
      <c r="V1525" s="2">
        <v>2000</v>
      </c>
      <c r="W1525" s="2">
        <v>5800</v>
      </c>
      <c r="X1525" s="2">
        <v>2.9</v>
      </c>
      <c r="Y1525" s="2">
        <v>0.05</v>
      </c>
      <c r="AB1525">
        <v>0</v>
      </c>
      <c r="AC1525">
        <v>2009</v>
      </c>
      <c r="AE1525" s="2">
        <v>100</v>
      </c>
    </row>
    <row r="1526" spans="2:31" ht="14.5">
      <c r="B1526" s="2">
        <v>85643</v>
      </c>
      <c r="C1526" s="2" t="s">
        <v>2566</v>
      </c>
      <c r="D1526" s="2" t="s">
        <v>2567</v>
      </c>
      <c r="E1526" s="2" t="s">
        <v>118</v>
      </c>
      <c r="F1526" s="2" t="s">
        <v>29</v>
      </c>
      <c r="G1526" s="2" t="s">
        <v>30</v>
      </c>
      <c r="H1526" s="2" t="s">
        <v>218</v>
      </c>
      <c r="I1526" s="2" t="s">
        <v>219</v>
      </c>
      <c r="J1526" s="2" t="s">
        <v>220</v>
      </c>
      <c r="K1526" s="2" t="s">
        <v>34</v>
      </c>
      <c r="L1526" s="3"/>
      <c r="M1526" s="3">
        <v>40193</v>
      </c>
      <c r="N1526" s="3">
        <v>40200</v>
      </c>
      <c r="O1526" s="3">
        <v>40200</v>
      </c>
      <c r="P1526" s="2" t="s">
        <v>112</v>
      </c>
      <c r="Q1526" s="2" t="s">
        <v>113</v>
      </c>
      <c r="R1526" s="2" t="s">
        <v>37</v>
      </c>
      <c r="S1526" s="2" t="s">
        <v>114</v>
      </c>
      <c r="T1526" s="2" t="s">
        <v>47</v>
      </c>
      <c r="U1526" s="2">
        <v>60</v>
      </c>
      <c r="V1526" s="2">
        <v>5500</v>
      </c>
      <c r="W1526" s="2">
        <v>61710</v>
      </c>
      <c r="X1526" s="2">
        <v>11.22</v>
      </c>
      <c r="Y1526" s="2">
        <v>0.19</v>
      </c>
      <c r="Z1526" s="2">
        <v>708</v>
      </c>
      <c r="AA1526" s="2">
        <v>2524</v>
      </c>
      <c r="AB1526">
        <v>0</v>
      </c>
      <c r="AC1526">
        <v>2010</v>
      </c>
      <c r="AE1526" s="2">
        <v>1045</v>
      </c>
    </row>
    <row r="1527" spans="2:31" ht="14.5">
      <c r="B1527" s="2">
        <v>85648</v>
      </c>
      <c r="C1527" s="2" t="s">
        <v>2568</v>
      </c>
      <c r="D1527" s="2" t="s">
        <v>2569</v>
      </c>
      <c r="E1527" s="2" t="s">
        <v>118</v>
      </c>
      <c r="F1527" s="2" t="s">
        <v>29</v>
      </c>
      <c r="G1527" s="2" t="s">
        <v>30</v>
      </c>
      <c r="H1527" s="2" t="s">
        <v>218</v>
      </c>
      <c r="I1527" s="2" t="s">
        <v>219</v>
      </c>
      <c r="J1527" s="2" t="s">
        <v>220</v>
      </c>
      <c r="K1527" s="2" t="s">
        <v>34</v>
      </c>
      <c r="L1527" s="3"/>
      <c r="M1527" s="3">
        <v>40234</v>
      </c>
      <c r="N1527" s="3">
        <v>40193</v>
      </c>
      <c r="O1527" s="3">
        <v>40193</v>
      </c>
      <c r="P1527" s="2" t="s">
        <v>164</v>
      </c>
      <c r="Q1527" s="2" t="s">
        <v>165</v>
      </c>
      <c r="R1527" s="2" t="s">
        <v>37</v>
      </c>
      <c r="S1527" s="2" t="s">
        <v>166</v>
      </c>
      <c r="T1527" s="2" t="s">
        <v>39</v>
      </c>
      <c r="U1527" s="2">
        <v>60</v>
      </c>
      <c r="V1527" s="2">
        <v>6985</v>
      </c>
      <c r="W1527" s="2">
        <v>17043.400000000001</v>
      </c>
      <c r="X1527" s="2">
        <v>2.44</v>
      </c>
      <c r="Y1527" s="2">
        <v>0.04</v>
      </c>
      <c r="Z1527" s="2">
        <v>336</v>
      </c>
      <c r="AA1527" s="2">
        <v>2528.69</v>
      </c>
      <c r="AB1527">
        <v>1</v>
      </c>
      <c r="AC1527">
        <v>2010</v>
      </c>
      <c r="AE1527" s="2">
        <v>279.40000000000003</v>
      </c>
    </row>
    <row r="1528" spans="2:31" ht="14.5">
      <c r="B1528" s="2">
        <v>85649</v>
      </c>
      <c r="C1528" s="2" t="s">
        <v>2570</v>
      </c>
      <c r="D1528" s="2" t="s">
        <v>2571</v>
      </c>
      <c r="E1528" s="2" t="s">
        <v>118</v>
      </c>
      <c r="F1528" s="2" t="s">
        <v>29</v>
      </c>
      <c r="G1528" s="2" t="s">
        <v>30</v>
      </c>
      <c r="H1528" s="2" t="s">
        <v>218</v>
      </c>
      <c r="I1528" s="2" t="s">
        <v>219</v>
      </c>
      <c r="J1528" s="2" t="s">
        <v>220</v>
      </c>
      <c r="K1528" s="2" t="s">
        <v>34</v>
      </c>
      <c r="L1528" s="3"/>
      <c r="M1528" s="3">
        <v>40212</v>
      </c>
      <c r="N1528" s="3">
        <v>40212</v>
      </c>
      <c r="O1528" s="3">
        <v>40212</v>
      </c>
      <c r="P1528" s="2" t="s">
        <v>112</v>
      </c>
      <c r="Q1528" s="2" t="s">
        <v>113</v>
      </c>
      <c r="R1528" s="2" t="s">
        <v>37</v>
      </c>
      <c r="S1528" s="2" t="s">
        <v>114</v>
      </c>
      <c r="T1528" s="2" t="s">
        <v>47</v>
      </c>
      <c r="U1528" s="2">
        <v>60</v>
      </c>
      <c r="V1528" s="2">
        <v>31000</v>
      </c>
      <c r="W1528" s="2">
        <v>351850</v>
      </c>
      <c r="X1528" s="2">
        <v>11.35</v>
      </c>
      <c r="Y1528" s="2">
        <v>0.19</v>
      </c>
      <c r="Z1528" s="2">
        <v>3941</v>
      </c>
      <c r="AA1528" s="2">
        <v>42656.07</v>
      </c>
      <c r="AB1528">
        <v>1</v>
      </c>
      <c r="AC1528">
        <v>2010</v>
      </c>
      <c r="AE1528" s="2">
        <v>5890</v>
      </c>
    </row>
    <row r="1529" spans="2:31" ht="14.5">
      <c r="B1529" s="2">
        <v>85651</v>
      </c>
      <c r="C1529" s="2" t="s">
        <v>2572</v>
      </c>
      <c r="D1529" s="2" t="s">
        <v>2573</v>
      </c>
      <c r="E1529" s="2" t="s">
        <v>118</v>
      </c>
      <c r="F1529" s="2" t="s">
        <v>29</v>
      </c>
      <c r="G1529" s="2" t="s">
        <v>30</v>
      </c>
      <c r="H1529" s="2" t="s">
        <v>218</v>
      </c>
      <c r="I1529" s="2" t="s">
        <v>219</v>
      </c>
      <c r="J1529" s="2" t="s">
        <v>220</v>
      </c>
      <c r="K1529" s="2" t="s">
        <v>267</v>
      </c>
      <c r="L1529" s="3"/>
      <c r="M1529" s="3">
        <v>40256</v>
      </c>
      <c r="N1529" s="3">
        <v>40207</v>
      </c>
      <c r="O1529" s="3">
        <v>40207</v>
      </c>
      <c r="P1529" s="2" t="s">
        <v>35</v>
      </c>
      <c r="Q1529" s="2" t="s">
        <v>36</v>
      </c>
      <c r="R1529" s="2" t="s">
        <v>37</v>
      </c>
      <c r="S1529" s="2" t="s">
        <v>38</v>
      </c>
      <c r="T1529" s="2" t="s">
        <v>39</v>
      </c>
      <c r="U1529" s="2">
        <v>60</v>
      </c>
      <c r="V1529" s="2">
        <v>5184</v>
      </c>
      <c r="W1529" s="2">
        <v>15033.6</v>
      </c>
      <c r="X1529" s="2">
        <v>2.9</v>
      </c>
      <c r="Y1529" s="2">
        <v>0.05</v>
      </c>
      <c r="Z1529" s="2">
        <v>507</v>
      </c>
      <c r="AA1529" s="2">
        <v>1576.8</v>
      </c>
      <c r="AB1529">
        <v>1</v>
      </c>
      <c r="AC1529">
        <v>2010</v>
      </c>
      <c r="AE1529" s="2">
        <v>259.2</v>
      </c>
    </row>
    <row r="1530" spans="2:31" ht="14.5">
      <c r="B1530" s="2">
        <v>85654</v>
      </c>
      <c r="C1530" s="2" t="s">
        <v>1506</v>
      </c>
      <c r="D1530" s="2" t="s">
        <v>1507</v>
      </c>
      <c r="E1530" s="2" t="s">
        <v>118</v>
      </c>
      <c r="F1530" s="2" t="s">
        <v>29</v>
      </c>
      <c r="G1530" s="2" t="s">
        <v>30</v>
      </c>
      <c r="H1530" s="2" t="s">
        <v>218</v>
      </c>
      <c r="I1530" s="2" t="s">
        <v>219</v>
      </c>
      <c r="J1530" s="2" t="s">
        <v>220</v>
      </c>
      <c r="K1530" s="2" t="s">
        <v>34</v>
      </c>
      <c r="L1530" s="3"/>
      <c r="M1530" s="3">
        <v>40255</v>
      </c>
      <c r="N1530" s="3">
        <v>40254</v>
      </c>
      <c r="O1530" s="3">
        <v>40254</v>
      </c>
      <c r="P1530" s="2" t="s">
        <v>44</v>
      </c>
      <c r="Q1530" s="2" t="s">
        <v>45</v>
      </c>
      <c r="R1530" s="2" t="s">
        <v>37</v>
      </c>
      <c r="S1530" s="2" t="s">
        <v>46</v>
      </c>
      <c r="T1530" s="2" t="s">
        <v>47</v>
      </c>
      <c r="U1530" s="2">
        <v>60</v>
      </c>
      <c r="V1530" s="2">
        <v>3000</v>
      </c>
      <c r="W1530" s="2">
        <v>26280</v>
      </c>
      <c r="X1530" s="2">
        <v>8.76</v>
      </c>
      <c r="Y1530" s="2">
        <v>0.15</v>
      </c>
      <c r="AB1530">
        <v>1</v>
      </c>
      <c r="AC1530">
        <v>2010</v>
      </c>
      <c r="AE1530" s="2">
        <v>450</v>
      </c>
    </row>
    <row r="1531" spans="2:31" ht="14.5">
      <c r="B1531" s="2">
        <v>85669</v>
      </c>
      <c r="C1531" s="2" t="s">
        <v>2574</v>
      </c>
      <c r="D1531" s="2" t="s">
        <v>2575</v>
      </c>
      <c r="E1531" s="2" t="s">
        <v>118</v>
      </c>
      <c r="F1531" s="2" t="s">
        <v>29</v>
      </c>
      <c r="G1531" s="2" t="s">
        <v>30</v>
      </c>
      <c r="H1531" s="2" t="s">
        <v>218</v>
      </c>
      <c r="I1531" s="2" t="s">
        <v>219</v>
      </c>
      <c r="J1531" s="2" t="s">
        <v>220</v>
      </c>
      <c r="K1531" s="2" t="s">
        <v>34</v>
      </c>
      <c r="L1531" s="3"/>
      <c r="M1531" s="3">
        <v>40333</v>
      </c>
      <c r="N1531" s="3">
        <v>40283</v>
      </c>
      <c r="O1531" s="3">
        <v>40283</v>
      </c>
      <c r="P1531" s="2" t="s">
        <v>1457</v>
      </c>
      <c r="Q1531" s="2" t="s">
        <v>236</v>
      </c>
      <c r="R1531" s="2" t="s">
        <v>37</v>
      </c>
      <c r="S1531" s="2" t="s">
        <v>1458</v>
      </c>
      <c r="T1531" s="2" t="s">
        <v>47</v>
      </c>
      <c r="U1531" s="2">
        <v>30</v>
      </c>
      <c r="V1531" s="2">
        <v>1300</v>
      </c>
      <c r="W1531" s="2">
        <v>15275</v>
      </c>
      <c r="X1531" s="2">
        <v>11.75</v>
      </c>
      <c r="Y1531" s="2">
        <v>0.39</v>
      </c>
      <c r="Z1531" s="2">
        <v>105</v>
      </c>
      <c r="AA1531" s="2">
        <v>2393.54</v>
      </c>
      <c r="AB1531">
        <v>1</v>
      </c>
      <c r="AC1531">
        <v>2010</v>
      </c>
      <c r="AE1531" s="2">
        <v>507</v>
      </c>
    </row>
    <row r="1532" spans="2:31" ht="14.5">
      <c r="B1532" s="2">
        <v>85676</v>
      </c>
      <c r="C1532" s="2" t="s">
        <v>2576</v>
      </c>
      <c r="D1532" s="2" t="s">
        <v>2577</v>
      </c>
      <c r="E1532" s="2" t="s">
        <v>118</v>
      </c>
      <c r="F1532" s="2" t="s">
        <v>29</v>
      </c>
      <c r="G1532" s="2" t="s">
        <v>30</v>
      </c>
      <c r="H1532" s="2" t="s">
        <v>218</v>
      </c>
      <c r="I1532" s="2" t="s">
        <v>219</v>
      </c>
      <c r="J1532" s="2" t="s">
        <v>220</v>
      </c>
      <c r="K1532" s="2" t="s">
        <v>34</v>
      </c>
      <c r="L1532" s="3"/>
      <c r="M1532" s="3">
        <v>40359</v>
      </c>
      <c r="N1532" s="3">
        <v>40351</v>
      </c>
      <c r="O1532" s="3">
        <v>40351</v>
      </c>
      <c r="P1532" s="2" t="s">
        <v>1457</v>
      </c>
      <c r="Q1532" s="2" t="s">
        <v>236</v>
      </c>
      <c r="R1532" s="2" t="s">
        <v>37</v>
      </c>
      <c r="S1532" s="2" t="s">
        <v>1458</v>
      </c>
      <c r="T1532" s="2" t="s">
        <v>47</v>
      </c>
      <c r="U1532" s="2">
        <v>30</v>
      </c>
      <c r="V1532" s="2">
        <v>6000</v>
      </c>
      <c r="W1532" s="2">
        <v>70500</v>
      </c>
      <c r="X1532" s="2">
        <v>11.75</v>
      </c>
      <c r="Y1532" s="2">
        <v>0.39</v>
      </c>
      <c r="Z1532" s="2">
        <v>493</v>
      </c>
      <c r="AA1532" s="2">
        <v>7879.03</v>
      </c>
      <c r="AB1532">
        <v>1</v>
      </c>
      <c r="AC1532">
        <v>2010</v>
      </c>
      <c r="AE1532" s="2">
        <v>2340</v>
      </c>
    </row>
    <row r="1533" spans="2:31" ht="14.5">
      <c r="B1533" s="2">
        <v>85680</v>
      </c>
      <c r="C1533" s="2" t="s">
        <v>2578</v>
      </c>
      <c r="D1533" s="2" t="s">
        <v>2579</v>
      </c>
      <c r="E1533" s="2" t="s">
        <v>28</v>
      </c>
      <c r="F1533" s="2" t="s">
        <v>29</v>
      </c>
      <c r="G1533" s="2" t="s">
        <v>30</v>
      </c>
      <c r="H1533" s="2" t="s">
        <v>218</v>
      </c>
      <c r="I1533" s="2" t="s">
        <v>219</v>
      </c>
      <c r="J1533" s="2" t="s">
        <v>220</v>
      </c>
      <c r="K1533" s="2" t="s">
        <v>34</v>
      </c>
      <c r="L1533" s="3"/>
      <c r="M1533" s="3">
        <v>40380</v>
      </c>
      <c r="N1533" s="3">
        <v>40367</v>
      </c>
      <c r="O1533" s="3">
        <v>40367</v>
      </c>
      <c r="P1533" s="2" t="s">
        <v>35</v>
      </c>
      <c r="Q1533" s="2" t="s">
        <v>36</v>
      </c>
      <c r="R1533" s="2" t="s">
        <v>37</v>
      </c>
      <c r="S1533" s="2" t="s">
        <v>38</v>
      </c>
      <c r="T1533" s="2" t="s">
        <v>39</v>
      </c>
      <c r="U1533" s="2">
        <v>60</v>
      </c>
      <c r="V1533" s="2">
        <v>20124</v>
      </c>
      <c r="W1533" s="2">
        <v>54938.52</v>
      </c>
      <c r="X1533" s="2">
        <v>2.73</v>
      </c>
      <c r="Y1533" s="2">
        <v>0.05</v>
      </c>
      <c r="Z1533" s="2">
        <v>2262</v>
      </c>
      <c r="AA1533" s="2">
        <v>10536.12</v>
      </c>
      <c r="AB1533">
        <v>1</v>
      </c>
      <c r="AC1533">
        <v>2010</v>
      </c>
      <c r="AE1533" s="2">
        <v>1006.2</v>
      </c>
    </row>
    <row r="1534" spans="2:31" ht="14.5">
      <c r="B1534" s="2">
        <v>85693</v>
      </c>
      <c r="C1534" s="2" t="s">
        <v>1961</v>
      </c>
      <c r="D1534" s="2" t="s">
        <v>1962</v>
      </c>
      <c r="E1534" s="2" t="s">
        <v>118</v>
      </c>
      <c r="F1534" s="2" t="s">
        <v>29</v>
      </c>
      <c r="G1534" s="2" t="s">
        <v>30</v>
      </c>
      <c r="H1534" s="2" t="s">
        <v>218</v>
      </c>
      <c r="I1534" s="2" t="s">
        <v>219</v>
      </c>
      <c r="J1534" s="2" t="s">
        <v>220</v>
      </c>
      <c r="K1534" s="2" t="s">
        <v>34</v>
      </c>
      <c r="L1534" s="3"/>
      <c r="M1534" s="3">
        <v>40394</v>
      </c>
      <c r="N1534" s="3">
        <v>40392</v>
      </c>
      <c r="O1534" s="3">
        <v>40392</v>
      </c>
      <c r="P1534" s="2" t="s">
        <v>44</v>
      </c>
      <c r="Q1534" s="2" t="s">
        <v>45</v>
      </c>
      <c r="R1534" s="2" t="s">
        <v>37</v>
      </c>
      <c r="S1534" s="2" t="s">
        <v>46</v>
      </c>
      <c r="T1534" s="2" t="s">
        <v>47</v>
      </c>
      <c r="U1534" s="2">
        <v>60</v>
      </c>
      <c r="V1534" s="2">
        <v>3000</v>
      </c>
      <c r="W1534" s="2">
        <v>26280</v>
      </c>
      <c r="X1534" s="2">
        <v>8.76</v>
      </c>
      <c r="Y1534" s="2">
        <v>0.15</v>
      </c>
      <c r="AB1534">
        <v>1</v>
      </c>
      <c r="AC1534">
        <v>2010</v>
      </c>
      <c r="AE1534" s="2">
        <v>450</v>
      </c>
    </row>
    <row r="1535" spans="2:31" ht="14.5">
      <c r="B1535" s="2">
        <v>85702</v>
      </c>
      <c r="C1535" s="2" t="s">
        <v>2328</v>
      </c>
      <c r="D1535" s="2" t="s">
        <v>2329</v>
      </c>
      <c r="E1535" s="2" t="s">
        <v>118</v>
      </c>
      <c r="F1535" s="2" t="s">
        <v>29</v>
      </c>
      <c r="G1535" s="2" t="s">
        <v>30</v>
      </c>
      <c r="H1535" s="2" t="s">
        <v>218</v>
      </c>
      <c r="I1535" s="2" t="s">
        <v>219</v>
      </c>
      <c r="J1535" s="2" t="s">
        <v>220</v>
      </c>
      <c r="K1535" s="2" t="s">
        <v>34</v>
      </c>
      <c r="L1535" s="3"/>
      <c r="M1535" s="3">
        <v>40451</v>
      </c>
      <c r="N1535" s="3">
        <v>40413</v>
      </c>
      <c r="O1535" s="3">
        <v>40413</v>
      </c>
      <c r="P1535" s="2" t="s">
        <v>44</v>
      </c>
      <c r="Q1535" s="2" t="s">
        <v>45</v>
      </c>
      <c r="R1535" s="2" t="s">
        <v>37</v>
      </c>
      <c r="S1535" s="2" t="s">
        <v>46</v>
      </c>
      <c r="T1535" s="2" t="s">
        <v>47</v>
      </c>
      <c r="U1535" s="2">
        <v>60</v>
      </c>
      <c r="V1535" s="2">
        <v>2999</v>
      </c>
      <c r="W1535" s="2">
        <v>25641.45</v>
      </c>
      <c r="X1535" s="2">
        <v>8.5500000000000007</v>
      </c>
      <c r="Y1535" s="2">
        <v>0.14000000000000001</v>
      </c>
      <c r="AB1535">
        <v>1</v>
      </c>
      <c r="AC1535">
        <v>2010</v>
      </c>
      <c r="AE1535" s="2">
        <v>419.86</v>
      </c>
    </row>
    <row r="1536" spans="2:31" ht="14.5">
      <c r="B1536" s="2">
        <v>85705</v>
      </c>
      <c r="C1536" s="2" t="s">
        <v>2580</v>
      </c>
      <c r="D1536" s="2" t="s">
        <v>2581</v>
      </c>
      <c r="E1536" s="2" t="s">
        <v>60</v>
      </c>
      <c r="F1536" s="2" t="s">
        <v>29</v>
      </c>
      <c r="G1536" s="2" t="s">
        <v>30</v>
      </c>
      <c r="H1536" s="2" t="s">
        <v>218</v>
      </c>
      <c r="I1536" s="2" t="s">
        <v>219</v>
      </c>
      <c r="J1536" s="2" t="s">
        <v>220</v>
      </c>
      <c r="K1536" s="2" t="s">
        <v>34</v>
      </c>
      <c r="L1536" s="3"/>
      <c r="M1536" s="3">
        <v>40436</v>
      </c>
      <c r="N1536" s="3">
        <v>40434</v>
      </c>
      <c r="O1536" s="3">
        <v>40434</v>
      </c>
      <c r="P1536" s="2" t="s">
        <v>164</v>
      </c>
      <c r="Q1536" s="2" t="s">
        <v>165</v>
      </c>
      <c r="R1536" s="2" t="s">
        <v>37</v>
      </c>
      <c r="S1536" s="2" t="s">
        <v>166</v>
      </c>
      <c r="T1536" s="2" t="s">
        <v>39</v>
      </c>
      <c r="U1536" s="2">
        <v>60</v>
      </c>
      <c r="V1536" s="2">
        <v>1800</v>
      </c>
      <c r="W1536" s="2">
        <v>4194</v>
      </c>
      <c r="X1536" s="2">
        <v>2.33</v>
      </c>
      <c r="Y1536" s="2">
        <v>0.04</v>
      </c>
      <c r="Z1536" s="2">
        <v>74</v>
      </c>
      <c r="AA1536" s="2">
        <v>530.36</v>
      </c>
      <c r="AB1536">
        <v>1</v>
      </c>
      <c r="AC1536">
        <v>2010</v>
      </c>
      <c r="AE1536" s="2">
        <v>72</v>
      </c>
    </row>
    <row r="1537" spans="2:31" ht="14.5">
      <c r="B1537" s="2">
        <v>85712</v>
      </c>
      <c r="C1537" s="2" t="s">
        <v>2582</v>
      </c>
      <c r="D1537" s="2" t="s">
        <v>2583</v>
      </c>
      <c r="E1537" s="2" t="s">
        <v>118</v>
      </c>
      <c r="F1537" s="2" t="s">
        <v>29</v>
      </c>
      <c r="G1537" s="2" t="s">
        <v>30</v>
      </c>
      <c r="H1537" s="2" t="s">
        <v>218</v>
      </c>
      <c r="I1537" s="2" t="s">
        <v>219</v>
      </c>
      <c r="J1537" s="2" t="s">
        <v>220</v>
      </c>
      <c r="K1537" s="2" t="s">
        <v>267</v>
      </c>
      <c r="L1537" s="3"/>
      <c r="M1537" s="3">
        <v>40480</v>
      </c>
      <c r="N1537" s="3">
        <v>40466</v>
      </c>
      <c r="O1537" s="3">
        <v>40466</v>
      </c>
      <c r="P1537" s="2" t="s">
        <v>112</v>
      </c>
      <c r="Q1537" s="2" t="s">
        <v>113</v>
      </c>
      <c r="R1537" s="2" t="s">
        <v>37</v>
      </c>
      <c r="S1537" s="2" t="s">
        <v>114</v>
      </c>
      <c r="T1537" s="2" t="s">
        <v>47</v>
      </c>
      <c r="U1537" s="2">
        <v>60</v>
      </c>
      <c r="V1537" s="2">
        <v>30000</v>
      </c>
      <c r="W1537" s="2">
        <v>336600</v>
      </c>
      <c r="X1537" s="2">
        <v>11.22</v>
      </c>
      <c r="Y1537" s="2">
        <v>0.19</v>
      </c>
      <c r="Z1537" s="2">
        <v>4050</v>
      </c>
      <c r="AA1537" s="2">
        <v>15759.47</v>
      </c>
      <c r="AB1537">
        <v>1</v>
      </c>
      <c r="AC1537">
        <v>2010</v>
      </c>
      <c r="AE1537" s="2">
        <v>5700</v>
      </c>
    </row>
    <row r="1538" spans="2:31" ht="14.5">
      <c r="B1538" s="2">
        <v>85714</v>
      </c>
      <c r="C1538" s="2" t="s">
        <v>2584</v>
      </c>
      <c r="D1538" s="2" t="s">
        <v>2585</v>
      </c>
      <c r="E1538" s="2" t="s">
        <v>28</v>
      </c>
      <c r="F1538" s="2" t="s">
        <v>29</v>
      </c>
      <c r="G1538" s="2" t="s">
        <v>30</v>
      </c>
      <c r="H1538" s="2" t="s">
        <v>218</v>
      </c>
      <c r="I1538" s="2" t="s">
        <v>219</v>
      </c>
      <c r="J1538" s="2" t="s">
        <v>220</v>
      </c>
      <c r="K1538" s="2" t="s">
        <v>267</v>
      </c>
      <c r="L1538" s="3"/>
      <c r="M1538" s="3">
        <v>40512</v>
      </c>
      <c r="N1538" s="3">
        <v>40515</v>
      </c>
      <c r="O1538" s="3">
        <v>40515</v>
      </c>
      <c r="P1538" s="2" t="s">
        <v>35</v>
      </c>
      <c r="Q1538" s="2" t="s">
        <v>36</v>
      </c>
      <c r="R1538" s="2" t="s">
        <v>37</v>
      </c>
      <c r="S1538" s="2" t="s">
        <v>38</v>
      </c>
      <c r="T1538" s="2" t="s">
        <v>39</v>
      </c>
      <c r="U1538" s="2">
        <v>60</v>
      </c>
      <c r="V1538" s="2">
        <v>110000</v>
      </c>
      <c r="W1538" s="2">
        <v>283800</v>
      </c>
      <c r="X1538" s="2">
        <v>2.58</v>
      </c>
      <c r="Y1538" s="2">
        <v>0.04</v>
      </c>
      <c r="Z1538" s="2">
        <v>12543</v>
      </c>
      <c r="AA1538" s="2">
        <v>1979.75</v>
      </c>
      <c r="AB1538">
        <v>0</v>
      </c>
      <c r="AC1538">
        <v>2010</v>
      </c>
      <c r="AE1538" s="2">
        <v>4400</v>
      </c>
    </row>
    <row r="1539" spans="2:31" ht="14.5">
      <c r="B1539" s="2">
        <v>85721</v>
      </c>
      <c r="C1539" s="2" t="s">
        <v>2586</v>
      </c>
      <c r="D1539" s="2" t="s">
        <v>2587</v>
      </c>
      <c r="E1539" s="2" t="s">
        <v>118</v>
      </c>
      <c r="F1539" s="2" t="s">
        <v>29</v>
      </c>
      <c r="G1539" s="2" t="s">
        <v>30</v>
      </c>
      <c r="H1539" s="2" t="s">
        <v>218</v>
      </c>
      <c r="I1539" s="2" t="s">
        <v>219</v>
      </c>
      <c r="J1539" s="2" t="s">
        <v>220</v>
      </c>
      <c r="K1539" s="2" t="s">
        <v>34</v>
      </c>
      <c r="L1539" s="3"/>
      <c r="M1539" s="3">
        <v>40508</v>
      </c>
      <c r="N1539" s="3">
        <v>40505</v>
      </c>
      <c r="O1539" s="3">
        <v>40505</v>
      </c>
      <c r="P1539" s="2" t="s">
        <v>112</v>
      </c>
      <c r="Q1539" s="2" t="s">
        <v>113</v>
      </c>
      <c r="R1539" s="2" t="s">
        <v>37</v>
      </c>
      <c r="S1539" s="2" t="s">
        <v>114</v>
      </c>
      <c r="T1539" s="2" t="s">
        <v>47</v>
      </c>
      <c r="U1539" s="2">
        <v>60</v>
      </c>
      <c r="V1539" s="2">
        <v>115745</v>
      </c>
      <c r="W1539" s="2">
        <v>1298658.8999999999</v>
      </c>
      <c r="X1539" s="2">
        <v>11.22</v>
      </c>
      <c r="Y1539" s="2">
        <v>0.19</v>
      </c>
      <c r="Z1539" s="2">
        <v>15500</v>
      </c>
      <c r="AA1539" s="2">
        <v>83195.98</v>
      </c>
      <c r="AB1539">
        <v>1</v>
      </c>
      <c r="AC1539">
        <v>2010</v>
      </c>
      <c r="AE1539" s="2">
        <v>21991.55</v>
      </c>
    </row>
    <row r="1540" spans="2:31" ht="14.5">
      <c r="B1540" s="2">
        <v>85722</v>
      </c>
      <c r="C1540" s="2" t="s">
        <v>1758</v>
      </c>
      <c r="D1540" s="2" t="s">
        <v>1759</v>
      </c>
      <c r="E1540" s="2" t="s">
        <v>60</v>
      </c>
      <c r="F1540" s="2" t="s">
        <v>29</v>
      </c>
      <c r="G1540" s="2" t="s">
        <v>30</v>
      </c>
      <c r="H1540" s="2" t="s">
        <v>218</v>
      </c>
      <c r="I1540" s="2" t="s">
        <v>219</v>
      </c>
      <c r="J1540" s="2" t="s">
        <v>220</v>
      </c>
      <c r="K1540" s="2" t="s">
        <v>34</v>
      </c>
      <c r="L1540" s="3"/>
      <c r="M1540" s="3">
        <v>40501</v>
      </c>
      <c r="N1540" s="3">
        <v>40490</v>
      </c>
      <c r="O1540" s="3">
        <v>40490</v>
      </c>
      <c r="P1540" s="2" t="s">
        <v>333</v>
      </c>
      <c r="Q1540" s="2" t="s">
        <v>225</v>
      </c>
      <c r="R1540" s="2" t="s">
        <v>37</v>
      </c>
      <c r="S1540" s="2" t="s">
        <v>100</v>
      </c>
      <c r="T1540" s="2" t="s">
        <v>39</v>
      </c>
      <c r="U1540" s="2">
        <v>60</v>
      </c>
      <c r="V1540" s="2">
        <v>500</v>
      </c>
      <c r="W1540" s="2">
        <v>3605</v>
      </c>
      <c r="X1540" s="2">
        <v>7.21</v>
      </c>
      <c r="Y1540" s="2">
        <v>0.12</v>
      </c>
      <c r="AB1540">
        <v>1</v>
      </c>
      <c r="AC1540">
        <v>2010</v>
      </c>
      <c r="AE1540" s="2">
        <v>60</v>
      </c>
    </row>
    <row r="1541" spans="2:31" ht="14.5">
      <c r="B1541" s="2">
        <v>85736</v>
      </c>
      <c r="C1541" s="2" t="s">
        <v>2458</v>
      </c>
      <c r="D1541" s="2" t="s">
        <v>2459</v>
      </c>
      <c r="E1541" s="2" t="s">
        <v>28</v>
      </c>
      <c r="F1541" s="2" t="s">
        <v>29</v>
      </c>
      <c r="G1541" s="2" t="s">
        <v>50</v>
      </c>
      <c r="H1541" s="2" t="s">
        <v>218</v>
      </c>
      <c r="I1541" s="2" t="s">
        <v>219</v>
      </c>
      <c r="J1541" s="2" t="s">
        <v>220</v>
      </c>
      <c r="K1541" s="2" t="s">
        <v>34</v>
      </c>
      <c r="L1541" s="3"/>
      <c r="M1541" s="3">
        <v>40602</v>
      </c>
      <c r="N1541" s="3">
        <v>40602</v>
      </c>
      <c r="O1541" s="3">
        <v>40602</v>
      </c>
      <c r="P1541" s="2" t="s">
        <v>329</v>
      </c>
      <c r="Q1541" s="2" t="s">
        <v>54</v>
      </c>
      <c r="R1541" s="2" t="s">
        <v>37</v>
      </c>
      <c r="S1541" s="2" t="s">
        <v>330</v>
      </c>
      <c r="T1541" s="2" t="s">
        <v>180</v>
      </c>
      <c r="U1541" s="2">
        <v>60</v>
      </c>
      <c r="V1541" s="2">
        <v>625</v>
      </c>
      <c r="W1541" s="2">
        <v>4825</v>
      </c>
      <c r="X1541" s="2">
        <v>7.72</v>
      </c>
      <c r="Y1541" s="2">
        <v>0.13</v>
      </c>
      <c r="AB1541">
        <v>1</v>
      </c>
      <c r="AC1541">
        <v>2011</v>
      </c>
      <c r="AE1541" s="2">
        <v>81.25</v>
      </c>
    </row>
    <row r="1542" spans="2:31" ht="14.5">
      <c r="B1542" s="2">
        <v>85737</v>
      </c>
      <c r="C1542" s="2" t="s">
        <v>2588</v>
      </c>
      <c r="D1542" s="2" t="s">
        <v>2589</v>
      </c>
      <c r="E1542" s="2" t="s">
        <v>28</v>
      </c>
      <c r="F1542" s="2" t="s">
        <v>29</v>
      </c>
      <c r="G1542" s="2" t="s">
        <v>30</v>
      </c>
      <c r="H1542" s="2" t="s">
        <v>218</v>
      </c>
      <c r="I1542" s="2" t="s">
        <v>219</v>
      </c>
      <c r="J1542" s="2" t="s">
        <v>220</v>
      </c>
      <c r="K1542" s="2" t="s">
        <v>267</v>
      </c>
      <c r="L1542" s="3"/>
      <c r="M1542" s="3">
        <v>40602</v>
      </c>
      <c r="N1542" s="3">
        <v>40602</v>
      </c>
      <c r="O1542" s="3">
        <v>40602</v>
      </c>
      <c r="P1542" s="2" t="s">
        <v>35</v>
      </c>
      <c r="Q1542" s="2" t="s">
        <v>36</v>
      </c>
      <c r="R1542" s="2" t="s">
        <v>37</v>
      </c>
      <c r="S1542" s="2" t="s">
        <v>38</v>
      </c>
      <c r="T1542" s="2" t="s">
        <v>39</v>
      </c>
      <c r="U1542" s="2">
        <v>60</v>
      </c>
      <c r="V1542" s="2">
        <v>36576</v>
      </c>
      <c r="W1542" s="2">
        <v>94366.080000000002</v>
      </c>
      <c r="X1542" s="2">
        <v>2.58</v>
      </c>
      <c r="Y1542" s="2">
        <v>0.04</v>
      </c>
      <c r="Z1542" s="2">
        <v>4145</v>
      </c>
      <c r="AA1542" s="2">
        <v>1647</v>
      </c>
      <c r="AB1542">
        <v>1</v>
      </c>
      <c r="AC1542">
        <v>2011</v>
      </c>
      <c r="AE1542" s="2">
        <v>1463.04</v>
      </c>
    </row>
    <row r="1543" spans="2:31" ht="14.5">
      <c r="B1543" s="2">
        <v>85746</v>
      </c>
      <c r="C1543" s="2" t="s">
        <v>2590</v>
      </c>
      <c r="D1543" s="2" t="s">
        <v>2591</v>
      </c>
      <c r="E1543" s="2" t="s">
        <v>60</v>
      </c>
      <c r="F1543" s="2" t="s">
        <v>29</v>
      </c>
      <c r="G1543" s="2" t="s">
        <v>30</v>
      </c>
      <c r="H1543" s="2" t="s">
        <v>218</v>
      </c>
      <c r="I1543" s="2" t="s">
        <v>219</v>
      </c>
      <c r="J1543" s="2" t="s">
        <v>220</v>
      </c>
      <c r="K1543" s="2" t="s">
        <v>34</v>
      </c>
      <c r="L1543" s="3"/>
      <c r="M1543" s="3">
        <v>40612</v>
      </c>
      <c r="N1543" s="3">
        <v>40613</v>
      </c>
      <c r="O1543" s="3">
        <v>40613</v>
      </c>
      <c r="P1543" s="2" t="s">
        <v>150</v>
      </c>
      <c r="Q1543" s="2" t="s">
        <v>84</v>
      </c>
      <c r="R1543" s="2" t="s">
        <v>151</v>
      </c>
      <c r="S1543" s="2" t="s">
        <v>152</v>
      </c>
      <c r="T1543" s="2" t="s">
        <v>39</v>
      </c>
      <c r="U1543" s="2">
        <v>120</v>
      </c>
      <c r="V1543" s="2">
        <v>2680</v>
      </c>
      <c r="W1543" s="2">
        <v>96908.800000000003</v>
      </c>
      <c r="X1543" s="2">
        <v>36.159999999999997</v>
      </c>
      <c r="Y1543" s="2">
        <v>0.3</v>
      </c>
      <c r="Z1543" s="2">
        <v>549</v>
      </c>
      <c r="AA1543" s="2">
        <v>3600.65</v>
      </c>
      <c r="AB1543">
        <v>0</v>
      </c>
      <c r="AC1543">
        <v>2011</v>
      </c>
      <c r="AE1543" s="2">
        <v>804</v>
      </c>
    </row>
    <row r="1544" spans="2:31" ht="14.5">
      <c r="B1544" s="2">
        <v>85747</v>
      </c>
      <c r="C1544" s="2" t="s">
        <v>2592</v>
      </c>
      <c r="D1544" s="2" t="s">
        <v>2593</v>
      </c>
      <c r="E1544" s="2" t="s">
        <v>118</v>
      </c>
      <c r="F1544" s="2" t="s">
        <v>29</v>
      </c>
      <c r="G1544" s="2" t="s">
        <v>30</v>
      </c>
      <c r="H1544" s="2" t="s">
        <v>218</v>
      </c>
      <c r="I1544" s="2" t="s">
        <v>219</v>
      </c>
      <c r="J1544" s="2" t="s">
        <v>220</v>
      </c>
      <c r="K1544" s="2" t="s">
        <v>34</v>
      </c>
      <c r="L1544" s="3"/>
      <c r="M1544" s="3">
        <v>40613</v>
      </c>
      <c r="N1544" s="3">
        <v>40624</v>
      </c>
      <c r="O1544" s="3">
        <v>40624</v>
      </c>
      <c r="P1544" s="2" t="s">
        <v>333</v>
      </c>
      <c r="Q1544" s="2" t="s">
        <v>225</v>
      </c>
      <c r="R1544" s="2" t="s">
        <v>37</v>
      </c>
      <c r="S1544" s="2" t="s">
        <v>100</v>
      </c>
      <c r="T1544" s="2" t="s">
        <v>39</v>
      </c>
      <c r="U1544" s="2">
        <v>60</v>
      </c>
      <c r="V1544" s="2">
        <v>10000</v>
      </c>
      <c r="W1544" s="2">
        <v>72100</v>
      </c>
      <c r="X1544" s="2">
        <v>7.21</v>
      </c>
      <c r="Y1544" s="2">
        <v>0.12</v>
      </c>
      <c r="Z1544" s="2">
        <v>1108</v>
      </c>
      <c r="AA1544" s="2">
        <v>10648.62</v>
      </c>
      <c r="AB1544">
        <v>0</v>
      </c>
      <c r="AC1544">
        <v>2011</v>
      </c>
      <c r="AE1544" s="2">
        <v>1200</v>
      </c>
    </row>
    <row r="1545" spans="2:31" ht="14.5">
      <c r="B1545" s="2">
        <v>85761</v>
      </c>
      <c r="C1545" s="2" t="s">
        <v>2594</v>
      </c>
      <c r="D1545" s="2" t="s">
        <v>2595</v>
      </c>
      <c r="E1545" s="2" t="s">
        <v>118</v>
      </c>
      <c r="F1545" s="2" t="s">
        <v>29</v>
      </c>
      <c r="G1545" s="2" t="s">
        <v>50</v>
      </c>
      <c r="H1545" s="2" t="s">
        <v>218</v>
      </c>
      <c r="I1545" s="2" t="s">
        <v>219</v>
      </c>
      <c r="J1545" s="2" t="s">
        <v>220</v>
      </c>
      <c r="K1545" s="2" t="s">
        <v>34</v>
      </c>
      <c r="L1545" s="3"/>
      <c r="M1545" s="3">
        <v>40709</v>
      </c>
      <c r="N1545" s="3">
        <v>40694</v>
      </c>
      <c r="O1545" s="3">
        <v>40694</v>
      </c>
      <c r="P1545" s="2" t="s">
        <v>740</v>
      </c>
      <c r="Q1545" s="2" t="s">
        <v>36</v>
      </c>
      <c r="R1545" s="2" t="s">
        <v>37</v>
      </c>
      <c r="S1545" s="2" t="s">
        <v>226</v>
      </c>
      <c r="T1545" s="2" t="s">
        <v>526</v>
      </c>
      <c r="U1545" s="2">
        <v>240</v>
      </c>
      <c r="V1545" s="2">
        <v>20000</v>
      </c>
      <c r="W1545" s="2">
        <v>39000</v>
      </c>
      <c r="X1545" s="2">
        <v>1.95</v>
      </c>
      <c r="Y1545" s="2">
        <v>0.01</v>
      </c>
      <c r="Z1545" s="2">
        <v>7464</v>
      </c>
      <c r="AA1545" s="2">
        <v>4605.4399999999996</v>
      </c>
      <c r="AB1545">
        <v>1</v>
      </c>
      <c r="AC1545">
        <v>2011</v>
      </c>
      <c r="AE1545" s="2">
        <v>200</v>
      </c>
    </row>
    <row r="1546" spans="2:31" ht="14.5">
      <c r="B1546" s="2">
        <v>85780</v>
      </c>
      <c r="C1546" s="2" t="s">
        <v>2596</v>
      </c>
      <c r="D1546" s="2" t="s">
        <v>2597</v>
      </c>
      <c r="E1546" s="2" t="s">
        <v>118</v>
      </c>
      <c r="F1546" s="2" t="s">
        <v>29</v>
      </c>
      <c r="G1546" s="2" t="s">
        <v>30</v>
      </c>
      <c r="H1546" s="2" t="s">
        <v>218</v>
      </c>
      <c r="I1546" s="2" t="s">
        <v>219</v>
      </c>
      <c r="J1546" s="2" t="s">
        <v>220</v>
      </c>
      <c r="K1546" s="2" t="s">
        <v>267</v>
      </c>
      <c r="L1546" s="3"/>
      <c r="M1546" s="3">
        <v>40808</v>
      </c>
      <c r="N1546" s="3">
        <v>40781</v>
      </c>
      <c r="O1546" s="3">
        <v>40781</v>
      </c>
      <c r="P1546" s="2" t="s">
        <v>164</v>
      </c>
      <c r="Q1546" s="2" t="s">
        <v>165</v>
      </c>
      <c r="R1546" s="2" t="s">
        <v>37</v>
      </c>
      <c r="S1546" s="2" t="s">
        <v>166</v>
      </c>
      <c r="T1546" s="2" t="s">
        <v>39</v>
      </c>
      <c r="U1546" s="2">
        <v>60</v>
      </c>
      <c r="V1546" s="2">
        <v>1946</v>
      </c>
      <c r="W1546" s="2">
        <v>4534.18</v>
      </c>
      <c r="X1546" s="2">
        <v>2.33</v>
      </c>
      <c r="Y1546" s="2">
        <v>0.04</v>
      </c>
      <c r="Z1546" s="2">
        <v>195</v>
      </c>
      <c r="AA1546" s="2">
        <v>2070.6799999999998</v>
      </c>
      <c r="AB1546">
        <v>1</v>
      </c>
      <c r="AC1546">
        <v>2011</v>
      </c>
      <c r="AE1546" s="2">
        <v>77.84</v>
      </c>
    </row>
    <row r="1547" spans="2:31" ht="14.5">
      <c r="B1547" s="2">
        <v>85781</v>
      </c>
      <c r="C1547" s="2" t="s">
        <v>2598</v>
      </c>
      <c r="D1547" s="2" t="s">
        <v>2599</v>
      </c>
      <c r="E1547" s="2" t="s">
        <v>28</v>
      </c>
      <c r="F1547" s="2" t="s">
        <v>29</v>
      </c>
      <c r="G1547" s="2" t="s">
        <v>30</v>
      </c>
      <c r="H1547" s="2" t="s">
        <v>218</v>
      </c>
      <c r="I1547" s="2" t="s">
        <v>219</v>
      </c>
      <c r="J1547" s="2" t="s">
        <v>220</v>
      </c>
      <c r="K1547" s="2" t="s">
        <v>34</v>
      </c>
      <c r="L1547" s="3"/>
      <c r="M1547" s="3">
        <v>40816</v>
      </c>
      <c r="N1547" s="3">
        <v>40785</v>
      </c>
      <c r="O1547" s="3">
        <v>40785</v>
      </c>
      <c r="P1547" s="2" t="s">
        <v>484</v>
      </c>
      <c r="Q1547" s="2" t="s">
        <v>105</v>
      </c>
      <c r="R1547" s="2" t="s">
        <v>37</v>
      </c>
      <c r="S1547" s="2" t="s">
        <v>100</v>
      </c>
      <c r="T1547" s="2" t="s">
        <v>39</v>
      </c>
      <c r="U1547" s="2">
        <v>30</v>
      </c>
      <c r="V1547" s="2">
        <v>4279</v>
      </c>
      <c r="W1547" s="2">
        <v>28113.03</v>
      </c>
      <c r="X1547" s="2">
        <v>6.57</v>
      </c>
      <c r="Y1547" s="2">
        <v>0.22</v>
      </c>
      <c r="Z1547" s="2">
        <v>259</v>
      </c>
      <c r="AA1547" s="2">
        <v>1553.64</v>
      </c>
      <c r="AB1547">
        <v>1</v>
      </c>
      <c r="AC1547">
        <v>2011</v>
      </c>
      <c r="AE1547" s="2">
        <v>941.38</v>
      </c>
    </row>
    <row r="1548" spans="2:31" ht="14.5">
      <c r="B1548" s="2">
        <v>85782</v>
      </c>
      <c r="C1548" s="2" t="s">
        <v>2600</v>
      </c>
      <c r="D1548" s="2" t="s">
        <v>2601</v>
      </c>
      <c r="E1548" s="2" t="s">
        <v>118</v>
      </c>
      <c r="F1548" s="2" t="s">
        <v>29</v>
      </c>
      <c r="G1548" s="2" t="s">
        <v>30</v>
      </c>
      <c r="H1548" s="2" t="s">
        <v>218</v>
      </c>
      <c r="I1548" s="2" t="s">
        <v>219</v>
      </c>
      <c r="J1548" s="2" t="s">
        <v>220</v>
      </c>
      <c r="K1548" s="2" t="s">
        <v>267</v>
      </c>
      <c r="L1548" s="3"/>
      <c r="M1548" s="3">
        <v>40760</v>
      </c>
      <c r="N1548" s="3">
        <v>40779</v>
      </c>
      <c r="O1548" s="3">
        <v>40779</v>
      </c>
      <c r="P1548" s="2" t="s">
        <v>44</v>
      </c>
      <c r="Q1548" s="2" t="s">
        <v>45</v>
      </c>
      <c r="R1548" s="2" t="s">
        <v>37</v>
      </c>
      <c r="S1548" s="2" t="s">
        <v>46</v>
      </c>
      <c r="T1548" s="2" t="s">
        <v>47</v>
      </c>
      <c r="U1548" s="2">
        <v>60</v>
      </c>
      <c r="V1548" s="2">
        <v>32000</v>
      </c>
      <c r="W1548" s="2">
        <v>264320</v>
      </c>
      <c r="X1548" s="2">
        <v>8.26</v>
      </c>
      <c r="Y1548" s="2">
        <v>0.14000000000000001</v>
      </c>
      <c r="Z1548" s="2">
        <v>3026</v>
      </c>
      <c r="AA1548" s="2">
        <v>14406.99</v>
      </c>
      <c r="AB1548">
        <v>0</v>
      </c>
      <c r="AC1548">
        <v>2011</v>
      </c>
      <c r="AE1548" s="2">
        <v>4480</v>
      </c>
    </row>
    <row r="1549" spans="2:31" ht="14.5">
      <c r="B1549" s="2">
        <v>85789</v>
      </c>
      <c r="C1549" s="2" t="s">
        <v>2602</v>
      </c>
      <c r="D1549" s="2" t="s">
        <v>2603</v>
      </c>
      <c r="E1549" s="2" t="s">
        <v>118</v>
      </c>
      <c r="F1549" s="2" t="s">
        <v>29</v>
      </c>
      <c r="G1549" s="2" t="s">
        <v>30</v>
      </c>
      <c r="H1549" s="2" t="s">
        <v>218</v>
      </c>
      <c r="I1549" s="2" t="s">
        <v>219</v>
      </c>
      <c r="J1549" s="2" t="s">
        <v>220</v>
      </c>
      <c r="K1549" s="2" t="s">
        <v>267</v>
      </c>
      <c r="L1549" s="3"/>
      <c r="M1549" s="3">
        <v>40816</v>
      </c>
      <c r="N1549" s="3">
        <v>40812</v>
      </c>
      <c r="O1549" s="3">
        <v>40812</v>
      </c>
      <c r="P1549" s="2" t="s">
        <v>706</v>
      </c>
      <c r="Q1549" s="2" t="s">
        <v>707</v>
      </c>
      <c r="R1549" s="2" t="s">
        <v>37</v>
      </c>
      <c r="S1549" s="2" t="s">
        <v>708</v>
      </c>
      <c r="T1549" s="2" t="s">
        <v>47</v>
      </c>
      <c r="U1549" s="2">
        <v>30</v>
      </c>
      <c r="V1549" s="2">
        <v>5000</v>
      </c>
      <c r="W1549" s="2">
        <v>41150</v>
      </c>
      <c r="X1549" s="2">
        <v>8.23</v>
      </c>
      <c r="Y1549" s="2">
        <v>0.27</v>
      </c>
      <c r="Z1549" s="2">
        <v>607</v>
      </c>
      <c r="AA1549" s="2">
        <v>4911.3900000000003</v>
      </c>
      <c r="AB1549">
        <v>1</v>
      </c>
      <c r="AC1549">
        <v>2011</v>
      </c>
      <c r="AE1549" s="2">
        <v>1350</v>
      </c>
    </row>
    <row r="1550" spans="2:31" ht="14.5">
      <c r="B1550" s="2">
        <v>85795</v>
      </c>
      <c r="C1550" s="2" t="s">
        <v>2604</v>
      </c>
      <c r="D1550" s="2" t="s">
        <v>2605</v>
      </c>
      <c r="E1550" s="2" t="s">
        <v>28</v>
      </c>
      <c r="F1550" s="2" t="s">
        <v>29</v>
      </c>
      <c r="G1550" s="2" t="s">
        <v>30</v>
      </c>
      <c r="H1550" s="2" t="s">
        <v>218</v>
      </c>
      <c r="I1550" s="2" t="s">
        <v>219</v>
      </c>
      <c r="J1550" s="2" t="s">
        <v>220</v>
      </c>
      <c r="K1550" s="2" t="s">
        <v>34</v>
      </c>
      <c r="L1550" s="3"/>
      <c r="M1550" s="3">
        <v>40816</v>
      </c>
      <c r="N1550" s="3">
        <v>40809</v>
      </c>
      <c r="O1550" s="3">
        <v>40809</v>
      </c>
      <c r="P1550" s="2" t="s">
        <v>749</v>
      </c>
      <c r="Q1550" s="2" t="s">
        <v>76</v>
      </c>
      <c r="R1550" s="2" t="s">
        <v>37</v>
      </c>
      <c r="S1550" s="2" t="s">
        <v>78</v>
      </c>
      <c r="T1550" s="2" t="s">
        <v>47</v>
      </c>
      <c r="U1550" s="2">
        <v>30</v>
      </c>
      <c r="V1550" s="2">
        <v>6840</v>
      </c>
      <c r="W1550" s="2">
        <v>136252.79999999999</v>
      </c>
      <c r="X1550" s="2">
        <v>19.920000000000002</v>
      </c>
      <c r="Y1550" s="2">
        <v>0.66</v>
      </c>
      <c r="Z1550" s="2">
        <v>778</v>
      </c>
      <c r="AB1550">
        <v>1</v>
      </c>
      <c r="AC1550">
        <v>2011</v>
      </c>
      <c r="AE1550" s="2">
        <v>4514.4000000000005</v>
      </c>
    </row>
    <row r="1551" spans="2:31" ht="14.5">
      <c r="B1551" s="2">
        <v>85828</v>
      </c>
      <c r="C1551" s="2" t="s">
        <v>2606</v>
      </c>
      <c r="D1551" s="2" t="s">
        <v>2607</v>
      </c>
      <c r="E1551" s="2" t="s">
        <v>28</v>
      </c>
      <c r="F1551" s="2" t="s">
        <v>29</v>
      </c>
      <c r="G1551" s="2" t="s">
        <v>50</v>
      </c>
      <c r="H1551" s="2" t="s">
        <v>218</v>
      </c>
      <c r="I1551" s="2" t="s">
        <v>219</v>
      </c>
      <c r="J1551" s="2" t="s">
        <v>220</v>
      </c>
      <c r="K1551" s="2" t="s">
        <v>267</v>
      </c>
      <c r="L1551" s="3"/>
      <c r="M1551" s="3">
        <v>40998</v>
      </c>
      <c r="N1551" s="3">
        <v>40980</v>
      </c>
      <c r="O1551" s="3">
        <v>40980</v>
      </c>
      <c r="P1551" s="2" t="s">
        <v>740</v>
      </c>
      <c r="Q1551" s="2" t="s">
        <v>36</v>
      </c>
      <c r="R1551" s="2" t="s">
        <v>37</v>
      </c>
      <c r="S1551" s="2" t="s">
        <v>226</v>
      </c>
      <c r="T1551" s="2" t="s">
        <v>526</v>
      </c>
      <c r="U1551" s="2">
        <v>240</v>
      </c>
      <c r="V1551" s="2">
        <v>32554</v>
      </c>
      <c r="W1551" s="2">
        <v>63480.3</v>
      </c>
      <c r="X1551" s="2">
        <v>1.95</v>
      </c>
      <c r="Y1551" s="2">
        <v>0.01</v>
      </c>
      <c r="AB1551">
        <v>1</v>
      </c>
      <c r="AC1551">
        <v>2012</v>
      </c>
      <c r="AE1551" s="2">
        <v>325.54000000000002</v>
      </c>
    </row>
    <row r="1552" spans="2:31" ht="14.5">
      <c r="B1552" s="2">
        <v>85835</v>
      </c>
      <c r="C1552" s="2" t="s">
        <v>2608</v>
      </c>
      <c r="D1552" s="2" t="s">
        <v>2609</v>
      </c>
      <c r="E1552" s="2" t="s">
        <v>118</v>
      </c>
      <c r="F1552" s="2" t="s">
        <v>29</v>
      </c>
      <c r="G1552" s="2" t="s">
        <v>30</v>
      </c>
      <c r="H1552" s="2" t="s">
        <v>218</v>
      </c>
      <c r="I1552" s="2" t="s">
        <v>219</v>
      </c>
      <c r="J1552" s="2" t="s">
        <v>220</v>
      </c>
      <c r="K1552" s="2" t="s">
        <v>267</v>
      </c>
      <c r="L1552" s="3"/>
      <c r="M1552" s="3">
        <v>40998</v>
      </c>
      <c r="N1552" s="3">
        <v>40966</v>
      </c>
      <c r="O1552" s="3">
        <v>40966</v>
      </c>
      <c r="P1552" s="2" t="s">
        <v>333</v>
      </c>
      <c r="Q1552" s="2" t="s">
        <v>225</v>
      </c>
      <c r="R1552" s="2" t="s">
        <v>37</v>
      </c>
      <c r="S1552" s="2" t="s">
        <v>100</v>
      </c>
      <c r="T1552" s="2" t="s">
        <v>39</v>
      </c>
      <c r="U1552" s="2">
        <v>60</v>
      </c>
      <c r="V1552" s="2">
        <v>4398</v>
      </c>
      <c r="W1552" s="2">
        <v>30873.96</v>
      </c>
      <c r="X1552" s="2">
        <v>7.02</v>
      </c>
      <c r="Y1552" s="2">
        <v>0.12</v>
      </c>
      <c r="Z1552" s="2">
        <v>224</v>
      </c>
      <c r="AA1552" s="2">
        <v>1933.3</v>
      </c>
      <c r="AB1552">
        <v>1</v>
      </c>
      <c r="AC1552">
        <v>2012</v>
      </c>
      <c r="AE1552" s="2">
        <v>527.76</v>
      </c>
    </row>
    <row r="1553" spans="2:31" ht="14.5">
      <c r="B1553" s="2">
        <v>85837</v>
      </c>
      <c r="C1553" s="2" t="s">
        <v>2610</v>
      </c>
      <c r="D1553" s="2" t="s">
        <v>2611</v>
      </c>
      <c r="E1553" s="2" t="s">
        <v>118</v>
      </c>
      <c r="F1553" s="2" t="s">
        <v>29</v>
      </c>
      <c r="G1553" s="2" t="s">
        <v>30</v>
      </c>
      <c r="H1553" s="2" t="s">
        <v>218</v>
      </c>
      <c r="I1553" s="2" t="s">
        <v>219</v>
      </c>
      <c r="J1553" s="2" t="s">
        <v>220</v>
      </c>
      <c r="K1553" s="2" t="s">
        <v>267</v>
      </c>
      <c r="L1553" s="3"/>
      <c r="M1553" s="3">
        <v>40998</v>
      </c>
      <c r="N1553" s="3">
        <v>40977</v>
      </c>
      <c r="O1553" s="3">
        <v>40977</v>
      </c>
      <c r="P1553" s="2" t="s">
        <v>706</v>
      </c>
      <c r="Q1553" s="2" t="s">
        <v>707</v>
      </c>
      <c r="R1553" s="2" t="s">
        <v>37</v>
      </c>
      <c r="S1553" s="2" t="s">
        <v>708</v>
      </c>
      <c r="T1553" s="2" t="s">
        <v>47</v>
      </c>
      <c r="U1553" s="2">
        <v>30</v>
      </c>
      <c r="V1553" s="2">
        <v>5785</v>
      </c>
      <c r="W1553" s="2">
        <v>35172.800000000003</v>
      </c>
      <c r="X1553" s="2">
        <v>6.08</v>
      </c>
      <c r="Y1553" s="2">
        <v>0.2</v>
      </c>
      <c r="Z1553" s="2">
        <v>460</v>
      </c>
      <c r="AA1553" s="2">
        <v>3571.6</v>
      </c>
      <c r="AB1553">
        <v>1</v>
      </c>
      <c r="AC1553">
        <v>2012</v>
      </c>
      <c r="AE1553" s="2">
        <v>1157</v>
      </c>
    </row>
    <row r="1554" spans="2:31" ht="14.5">
      <c r="B1554" s="2">
        <v>85838</v>
      </c>
      <c r="C1554" s="2" t="s">
        <v>2822</v>
      </c>
      <c r="D1554" s="2" t="s">
        <v>2823</v>
      </c>
      <c r="E1554" s="2" t="s">
        <v>2817</v>
      </c>
      <c r="F1554" s="2" t="s">
        <v>29</v>
      </c>
      <c r="G1554" s="2" t="s">
        <v>50</v>
      </c>
      <c r="H1554" s="2" t="s">
        <v>218</v>
      </c>
      <c r="I1554" s="2" t="s">
        <v>219</v>
      </c>
      <c r="J1554" s="2" t="s">
        <v>220</v>
      </c>
      <c r="K1554" s="2" t="s">
        <v>34</v>
      </c>
      <c r="L1554" s="3"/>
      <c r="M1554" s="3">
        <v>40989</v>
      </c>
      <c r="N1554" s="3">
        <v>40976</v>
      </c>
      <c r="O1554" s="3">
        <v>40976</v>
      </c>
      <c r="P1554" s="2" t="s">
        <v>740</v>
      </c>
      <c r="Q1554" s="2" t="s">
        <v>36</v>
      </c>
      <c r="R1554" s="2" t="s">
        <v>37</v>
      </c>
      <c r="S1554" s="2" t="s">
        <v>226</v>
      </c>
      <c r="T1554" s="2" t="s">
        <v>526</v>
      </c>
      <c r="U1554" s="2">
        <v>240</v>
      </c>
      <c r="V1554" s="2">
        <v>6000</v>
      </c>
      <c r="W1554" s="2">
        <v>11700</v>
      </c>
      <c r="X1554" s="2">
        <v>1.95</v>
      </c>
      <c r="Y1554" s="2">
        <v>0.01</v>
      </c>
      <c r="AB1554">
        <v>1</v>
      </c>
      <c r="AC1554">
        <v>2012</v>
      </c>
      <c r="AE1554" s="2">
        <v>60</v>
      </c>
    </row>
    <row r="1555" spans="2:31" ht="14.5">
      <c r="B1555" s="2">
        <v>85839</v>
      </c>
      <c r="C1555" s="2" t="s">
        <v>2612</v>
      </c>
      <c r="D1555" s="2" t="s">
        <v>2613</v>
      </c>
      <c r="E1555" s="2" t="s">
        <v>28</v>
      </c>
      <c r="F1555" s="2" t="s">
        <v>29</v>
      </c>
      <c r="G1555" s="2" t="s">
        <v>50</v>
      </c>
      <c r="H1555" s="2" t="s">
        <v>218</v>
      </c>
      <c r="I1555" s="2" t="s">
        <v>219</v>
      </c>
      <c r="J1555" s="2" t="s">
        <v>220</v>
      </c>
      <c r="K1555" s="2" t="s">
        <v>267</v>
      </c>
      <c r="L1555" s="3"/>
      <c r="M1555" s="3">
        <v>41029</v>
      </c>
      <c r="N1555" s="3">
        <v>41010</v>
      </c>
      <c r="O1555" s="3">
        <v>41010</v>
      </c>
      <c r="P1555" s="2" t="s">
        <v>859</v>
      </c>
      <c r="Q1555" s="2" t="s">
        <v>45</v>
      </c>
      <c r="R1555" s="2" t="s">
        <v>37</v>
      </c>
      <c r="S1555" s="2" t="s">
        <v>728</v>
      </c>
      <c r="T1555" s="2" t="s">
        <v>47</v>
      </c>
      <c r="U1555" s="2">
        <v>60</v>
      </c>
      <c r="V1555" s="2">
        <v>34054</v>
      </c>
      <c r="W1555" s="2">
        <v>101821.46</v>
      </c>
      <c r="X1555" s="2">
        <v>2.99</v>
      </c>
      <c r="Y1555" s="2">
        <v>0.05</v>
      </c>
      <c r="Z1555" s="2">
        <v>1309</v>
      </c>
      <c r="AA1555" s="2">
        <v>3279.25</v>
      </c>
      <c r="AB1555">
        <v>1</v>
      </c>
      <c r="AC1555">
        <v>2012</v>
      </c>
      <c r="AE1555" s="2">
        <v>1702.7</v>
      </c>
    </row>
    <row r="1556" spans="2:31" ht="14.5">
      <c r="B1556" s="2">
        <v>85841</v>
      </c>
      <c r="C1556" s="2" t="s">
        <v>2614</v>
      </c>
      <c r="D1556" s="2" t="s">
        <v>2615</v>
      </c>
      <c r="E1556" s="2" t="s">
        <v>42</v>
      </c>
      <c r="F1556" s="2" t="s">
        <v>29</v>
      </c>
      <c r="G1556" s="2" t="s">
        <v>50</v>
      </c>
      <c r="H1556" s="2" t="s">
        <v>218</v>
      </c>
      <c r="I1556" s="2" t="s">
        <v>219</v>
      </c>
      <c r="J1556" s="2" t="s">
        <v>220</v>
      </c>
      <c r="K1556" s="2" t="s">
        <v>34</v>
      </c>
      <c r="L1556" s="3"/>
      <c r="M1556" s="3">
        <v>40980</v>
      </c>
      <c r="N1556" s="3">
        <v>40967</v>
      </c>
      <c r="O1556" s="3">
        <v>40967</v>
      </c>
      <c r="P1556" s="2" t="s">
        <v>547</v>
      </c>
      <c r="Q1556" s="2" t="s">
        <v>96</v>
      </c>
      <c r="R1556" s="2" t="s">
        <v>37</v>
      </c>
      <c r="S1556" s="2" t="s">
        <v>38</v>
      </c>
      <c r="T1556" s="2" t="s">
        <v>64</v>
      </c>
      <c r="U1556" s="2">
        <v>90</v>
      </c>
      <c r="V1556" s="2">
        <v>2520</v>
      </c>
      <c r="W1556" s="2">
        <v>21772.799999999999</v>
      </c>
      <c r="X1556" s="2">
        <v>8.64</v>
      </c>
      <c r="Y1556" s="2">
        <v>0.1</v>
      </c>
      <c r="Z1556" s="2">
        <v>318</v>
      </c>
      <c r="AA1556" s="2">
        <v>2716.08</v>
      </c>
      <c r="AB1556">
        <v>1</v>
      </c>
      <c r="AC1556">
        <v>2012</v>
      </c>
      <c r="AE1556" s="2">
        <v>252</v>
      </c>
    </row>
    <row r="1557" spans="2:31" ht="14.5">
      <c r="B1557" s="2">
        <v>85843</v>
      </c>
      <c r="C1557" s="2" t="s">
        <v>2616</v>
      </c>
      <c r="D1557" s="2" t="s">
        <v>2617</v>
      </c>
      <c r="E1557" s="2" t="s">
        <v>28</v>
      </c>
      <c r="F1557" s="2" t="s">
        <v>29</v>
      </c>
      <c r="G1557" s="2" t="s">
        <v>50</v>
      </c>
      <c r="H1557" s="2" t="s">
        <v>218</v>
      </c>
      <c r="I1557" s="2" t="s">
        <v>219</v>
      </c>
      <c r="J1557" s="2" t="s">
        <v>220</v>
      </c>
      <c r="K1557" s="2" t="s">
        <v>267</v>
      </c>
      <c r="L1557" s="3"/>
      <c r="M1557" s="3">
        <v>41037</v>
      </c>
      <c r="N1557" s="3">
        <v>41010</v>
      </c>
      <c r="O1557" s="3">
        <v>41010</v>
      </c>
      <c r="P1557" s="2" t="s">
        <v>842</v>
      </c>
      <c r="Q1557" s="2" t="s">
        <v>113</v>
      </c>
      <c r="R1557" s="2" t="s">
        <v>37</v>
      </c>
      <c r="S1557" s="2" t="s">
        <v>843</v>
      </c>
      <c r="T1557" s="2" t="s">
        <v>729</v>
      </c>
      <c r="U1557" s="2">
        <v>60</v>
      </c>
      <c r="V1557" s="2">
        <v>5603</v>
      </c>
      <c r="W1557" s="2">
        <v>23812.75</v>
      </c>
      <c r="X1557" s="2">
        <v>4.25</v>
      </c>
      <c r="Y1557" s="2">
        <v>7.0000000000000007E-2</v>
      </c>
      <c r="Z1557" s="2">
        <v>316</v>
      </c>
      <c r="AA1557" s="2">
        <v>3279.25</v>
      </c>
      <c r="AB1557">
        <v>1</v>
      </c>
      <c r="AC1557">
        <v>2012</v>
      </c>
      <c r="AE1557" s="2">
        <v>392.21000000000004</v>
      </c>
    </row>
    <row r="1558" spans="2:31" ht="14.5">
      <c r="B1558" s="2">
        <v>85844</v>
      </c>
      <c r="C1558" s="2" t="s">
        <v>1792</v>
      </c>
      <c r="D1558" s="2" t="s">
        <v>1793</v>
      </c>
      <c r="E1558" s="2" t="s">
        <v>1581</v>
      </c>
      <c r="F1558" s="2" t="s">
        <v>29</v>
      </c>
      <c r="G1558" s="2" t="s">
        <v>50</v>
      </c>
      <c r="H1558" s="2" t="s">
        <v>218</v>
      </c>
      <c r="I1558" s="2" t="s">
        <v>219</v>
      </c>
      <c r="J1558" s="2" t="s">
        <v>220</v>
      </c>
      <c r="K1558" s="2" t="s">
        <v>34</v>
      </c>
      <c r="L1558" s="3"/>
      <c r="M1558" s="3">
        <v>41025</v>
      </c>
      <c r="N1558" s="3">
        <v>41033</v>
      </c>
      <c r="O1558" s="3">
        <v>41033</v>
      </c>
      <c r="P1558" s="2" t="s">
        <v>740</v>
      </c>
      <c r="Q1558" s="2" t="s">
        <v>36</v>
      </c>
      <c r="R1558" s="2" t="s">
        <v>37</v>
      </c>
      <c r="S1558" s="2" t="s">
        <v>226</v>
      </c>
      <c r="T1558" s="2" t="s">
        <v>526</v>
      </c>
      <c r="U1558" s="2">
        <v>240</v>
      </c>
      <c r="V1558" s="2">
        <v>170</v>
      </c>
      <c r="W1558" s="2">
        <v>331.5</v>
      </c>
      <c r="X1558" s="2">
        <v>1.95</v>
      </c>
      <c r="Y1558" s="2">
        <v>0.01</v>
      </c>
      <c r="AB1558">
        <v>0</v>
      </c>
      <c r="AC1558">
        <v>2012</v>
      </c>
      <c r="AE1558" s="2">
        <v>1.7</v>
      </c>
    </row>
    <row r="1559" spans="2:31" ht="14.5">
      <c r="B1559" s="2">
        <v>85845</v>
      </c>
      <c r="C1559" s="2" t="s">
        <v>1792</v>
      </c>
      <c r="D1559" s="2" t="s">
        <v>1793</v>
      </c>
      <c r="E1559" s="2" t="s">
        <v>1581</v>
      </c>
      <c r="F1559" s="2" t="s">
        <v>29</v>
      </c>
      <c r="G1559" s="2" t="s">
        <v>30</v>
      </c>
      <c r="H1559" s="2" t="s">
        <v>218</v>
      </c>
      <c r="I1559" s="2" t="s">
        <v>219</v>
      </c>
      <c r="J1559" s="2" t="s">
        <v>220</v>
      </c>
      <c r="K1559" s="2" t="s">
        <v>34</v>
      </c>
      <c r="L1559" s="3"/>
      <c r="M1559" s="3">
        <v>41025</v>
      </c>
      <c r="N1559" s="3">
        <v>41033</v>
      </c>
      <c r="O1559" s="3">
        <v>41033</v>
      </c>
      <c r="P1559" s="2" t="s">
        <v>112</v>
      </c>
      <c r="Q1559" s="2" t="s">
        <v>113</v>
      </c>
      <c r="R1559" s="2" t="s">
        <v>37</v>
      </c>
      <c r="S1559" s="2" t="s">
        <v>114</v>
      </c>
      <c r="T1559" s="2" t="s">
        <v>47</v>
      </c>
      <c r="U1559" s="2">
        <v>60</v>
      </c>
      <c r="V1559" s="2">
        <v>10000</v>
      </c>
      <c r="W1559" s="2">
        <v>110000</v>
      </c>
      <c r="X1559" s="2">
        <v>11</v>
      </c>
      <c r="Y1559" s="2">
        <v>0.18</v>
      </c>
      <c r="AB1559">
        <v>0</v>
      </c>
      <c r="AC1559">
        <v>2012</v>
      </c>
      <c r="AE1559" s="2">
        <v>1800</v>
      </c>
    </row>
    <row r="1560" spans="2:31" ht="14.5">
      <c r="B1560" s="2">
        <v>85846</v>
      </c>
      <c r="C1560" s="2" t="s">
        <v>1577</v>
      </c>
      <c r="D1560" s="2" t="s">
        <v>1578</v>
      </c>
      <c r="E1560" s="2" t="s">
        <v>28</v>
      </c>
      <c r="F1560" s="2" t="s">
        <v>29</v>
      </c>
      <c r="G1560" s="2" t="s">
        <v>30</v>
      </c>
      <c r="H1560" s="2" t="s">
        <v>218</v>
      </c>
      <c r="I1560" s="2" t="s">
        <v>219</v>
      </c>
      <c r="J1560" s="2" t="s">
        <v>220</v>
      </c>
      <c r="K1560" s="2" t="s">
        <v>267</v>
      </c>
      <c r="L1560" s="3"/>
      <c r="M1560" s="3">
        <v>41033</v>
      </c>
      <c r="N1560" s="3">
        <v>41010</v>
      </c>
      <c r="O1560" s="3">
        <v>41010</v>
      </c>
      <c r="P1560" s="2" t="s">
        <v>333</v>
      </c>
      <c r="Q1560" s="2" t="s">
        <v>225</v>
      </c>
      <c r="R1560" s="2" t="s">
        <v>37</v>
      </c>
      <c r="S1560" s="2" t="s">
        <v>100</v>
      </c>
      <c r="T1560" s="2" t="s">
        <v>39</v>
      </c>
      <c r="U1560" s="2">
        <v>60</v>
      </c>
      <c r="V1560" s="2">
        <v>137759</v>
      </c>
      <c r="W1560" s="2">
        <v>967068.18</v>
      </c>
      <c r="X1560" s="2">
        <v>7.02</v>
      </c>
      <c r="Y1560" s="2">
        <v>0.12</v>
      </c>
      <c r="AB1560">
        <v>1</v>
      </c>
      <c r="AC1560">
        <v>2012</v>
      </c>
      <c r="AE1560" s="2">
        <v>16531.079999999998</v>
      </c>
    </row>
    <row r="1561" spans="2:31" ht="14.5">
      <c r="B1561" s="2">
        <v>85847</v>
      </c>
      <c r="C1561" s="2" t="s">
        <v>1794</v>
      </c>
      <c r="D1561" s="2" t="s">
        <v>1795</v>
      </c>
      <c r="E1561" s="2" t="s">
        <v>118</v>
      </c>
      <c r="F1561" s="2" t="s">
        <v>29</v>
      </c>
      <c r="G1561" s="2" t="s">
        <v>30</v>
      </c>
      <c r="H1561" s="2" t="s">
        <v>218</v>
      </c>
      <c r="I1561" s="2" t="s">
        <v>219</v>
      </c>
      <c r="J1561" s="2" t="s">
        <v>220</v>
      </c>
      <c r="K1561" s="2" t="s">
        <v>34</v>
      </c>
      <c r="L1561" s="3"/>
      <c r="M1561" s="3">
        <v>41032</v>
      </c>
      <c r="N1561" s="3">
        <v>40995</v>
      </c>
      <c r="O1561" s="3">
        <v>40995</v>
      </c>
      <c r="P1561" s="2" t="s">
        <v>706</v>
      </c>
      <c r="Q1561" s="2" t="s">
        <v>707</v>
      </c>
      <c r="R1561" s="2" t="s">
        <v>37</v>
      </c>
      <c r="S1561" s="2" t="s">
        <v>708</v>
      </c>
      <c r="T1561" s="2" t="s">
        <v>47</v>
      </c>
      <c r="U1561" s="2">
        <v>30</v>
      </c>
      <c r="V1561" s="2">
        <v>12959</v>
      </c>
      <c r="W1561" s="2">
        <v>78790.720000000001</v>
      </c>
      <c r="X1561" s="2">
        <v>6.08</v>
      </c>
      <c r="Y1561" s="2">
        <v>0.2</v>
      </c>
      <c r="AB1561">
        <v>1</v>
      </c>
      <c r="AC1561">
        <v>2012</v>
      </c>
      <c r="AE1561" s="2">
        <v>2591.8000000000002</v>
      </c>
    </row>
    <row r="1562" spans="2:31" ht="14.5">
      <c r="B1562" s="2">
        <v>85849</v>
      </c>
      <c r="C1562" s="2" t="s">
        <v>2005</v>
      </c>
      <c r="D1562" s="2" t="s">
        <v>2006</v>
      </c>
      <c r="E1562" s="2" t="s">
        <v>118</v>
      </c>
      <c r="F1562" s="2" t="s">
        <v>29</v>
      </c>
      <c r="G1562" s="2" t="s">
        <v>30</v>
      </c>
      <c r="H1562" s="2" t="s">
        <v>218</v>
      </c>
      <c r="I1562" s="2" t="s">
        <v>219</v>
      </c>
      <c r="J1562" s="2" t="s">
        <v>220</v>
      </c>
      <c r="K1562" s="2" t="s">
        <v>267</v>
      </c>
      <c r="L1562" s="3"/>
      <c r="M1562" s="3">
        <v>41045</v>
      </c>
      <c r="N1562" s="3">
        <v>40995</v>
      </c>
      <c r="O1562" s="3">
        <v>40995</v>
      </c>
      <c r="P1562" s="2" t="s">
        <v>706</v>
      </c>
      <c r="Q1562" s="2" t="s">
        <v>707</v>
      </c>
      <c r="R1562" s="2" t="s">
        <v>37</v>
      </c>
      <c r="S1562" s="2" t="s">
        <v>708</v>
      </c>
      <c r="T1562" s="2" t="s">
        <v>47</v>
      </c>
      <c r="U1562" s="2">
        <v>30</v>
      </c>
      <c r="V1562" s="2">
        <v>22872</v>
      </c>
      <c r="W1562" s="2">
        <v>139061.76000000001</v>
      </c>
      <c r="X1562" s="2">
        <v>6.08</v>
      </c>
      <c r="Y1562" s="2">
        <v>0.2</v>
      </c>
      <c r="AB1562">
        <v>1</v>
      </c>
      <c r="AC1562">
        <v>2012</v>
      </c>
      <c r="AE1562" s="2">
        <v>4574.4000000000005</v>
      </c>
    </row>
    <row r="1563" spans="2:31" ht="14.5">
      <c r="B1563" s="2">
        <v>85856</v>
      </c>
      <c r="C1563" s="2" t="s">
        <v>1582</v>
      </c>
      <c r="D1563" s="2" t="s">
        <v>1583</v>
      </c>
      <c r="E1563" s="2" t="s">
        <v>118</v>
      </c>
      <c r="F1563" s="2" t="s">
        <v>29</v>
      </c>
      <c r="G1563" s="2" t="s">
        <v>30</v>
      </c>
      <c r="H1563" s="2" t="s">
        <v>218</v>
      </c>
      <c r="I1563" s="2" t="s">
        <v>219</v>
      </c>
      <c r="J1563" s="2" t="s">
        <v>220</v>
      </c>
      <c r="K1563" s="2" t="s">
        <v>267</v>
      </c>
      <c r="L1563" s="3"/>
      <c r="M1563" s="3">
        <v>41093</v>
      </c>
      <c r="N1563" s="3">
        <v>41047</v>
      </c>
      <c r="O1563" s="3">
        <v>41047</v>
      </c>
      <c r="P1563" s="2" t="s">
        <v>112</v>
      </c>
      <c r="Q1563" s="2" t="s">
        <v>113</v>
      </c>
      <c r="R1563" s="2" t="s">
        <v>37</v>
      </c>
      <c r="S1563" s="2" t="s">
        <v>114</v>
      </c>
      <c r="T1563" s="2" t="s">
        <v>47</v>
      </c>
      <c r="U1563" s="2">
        <v>60</v>
      </c>
      <c r="V1563" s="2">
        <v>3275</v>
      </c>
      <c r="W1563" s="2">
        <v>33699.75</v>
      </c>
      <c r="X1563" s="2">
        <v>10.29</v>
      </c>
      <c r="Y1563" s="2">
        <v>0.17</v>
      </c>
      <c r="AB1563">
        <v>1</v>
      </c>
      <c r="AC1563">
        <v>2012</v>
      </c>
      <c r="AE1563" s="2">
        <v>556.75</v>
      </c>
    </row>
    <row r="1564" spans="2:31" ht="14.5">
      <c r="B1564" s="2">
        <v>85857</v>
      </c>
      <c r="C1564" s="2" t="s">
        <v>1584</v>
      </c>
      <c r="D1564" s="2" t="s">
        <v>1585</v>
      </c>
      <c r="E1564" s="2" t="s">
        <v>118</v>
      </c>
      <c r="F1564" s="2" t="s">
        <v>29</v>
      </c>
      <c r="G1564" s="2" t="s">
        <v>30</v>
      </c>
      <c r="H1564" s="2" t="s">
        <v>218</v>
      </c>
      <c r="I1564" s="2" t="s">
        <v>219</v>
      </c>
      <c r="J1564" s="2" t="s">
        <v>220</v>
      </c>
      <c r="K1564" s="2" t="s">
        <v>267</v>
      </c>
      <c r="L1564" s="3"/>
      <c r="M1564" s="3">
        <v>41089</v>
      </c>
      <c r="N1564" s="3">
        <v>41051</v>
      </c>
      <c r="O1564" s="3">
        <v>41051</v>
      </c>
      <c r="P1564" s="2" t="s">
        <v>150</v>
      </c>
      <c r="Q1564" s="2" t="s">
        <v>84</v>
      </c>
      <c r="R1564" s="2" t="s">
        <v>151</v>
      </c>
      <c r="S1564" s="2" t="s">
        <v>152</v>
      </c>
      <c r="T1564" s="2" t="s">
        <v>39</v>
      </c>
      <c r="U1564" s="2">
        <v>120</v>
      </c>
      <c r="V1564" s="2">
        <v>917</v>
      </c>
      <c r="W1564" s="2">
        <v>28261.94</v>
      </c>
      <c r="X1564" s="2">
        <v>30.82</v>
      </c>
      <c r="Y1564" s="2">
        <v>0.26</v>
      </c>
      <c r="AB1564">
        <v>1</v>
      </c>
      <c r="AC1564">
        <v>2012</v>
      </c>
      <c r="AE1564" s="2">
        <v>238.42000000000002</v>
      </c>
    </row>
    <row r="1565" spans="2:31" ht="14.5">
      <c r="B1565" s="2">
        <v>85872</v>
      </c>
      <c r="C1565" s="2" t="s">
        <v>2224</v>
      </c>
      <c r="D1565" s="2" t="s">
        <v>2225</v>
      </c>
      <c r="E1565" s="2" t="s">
        <v>28</v>
      </c>
      <c r="F1565" s="2" t="s">
        <v>29</v>
      </c>
      <c r="G1565" s="2" t="s">
        <v>30</v>
      </c>
      <c r="H1565" s="2" t="s">
        <v>218</v>
      </c>
      <c r="I1565" s="2" t="s">
        <v>219</v>
      </c>
      <c r="J1565" s="2" t="s">
        <v>220</v>
      </c>
      <c r="K1565" s="2" t="s">
        <v>267</v>
      </c>
      <c r="L1565" s="3"/>
      <c r="M1565" s="3">
        <v>41122</v>
      </c>
      <c r="N1565" s="3">
        <v>41115</v>
      </c>
      <c r="O1565" s="3">
        <v>41115</v>
      </c>
      <c r="P1565" s="2" t="s">
        <v>484</v>
      </c>
      <c r="Q1565" s="2" t="s">
        <v>105</v>
      </c>
      <c r="R1565" s="2" t="s">
        <v>37</v>
      </c>
      <c r="S1565" s="2" t="s">
        <v>100</v>
      </c>
      <c r="T1565" s="2" t="s">
        <v>39</v>
      </c>
      <c r="U1565" s="2">
        <v>30</v>
      </c>
      <c r="V1565" s="2">
        <v>10000</v>
      </c>
      <c r="W1565" s="2">
        <v>55000</v>
      </c>
      <c r="X1565" s="2">
        <v>5.5</v>
      </c>
      <c r="Y1565" s="2">
        <v>0.18</v>
      </c>
      <c r="AB1565">
        <v>1</v>
      </c>
      <c r="AC1565">
        <v>2012</v>
      </c>
      <c r="AE1565" s="2">
        <v>1800</v>
      </c>
    </row>
    <row r="1566" spans="2:31" ht="14.5">
      <c r="B1566" s="2">
        <v>85873</v>
      </c>
      <c r="C1566" s="2" t="s">
        <v>2618</v>
      </c>
      <c r="D1566" s="2" t="s">
        <v>2619</v>
      </c>
      <c r="E1566" s="2" t="s">
        <v>28</v>
      </c>
      <c r="F1566" s="2" t="s">
        <v>29</v>
      </c>
      <c r="G1566" s="2" t="s">
        <v>50</v>
      </c>
      <c r="H1566" s="2" t="s">
        <v>218</v>
      </c>
      <c r="I1566" s="2" t="s">
        <v>219</v>
      </c>
      <c r="J1566" s="2" t="s">
        <v>220</v>
      </c>
      <c r="K1566" s="2" t="s">
        <v>267</v>
      </c>
      <c r="L1566" s="3"/>
      <c r="M1566" s="3">
        <v>41136</v>
      </c>
      <c r="N1566" s="3">
        <v>41115</v>
      </c>
      <c r="O1566" s="3">
        <v>41115</v>
      </c>
      <c r="P1566" s="2" t="s">
        <v>740</v>
      </c>
      <c r="Q1566" s="2" t="s">
        <v>36</v>
      </c>
      <c r="R1566" s="2" t="s">
        <v>37</v>
      </c>
      <c r="S1566" s="2" t="s">
        <v>226</v>
      </c>
      <c r="T1566" s="2" t="s">
        <v>526</v>
      </c>
      <c r="U1566" s="2">
        <v>240</v>
      </c>
      <c r="V1566" s="2">
        <v>29504</v>
      </c>
      <c r="W1566" s="2">
        <v>57532.800000000003</v>
      </c>
      <c r="X1566" s="2">
        <v>1.95</v>
      </c>
      <c r="Y1566" s="2">
        <v>0.01</v>
      </c>
      <c r="Z1566" s="2">
        <v>10913</v>
      </c>
      <c r="AA1566" s="2">
        <v>3853.89</v>
      </c>
      <c r="AB1566">
        <v>1</v>
      </c>
      <c r="AC1566">
        <v>2012</v>
      </c>
      <c r="AE1566" s="2">
        <v>295.04000000000002</v>
      </c>
    </row>
    <row r="1567" spans="2:31" ht="14.5">
      <c r="B1567" s="2">
        <v>85876</v>
      </c>
      <c r="C1567" s="2" t="s">
        <v>2620</v>
      </c>
      <c r="D1567" s="2" t="s">
        <v>2621</v>
      </c>
      <c r="E1567" s="2" t="s">
        <v>118</v>
      </c>
      <c r="F1567" s="2" t="s">
        <v>29</v>
      </c>
      <c r="G1567" s="2" t="s">
        <v>30</v>
      </c>
      <c r="H1567" s="2" t="s">
        <v>218</v>
      </c>
      <c r="I1567" s="2" t="s">
        <v>219</v>
      </c>
      <c r="J1567" s="2" t="s">
        <v>220</v>
      </c>
      <c r="K1567" s="2" t="s">
        <v>267</v>
      </c>
      <c r="L1567" s="3"/>
      <c r="M1567" s="3">
        <v>41157</v>
      </c>
      <c r="N1567" s="3">
        <v>41120</v>
      </c>
      <c r="O1567" s="3">
        <v>41120</v>
      </c>
      <c r="P1567" s="2" t="s">
        <v>112</v>
      </c>
      <c r="Q1567" s="2" t="s">
        <v>113</v>
      </c>
      <c r="R1567" s="2" t="s">
        <v>37</v>
      </c>
      <c r="S1567" s="2" t="s">
        <v>114</v>
      </c>
      <c r="T1567" s="2" t="s">
        <v>47</v>
      </c>
      <c r="U1567" s="2">
        <v>60</v>
      </c>
      <c r="V1567" s="2">
        <v>4879</v>
      </c>
      <c r="W1567" s="2">
        <v>47862.99</v>
      </c>
      <c r="X1567" s="2">
        <v>9.81</v>
      </c>
      <c r="Y1567" s="2">
        <v>0.16</v>
      </c>
      <c r="Z1567" s="2">
        <v>637</v>
      </c>
      <c r="AA1567" s="2">
        <v>5081.05</v>
      </c>
      <c r="AB1567">
        <v>1</v>
      </c>
      <c r="AC1567">
        <v>2012</v>
      </c>
      <c r="AE1567" s="2">
        <v>780.64</v>
      </c>
    </row>
    <row r="1568" spans="2:31" ht="14.5">
      <c r="B1568" s="2">
        <v>85879</v>
      </c>
      <c r="C1568" s="2" t="s">
        <v>2021</v>
      </c>
      <c r="D1568" s="2" t="s">
        <v>2022</v>
      </c>
      <c r="E1568" s="2" t="s">
        <v>28</v>
      </c>
      <c r="F1568" s="2" t="s">
        <v>29</v>
      </c>
      <c r="G1568" s="2" t="s">
        <v>30</v>
      </c>
      <c r="H1568" s="2" t="s">
        <v>218</v>
      </c>
      <c r="I1568" s="2" t="s">
        <v>219</v>
      </c>
      <c r="J1568" s="2" t="s">
        <v>220</v>
      </c>
      <c r="K1568" s="2" t="s">
        <v>267</v>
      </c>
      <c r="L1568" s="3"/>
      <c r="M1568" s="3">
        <v>41152</v>
      </c>
      <c r="N1568" s="3">
        <v>41143</v>
      </c>
      <c r="O1568" s="3">
        <v>41143</v>
      </c>
      <c r="P1568" s="2" t="s">
        <v>1457</v>
      </c>
      <c r="Q1568" s="2" t="s">
        <v>236</v>
      </c>
      <c r="R1568" s="2" t="s">
        <v>37</v>
      </c>
      <c r="S1568" s="2" t="s">
        <v>1458</v>
      </c>
      <c r="T1568" s="2" t="s">
        <v>47</v>
      </c>
      <c r="U1568" s="2">
        <v>30</v>
      </c>
      <c r="V1568" s="2">
        <v>66931</v>
      </c>
      <c r="W1568" s="2">
        <v>475879.41</v>
      </c>
      <c r="X1568" s="2">
        <v>7.11</v>
      </c>
      <c r="Y1568" s="2">
        <v>0.24</v>
      </c>
      <c r="AB1568">
        <v>1</v>
      </c>
      <c r="AC1568">
        <v>2012</v>
      </c>
      <c r="AE1568" s="2">
        <v>16063.439999999999</v>
      </c>
    </row>
    <row r="1569" spans="2:31" ht="14.5">
      <c r="B1569" s="2">
        <v>85882</v>
      </c>
      <c r="C1569" s="2" t="s">
        <v>2622</v>
      </c>
      <c r="D1569" s="2" t="s">
        <v>2623</v>
      </c>
      <c r="E1569" s="2" t="s">
        <v>42</v>
      </c>
      <c r="F1569" s="2" t="s">
        <v>29</v>
      </c>
      <c r="G1569" s="2" t="s">
        <v>30</v>
      </c>
      <c r="H1569" s="2" t="s">
        <v>218</v>
      </c>
      <c r="I1569" s="2" t="s">
        <v>219</v>
      </c>
      <c r="J1569" s="2" t="s">
        <v>220</v>
      </c>
      <c r="K1569" s="2" t="s">
        <v>34</v>
      </c>
      <c r="L1569" s="3"/>
      <c r="M1569" s="3">
        <v>41152</v>
      </c>
      <c r="N1569" s="3">
        <v>41137</v>
      </c>
      <c r="O1569" s="3">
        <v>41137</v>
      </c>
      <c r="P1569" s="2" t="s">
        <v>333</v>
      </c>
      <c r="Q1569" s="2" t="s">
        <v>225</v>
      </c>
      <c r="R1569" s="2" t="s">
        <v>37</v>
      </c>
      <c r="S1569" s="2" t="s">
        <v>100</v>
      </c>
      <c r="T1569" s="2" t="s">
        <v>39</v>
      </c>
      <c r="U1569" s="2">
        <v>60</v>
      </c>
      <c r="V1569" s="2">
        <v>90</v>
      </c>
      <c r="W1569" s="2">
        <v>608.4</v>
      </c>
      <c r="X1569" s="2">
        <v>6.76</v>
      </c>
      <c r="Y1569" s="2">
        <v>0.11</v>
      </c>
      <c r="Z1569" s="2">
        <v>5</v>
      </c>
      <c r="AA1569" s="2">
        <v>721.36</v>
      </c>
      <c r="AB1569">
        <v>1</v>
      </c>
      <c r="AC1569">
        <v>2012</v>
      </c>
      <c r="AE1569" s="2">
        <v>9.9</v>
      </c>
    </row>
    <row r="1570" spans="2:31" ht="14.5">
      <c r="B1570" s="2">
        <v>85884</v>
      </c>
      <c r="C1570" s="2" t="s">
        <v>1810</v>
      </c>
      <c r="D1570" s="2" t="s">
        <v>1811</v>
      </c>
      <c r="E1570" s="2" t="s">
        <v>118</v>
      </c>
      <c r="F1570" s="2" t="s">
        <v>29</v>
      </c>
      <c r="G1570" s="2" t="s">
        <v>30</v>
      </c>
      <c r="H1570" s="2" t="s">
        <v>218</v>
      </c>
      <c r="I1570" s="2" t="s">
        <v>219</v>
      </c>
      <c r="J1570" s="2" t="s">
        <v>220</v>
      </c>
      <c r="K1570" s="2" t="s">
        <v>34</v>
      </c>
      <c r="L1570" s="3"/>
      <c r="M1570" s="3">
        <v>41212</v>
      </c>
      <c r="N1570" s="3">
        <v>41212</v>
      </c>
      <c r="O1570" s="3">
        <v>41212</v>
      </c>
      <c r="P1570" s="2" t="s">
        <v>706</v>
      </c>
      <c r="Q1570" s="2" t="s">
        <v>707</v>
      </c>
      <c r="R1570" s="2" t="s">
        <v>37</v>
      </c>
      <c r="S1570" s="2" t="s">
        <v>708</v>
      </c>
      <c r="T1570" s="2" t="s">
        <v>47</v>
      </c>
      <c r="U1570" s="2">
        <v>30</v>
      </c>
      <c r="V1570" s="2">
        <v>40000</v>
      </c>
      <c r="W1570" s="2">
        <v>221600</v>
      </c>
      <c r="X1570" s="2">
        <v>5.54</v>
      </c>
      <c r="Y1570" s="2">
        <v>0.18</v>
      </c>
      <c r="AB1570">
        <v>1</v>
      </c>
      <c r="AC1570">
        <v>2012</v>
      </c>
      <c r="AE1570" s="2">
        <v>7200</v>
      </c>
    </row>
    <row r="1571" spans="2:31" ht="14.5">
      <c r="B1571" s="2">
        <v>85885</v>
      </c>
      <c r="C1571" s="2" t="s">
        <v>2624</v>
      </c>
      <c r="D1571" s="2" t="s">
        <v>2625</v>
      </c>
      <c r="E1571" s="2" t="s">
        <v>42</v>
      </c>
      <c r="F1571" s="2" t="s">
        <v>29</v>
      </c>
      <c r="G1571" s="2" t="s">
        <v>30</v>
      </c>
      <c r="H1571" s="2" t="s">
        <v>218</v>
      </c>
      <c r="I1571" s="2" t="s">
        <v>219</v>
      </c>
      <c r="J1571" s="2" t="s">
        <v>220</v>
      </c>
      <c r="K1571" s="2" t="s">
        <v>34</v>
      </c>
      <c r="L1571" s="3"/>
      <c r="M1571" s="3">
        <v>41145</v>
      </c>
      <c r="N1571" s="3">
        <v>41137</v>
      </c>
      <c r="O1571" s="3">
        <v>41137</v>
      </c>
      <c r="P1571" s="2" t="s">
        <v>98</v>
      </c>
      <c r="Q1571" s="2" t="s">
        <v>99</v>
      </c>
      <c r="R1571" s="2" t="s">
        <v>37</v>
      </c>
      <c r="S1571" s="2" t="s">
        <v>100</v>
      </c>
      <c r="T1571" s="2" t="s">
        <v>39</v>
      </c>
      <c r="U1571" s="2">
        <v>60</v>
      </c>
      <c r="V1571" s="2">
        <v>10537</v>
      </c>
      <c r="W1571" s="2">
        <v>138561.54999999999</v>
      </c>
      <c r="X1571" s="2">
        <v>13.15</v>
      </c>
      <c r="Y1571" s="2">
        <v>0.22</v>
      </c>
      <c r="Z1571" s="2">
        <v>1048</v>
      </c>
      <c r="AA1571" s="2">
        <v>18613.689999999999</v>
      </c>
      <c r="AB1571">
        <v>1</v>
      </c>
      <c r="AC1571">
        <v>2012</v>
      </c>
      <c r="AE1571" s="2">
        <v>2318.14</v>
      </c>
    </row>
    <row r="1572" spans="2:31" ht="14.5">
      <c r="B1572" s="2">
        <v>85889</v>
      </c>
      <c r="C1572" s="2" t="s">
        <v>2626</v>
      </c>
      <c r="D1572" s="2" t="s">
        <v>2627</v>
      </c>
      <c r="E1572" s="2" t="s">
        <v>42</v>
      </c>
      <c r="F1572" s="2" t="s">
        <v>29</v>
      </c>
      <c r="G1572" s="2" t="s">
        <v>30</v>
      </c>
      <c r="H1572" s="2" t="s">
        <v>218</v>
      </c>
      <c r="I1572" s="2" t="s">
        <v>219</v>
      </c>
      <c r="J1572" s="2" t="s">
        <v>220</v>
      </c>
      <c r="K1572" s="2" t="s">
        <v>34</v>
      </c>
      <c r="L1572" s="3"/>
      <c r="M1572" s="3">
        <v>41243</v>
      </c>
      <c r="N1572" s="3">
        <v>41166</v>
      </c>
      <c r="O1572" s="3">
        <v>41166</v>
      </c>
      <c r="P1572" s="2" t="s">
        <v>95</v>
      </c>
      <c r="Q1572" s="2" t="s">
        <v>96</v>
      </c>
      <c r="R1572" s="2" t="s">
        <v>37</v>
      </c>
      <c r="S1572" s="2" t="s">
        <v>97</v>
      </c>
      <c r="T1572" s="2" t="s">
        <v>39</v>
      </c>
      <c r="U1572" s="2">
        <v>30</v>
      </c>
      <c r="V1572" s="2">
        <v>51240</v>
      </c>
      <c r="W1572" s="2">
        <v>200348.4</v>
      </c>
      <c r="X1572" s="2">
        <v>3.91</v>
      </c>
      <c r="Y1572" s="2">
        <v>0.13</v>
      </c>
      <c r="Z1572" s="2">
        <v>4331</v>
      </c>
      <c r="AA1572" s="2">
        <v>8684.7000000000007</v>
      </c>
      <c r="AB1572">
        <v>1</v>
      </c>
      <c r="AC1572">
        <v>2012</v>
      </c>
      <c r="AE1572" s="2">
        <v>6661.2</v>
      </c>
    </row>
    <row r="1573" spans="2:31" ht="14.5">
      <c r="B1573" s="2">
        <v>85896</v>
      </c>
      <c r="C1573" s="2" t="s">
        <v>2628</v>
      </c>
      <c r="D1573" s="2" t="s">
        <v>2629</v>
      </c>
      <c r="E1573" s="2" t="s">
        <v>118</v>
      </c>
      <c r="F1573" s="2" t="s">
        <v>29</v>
      </c>
      <c r="G1573" s="2" t="s">
        <v>30</v>
      </c>
      <c r="H1573" s="2" t="s">
        <v>218</v>
      </c>
      <c r="I1573" s="2" t="s">
        <v>219</v>
      </c>
      <c r="J1573" s="2" t="s">
        <v>220</v>
      </c>
      <c r="K1573" s="2" t="s">
        <v>267</v>
      </c>
      <c r="L1573" s="3"/>
      <c r="M1573" s="3">
        <v>41176</v>
      </c>
      <c r="N1573" s="3">
        <v>41176</v>
      </c>
      <c r="O1573" s="3">
        <v>41176</v>
      </c>
      <c r="P1573" s="2" t="s">
        <v>44</v>
      </c>
      <c r="Q1573" s="2" t="s">
        <v>45</v>
      </c>
      <c r="R1573" s="2" t="s">
        <v>37</v>
      </c>
      <c r="S1573" s="2" t="s">
        <v>46</v>
      </c>
      <c r="T1573" s="2" t="s">
        <v>47</v>
      </c>
      <c r="U1573" s="2">
        <v>60</v>
      </c>
      <c r="V1573" s="2">
        <v>1319</v>
      </c>
      <c r="W1573" s="2">
        <v>10552</v>
      </c>
      <c r="X1573" s="2">
        <v>8</v>
      </c>
      <c r="Y1573" s="2">
        <v>0.13</v>
      </c>
      <c r="Z1573" s="2">
        <v>108</v>
      </c>
      <c r="AA1573" s="2">
        <v>1618.01</v>
      </c>
      <c r="AB1573">
        <v>1</v>
      </c>
      <c r="AC1573">
        <v>2012</v>
      </c>
      <c r="AE1573" s="2">
        <v>171.47</v>
      </c>
    </row>
    <row r="1574" spans="2:31" ht="14.5">
      <c r="B1574" s="2">
        <v>85897</v>
      </c>
      <c r="C1574" s="2" t="s">
        <v>2380</v>
      </c>
      <c r="D1574" s="2" t="s">
        <v>2381</v>
      </c>
      <c r="E1574" s="2" t="s">
        <v>118</v>
      </c>
      <c r="F1574" s="2" t="s">
        <v>29</v>
      </c>
      <c r="G1574" s="2" t="s">
        <v>30</v>
      </c>
      <c r="H1574" s="2" t="s">
        <v>218</v>
      </c>
      <c r="I1574" s="2" t="s">
        <v>219</v>
      </c>
      <c r="J1574" s="2" t="s">
        <v>220</v>
      </c>
      <c r="K1574" s="2" t="s">
        <v>34</v>
      </c>
      <c r="L1574" s="3"/>
      <c r="M1574" s="3">
        <v>41200</v>
      </c>
      <c r="N1574" s="3">
        <v>41200</v>
      </c>
      <c r="O1574" s="3">
        <v>41200</v>
      </c>
      <c r="P1574" s="2" t="s">
        <v>35</v>
      </c>
      <c r="Q1574" s="2" t="s">
        <v>36</v>
      </c>
      <c r="R1574" s="2" t="s">
        <v>37</v>
      </c>
      <c r="S1574" s="2" t="s">
        <v>38</v>
      </c>
      <c r="T1574" s="2" t="s">
        <v>39</v>
      </c>
      <c r="U1574" s="2">
        <v>60</v>
      </c>
      <c r="V1574" s="2">
        <v>30348</v>
      </c>
      <c r="W1574" s="2">
        <v>74049.119999999995</v>
      </c>
      <c r="X1574" s="2">
        <v>2.44</v>
      </c>
      <c r="Y1574" s="2">
        <v>0.04</v>
      </c>
      <c r="AB1574">
        <v>1</v>
      </c>
      <c r="AC1574">
        <v>2012</v>
      </c>
      <c r="AE1574" s="2">
        <v>1213.92</v>
      </c>
    </row>
    <row r="1575" spans="2:31" ht="14.5">
      <c r="B1575" s="2">
        <v>85899</v>
      </c>
      <c r="C1575" s="2" t="s">
        <v>1824</v>
      </c>
      <c r="D1575" s="2" t="s">
        <v>1825</v>
      </c>
      <c r="E1575" s="2" t="s">
        <v>42</v>
      </c>
      <c r="F1575" s="2" t="s">
        <v>29</v>
      </c>
      <c r="G1575" s="2" t="s">
        <v>30</v>
      </c>
      <c r="H1575" s="2" t="s">
        <v>218</v>
      </c>
      <c r="I1575" s="2" t="s">
        <v>219</v>
      </c>
      <c r="J1575" s="2" t="s">
        <v>220</v>
      </c>
      <c r="K1575" s="2" t="s">
        <v>34</v>
      </c>
      <c r="L1575" s="3"/>
      <c r="M1575" s="3">
        <v>41180</v>
      </c>
      <c r="N1575" s="3">
        <v>41165</v>
      </c>
      <c r="O1575" s="3">
        <v>41165</v>
      </c>
      <c r="P1575" s="2" t="s">
        <v>35</v>
      </c>
      <c r="Q1575" s="2" t="s">
        <v>36</v>
      </c>
      <c r="R1575" s="2" t="s">
        <v>37</v>
      </c>
      <c r="S1575" s="2" t="s">
        <v>38</v>
      </c>
      <c r="T1575" s="2" t="s">
        <v>39</v>
      </c>
      <c r="U1575" s="2">
        <v>60</v>
      </c>
      <c r="V1575" s="2">
        <v>10078</v>
      </c>
      <c r="W1575" s="2">
        <v>24590.32</v>
      </c>
      <c r="X1575" s="2">
        <v>2.44</v>
      </c>
      <c r="Y1575" s="2">
        <v>0.04</v>
      </c>
      <c r="AB1575">
        <v>1</v>
      </c>
      <c r="AC1575">
        <v>2012</v>
      </c>
      <c r="AE1575" s="2">
        <v>403.12</v>
      </c>
    </row>
    <row r="1576" spans="2:31" ht="14.5">
      <c r="B1576" s="2">
        <v>85903</v>
      </c>
      <c r="C1576" s="2" t="s">
        <v>2847</v>
      </c>
      <c r="D1576" s="2" t="s">
        <v>2848</v>
      </c>
      <c r="E1576" s="2" t="s">
        <v>2817</v>
      </c>
      <c r="F1576" s="2" t="s">
        <v>29</v>
      </c>
      <c r="G1576" s="2" t="s">
        <v>30</v>
      </c>
      <c r="H1576" s="2" t="s">
        <v>218</v>
      </c>
      <c r="I1576" s="2" t="s">
        <v>219</v>
      </c>
      <c r="J1576" s="2" t="s">
        <v>220</v>
      </c>
      <c r="K1576" s="2" t="s">
        <v>34</v>
      </c>
      <c r="L1576" s="3"/>
      <c r="M1576" s="3">
        <v>41243</v>
      </c>
      <c r="N1576" s="3">
        <v>41243</v>
      </c>
      <c r="O1576" s="3">
        <v>41243</v>
      </c>
      <c r="P1576" s="2" t="s">
        <v>164</v>
      </c>
      <c r="Q1576" s="2" t="s">
        <v>165</v>
      </c>
      <c r="R1576" s="2" t="s">
        <v>37</v>
      </c>
      <c r="S1576" s="2" t="s">
        <v>166</v>
      </c>
      <c r="T1576" s="2" t="s">
        <v>39</v>
      </c>
      <c r="U1576" s="2">
        <v>60</v>
      </c>
      <c r="V1576" s="2">
        <v>270</v>
      </c>
      <c r="W1576" s="2">
        <v>599.4</v>
      </c>
      <c r="X1576" s="2">
        <v>2.2200000000000002</v>
      </c>
      <c r="Y1576" s="2">
        <v>0.04</v>
      </c>
      <c r="AB1576">
        <v>1</v>
      </c>
      <c r="AC1576">
        <v>2012</v>
      </c>
      <c r="AE1576" s="2">
        <v>10.8</v>
      </c>
    </row>
    <row r="1577" spans="2:31" ht="14.5">
      <c r="B1577" s="2">
        <v>85908</v>
      </c>
      <c r="C1577" s="2" t="s">
        <v>2630</v>
      </c>
      <c r="D1577" s="2" t="s">
        <v>2631</v>
      </c>
      <c r="E1577" s="2" t="s">
        <v>28</v>
      </c>
      <c r="F1577" s="2" t="s">
        <v>29</v>
      </c>
      <c r="G1577" s="2" t="s">
        <v>50</v>
      </c>
      <c r="H1577" s="2" t="s">
        <v>218</v>
      </c>
      <c r="I1577" s="2" t="s">
        <v>219</v>
      </c>
      <c r="J1577" s="2" t="s">
        <v>220</v>
      </c>
      <c r="K1577" s="2" t="s">
        <v>267</v>
      </c>
      <c r="L1577" s="3"/>
      <c r="M1577" s="3">
        <v>41243</v>
      </c>
      <c r="N1577" s="3">
        <v>41219</v>
      </c>
      <c r="O1577" s="3">
        <v>41219</v>
      </c>
      <c r="P1577" s="2" t="s">
        <v>1632</v>
      </c>
      <c r="Q1577" s="2" t="s">
        <v>140</v>
      </c>
      <c r="R1577" s="2" t="s">
        <v>37</v>
      </c>
      <c r="S1577" s="2" t="s">
        <v>1633</v>
      </c>
      <c r="T1577" s="2" t="s">
        <v>729</v>
      </c>
      <c r="U1577" s="2">
        <v>60</v>
      </c>
      <c r="V1577" s="2">
        <v>17600</v>
      </c>
      <c r="W1577" s="2">
        <v>40480</v>
      </c>
      <c r="X1577" s="2">
        <v>2.2999999999999998</v>
      </c>
      <c r="Y1577" s="2">
        <v>0.04</v>
      </c>
      <c r="Z1577" s="2">
        <v>3526</v>
      </c>
      <c r="AA1577" s="2">
        <v>8977</v>
      </c>
      <c r="AB1577">
        <v>1</v>
      </c>
      <c r="AC1577">
        <v>2012</v>
      </c>
      <c r="AE1577" s="2">
        <v>704</v>
      </c>
    </row>
    <row r="1578" spans="2:31" ht="14.5">
      <c r="B1578" s="2">
        <v>85909</v>
      </c>
      <c r="C1578" s="2" t="s">
        <v>2234</v>
      </c>
      <c r="D1578" s="2" t="s">
        <v>2235</v>
      </c>
      <c r="E1578" s="2" t="s">
        <v>118</v>
      </c>
      <c r="F1578" s="2" t="s">
        <v>29</v>
      </c>
      <c r="G1578" s="2" t="s">
        <v>30</v>
      </c>
      <c r="H1578" s="2" t="s">
        <v>218</v>
      </c>
      <c r="I1578" s="2" t="s">
        <v>219</v>
      </c>
      <c r="J1578" s="2" t="s">
        <v>220</v>
      </c>
      <c r="K1578" s="2" t="s">
        <v>34</v>
      </c>
      <c r="L1578" s="3"/>
      <c r="M1578" s="3">
        <v>41249</v>
      </c>
      <c r="N1578" s="3">
        <v>41211</v>
      </c>
      <c r="O1578" s="3">
        <v>41211</v>
      </c>
      <c r="P1578" s="2" t="s">
        <v>35</v>
      </c>
      <c r="Q1578" s="2" t="s">
        <v>36</v>
      </c>
      <c r="R1578" s="2" t="s">
        <v>37</v>
      </c>
      <c r="S1578" s="2" t="s">
        <v>38</v>
      </c>
      <c r="T1578" s="2" t="s">
        <v>39</v>
      </c>
      <c r="U1578" s="2">
        <v>60</v>
      </c>
      <c r="V1578" s="2">
        <v>510</v>
      </c>
      <c r="W1578" s="2">
        <v>1234.2</v>
      </c>
      <c r="X1578" s="2">
        <v>2.42</v>
      </c>
      <c r="Y1578" s="2">
        <v>0.04</v>
      </c>
      <c r="AB1578">
        <v>1</v>
      </c>
      <c r="AC1578">
        <v>2012</v>
      </c>
      <c r="AE1578" s="2">
        <v>20.400000000000002</v>
      </c>
    </row>
    <row r="1579" spans="2:31" ht="14.5">
      <c r="B1579" s="2">
        <v>85913</v>
      </c>
      <c r="C1579" s="2" t="s">
        <v>2632</v>
      </c>
      <c r="D1579" s="2" t="s">
        <v>2633</v>
      </c>
      <c r="E1579" s="2" t="s">
        <v>42</v>
      </c>
      <c r="F1579" s="2" t="s">
        <v>29</v>
      </c>
      <c r="G1579" s="2" t="s">
        <v>30</v>
      </c>
      <c r="H1579" s="2" t="s">
        <v>218</v>
      </c>
      <c r="I1579" s="2" t="s">
        <v>219</v>
      </c>
      <c r="J1579" s="2" t="s">
        <v>220</v>
      </c>
      <c r="K1579" s="2" t="s">
        <v>34</v>
      </c>
      <c r="L1579" s="3"/>
      <c r="M1579" s="3">
        <v>41290</v>
      </c>
      <c r="N1579" s="3">
        <v>41290</v>
      </c>
      <c r="O1579" s="3">
        <v>41290</v>
      </c>
      <c r="P1579" s="2" t="s">
        <v>407</v>
      </c>
      <c r="Q1579" s="2" t="s">
        <v>408</v>
      </c>
      <c r="R1579" s="2" t="s">
        <v>37</v>
      </c>
      <c r="S1579" s="2" t="s">
        <v>409</v>
      </c>
      <c r="T1579" s="2" t="s">
        <v>47</v>
      </c>
      <c r="U1579" s="2">
        <v>60</v>
      </c>
      <c r="V1579" s="2">
        <v>5468</v>
      </c>
      <c r="W1579" s="2">
        <v>16130.6</v>
      </c>
      <c r="X1579" s="2">
        <v>2.95</v>
      </c>
      <c r="Y1579" s="2">
        <v>0.05</v>
      </c>
      <c r="Z1579" s="2">
        <v>437</v>
      </c>
      <c r="AA1579" s="2">
        <v>2928.4</v>
      </c>
      <c r="AB1579">
        <v>1</v>
      </c>
      <c r="AC1579">
        <v>2013</v>
      </c>
      <c r="AE1579" s="2">
        <v>273.40000000000003</v>
      </c>
    </row>
    <row r="1580" spans="2:31" ht="14.5">
      <c r="B1580" s="2">
        <v>85914</v>
      </c>
      <c r="C1580" s="2" t="s">
        <v>2634</v>
      </c>
      <c r="D1580" s="2" t="s">
        <v>2635</v>
      </c>
      <c r="E1580" s="2" t="s">
        <v>42</v>
      </c>
      <c r="F1580" s="2" t="s">
        <v>29</v>
      </c>
      <c r="G1580" s="2" t="s">
        <v>30</v>
      </c>
      <c r="H1580" s="2" t="s">
        <v>218</v>
      </c>
      <c r="I1580" s="2" t="s">
        <v>219</v>
      </c>
      <c r="J1580" s="2" t="s">
        <v>220</v>
      </c>
      <c r="K1580" s="2" t="s">
        <v>34</v>
      </c>
      <c r="L1580" s="3"/>
      <c r="M1580" s="3">
        <v>41290</v>
      </c>
      <c r="N1580" s="3">
        <v>41290</v>
      </c>
      <c r="O1580" s="3">
        <v>41290</v>
      </c>
      <c r="P1580" s="2" t="s">
        <v>407</v>
      </c>
      <c r="Q1580" s="2" t="s">
        <v>408</v>
      </c>
      <c r="R1580" s="2" t="s">
        <v>37</v>
      </c>
      <c r="S1580" s="2" t="s">
        <v>409</v>
      </c>
      <c r="T1580" s="2" t="s">
        <v>47</v>
      </c>
      <c r="U1580" s="2">
        <v>60</v>
      </c>
      <c r="V1580" s="2">
        <v>13152</v>
      </c>
      <c r="W1580" s="2">
        <v>38798.400000000001</v>
      </c>
      <c r="X1580" s="2">
        <v>2.95</v>
      </c>
      <c r="Y1580" s="2">
        <v>0.05</v>
      </c>
      <c r="Z1580" s="2">
        <v>1045</v>
      </c>
      <c r="AA1580" s="2">
        <v>6152</v>
      </c>
      <c r="AB1580">
        <v>1</v>
      </c>
      <c r="AC1580">
        <v>2013</v>
      </c>
      <c r="AE1580" s="2">
        <v>657.6</v>
      </c>
    </row>
    <row r="1581" spans="2:31" ht="14.5">
      <c r="B1581" s="2">
        <v>85919</v>
      </c>
      <c r="C1581" s="2" t="s">
        <v>2636</v>
      </c>
      <c r="D1581" s="2" t="s">
        <v>2637</v>
      </c>
      <c r="E1581" s="2" t="s">
        <v>118</v>
      </c>
      <c r="F1581" s="2" t="s">
        <v>29</v>
      </c>
      <c r="G1581" s="2" t="s">
        <v>30</v>
      </c>
      <c r="H1581" s="2" t="s">
        <v>218</v>
      </c>
      <c r="I1581" s="2" t="s">
        <v>219</v>
      </c>
      <c r="J1581" s="2" t="s">
        <v>220</v>
      </c>
      <c r="K1581" s="2" t="s">
        <v>267</v>
      </c>
      <c r="L1581" s="3"/>
      <c r="M1581" s="3">
        <v>41310</v>
      </c>
      <c r="N1581" s="3">
        <v>41310</v>
      </c>
      <c r="O1581" s="3">
        <v>41310</v>
      </c>
      <c r="P1581" s="2" t="s">
        <v>706</v>
      </c>
      <c r="Q1581" s="2" t="s">
        <v>707</v>
      </c>
      <c r="R1581" s="2" t="s">
        <v>37</v>
      </c>
      <c r="S1581" s="2" t="s">
        <v>708</v>
      </c>
      <c r="T1581" s="2" t="s">
        <v>47</v>
      </c>
      <c r="U1581" s="2">
        <v>30</v>
      </c>
      <c r="V1581" s="2">
        <v>48</v>
      </c>
      <c r="W1581" s="2">
        <v>257.27999999999997</v>
      </c>
      <c r="X1581" s="2">
        <v>5.36</v>
      </c>
      <c r="Y1581" s="2">
        <v>0.18</v>
      </c>
      <c r="Z1581" s="2">
        <v>5</v>
      </c>
      <c r="AA1581" s="2">
        <v>673.25</v>
      </c>
      <c r="AB1581">
        <v>1</v>
      </c>
      <c r="AC1581">
        <v>2013</v>
      </c>
      <c r="AE1581" s="2">
        <v>8.64</v>
      </c>
    </row>
    <row r="1582" spans="2:31" ht="14.5">
      <c r="B1582" s="2">
        <v>85922</v>
      </c>
      <c r="C1582" s="2" t="s">
        <v>2236</v>
      </c>
      <c r="D1582" s="2" t="s">
        <v>2237</v>
      </c>
      <c r="E1582" s="2" t="s">
        <v>118</v>
      </c>
      <c r="F1582" s="2" t="s">
        <v>29</v>
      </c>
      <c r="G1582" s="2" t="s">
        <v>30</v>
      </c>
      <c r="H1582" s="2" t="s">
        <v>218</v>
      </c>
      <c r="I1582" s="2" t="s">
        <v>219</v>
      </c>
      <c r="J1582" s="2" t="s">
        <v>220</v>
      </c>
      <c r="K1582" s="2" t="s">
        <v>34</v>
      </c>
      <c r="L1582" s="3"/>
      <c r="M1582" s="3">
        <v>41305</v>
      </c>
      <c r="N1582" s="3">
        <v>41306</v>
      </c>
      <c r="O1582" s="3">
        <v>41306</v>
      </c>
      <c r="P1582" s="2" t="s">
        <v>35</v>
      </c>
      <c r="Q1582" s="2" t="s">
        <v>36</v>
      </c>
      <c r="R1582" s="2" t="s">
        <v>37</v>
      </c>
      <c r="S1582" s="2" t="s">
        <v>38</v>
      </c>
      <c r="T1582" s="2" t="s">
        <v>39</v>
      </c>
      <c r="U1582" s="2">
        <v>60</v>
      </c>
      <c r="V1582" s="2">
        <v>699</v>
      </c>
      <c r="W1582" s="2">
        <v>1691.58</v>
      </c>
      <c r="X1582" s="2">
        <v>2.42</v>
      </c>
      <c r="Y1582" s="2">
        <v>0.04</v>
      </c>
      <c r="AB1582">
        <v>0</v>
      </c>
      <c r="AC1582">
        <v>2013</v>
      </c>
      <c r="AE1582" s="2">
        <v>27.96</v>
      </c>
    </row>
    <row r="1583" spans="2:31" ht="14.5">
      <c r="B1583" s="2">
        <v>85924</v>
      </c>
      <c r="C1583" s="2" t="s">
        <v>1616</v>
      </c>
      <c r="D1583" s="2" t="s">
        <v>1617</v>
      </c>
      <c r="E1583" s="2" t="s">
        <v>118</v>
      </c>
      <c r="F1583" s="2" t="s">
        <v>29</v>
      </c>
      <c r="G1583" s="2" t="s">
        <v>30</v>
      </c>
      <c r="H1583" s="2" t="s">
        <v>218</v>
      </c>
      <c r="I1583" s="2" t="s">
        <v>219</v>
      </c>
      <c r="J1583" s="2" t="s">
        <v>220</v>
      </c>
      <c r="K1583" s="2" t="s">
        <v>34</v>
      </c>
      <c r="L1583" s="3"/>
      <c r="M1583" s="3">
        <v>41307</v>
      </c>
      <c r="N1583" s="3">
        <v>41307</v>
      </c>
      <c r="O1583" s="3">
        <v>41307</v>
      </c>
      <c r="P1583" s="2" t="s">
        <v>112</v>
      </c>
      <c r="Q1583" s="2" t="s">
        <v>113</v>
      </c>
      <c r="R1583" s="2" t="s">
        <v>37</v>
      </c>
      <c r="S1583" s="2" t="s">
        <v>114</v>
      </c>
      <c r="T1583" s="2" t="s">
        <v>47</v>
      </c>
      <c r="U1583" s="2">
        <v>60</v>
      </c>
      <c r="V1583" s="2">
        <v>3235</v>
      </c>
      <c r="W1583" s="2">
        <v>31120.7</v>
      </c>
      <c r="X1583" s="2">
        <v>9.6199999999999992</v>
      </c>
      <c r="Y1583" s="2">
        <v>0.16</v>
      </c>
      <c r="AB1583">
        <v>1</v>
      </c>
      <c r="AC1583">
        <v>2013</v>
      </c>
      <c r="AE1583" s="2">
        <v>517.6</v>
      </c>
    </row>
    <row r="1584" spans="2:31" ht="14.5">
      <c r="B1584" s="2">
        <v>85926</v>
      </c>
      <c r="C1584" s="2" t="s">
        <v>2638</v>
      </c>
      <c r="D1584" s="2" t="s">
        <v>2639</v>
      </c>
      <c r="E1584" s="2" t="s">
        <v>28</v>
      </c>
      <c r="F1584" s="2" t="s">
        <v>29</v>
      </c>
      <c r="G1584" s="2" t="s">
        <v>30</v>
      </c>
      <c r="H1584" s="2" t="s">
        <v>218</v>
      </c>
      <c r="I1584" s="2" t="s">
        <v>219</v>
      </c>
      <c r="J1584" s="2" t="s">
        <v>220</v>
      </c>
      <c r="K1584" s="2" t="s">
        <v>267</v>
      </c>
      <c r="L1584" s="3"/>
      <c r="M1584" s="3">
        <v>41344</v>
      </c>
      <c r="N1584" s="3">
        <v>41323</v>
      </c>
      <c r="O1584" s="3">
        <v>41323</v>
      </c>
      <c r="P1584" s="2" t="s">
        <v>749</v>
      </c>
      <c r="Q1584" s="2" t="s">
        <v>76</v>
      </c>
      <c r="R1584" s="2" t="s">
        <v>37</v>
      </c>
      <c r="S1584" s="2" t="s">
        <v>78</v>
      </c>
      <c r="T1584" s="2" t="s">
        <v>47</v>
      </c>
      <c r="U1584" s="2">
        <v>30</v>
      </c>
      <c r="V1584" s="2">
        <v>65379</v>
      </c>
      <c r="W1584" s="2">
        <v>895038.51</v>
      </c>
      <c r="X1584" s="2">
        <v>13.69</v>
      </c>
      <c r="Y1584" s="2">
        <v>0.46</v>
      </c>
      <c r="Z1584" s="2">
        <v>7385</v>
      </c>
      <c r="AB1584">
        <v>1</v>
      </c>
      <c r="AC1584">
        <v>2013</v>
      </c>
      <c r="AE1584" s="2">
        <v>30074.34</v>
      </c>
    </row>
    <row r="1585" spans="2:31" ht="14.5">
      <c r="B1585" s="2">
        <v>85927</v>
      </c>
      <c r="C1585" s="2" t="s">
        <v>2640</v>
      </c>
      <c r="D1585" s="2" t="s">
        <v>2641</v>
      </c>
      <c r="E1585" s="2" t="s">
        <v>118</v>
      </c>
      <c r="F1585" s="2" t="s">
        <v>29</v>
      </c>
      <c r="G1585" s="2" t="s">
        <v>50</v>
      </c>
      <c r="H1585" s="2" t="s">
        <v>218</v>
      </c>
      <c r="I1585" s="2" t="s">
        <v>219</v>
      </c>
      <c r="J1585" s="2" t="s">
        <v>220</v>
      </c>
      <c r="K1585" s="2" t="s">
        <v>34</v>
      </c>
      <c r="L1585" s="3"/>
      <c r="M1585" s="3">
        <v>41327</v>
      </c>
      <c r="N1585" s="3">
        <v>41330</v>
      </c>
      <c r="O1585" s="3">
        <v>41330</v>
      </c>
      <c r="P1585" s="2" t="s">
        <v>859</v>
      </c>
      <c r="Q1585" s="2" t="s">
        <v>45</v>
      </c>
      <c r="R1585" s="2" t="s">
        <v>37</v>
      </c>
      <c r="S1585" s="2" t="s">
        <v>728</v>
      </c>
      <c r="T1585" s="2" t="s">
        <v>47</v>
      </c>
      <c r="U1585" s="2">
        <v>60</v>
      </c>
      <c r="V1585" s="2">
        <v>2512</v>
      </c>
      <c r="W1585" s="2">
        <v>5677.12</v>
      </c>
      <c r="X1585" s="2">
        <v>2.2599999999999998</v>
      </c>
      <c r="Y1585" s="2">
        <v>0.04</v>
      </c>
      <c r="Z1585" s="2">
        <v>177</v>
      </c>
      <c r="AA1585" s="2">
        <v>3255.61</v>
      </c>
      <c r="AB1585">
        <v>0</v>
      </c>
      <c r="AC1585">
        <v>2013</v>
      </c>
      <c r="AE1585" s="2">
        <v>100.48</v>
      </c>
    </row>
    <row r="1586" spans="2:31" ht="14.5">
      <c r="B1586" s="2">
        <v>85932</v>
      </c>
      <c r="C1586" s="2" t="s">
        <v>2043</v>
      </c>
      <c r="D1586" s="2" t="s">
        <v>2044</v>
      </c>
      <c r="E1586" s="2" t="s">
        <v>118</v>
      </c>
      <c r="F1586" s="2" t="s">
        <v>29</v>
      </c>
      <c r="G1586" s="2" t="s">
        <v>30</v>
      </c>
      <c r="H1586" s="2" t="s">
        <v>218</v>
      </c>
      <c r="I1586" s="2" t="s">
        <v>219</v>
      </c>
      <c r="J1586" s="2" t="s">
        <v>220</v>
      </c>
      <c r="K1586" s="2" t="s">
        <v>34</v>
      </c>
      <c r="L1586" s="3"/>
      <c r="M1586" s="3">
        <v>41327</v>
      </c>
      <c r="N1586" s="3">
        <v>41325</v>
      </c>
      <c r="O1586" s="3">
        <v>41325</v>
      </c>
      <c r="P1586" s="2" t="s">
        <v>95</v>
      </c>
      <c r="Q1586" s="2" t="s">
        <v>96</v>
      </c>
      <c r="R1586" s="2" t="s">
        <v>37</v>
      </c>
      <c r="S1586" s="2" t="s">
        <v>97</v>
      </c>
      <c r="T1586" s="2" t="s">
        <v>39</v>
      </c>
      <c r="U1586" s="2">
        <v>30</v>
      </c>
      <c r="V1586" s="2">
        <v>9354</v>
      </c>
      <c r="W1586" s="2">
        <v>33300.239999999998</v>
      </c>
      <c r="X1586" s="2">
        <v>3.56</v>
      </c>
      <c r="Y1586" s="2">
        <v>0.12</v>
      </c>
      <c r="AB1586">
        <v>1</v>
      </c>
      <c r="AC1586">
        <v>2013</v>
      </c>
      <c r="AE1586" s="2">
        <v>1122.48</v>
      </c>
    </row>
    <row r="1587" spans="2:31" ht="14.5">
      <c r="B1587" s="2">
        <v>85936</v>
      </c>
      <c r="C1587" s="2" t="s">
        <v>2642</v>
      </c>
      <c r="D1587" s="2" t="s">
        <v>2643</v>
      </c>
      <c r="E1587" s="2" t="s">
        <v>118</v>
      </c>
      <c r="F1587" s="2" t="s">
        <v>29</v>
      </c>
      <c r="G1587" s="2" t="s">
        <v>30</v>
      </c>
      <c r="H1587" s="2" t="s">
        <v>218</v>
      </c>
      <c r="I1587" s="2" t="s">
        <v>219</v>
      </c>
      <c r="J1587" s="2" t="s">
        <v>220</v>
      </c>
      <c r="K1587" s="2" t="s">
        <v>34</v>
      </c>
      <c r="L1587" s="3"/>
      <c r="M1587" s="3">
        <v>41337</v>
      </c>
      <c r="N1587" s="3">
        <v>41337</v>
      </c>
      <c r="O1587" s="3">
        <v>41337</v>
      </c>
      <c r="P1587" s="2" t="s">
        <v>759</v>
      </c>
      <c r="Q1587" s="2" t="s">
        <v>84</v>
      </c>
      <c r="R1587" s="2" t="s">
        <v>37</v>
      </c>
      <c r="S1587" s="2" t="s">
        <v>152</v>
      </c>
      <c r="T1587" s="2" t="s">
        <v>39</v>
      </c>
      <c r="U1587" s="2">
        <v>120</v>
      </c>
      <c r="V1587" s="2">
        <v>8494</v>
      </c>
      <c r="W1587" s="2">
        <v>210311.44</v>
      </c>
      <c r="X1587" s="2">
        <v>24.76</v>
      </c>
      <c r="Y1587" s="2">
        <v>0.21</v>
      </c>
      <c r="Z1587" s="2">
        <v>2089</v>
      </c>
      <c r="AA1587" s="2">
        <v>17032.59</v>
      </c>
      <c r="AB1587">
        <v>1</v>
      </c>
      <c r="AC1587">
        <v>2013</v>
      </c>
      <c r="AE1587" s="2">
        <v>1783.74</v>
      </c>
    </row>
    <row r="1588" spans="2:31" ht="14.5">
      <c r="B1588" s="2">
        <v>85942</v>
      </c>
      <c r="C1588" s="2" t="s">
        <v>2386</v>
      </c>
      <c r="D1588" s="2" t="s">
        <v>2387</v>
      </c>
      <c r="E1588" s="2" t="s">
        <v>118</v>
      </c>
      <c r="F1588" s="2" t="s">
        <v>29</v>
      </c>
      <c r="G1588" s="2" t="s">
        <v>50</v>
      </c>
      <c r="H1588" s="2" t="s">
        <v>218</v>
      </c>
      <c r="I1588" s="2" t="s">
        <v>219</v>
      </c>
      <c r="J1588" s="2" t="s">
        <v>220</v>
      </c>
      <c r="K1588" s="2" t="s">
        <v>34</v>
      </c>
      <c r="L1588" s="3"/>
      <c r="M1588" s="3">
        <v>41362</v>
      </c>
      <c r="N1588" s="3">
        <v>41334</v>
      </c>
      <c r="O1588" s="3">
        <v>41334</v>
      </c>
      <c r="P1588" s="2" t="s">
        <v>802</v>
      </c>
      <c r="Q1588" s="2" t="s">
        <v>96</v>
      </c>
      <c r="R1588" s="2" t="s">
        <v>37</v>
      </c>
      <c r="S1588" s="2" t="s">
        <v>38</v>
      </c>
      <c r="T1588" s="2" t="s">
        <v>39</v>
      </c>
      <c r="U1588" s="2">
        <v>90</v>
      </c>
      <c r="V1588" s="2">
        <v>257</v>
      </c>
      <c r="W1588" s="2">
        <v>1876.1</v>
      </c>
      <c r="X1588" s="2">
        <v>7.3</v>
      </c>
      <c r="Y1588" s="2">
        <v>0.08</v>
      </c>
      <c r="AB1588">
        <v>1</v>
      </c>
      <c r="AC1588">
        <v>2013</v>
      </c>
      <c r="AE1588" s="2">
        <v>20.56</v>
      </c>
    </row>
    <row r="1589" spans="2:31" ht="14.5">
      <c r="B1589" s="2">
        <v>85956</v>
      </c>
      <c r="C1589" s="2" t="s">
        <v>2051</v>
      </c>
      <c r="D1589" s="2" t="s">
        <v>2052</v>
      </c>
      <c r="E1589" s="2" t="s">
        <v>28</v>
      </c>
      <c r="F1589" s="2" t="s">
        <v>29</v>
      </c>
      <c r="G1589" s="2" t="s">
        <v>30</v>
      </c>
      <c r="H1589" s="2" t="s">
        <v>218</v>
      </c>
      <c r="I1589" s="2" t="s">
        <v>219</v>
      </c>
      <c r="J1589" s="2" t="s">
        <v>220</v>
      </c>
      <c r="K1589" s="2" t="s">
        <v>267</v>
      </c>
      <c r="L1589" s="3"/>
      <c r="M1589" s="3">
        <v>41425</v>
      </c>
      <c r="N1589" s="3">
        <v>41408</v>
      </c>
      <c r="O1589" s="3">
        <v>41408</v>
      </c>
      <c r="P1589" s="2" t="s">
        <v>749</v>
      </c>
      <c r="Q1589" s="2" t="s">
        <v>76</v>
      </c>
      <c r="R1589" s="2" t="s">
        <v>37</v>
      </c>
      <c r="S1589" s="2" t="s">
        <v>78</v>
      </c>
      <c r="T1589" s="2" t="s">
        <v>47</v>
      </c>
      <c r="U1589" s="2">
        <v>30</v>
      </c>
      <c r="V1589" s="2">
        <v>19014</v>
      </c>
      <c r="W1589" s="2">
        <v>260301.66</v>
      </c>
      <c r="X1589" s="2">
        <v>13.69</v>
      </c>
      <c r="Y1589" s="2">
        <v>0.46</v>
      </c>
      <c r="AB1589">
        <v>1</v>
      </c>
      <c r="AC1589">
        <v>2013</v>
      </c>
      <c r="AE1589" s="2">
        <v>8746.44</v>
      </c>
    </row>
    <row r="1590" spans="2:31" ht="14.5">
      <c r="B1590" s="2">
        <v>85960</v>
      </c>
      <c r="C1590" s="2" t="s">
        <v>2832</v>
      </c>
      <c r="D1590" s="2" t="s">
        <v>2833</v>
      </c>
      <c r="E1590" s="2" t="s">
        <v>2817</v>
      </c>
      <c r="F1590" s="2" t="s">
        <v>29</v>
      </c>
      <c r="G1590" s="2" t="s">
        <v>30</v>
      </c>
      <c r="H1590" s="2" t="s">
        <v>218</v>
      </c>
      <c r="I1590" s="2" t="s">
        <v>219</v>
      </c>
      <c r="J1590" s="2" t="s">
        <v>220</v>
      </c>
      <c r="K1590" s="2" t="s">
        <v>34</v>
      </c>
      <c r="L1590" s="3"/>
      <c r="M1590" s="3">
        <v>41394</v>
      </c>
      <c r="N1590" s="3">
        <v>41388</v>
      </c>
      <c r="O1590" s="3">
        <v>41388</v>
      </c>
      <c r="P1590" s="2" t="s">
        <v>759</v>
      </c>
      <c r="Q1590" s="2" t="s">
        <v>84</v>
      </c>
      <c r="R1590" s="2" t="s">
        <v>37</v>
      </c>
      <c r="S1590" s="2" t="s">
        <v>152</v>
      </c>
      <c r="T1590" s="2" t="s">
        <v>39</v>
      </c>
      <c r="U1590" s="2">
        <v>120</v>
      </c>
      <c r="V1590" s="2">
        <v>507</v>
      </c>
      <c r="W1590" s="2">
        <v>12553.32</v>
      </c>
      <c r="X1590" s="2">
        <v>24.76</v>
      </c>
      <c r="Y1590" s="2">
        <v>0.21</v>
      </c>
      <c r="AB1590">
        <v>1</v>
      </c>
      <c r="AC1590">
        <v>2013</v>
      </c>
      <c r="AE1590" s="2">
        <v>106.47</v>
      </c>
    </row>
    <row r="1591" spans="2:31" ht="14.5">
      <c r="B1591" s="2">
        <v>85961</v>
      </c>
      <c r="C1591" s="2" t="s">
        <v>2832</v>
      </c>
      <c r="D1591" s="2" t="s">
        <v>2833</v>
      </c>
      <c r="E1591" s="2" t="s">
        <v>2817</v>
      </c>
      <c r="F1591" s="2" t="s">
        <v>29</v>
      </c>
      <c r="G1591" s="2" t="s">
        <v>50</v>
      </c>
      <c r="H1591" s="2" t="s">
        <v>218</v>
      </c>
      <c r="I1591" s="2" t="s">
        <v>219</v>
      </c>
      <c r="J1591" s="2" t="s">
        <v>220</v>
      </c>
      <c r="K1591" s="2" t="s">
        <v>34</v>
      </c>
      <c r="L1591" s="3"/>
      <c r="M1591" s="3">
        <v>41394</v>
      </c>
      <c r="N1591" s="3">
        <v>41388</v>
      </c>
      <c r="O1591" s="3">
        <v>41388</v>
      </c>
      <c r="P1591" s="2" t="s">
        <v>859</v>
      </c>
      <c r="Q1591" s="2" t="s">
        <v>45</v>
      </c>
      <c r="R1591" s="2" t="s">
        <v>37</v>
      </c>
      <c r="S1591" s="2" t="s">
        <v>728</v>
      </c>
      <c r="T1591" s="2" t="s">
        <v>47</v>
      </c>
      <c r="U1591" s="2">
        <v>60</v>
      </c>
      <c r="V1591" s="2">
        <v>132</v>
      </c>
      <c r="W1591" s="2">
        <v>298.32</v>
      </c>
      <c r="X1591" s="2">
        <v>2.2599999999999998</v>
      </c>
      <c r="Y1591" s="2">
        <v>0.04</v>
      </c>
      <c r="AB1591">
        <v>1</v>
      </c>
      <c r="AC1591">
        <v>2013</v>
      </c>
      <c r="AE1591" s="2">
        <v>5.28</v>
      </c>
    </row>
    <row r="1592" spans="2:31" ht="14.5">
      <c r="B1592" s="2">
        <v>85965</v>
      </c>
      <c r="C1592" s="2" t="s">
        <v>2644</v>
      </c>
      <c r="D1592" s="2" t="s">
        <v>2645</v>
      </c>
      <c r="E1592" s="2" t="s">
        <v>118</v>
      </c>
      <c r="F1592" s="2" t="s">
        <v>29</v>
      </c>
      <c r="G1592" s="2" t="s">
        <v>30</v>
      </c>
      <c r="H1592" s="2" t="s">
        <v>218</v>
      </c>
      <c r="I1592" s="2" t="s">
        <v>219</v>
      </c>
      <c r="J1592" s="2" t="s">
        <v>220</v>
      </c>
      <c r="K1592" s="2" t="s">
        <v>34</v>
      </c>
      <c r="L1592" s="3"/>
      <c r="M1592" s="3">
        <v>41403</v>
      </c>
      <c r="N1592" s="3">
        <v>41416</v>
      </c>
      <c r="O1592" s="3">
        <v>41416</v>
      </c>
      <c r="P1592" s="2" t="s">
        <v>754</v>
      </c>
      <c r="Q1592" s="2" t="s">
        <v>755</v>
      </c>
      <c r="R1592" s="2" t="s">
        <v>37</v>
      </c>
      <c r="S1592" s="2" t="s">
        <v>756</v>
      </c>
      <c r="T1592" s="2" t="s">
        <v>47</v>
      </c>
      <c r="U1592" s="2">
        <v>30</v>
      </c>
      <c r="V1592" s="2">
        <v>61394</v>
      </c>
      <c r="W1592" s="2">
        <v>645864.88</v>
      </c>
      <c r="X1592" s="2">
        <v>10.52</v>
      </c>
      <c r="Y1592" s="2">
        <v>0.35</v>
      </c>
      <c r="Z1592" s="2">
        <v>8115</v>
      </c>
      <c r="AA1592" s="2">
        <v>13817.65</v>
      </c>
      <c r="AB1592">
        <v>0</v>
      </c>
      <c r="AC1592">
        <v>2013</v>
      </c>
      <c r="AE1592" s="2">
        <v>21487.899999999998</v>
      </c>
    </row>
    <row r="1593" spans="2:31" ht="14.5">
      <c r="B1593" s="2">
        <v>85967</v>
      </c>
      <c r="C1593" s="2" t="s">
        <v>2646</v>
      </c>
      <c r="D1593" s="2" t="s">
        <v>2647</v>
      </c>
      <c r="E1593" s="2" t="s">
        <v>118</v>
      </c>
      <c r="F1593" s="2" t="s">
        <v>29</v>
      </c>
      <c r="G1593" s="2" t="s">
        <v>30</v>
      </c>
      <c r="H1593" s="2" t="s">
        <v>218</v>
      </c>
      <c r="I1593" s="2" t="s">
        <v>219</v>
      </c>
      <c r="J1593" s="2" t="s">
        <v>220</v>
      </c>
      <c r="K1593" s="2" t="s">
        <v>267</v>
      </c>
      <c r="L1593" s="3"/>
      <c r="M1593" s="3">
        <v>41425</v>
      </c>
      <c r="N1593" s="3">
        <v>41424</v>
      </c>
      <c r="O1593" s="3">
        <v>41424</v>
      </c>
      <c r="P1593" s="2" t="s">
        <v>706</v>
      </c>
      <c r="Q1593" s="2" t="s">
        <v>707</v>
      </c>
      <c r="R1593" s="2" t="s">
        <v>37</v>
      </c>
      <c r="S1593" s="2" t="s">
        <v>708</v>
      </c>
      <c r="T1593" s="2" t="s">
        <v>47</v>
      </c>
      <c r="U1593" s="2">
        <v>30</v>
      </c>
      <c r="V1593" s="2">
        <v>1380</v>
      </c>
      <c r="W1593" s="2">
        <v>6486</v>
      </c>
      <c r="X1593" s="2">
        <v>4.7</v>
      </c>
      <c r="Y1593" s="2">
        <v>0.16</v>
      </c>
      <c r="Z1593" s="2">
        <v>142</v>
      </c>
      <c r="AA1593" s="2">
        <v>1034.6400000000001</v>
      </c>
      <c r="AB1593">
        <v>1</v>
      </c>
      <c r="AC1593">
        <v>2013</v>
      </c>
      <c r="AE1593" s="2">
        <v>220.8</v>
      </c>
    </row>
    <row r="1594" spans="2:31" ht="14.5">
      <c r="B1594" s="2">
        <v>85972</v>
      </c>
      <c r="C1594" s="2" t="s">
        <v>2648</v>
      </c>
      <c r="D1594" s="2" t="s">
        <v>2649</v>
      </c>
      <c r="E1594" s="2" t="s">
        <v>28</v>
      </c>
      <c r="F1594" s="2" t="s">
        <v>29</v>
      </c>
      <c r="G1594" s="2" t="s">
        <v>50</v>
      </c>
      <c r="H1594" s="2" t="s">
        <v>218</v>
      </c>
      <c r="I1594" s="2" t="s">
        <v>219</v>
      </c>
      <c r="J1594" s="2" t="s">
        <v>220</v>
      </c>
      <c r="K1594" s="2" t="s">
        <v>267</v>
      </c>
      <c r="L1594" s="3"/>
      <c r="M1594" s="3">
        <v>41453</v>
      </c>
      <c r="N1594" s="3">
        <v>41417</v>
      </c>
      <c r="O1594" s="3">
        <v>41417</v>
      </c>
      <c r="P1594" s="2" t="s">
        <v>740</v>
      </c>
      <c r="Q1594" s="2" t="s">
        <v>36</v>
      </c>
      <c r="R1594" s="2" t="s">
        <v>37</v>
      </c>
      <c r="S1594" s="2" t="s">
        <v>226</v>
      </c>
      <c r="T1594" s="2" t="s">
        <v>526</v>
      </c>
      <c r="U1594" s="2">
        <v>240</v>
      </c>
      <c r="V1594" s="2">
        <v>24977</v>
      </c>
      <c r="W1594" s="2">
        <v>48705.15</v>
      </c>
      <c r="X1594" s="2">
        <v>1.95</v>
      </c>
      <c r="Y1594" s="2">
        <v>0.01</v>
      </c>
      <c r="Z1594" s="2">
        <v>9174</v>
      </c>
      <c r="AA1594" s="2">
        <v>7185.6</v>
      </c>
      <c r="AB1594">
        <v>1</v>
      </c>
      <c r="AC1594">
        <v>2013</v>
      </c>
      <c r="AE1594" s="2">
        <v>249.77</v>
      </c>
    </row>
    <row r="1595" spans="2:31" ht="14.5">
      <c r="B1595" s="2">
        <v>85986</v>
      </c>
      <c r="C1595" s="2" t="s">
        <v>1857</v>
      </c>
      <c r="D1595" s="2" t="s">
        <v>1858</v>
      </c>
      <c r="E1595" s="2" t="s">
        <v>1581</v>
      </c>
      <c r="F1595" s="2" t="s">
        <v>29</v>
      </c>
      <c r="G1595" s="2" t="s">
        <v>30</v>
      </c>
      <c r="H1595" s="2" t="s">
        <v>218</v>
      </c>
      <c r="I1595" s="2" t="s">
        <v>219</v>
      </c>
      <c r="J1595" s="2" t="s">
        <v>220</v>
      </c>
      <c r="K1595" s="2" t="s">
        <v>34</v>
      </c>
      <c r="L1595" s="3"/>
      <c r="M1595" s="3">
        <v>41510</v>
      </c>
      <c r="N1595" s="3">
        <v>41512</v>
      </c>
      <c r="O1595" s="3">
        <v>41512</v>
      </c>
      <c r="P1595" s="2" t="s">
        <v>44</v>
      </c>
      <c r="Q1595" s="2" t="s">
        <v>45</v>
      </c>
      <c r="R1595" s="2" t="s">
        <v>37</v>
      </c>
      <c r="S1595" s="2" t="s">
        <v>46</v>
      </c>
      <c r="T1595" s="2" t="s">
        <v>47</v>
      </c>
      <c r="U1595" s="2">
        <v>60</v>
      </c>
      <c r="V1595" s="2">
        <v>8040</v>
      </c>
      <c r="W1595" s="2">
        <v>56280</v>
      </c>
      <c r="X1595" s="2">
        <v>7</v>
      </c>
      <c r="Y1595" s="2">
        <v>0.12</v>
      </c>
      <c r="AB1595">
        <v>0</v>
      </c>
      <c r="AC1595">
        <v>2013</v>
      </c>
      <c r="AE1595" s="2">
        <v>964.8</v>
      </c>
    </row>
    <row r="1596" spans="2:31" ht="14.5">
      <c r="B1596" s="2">
        <v>85987</v>
      </c>
      <c r="C1596" s="2" t="s">
        <v>2514</v>
      </c>
      <c r="D1596" s="2" t="s">
        <v>2515</v>
      </c>
      <c r="E1596" s="2" t="s">
        <v>118</v>
      </c>
      <c r="F1596" s="2" t="s">
        <v>29</v>
      </c>
      <c r="G1596" s="2" t="s">
        <v>30</v>
      </c>
      <c r="H1596" s="2" t="s">
        <v>218</v>
      </c>
      <c r="I1596" s="2" t="s">
        <v>219</v>
      </c>
      <c r="J1596" s="2" t="s">
        <v>220</v>
      </c>
      <c r="K1596" s="2" t="s">
        <v>34</v>
      </c>
      <c r="L1596" s="3"/>
      <c r="M1596" s="3">
        <v>41519</v>
      </c>
      <c r="N1596" s="3">
        <v>41519</v>
      </c>
      <c r="O1596" s="3">
        <v>41519</v>
      </c>
      <c r="P1596" s="2" t="s">
        <v>112</v>
      </c>
      <c r="Q1596" s="2" t="s">
        <v>113</v>
      </c>
      <c r="R1596" s="2" t="s">
        <v>37</v>
      </c>
      <c r="S1596" s="2" t="s">
        <v>114</v>
      </c>
      <c r="T1596" s="2" t="s">
        <v>47</v>
      </c>
      <c r="U1596" s="2">
        <v>60</v>
      </c>
      <c r="V1596" s="2">
        <v>14010</v>
      </c>
      <c r="W1596" s="2">
        <v>120205.8</v>
      </c>
      <c r="X1596" s="2">
        <v>8.58</v>
      </c>
      <c r="Y1596" s="2">
        <v>0.14000000000000001</v>
      </c>
      <c r="AB1596">
        <v>1</v>
      </c>
      <c r="AC1596">
        <v>2013</v>
      </c>
      <c r="AE1596" s="2">
        <v>1961.4</v>
      </c>
    </row>
    <row r="1597" spans="2:31" ht="14.5">
      <c r="B1597" s="2">
        <v>85993</v>
      </c>
      <c r="C1597" s="2" t="s">
        <v>2650</v>
      </c>
      <c r="D1597" s="2" t="s">
        <v>2651</v>
      </c>
      <c r="E1597" s="2" t="s">
        <v>118</v>
      </c>
      <c r="F1597" s="2" t="s">
        <v>29</v>
      </c>
      <c r="G1597" s="2" t="s">
        <v>30</v>
      </c>
      <c r="H1597" s="2" t="s">
        <v>218</v>
      </c>
      <c r="I1597" s="2" t="s">
        <v>219</v>
      </c>
      <c r="J1597" s="2" t="s">
        <v>220</v>
      </c>
      <c r="K1597" s="2" t="s">
        <v>34</v>
      </c>
      <c r="L1597" s="3"/>
      <c r="M1597" s="3">
        <v>41544</v>
      </c>
      <c r="N1597" s="3">
        <v>41544</v>
      </c>
      <c r="O1597" s="3">
        <v>41544</v>
      </c>
      <c r="P1597" s="2" t="s">
        <v>35</v>
      </c>
      <c r="Q1597" s="2" t="s">
        <v>36</v>
      </c>
      <c r="R1597" s="2" t="s">
        <v>37</v>
      </c>
      <c r="S1597" s="2" t="s">
        <v>38</v>
      </c>
      <c r="T1597" s="2" t="s">
        <v>39</v>
      </c>
      <c r="U1597" s="2">
        <v>60</v>
      </c>
      <c r="V1597" s="2">
        <v>47925</v>
      </c>
      <c r="W1597" s="2">
        <v>108310.5</v>
      </c>
      <c r="X1597" s="2">
        <v>2.2599999999999998</v>
      </c>
      <c r="Y1597" s="2">
        <v>0.04</v>
      </c>
      <c r="Z1597" s="2">
        <v>2933</v>
      </c>
      <c r="AA1597" s="2">
        <v>20719.009999999998</v>
      </c>
      <c r="AB1597">
        <v>1</v>
      </c>
      <c r="AC1597">
        <v>2013</v>
      </c>
      <c r="AE1597" s="2">
        <v>1917</v>
      </c>
    </row>
    <row r="1598" spans="2:31" ht="14.5">
      <c r="B1598" s="2">
        <v>85994</v>
      </c>
      <c r="C1598" s="2" t="s">
        <v>1648</v>
      </c>
      <c r="D1598" s="2" t="s">
        <v>1649</v>
      </c>
      <c r="E1598" s="2" t="s">
        <v>28</v>
      </c>
      <c r="F1598" s="2" t="s">
        <v>29</v>
      </c>
      <c r="G1598" s="2" t="s">
        <v>50</v>
      </c>
      <c r="H1598" s="2" t="s">
        <v>218</v>
      </c>
      <c r="I1598" s="2" t="s">
        <v>219</v>
      </c>
      <c r="J1598" s="2" t="s">
        <v>220</v>
      </c>
      <c r="K1598" s="2" t="s">
        <v>267</v>
      </c>
      <c r="L1598" s="3"/>
      <c r="M1598" s="3">
        <v>41572</v>
      </c>
      <c r="N1598" s="3">
        <v>41548</v>
      </c>
      <c r="O1598" s="3">
        <v>41556</v>
      </c>
      <c r="P1598" s="2" t="s">
        <v>1644</v>
      </c>
      <c r="Q1598" s="2" t="s">
        <v>408</v>
      </c>
      <c r="R1598" s="2" t="s">
        <v>37</v>
      </c>
      <c r="S1598" s="2" t="s">
        <v>1645</v>
      </c>
      <c r="T1598" s="2" t="s">
        <v>729</v>
      </c>
      <c r="U1598" s="2">
        <v>60</v>
      </c>
      <c r="V1598" s="2">
        <v>926</v>
      </c>
      <c r="W1598" s="2">
        <v>1759.4</v>
      </c>
      <c r="X1598" s="2">
        <v>1.9</v>
      </c>
      <c r="Y1598" s="2">
        <v>0.03</v>
      </c>
      <c r="AB1598">
        <v>1</v>
      </c>
      <c r="AC1598">
        <v>2013</v>
      </c>
      <c r="AE1598" s="2">
        <v>27.779999999999998</v>
      </c>
    </row>
    <row r="1599" spans="2:31" ht="14.5">
      <c r="B1599" s="2">
        <v>85997</v>
      </c>
      <c r="C1599" s="2" t="s">
        <v>2652</v>
      </c>
      <c r="D1599" s="2" t="s">
        <v>2653</v>
      </c>
      <c r="E1599" s="2" t="s">
        <v>28</v>
      </c>
      <c r="F1599" s="2" t="s">
        <v>29</v>
      </c>
      <c r="G1599" s="2" t="s">
        <v>30</v>
      </c>
      <c r="H1599" s="2" t="s">
        <v>218</v>
      </c>
      <c r="I1599" s="2" t="s">
        <v>219</v>
      </c>
      <c r="J1599" s="2" t="s">
        <v>220</v>
      </c>
      <c r="K1599" s="2" t="s">
        <v>267</v>
      </c>
      <c r="L1599" s="3"/>
      <c r="M1599" s="3">
        <v>41578</v>
      </c>
      <c r="N1599" s="3">
        <v>41555</v>
      </c>
      <c r="O1599" s="3">
        <v>41570</v>
      </c>
      <c r="P1599" s="2" t="s">
        <v>150</v>
      </c>
      <c r="Q1599" s="2" t="s">
        <v>84</v>
      </c>
      <c r="R1599" s="2" t="s">
        <v>151</v>
      </c>
      <c r="S1599" s="2" t="s">
        <v>152</v>
      </c>
      <c r="T1599" s="2" t="s">
        <v>39</v>
      </c>
      <c r="U1599" s="2">
        <v>120</v>
      </c>
      <c r="V1599" s="2">
        <v>17167</v>
      </c>
      <c r="W1599" s="2">
        <v>347116.74</v>
      </c>
      <c r="X1599" s="2">
        <v>20.22</v>
      </c>
      <c r="Y1599" s="2">
        <v>0.17</v>
      </c>
      <c r="Z1599" s="2">
        <v>3547</v>
      </c>
      <c r="AA1599" s="2">
        <v>6052.1</v>
      </c>
      <c r="AB1599">
        <v>1</v>
      </c>
      <c r="AC1599">
        <v>2013</v>
      </c>
      <c r="AE1599" s="2">
        <v>2918.3900000000003</v>
      </c>
    </row>
    <row r="1600" spans="2:31" ht="14.5">
      <c r="B1600" s="2">
        <v>86003</v>
      </c>
      <c r="C1600" s="2" t="s">
        <v>2654</v>
      </c>
      <c r="D1600" s="2" t="s">
        <v>2655</v>
      </c>
      <c r="E1600" s="2" t="s">
        <v>42</v>
      </c>
      <c r="F1600" s="2" t="s">
        <v>29</v>
      </c>
      <c r="G1600" s="2" t="s">
        <v>30</v>
      </c>
      <c r="H1600" s="2" t="s">
        <v>218</v>
      </c>
      <c r="I1600" s="2" t="s">
        <v>219</v>
      </c>
      <c r="J1600" s="2" t="s">
        <v>220</v>
      </c>
      <c r="K1600" s="2" t="s">
        <v>34</v>
      </c>
      <c r="L1600" s="3"/>
      <c r="M1600" s="3">
        <v>41578</v>
      </c>
      <c r="N1600" s="3">
        <v>41571</v>
      </c>
      <c r="O1600" s="3">
        <v>41597</v>
      </c>
      <c r="P1600" s="2" t="s">
        <v>1844</v>
      </c>
      <c r="Q1600" s="2" t="s">
        <v>1000</v>
      </c>
      <c r="R1600" s="2" t="s">
        <v>37</v>
      </c>
      <c r="S1600" s="2" t="s">
        <v>1001</v>
      </c>
      <c r="T1600" s="2" t="s">
        <v>47</v>
      </c>
      <c r="U1600" s="2">
        <v>30</v>
      </c>
      <c r="V1600" s="2">
        <v>3316</v>
      </c>
      <c r="W1600" s="2">
        <v>44832.32</v>
      </c>
      <c r="X1600" s="2">
        <v>13.52</v>
      </c>
      <c r="Y1600" s="2">
        <v>0.45</v>
      </c>
      <c r="Z1600" s="2">
        <v>292</v>
      </c>
      <c r="AA1600" s="2">
        <v>2593.56</v>
      </c>
      <c r="AB1600">
        <v>1</v>
      </c>
      <c r="AC1600">
        <v>2013</v>
      </c>
      <c r="AE1600" s="2">
        <v>1492.2</v>
      </c>
    </row>
    <row r="1601" spans="2:31" ht="14.5">
      <c r="B1601" s="2">
        <v>86005</v>
      </c>
      <c r="C1601" s="2" t="s">
        <v>2656</v>
      </c>
      <c r="D1601" s="2" t="s">
        <v>2657</v>
      </c>
      <c r="E1601" s="2" t="s">
        <v>118</v>
      </c>
      <c r="F1601" s="2" t="s">
        <v>29</v>
      </c>
      <c r="G1601" s="2" t="s">
        <v>30</v>
      </c>
      <c r="H1601" s="2" t="s">
        <v>218</v>
      </c>
      <c r="I1601" s="2" t="s">
        <v>219</v>
      </c>
      <c r="J1601" s="2" t="s">
        <v>220</v>
      </c>
      <c r="K1601" s="2" t="s">
        <v>267</v>
      </c>
      <c r="L1601" s="3"/>
      <c r="M1601" s="3">
        <v>41568</v>
      </c>
      <c r="N1601" s="3">
        <v>41586</v>
      </c>
      <c r="O1601" s="3">
        <v>41605</v>
      </c>
      <c r="P1601" s="2" t="s">
        <v>706</v>
      </c>
      <c r="Q1601" s="2" t="s">
        <v>707</v>
      </c>
      <c r="R1601" s="2" t="s">
        <v>37</v>
      </c>
      <c r="S1601" s="2" t="s">
        <v>708</v>
      </c>
      <c r="T1601" s="2" t="s">
        <v>47</v>
      </c>
      <c r="U1601" s="2">
        <v>30</v>
      </c>
      <c r="V1601" s="2">
        <v>21709</v>
      </c>
      <c r="W1601" s="2">
        <v>102032.3</v>
      </c>
      <c r="X1601" s="2">
        <v>4.7</v>
      </c>
      <c r="Y1601" s="2">
        <v>0.16</v>
      </c>
      <c r="Z1601" s="2">
        <v>1713</v>
      </c>
      <c r="AA1601" s="2">
        <v>5591.3</v>
      </c>
      <c r="AB1601">
        <v>0</v>
      </c>
      <c r="AC1601">
        <v>2013</v>
      </c>
      <c r="AE1601" s="2">
        <v>3473.44</v>
      </c>
    </row>
    <row r="1602" spans="2:31" ht="14.5">
      <c r="B1602" s="2">
        <v>86008</v>
      </c>
      <c r="C1602" s="2" t="s">
        <v>1652</v>
      </c>
      <c r="D1602" s="2" t="s">
        <v>1653</v>
      </c>
      <c r="E1602" s="2" t="s">
        <v>28</v>
      </c>
      <c r="F1602" s="2" t="s">
        <v>29</v>
      </c>
      <c r="G1602" s="2" t="s">
        <v>30</v>
      </c>
      <c r="H1602" s="2" t="s">
        <v>218</v>
      </c>
      <c r="I1602" s="2" t="s">
        <v>219</v>
      </c>
      <c r="J1602" s="2" t="s">
        <v>220</v>
      </c>
      <c r="K1602" s="2" t="s">
        <v>267</v>
      </c>
      <c r="L1602" s="3"/>
      <c r="M1602" s="3">
        <v>41578</v>
      </c>
      <c r="N1602" s="3">
        <v>41582</v>
      </c>
      <c r="O1602" s="3">
        <v>41584</v>
      </c>
      <c r="P1602" s="2" t="s">
        <v>1457</v>
      </c>
      <c r="Q1602" s="2" t="s">
        <v>236</v>
      </c>
      <c r="R1602" s="2" t="s">
        <v>37</v>
      </c>
      <c r="S1602" s="2" t="s">
        <v>1458</v>
      </c>
      <c r="T1602" s="2" t="s">
        <v>47</v>
      </c>
      <c r="U1602" s="2">
        <v>30</v>
      </c>
      <c r="V1602" s="2">
        <v>3478</v>
      </c>
      <c r="W1602" s="2">
        <v>21111.46</v>
      </c>
      <c r="X1602" s="2">
        <v>6.07</v>
      </c>
      <c r="Y1602" s="2">
        <v>0.2</v>
      </c>
      <c r="AB1602">
        <v>0</v>
      </c>
      <c r="AC1602">
        <v>2013</v>
      </c>
      <c r="AE1602" s="2">
        <v>695.6</v>
      </c>
    </row>
    <row r="1603" spans="2:31" ht="14.5">
      <c r="B1603" s="2">
        <v>86015</v>
      </c>
      <c r="C1603" s="2" t="s">
        <v>2081</v>
      </c>
      <c r="D1603" s="2" t="s">
        <v>2082</v>
      </c>
      <c r="E1603" s="2" t="s">
        <v>118</v>
      </c>
      <c r="F1603" s="2" t="s">
        <v>29</v>
      </c>
      <c r="G1603" s="2" t="s">
        <v>50</v>
      </c>
      <c r="H1603" s="2" t="s">
        <v>218</v>
      </c>
      <c r="I1603" s="2" t="s">
        <v>219</v>
      </c>
      <c r="J1603" s="2" t="s">
        <v>220</v>
      </c>
      <c r="K1603" s="2" t="s">
        <v>267</v>
      </c>
      <c r="L1603" s="3"/>
      <c r="M1603" s="3">
        <v>41624</v>
      </c>
      <c r="N1603" s="3">
        <v>41628</v>
      </c>
      <c r="O1603" s="3">
        <v>41656</v>
      </c>
      <c r="P1603" s="2" t="s">
        <v>859</v>
      </c>
      <c r="Q1603" s="2" t="s">
        <v>45</v>
      </c>
      <c r="R1603" s="2" t="s">
        <v>37</v>
      </c>
      <c r="S1603" s="2" t="s">
        <v>728</v>
      </c>
      <c r="T1603" s="2" t="s">
        <v>47</v>
      </c>
      <c r="U1603" s="2">
        <v>60</v>
      </c>
      <c r="V1603" s="2">
        <v>4160</v>
      </c>
      <c r="W1603" s="2">
        <v>8944</v>
      </c>
      <c r="X1603" s="2">
        <v>2.15</v>
      </c>
      <c r="Y1603" s="2">
        <v>0.04</v>
      </c>
      <c r="AB1603">
        <v>0</v>
      </c>
      <c r="AC1603">
        <v>2014</v>
      </c>
      <c r="AE1603" s="2">
        <v>166.4</v>
      </c>
    </row>
    <row r="1604" spans="2:31" ht="14.5">
      <c r="B1604" s="2">
        <v>86018</v>
      </c>
      <c r="C1604" s="2" t="s">
        <v>2658</v>
      </c>
      <c r="D1604" s="2" t="s">
        <v>2659</v>
      </c>
      <c r="E1604" s="2" t="s">
        <v>118</v>
      </c>
      <c r="F1604" s="2" t="s">
        <v>29</v>
      </c>
      <c r="G1604" s="2" t="s">
        <v>30</v>
      </c>
      <c r="H1604" s="2" t="s">
        <v>218</v>
      </c>
      <c r="I1604" s="2" t="s">
        <v>219</v>
      </c>
      <c r="J1604" s="2" t="s">
        <v>220</v>
      </c>
      <c r="K1604" s="2" t="s">
        <v>267</v>
      </c>
      <c r="L1604" s="3"/>
      <c r="M1604" s="3">
        <v>41639</v>
      </c>
      <c r="N1604" s="3">
        <v>41606</v>
      </c>
      <c r="O1604" s="3">
        <v>41631</v>
      </c>
      <c r="P1604" s="2" t="s">
        <v>95</v>
      </c>
      <c r="Q1604" s="2" t="s">
        <v>96</v>
      </c>
      <c r="R1604" s="2" t="s">
        <v>37</v>
      </c>
      <c r="S1604" s="2" t="s">
        <v>97</v>
      </c>
      <c r="T1604" s="2" t="s">
        <v>39</v>
      </c>
      <c r="U1604" s="2">
        <v>30</v>
      </c>
      <c r="V1604" s="2">
        <v>66864</v>
      </c>
      <c r="W1604" s="2">
        <v>222657.12</v>
      </c>
      <c r="X1604" s="2">
        <v>3.33</v>
      </c>
      <c r="Y1604" s="2">
        <v>0.11</v>
      </c>
      <c r="Z1604" s="2">
        <v>4067</v>
      </c>
      <c r="AA1604" s="2">
        <v>6976.78</v>
      </c>
      <c r="AB1604">
        <v>1</v>
      </c>
      <c r="AC1604">
        <v>2013</v>
      </c>
      <c r="AE1604" s="2">
        <v>7355.04</v>
      </c>
    </row>
    <row r="1605" spans="2:31" ht="14.5">
      <c r="B1605" s="2">
        <v>86019</v>
      </c>
      <c r="C1605" s="2" t="s">
        <v>2660</v>
      </c>
      <c r="D1605" s="2" t="s">
        <v>2661</v>
      </c>
      <c r="E1605" s="2" t="s">
        <v>1581</v>
      </c>
      <c r="F1605" s="2" t="s">
        <v>29</v>
      </c>
      <c r="G1605" s="2" t="s">
        <v>50</v>
      </c>
      <c r="H1605" s="2" t="s">
        <v>218</v>
      </c>
      <c r="I1605" s="2" t="s">
        <v>219</v>
      </c>
      <c r="J1605" s="2" t="s">
        <v>220</v>
      </c>
      <c r="K1605" s="2" t="s">
        <v>34</v>
      </c>
      <c r="L1605" s="3"/>
      <c r="M1605" s="3">
        <v>41639</v>
      </c>
      <c r="N1605" s="3">
        <v>41687</v>
      </c>
      <c r="O1605" s="3">
        <v>41694</v>
      </c>
      <c r="P1605" s="2" t="s">
        <v>1288</v>
      </c>
      <c r="Q1605" s="2" t="s">
        <v>165</v>
      </c>
      <c r="R1605" s="2" t="s">
        <v>37</v>
      </c>
      <c r="S1605" s="2" t="s">
        <v>226</v>
      </c>
      <c r="T1605" s="2" t="s">
        <v>87</v>
      </c>
      <c r="U1605" s="2">
        <v>240</v>
      </c>
      <c r="V1605" s="2">
        <v>549</v>
      </c>
      <c r="W1605" s="2">
        <v>796.05</v>
      </c>
      <c r="X1605" s="2">
        <v>1.45</v>
      </c>
      <c r="Y1605" s="2">
        <v>0.01</v>
      </c>
      <c r="Z1605" s="2">
        <v>201</v>
      </c>
      <c r="AA1605" s="2">
        <v>1530.81</v>
      </c>
      <c r="AB1605">
        <v>0</v>
      </c>
      <c r="AC1605">
        <v>2014</v>
      </c>
      <c r="AE1605" s="2">
        <v>5.49</v>
      </c>
    </row>
    <row r="1606" spans="2:31" ht="14.5">
      <c r="B1606" s="2">
        <v>86025</v>
      </c>
      <c r="C1606" s="2" t="s">
        <v>2662</v>
      </c>
      <c r="D1606" s="2" t="s">
        <v>2663</v>
      </c>
      <c r="E1606" s="2" t="s">
        <v>42</v>
      </c>
      <c r="F1606" s="2" t="s">
        <v>29</v>
      </c>
      <c r="G1606" s="2" t="s">
        <v>30</v>
      </c>
      <c r="H1606" s="2" t="s">
        <v>218</v>
      </c>
      <c r="I1606" s="2" t="s">
        <v>219</v>
      </c>
      <c r="J1606" s="2" t="s">
        <v>220</v>
      </c>
      <c r="K1606" s="2" t="s">
        <v>267</v>
      </c>
      <c r="L1606" s="3"/>
      <c r="M1606" s="3">
        <v>41625</v>
      </c>
      <c r="N1606" s="3">
        <v>41619</v>
      </c>
      <c r="O1606" s="3">
        <v>41648</v>
      </c>
      <c r="P1606" s="2" t="s">
        <v>150</v>
      </c>
      <c r="Q1606" s="2" t="s">
        <v>84</v>
      </c>
      <c r="R1606" s="2" t="s">
        <v>151</v>
      </c>
      <c r="S1606" s="2" t="s">
        <v>152</v>
      </c>
      <c r="T1606" s="2" t="s">
        <v>39</v>
      </c>
      <c r="U1606" s="2">
        <v>120</v>
      </c>
      <c r="V1606" s="2">
        <v>11193</v>
      </c>
      <c r="W1606" s="2">
        <v>226322.46</v>
      </c>
      <c r="X1606" s="2">
        <v>20.22</v>
      </c>
      <c r="Y1606" s="2">
        <v>0.17</v>
      </c>
      <c r="Z1606" s="2">
        <v>2518</v>
      </c>
      <c r="AA1606" s="2">
        <v>33986.07</v>
      </c>
      <c r="AB1606">
        <v>1</v>
      </c>
      <c r="AC1606">
        <v>2014</v>
      </c>
      <c r="AE1606" s="2">
        <v>1902.8100000000002</v>
      </c>
    </row>
    <row r="1607" spans="2:31" ht="14.5">
      <c r="B1607" s="2">
        <v>86027</v>
      </c>
      <c r="C1607" s="2" t="s">
        <v>1885</v>
      </c>
      <c r="D1607" s="2" t="s">
        <v>1886</v>
      </c>
      <c r="E1607" s="2" t="s">
        <v>28</v>
      </c>
      <c r="F1607" s="2" t="s">
        <v>29</v>
      </c>
      <c r="G1607" s="2" t="s">
        <v>30</v>
      </c>
      <c r="H1607" s="2" t="s">
        <v>218</v>
      </c>
      <c r="I1607" s="2" t="s">
        <v>219</v>
      </c>
      <c r="J1607" s="2" t="s">
        <v>220</v>
      </c>
      <c r="K1607" s="2" t="s">
        <v>267</v>
      </c>
      <c r="L1607" s="3"/>
      <c r="M1607" s="3">
        <v>41639</v>
      </c>
      <c r="N1607" s="3">
        <v>41695</v>
      </c>
      <c r="O1607" s="3">
        <v>41711</v>
      </c>
      <c r="P1607" s="2" t="s">
        <v>1457</v>
      </c>
      <c r="Q1607" s="2" t="s">
        <v>236</v>
      </c>
      <c r="R1607" s="2" t="s">
        <v>37</v>
      </c>
      <c r="S1607" s="2" t="s">
        <v>1458</v>
      </c>
      <c r="T1607" s="2" t="s">
        <v>47</v>
      </c>
      <c r="U1607" s="2">
        <v>30</v>
      </c>
      <c r="V1607" s="2">
        <v>337</v>
      </c>
      <c r="W1607" s="2">
        <v>1978.19</v>
      </c>
      <c r="X1607" s="2">
        <v>5.87</v>
      </c>
      <c r="Y1607" s="2">
        <v>0.2</v>
      </c>
      <c r="AB1607">
        <v>0</v>
      </c>
      <c r="AC1607">
        <v>2014</v>
      </c>
      <c r="AE1607" s="2">
        <v>67.400000000000006</v>
      </c>
    </row>
    <row r="1608" spans="2:31" ht="14.5">
      <c r="B1608" s="2">
        <v>86029</v>
      </c>
      <c r="C1608" s="2" t="s">
        <v>2664</v>
      </c>
      <c r="D1608" s="2" t="s">
        <v>2665</v>
      </c>
      <c r="E1608" s="2" t="s">
        <v>28</v>
      </c>
      <c r="F1608" s="2" t="s">
        <v>29</v>
      </c>
      <c r="G1608" s="2" t="s">
        <v>50</v>
      </c>
      <c r="H1608" s="2" t="s">
        <v>218</v>
      </c>
      <c r="I1608" s="2" t="s">
        <v>219</v>
      </c>
      <c r="J1608" s="2" t="s">
        <v>220</v>
      </c>
      <c r="K1608" s="2" t="s">
        <v>267</v>
      </c>
      <c r="L1608" s="3"/>
      <c r="M1608" s="3">
        <v>41670</v>
      </c>
      <c r="N1608" s="3">
        <v>41705</v>
      </c>
      <c r="O1608" s="3">
        <v>41710</v>
      </c>
      <c r="P1608" s="2" t="s">
        <v>1632</v>
      </c>
      <c r="Q1608" s="2" t="s">
        <v>140</v>
      </c>
      <c r="R1608" s="2" t="s">
        <v>37</v>
      </c>
      <c r="S1608" s="2" t="s">
        <v>1633</v>
      </c>
      <c r="T1608" s="2" t="s">
        <v>729</v>
      </c>
      <c r="U1608" s="2">
        <v>60</v>
      </c>
      <c r="V1608" s="2">
        <v>9312</v>
      </c>
      <c r="W1608" s="2">
        <v>21417.599999999999</v>
      </c>
      <c r="X1608" s="2">
        <v>2.2999999999999998</v>
      </c>
      <c r="Y1608" s="2">
        <v>0.04</v>
      </c>
      <c r="Z1608" s="2">
        <v>1221</v>
      </c>
      <c r="AA1608" s="2">
        <v>4847.8</v>
      </c>
      <c r="AB1608">
        <v>0</v>
      </c>
      <c r="AC1608">
        <v>2014</v>
      </c>
      <c r="AE1608" s="2">
        <v>372.48</v>
      </c>
    </row>
    <row r="1609" spans="2:31" ht="14.5">
      <c r="B1609" s="2">
        <v>86030</v>
      </c>
      <c r="C1609" s="2" t="s">
        <v>2855</v>
      </c>
      <c r="D1609" s="2" t="s">
        <v>2856</v>
      </c>
      <c r="E1609" s="2" t="s">
        <v>2817</v>
      </c>
      <c r="F1609" s="2" t="s">
        <v>29</v>
      </c>
      <c r="G1609" s="2" t="s">
        <v>30</v>
      </c>
      <c r="H1609" s="2" t="s">
        <v>218</v>
      </c>
      <c r="I1609" s="2" t="s">
        <v>219</v>
      </c>
      <c r="J1609" s="2" t="s">
        <v>220</v>
      </c>
      <c r="K1609" s="2" t="s">
        <v>34</v>
      </c>
      <c r="L1609" s="3"/>
      <c r="M1609" s="3">
        <v>41661</v>
      </c>
      <c r="N1609" s="3">
        <v>41681</v>
      </c>
      <c r="O1609" s="3">
        <v>41683</v>
      </c>
      <c r="P1609" s="2" t="s">
        <v>95</v>
      </c>
      <c r="Q1609" s="2" t="s">
        <v>96</v>
      </c>
      <c r="R1609" s="2" t="s">
        <v>37</v>
      </c>
      <c r="S1609" s="2" t="s">
        <v>97</v>
      </c>
      <c r="T1609" s="2" t="s">
        <v>39</v>
      </c>
      <c r="U1609" s="2">
        <v>30</v>
      </c>
      <c r="V1609" s="2">
        <v>2100</v>
      </c>
      <c r="W1609" s="2">
        <v>6993</v>
      </c>
      <c r="X1609" s="2">
        <v>3.33</v>
      </c>
      <c r="Y1609" s="2">
        <v>0.11</v>
      </c>
      <c r="AB1609">
        <v>0</v>
      </c>
      <c r="AC1609">
        <v>2014</v>
      </c>
      <c r="AE1609" s="2">
        <v>231</v>
      </c>
    </row>
    <row r="1610" spans="2:31" ht="14.5">
      <c r="B1610" s="2">
        <v>86031</v>
      </c>
      <c r="C1610" s="2" t="s">
        <v>1660</v>
      </c>
      <c r="D1610" s="2" t="s">
        <v>1661</v>
      </c>
      <c r="E1610" s="2" t="s">
        <v>42</v>
      </c>
      <c r="F1610" s="2" t="s">
        <v>29</v>
      </c>
      <c r="G1610" s="2" t="s">
        <v>30</v>
      </c>
      <c r="H1610" s="2" t="s">
        <v>218</v>
      </c>
      <c r="I1610" s="2" t="s">
        <v>219</v>
      </c>
      <c r="J1610" s="2" t="s">
        <v>220</v>
      </c>
      <c r="K1610" s="2" t="s">
        <v>267</v>
      </c>
      <c r="L1610" s="3"/>
      <c r="M1610" s="3">
        <v>41670</v>
      </c>
      <c r="N1610" s="3">
        <v>41673</v>
      </c>
      <c r="O1610" s="3">
        <v>41694</v>
      </c>
      <c r="P1610" s="2" t="s">
        <v>112</v>
      </c>
      <c r="Q1610" s="2" t="s">
        <v>113</v>
      </c>
      <c r="R1610" s="2" t="s">
        <v>37</v>
      </c>
      <c r="S1610" s="2" t="s">
        <v>114</v>
      </c>
      <c r="T1610" s="2" t="s">
        <v>47</v>
      </c>
      <c r="U1610" s="2">
        <v>60</v>
      </c>
      <c r="V1610" s="2">
        <v>26540</v>
      </c>
      <c r="W1610" s="2">
        <v>219220.4</v>
      </c>
      <c r="X1610" s="2">
        <v>8.26</v>
      </c>
      <c r="Y1610" s="2">
        <v>0.14000000000000001</v>
      </c>
      <c r="AB1610">
        <v>0</v>
      </c>
      <c r="AC1610">
        <v>2014</v>
      </c>
      <c r="AE1610" s="2">
        <v>3715.6000000000004</v>
      </c>
    </row>
    <row r="1611" spans="2:31" ht="14.5">
      <c r="B1611" s="2">
        <v>86033</v>
      </c>
      <c r="C1611" s="2" t="s">
        <v>1662</v>
      </c>
      <c r="D1611" s="2" t="s">
        <v>1663</v>
      </c>
      <c r="E1611" s="2" t="s">
        <v>28</v>
      </c>
      <c r="F1611" s="2" t="s">
        <v>29</v>
      </c>
      <c r="G1611" s="2" t="s">
        <v>50</v>
      </c>
      <c r="H1611" s="2" t="s">
        <v>218</v>
      </c>
      <c r="I1611" s="2" t="s">
        <v>219</v>
      </c>
      <c r="J1611" s="2" t="s">
        <v>220</v>
      </c>
      <c r="K1611" s="2" t="s">
        <v>267</v>
      </c>
      <c r="L1611" s="3"/>
      <c r="M1611" s="3">
        <v>41670</v>
      </c>
      <c r="N1611" s="3">
        <v>41689</v>
      </c>
      <c r="O1611" s="3">
        <v>41694</v>
      </c>
      <c r="P1611" s="2" t="s">
        <v>1664</v>
      </c>
      <c r="Q1611" s="2" t="s">
        <v>1000</v>
      </c>
      <c r="R1611" s="2" t="s">
        <v>37</v>
      </c>
      <c r="S1611" s="2" t="s">
        <v>1665</v>
      </c>
      <c r="T1611" s="2" t="s">
        <v>47</v>
      </c>
      <c r="U1611" s="2">
        <v>60</v>
      </c>
      <c r="V1611" s="2">
        <v>9458</v>
      </c>
      <c r="W1611" s="2">
        <v>37832</v>
      </c>
      <c r="X1611" s="2">
        <v>4</v>
      </c>
      <c r="Y1611" s="2">
        <v>7.0000000000000007E-2</v>
      </c>
      <c r="AB1611">
        <v>0</v>
      </c>
      <c r="AC1611">
        <v>2014</v>
      </c>
      <c r="AE1611" s="2">
        <v>662.06000000000006</v>
      </c>
    </row>
    <row r="1612" spans="2:31" ht="14.5">
      <c r="B1612" s="2">
        <v>86034</v>
      </c>
      <c r="C1612" s="2" t="s">
        <v>2666</v>
      </c>
      <c r="D1612" s="2" t="s">
        <v>2667</v>
      </c>
      <c r="E1612" s="2" t="s">
        <v>118</v>
      </c>
      <c r="F1612" s="2" t="s">
        <v>29</v>
      </c>
      <c r="G1612" s="2" t="s">
        <v>50</v>
      </c>
      <c r="H1612" s="2" t="s">
        <v>218</v>
      </c>
      <c r="I1612" s="2" t="s">
        <v>219</v>
      </c>
      <c r="J1612" s="2" t="s">
        <v>220</v>
      </c>
      <c r="K1612" s="2" t="s">
        <v>267</v>
      </c>
      <c r="L1612" s="3"/>
      <c r="M1612" s="3">
        <v>41670</v>
      </c>
      <c r="N1612" s="3">
        <v>41669</v>
      </c>
      <c r="O1612" s="3">
        <v>41673</v>
      </c>
      <c r="P1612" s="2" t="s">
        <v>818</v>
      </c>
      <c r="Q1612" s="2" t="s">
        <v>36</v>
      </c>
      <c r="R1612" s="2" t="s">
        <v>37</v>
      </c>
      <c r="S1612" s="2" t="s">
        <v>226</v>
      </c>
      <c r="T1612" s="2" t="s">
        <v>526</v>
      </c>
      <c r="U1612" s="2">
        <v>100</v>
      </c>
      <c r="V1612" s="2">
        <v>45285</v>
      </c>
      <c r="W1612" s="2">
        <v>58870.5</v>
      </c>
      <c r="X1612" s="2">
        <v>1.3</v>
      </c>
      <c r="Y1612" s="2">
        <v>0.01</v>
      </c>
      <c r="Z1612" s="2">
        <v>8998</v>
      </c>
      <c r="AA1612" s="2">
        <v>5458.45</v>
      </c>
      <c r="AB1612">
        <v>1</v>
      </c>
      <c r="AC1612">
        <v>2014</v>
      </c>
      <c r="AE1612" s="2">
        <v>452.85</v>
      </c>
    </row>
    <row r="1613" spans="2:31" ht="14.5">
      <c r="B1613" s="2">
        <v>86042</v>
      </c>
      <c r="C1613" s="2" t="s">
        <v>2087</v>
      </c>
      <c r="D1613" s="2" t="s">
        <v>2088</v>
      </c>
      <c r="E1613" s="2" t="s">
        <v>28</v>
      </c>
      <c r="F1613" s="2" t="s">
        <v>29</v>
      </c>
      <c r="G1613" s="2" t="s">
        <v>50</v>
      </c>
      <c r="H1613" s="2" t="s">
        <v>218</v>
      </c>
      <c r="I1613" s="2" t="s">
        <v>219</v>
      </c>
      <c r="J1613" s="2" t="s">
        <v>220</v>
      </c>
      <c r="K1613" s="2" t="s">
        <v>267</v>
      </c>
      <c r="L1613" s="3"/>
      <c r="M1613" s="3">
        <v>41670</v>
      </c>
      <c r="N1613" s="3">
        <v>41689</v>
      </c>
      <c r="O1613" s="3">
        <v>41694</v>
      </c>
      <c r="P1613" s="2" t="s">
        <v>818</v>
      </c>
      <c r="Q1613" s="2" t="s">
        <v>36</v>
      </c>
      <c r="R1613" s="2" t="s">
        <v>37</v>
      </c>
      <c r="S1613" s="2" t="s">
        <v>226</v>
      </c>
      <c r="T1613" s="2" t="s">
        <v>526</v>
      </c>
      <c r="U1613" s="2">
        <v>100</v>
      </c>
      <c r="V1613" s="2">
        <v>13171</v>
      </c>
      <c r="W1613" s="2">
        <v>17122.3</v>
      </c>
      <c r="X1613" s="2">
        <v>1.3</v>
      </c>
      <c r="Y1613" s="2">
        <v>0.01</v>
      </c>
      <c r="AB1613">
        <v>0</v>
      </c>
      <c r="AC1613">
        <v>2014</v>
      </c>
      <c r="AE1613" s="2">
        <v>131.71</v>
      </c>
    </row>
    <row r="1614" spans="2:31" ht="14.5">
      <c r="B1614" s="2">
        <v>86043</v>
      </c>
      <c r="C1614" s="2" t="s">
        <v>2668</v>
      </c>
      <c r="D1614" s="2" t="s">
        <v>2669</v>
      </c>
      <c r="E1614" s="2" t="s">
        <v>42</v>
      </c>
      <c r="F1614" s="2" t="s">
        <v>29</v>
      </c>
      <c r="G1614" s="2" t="s">
        <v>30</v>
      </c>
      <c r="H1614" s="2" t="s">
        <v>218</v>
      </c>
      <c r="I1614" s="2" t="s">
        <v>219</v>
      </c>
      <c r="J1614" s="2" t="s">
        <v>220</v>
      </c>
      <c r="K1614" s="2" t="s">
        <v>267</v>
      </c>
      <c r="L1614" s="3"/>
      <c r="M1614" s="3">
        <v>41670</v>
      </c>
      <c r="N1614" s="3">
        <v>41695</v>
      </c>
      <c r="O1614" s="3">
        <v>41711</v>
      </c>
      <c r="P1614" s="2" t="s">
        <v>759</v>
      </c>
      <c r="Q1614" s="2" t="s">
        <v>84</v>
      </c>
      <c r="R1614" s="2" t="s">
        <v>37</v>
      </c>
      <c r="S1614" s="2" t="s">
        <v>152</v>
      </c>
      <c r="T1614" s="2" t="s">
        <v>39</v>
      </c>
      <c r="U1614" s="2">
        <v>120</v>
      </c>
      <c r="V1614" s="2">
        <v>5247</v>
      </c>
      <c r="W1614" s="2">
        <v>107458.56</v>
      </c>
      <c r="X1614" s="2">
        <v>20.48</v>
      </c>
      <c r="Y1614" s="2">
        <v>0.17</v>
      </c>
      <c r="Z1614" s="2">
        <v>1382</v>
      </c>
      <c r="AA1614" s="2">
        <v>8456.9599999999991</v>
      </c>
      <c r="AB1614">
        <v>0</v>
      </c>
      <c r="AC1614">
        <v>2014</v>
      </c>
      <c r="AE1614" s="2">
        <v>891.99</v>
      </c>
    </row>
    <row r="1615" spans="2:31" ht="14.5">
      <c r="B1615" s="2">
        <v>86058</v>
      </c>
      <c r="C1615" s="2" t="s">
        <v>2670</v>
      </c>
      <c r="D1615" s="2" t="s">
        <v>2671</v>
      </c>
      <c r="E1615" s="2" t="s">
        <v>42</v>
      </c>
      <c r="F1615" s="2" t="s">
        <v>29</v>
      </c>
      <c r="G1615" s="2" t="s">
        <v>30</v>
      </c>
      <c r="H1615" s="2" t="s">
        <v>218</v>
      </c>
      <c r="I1615" s="2" t="s">
        <v>219</v>
      </c>
      <c r="J1615" s="2" t="s">
        <v>220</v>
      </c>
      <c r="K1615" s="2" t="s">
        <v>34</v>
      </c>
      <c r="L1615" s="3"/>
      <c r="M1615" s="3">
        <v>41723</v>
      </c>
      <c r="N1615" s="3">
        <v>41731</v>
      </c>
      <c r="O1615" s="3">
        <v>41743</v>
      </c>
      <c r="P1615" s="2" t="s">
        <v>44</v>
      </c>
      <c r="Q1615" s="2" t="s">
        <v>45</v>
      </c>
      <c r="R1615" s="2" t="s">
        <v>37</v>
      </c>
      <c r="S1615" s="2" t="s">
        <v>46</v>
      </c>
      <c r="T1615" s="2" t="s">
        <v>47</v>
      </c>
      <c r="U1615" s="2">
        <v>60</v>
      </c>
      <c r="V1615" s="2">
        <v>18000</v>
      </c>
      <c r="W1615" s="2">
        <v>121140</v>
      </c>
      <c r="X1615" s="2">
        <v>6.73</v>
      </c>
      <c r="Y1615" s="2">
        <v>0.11</v>
      </c>
      <c r="Z1615" s="2">
        <v>1643</v>
      </c>
      <c r="AA1615" s="2">
        <v>12995.06</v>
      </c>
      <c r="AB1615">
        <v>0</v>
      </c>
      <c r="AC1615">
        <v>2014</v>
      </c>
      <c r="AE1615" s="2">
        <v>1980</v>
      </c>
    </row>
    <row r="1616" spans="2:31" ht="14.5">
      <c r="B1616" s="2">
        <v>86059</v>
      </c>
      <c r="C1616" s="2" t="s">
        <v>2672</v>
      </c>
      <c r="D1616" s="2" t="s">
        <v>2673</v>
      </c>
      <c r="E1616" s="2" t="s">
        <v>118</v>
      </c>
      <c r="F1616" s="2" t="s">
        <v>29</v>
      </c>
      <c r="G1616" s="2" t="s">
        <v>30</v>
      </c>
      <c r="H1616" s="2" t="s">
        <v>218</v>
      </c>
      <c r="I1616" s="2" t="s">
        <v>219</v>
      </c>
      <c r="J1616" s="2" t="s">
        <v>220</v>
      </c>
      <c r="K1616" s="2" t="s">
        <v>267</v>
      </c>
      <c r="L1616" s="3"/>
      <c r="M1616" s="3">
        <v>41759</v>
      </c>
      <c r="N1616" s="3">
        <v>41747</v>
      </c>
      <c r="O1616" s="3">
        <v>41766</v>
      </c>
      <c r="P1616" s="2" t="s">
        <v>759</v>
      </c>
      <c r="Q1616" s="2" t="s">
        <v>84</v>
      </c>
      <c r="R1616" s="2" t="s">
        <v>37</v>
      </c>
      <c r="S1616" s="2" t="s">
        <v>152</v>
      </c>
      <c r="T1616" s="2" t="s">
        <v>39</v>
      </c>
      <c r="U1616" s="2">
        <v>120</v>
      </c>
      <c r="V1616" s="2">
        <v>26960</v>
      </c>
      <c r="W1616" s="2">
        <v>541087.19999999995</v>
      </c>
      <c r="X1616" s="2">
        <v>20.07</v>
      </c>
      <c r="Y1616" s="2">
        <v>0.17</v>
      </c>
      <c r="AB1616">
        <v>1</v>
      </c>
      <c r="AC1616">
        <v>2014</v>
      </c>
      <c r="AE1616" s="2">
        <v>4583.2000000000007</v>
      </c>
    </row>
    <row r="1617" spans="2:31" ht="14.5">
      <c r="B1617" s="2">
        <v>86063</v>
      </c>
      <c r="C1617" s="2" t="s">
        <v>1670</v>
      </c>
      <c r="D1617" s="2" t="s">
        <v>1671</v>
      </c>
      <c r="E1617" s="2" t="s">
        <v>118</v>
      </c>
      <c r="F1617" s="2" t="s">
        <v>29</v>
      </c>
      <c r="G1617" s="2" t="s">
        <v>30</v>
      </c>
      <c r="H1617" s="2" t="s">
        <v>218</v>
      </c>
      <c r="I1617" s="2" t="s">
        <v>219</v>
      </c>
      <c r="J1617" s="2" t="s">
        <v>220</v>
      </c>
      <c r="K1617" s="2" t="s">
        <v>267</v>
      </c>
      <c r="L1617" s="3"/>
      <c r="M1617" s="3">
        <v>41749</v>
      </c>
      <c r="N1617" s="3">
        <v>41747</v>
      </c>
      <c r="O1617" s="3">
        <v>41757</v>
      </c>
      <c r="P1617" s="2" t="s">
        <v>112</v>
      </c>
      <c r="Q1617" s="2" t="s">
        <v>113</v>
      </c>
      <c r="R1617" s="2" t="s">
        <v>37</v>
      </c>
      <c r="S1617" s="2" t="s">
        <v>114</v>
      </c>
      <c r="T1617" s="2" t="s">
        <v>47</v>
      </c>
      <c r="U1617" s="2">
        <v>60</v>
      </c>
      <c r="V1617" s="2">
        <v>50000</v>
      </c>
      <c r="W1617" s="2">
        <v>413000</v>
      </c>
      <c r="X1617" s="2">
        <v>8.26</v>
      </c>
      <c r="Y1617" s="2">
        <v>0.14000000000000001</v>
      </c>
      <c r="AB1617">
        <v>1</v>
      </c>
      <c r="AC1617">
        <v>2014</v>
      </c>
      <c r="AE1617" s="2">
        <v>7000.0000000000009</v>
      </c>
    </row>
    <row r="1618" spans="2:31" ht="14.5">
      <c r="B1618" s="2">
        <v>86067</v>
      </c>
      <c r="C1618" s="2" t="s">
        <v>2674</v>
      </c>
      <c r="D1618" s="2" t="s">
        <v>2675</v>
      </c>
      <c r="E1618" s="2" t="s">
        <v>118</v>
      </c>
      <c r="F1618" s="2" t="s">
        <v>29</v>
      </c>
      <c r="G1618" s="2" t="s">
        <v>30</v>
      </c>
      <c r="H1618" s="2" t="s">
        <v>218</v>
      </c>
      <c r="I1618" s="2" t="s">
        <v>219</v>
      </c>
      <c r="J1618" s="2" t="s">
        <v>220</v>
      </c>
      <c r="K1618" s="2" t="s">
        <v>267</v>
      </c>
      <c r="L1618" s="3"/>
      <c r="M1618" s="3">
        <v>41719</v>
      </c>
      <c r="N1618" s="3">
        <v>41747</v>
      </c>
      <c r="O1618" s="3">
        <v>41757</v>
      </c>
      <c r="P1618" s="2" t="s">
        <v>112</v>
      </c>
      <c r="Q1618" s="2" t="s">
        <v>113</v>
      </c>
      <c r="R1618" s="2" t="s">
        <v>37</v>
      </c>
      <c r="S1618" s="2" t="s">
        <v>114</v>
      </c>
      <c r="T1618" s="2" t="s">
        <v>47</v>
      </c>
      <c r="U1618" s="2">
        <v>60</v>
      </c>
      <c r="V1618" s="2">
        <v>34138</v>
      </c>
      <c r="W1618" s="2">
        <v>281979.88</v>
      </c>
      <c r="X1618" s="2">
        <v>8.26</v>
      </c>
      <c r="Y1618" s="2">
        <v>0.14000000000000001</v>
      </c>
      <c r="Z1618" s="2">
        <v>4009</v>
      </c>
      <c r="AA1618" s="2">
        <v>4947.38</v>
      </c>
      <c r="AB1618">
        <v>0</v>
      </c>
      <c r="AC1618">
        <v>2014</v>
      </c>
      <c r="AE1618" s="2">
        <v>4779.3200000000006</v>
      </c>
    </row>
    <row r="1619" spans="2:31" ht="14.5">
      <c r="B1619" s="2">
        <v>86073</v>
      </c>
      <c r="C1619" s="2" t="s">
        <v>2676</v>
      </c>
      <c r="D1619" s="2" t="s">
        <v>2677</v>
      </c>
      <c r="E1619" s="2" t="s">
        <v>42</v>
      </c>
      <c r="F1619" s="2" t="s">
        <v>29</v>
      </c>
      <c r="G1619" s="2" t="s">
        <v>50</v>
      </c>
      <c r="H1619" s="2" t="s">
        <v>218</v>
      </c>
      <c r="I1619" s="2" t="s">
        <v>219</v>
      </c>
      <c r="J1619" s="2" t="s">
        <v>220</v>
      </c>
      <c r="K1619" s="2" t="s">
        <v>34</v>
      </c>
      <c r="L1619" s="3"/>
      <c r="M1619" s="3">
        <v>41794</v>
      </c>
      <c r="N1619" s="3">
        <v>41794</v>
      </c>
      <c r="O1619" s="3">
        <v>41830</v>
      </c>
      <c r="P1619" s="2" t="s">
        <v>859</v>
      </c>
      <c r="Q1619" s="2" t="s">
        <v>45</v>
      </c>
      <c r="R1619" s="2" t="s">
        <v>37</v>
      </c>
      <c r="S1619" s="2" t="s">
        <v>728</v>
      </c>
      <c r="T1619" s="2" t="s">
        <v>47</v>
      </c>
      <c r="U1619" s="2">
        <v>60</v>
      </c>
      <c r="V1619" s="2">
        <v>373</v>
      </c>
      <c r="W1619" s="2">
        <v>746</v>
      </c>
      <c r="X1619" s="2">
        <v>2</v>
      </c>
      <c r="Y1619" s="2">
        <v>0.03</v>
      </c>
      <c r="Z1619" s="2">
        <v>14</v>
      </c>
      <c r="AA1619" s="2">
        <v>1284.7</v>
      </c>
      <c r="AB1619">
        <v>1</v>
      </c>
      <c r="AC1619">
        <v>2014</v>
      </c>
      <c r="AE1619" s="2">
        <v>11.19</v>
      </c>
    </row>
    <row r="1620" spans="2:31" ht="14.5">
      <c r="B1620" s="2">
        <v>86078</v>
      </c>
      <c r="C1620" s="2" t="s">
        <v>2678</v>
      </c>
      <c r="D1620" s="2" t="s">
        <v>2679</v>
      </c>
      <c r="E1620" s="2" t="s">
        <v>42</v>
      </c>
      <c r="F1620" s="2" t="s">
        <v>29</v>
      </c>
      <c r="G1620" s="2" t="s">
        <v>30</v>
      </c>
      <c r="H1620" s="2" t="s">
        <v>218</v>
      </c>
      <c r="I1620" s="2" t="s">
        <v>219</v>
      </c>
      <c r="J1620" s="2" t="s">
        <v>220</v>
      </c>
      <c r="K1620" s="2" t="s">
        <v>267</v>
      </c>
      <c r="L1620" s="3"/>
      <c r="M1620" s="3">
        <v>41764</v>
      </c>
      <c r="N1620" s="3">
        <v>41796</v>
      </c>
      <c r="O1620" s="3">
        <v>41810</v>
      </c>
      <c r="P1620" s="2" t="s">
        <v>706</v>
      </c>
      <c r="Q1620" s="2" t="s">
        <v>707</v>
      </c>
      <c r="R1620" s="2" t="s">
        <v>37</v>
      </c>
      <c r="S1620" s="2" t="s">
        <v>708</v>
      </c>
      <c r="T1620" s="2" t="s">
        <v>47</v>
      </c>
      <c r="U1620" s="2">
        <v>30</v>
      </c>
      <c r="V1620" s="2">
        <v>97619</v>
      </c>
      <c r="W1620" s="2">
        <v>452952.16</v>
      </c>
      <c r="X1620" s="2">
        <v>4.6399999999999997</v>
      </c>
      <c r="Y1620" s="2">
        <v>0.15</v>
      </c>
      <c r="Z1620" s="2">
        <v>9905</v>
      </c>
      <c r="AA1620" s="2">
        <v>5445.73</v>
      </c>
      <c r="AB1620">
        <v>0</v>
      </c>
      <c r="AC1620">
        <v>2014</v>
      </c>
      <c r="AE1620" s="2">
        <v>14642.85</v>
      </c>
    </row>
    <row r="1621" spans="2:31" ht="14.5">
      <c r="B1621" s="2">
        <v>86082</v>
      </c>
      <c r="C1621" s="2" t="s">
        <v>2680</v>
      </c>
      <c r="D1621" s="2" t="s">
        <v>2681</v>
      </c>
      <c r="E1621" s="2" t="s">
        <v>28</v>
      </c>
      <c r="F1621" s="2" t="s">
        <v>29</v>
      </c>
      <c r="G1621" s="2" t="s">
        <v>50</v>
      </c>
      <c r="H1621" s="2" t="s">
        <v>218</v>
      </c>
      <c r="I1621" s="2" t="s">
        <v>219</v>
      </c>
      <c r="J1621" s="2" t="s">
        <v>220</v>
      </c>
      <c r="K1621" s="2" t="s">
        <v>267</v>
      </c>
      <c r="L1621" s="3"/>
      <c r="M1621" s="3">
        <v>41849</v>
      </c>
      <c r="N1621" s="3">
        <v>41853</v>
      </c>
      <c r="O1621" s="3">
        <v>41855</v>
      </c>
      <c r="P1621" s="2" t="s">
        <v>842</v>
      </c>
      <c r="Q1621" s="2" t="s">
        <v>113</v>
      </c>
      <c r="R1621" s="2" t="s">
        <v>37</v>
      </c>
      <c r="S1621" s="2" t="s">
        <v>843</v>
      </c>
      <c r="T1621" s="2" t="s">
        <v>729</v>
      </c>
      <c r="U1621" s="2">
        <v>60</v>
      </c>
      <c r="V1621" s="2">
        <v>14789</v>
      </c>
      <c r="W1621" s="2">
        <v>55458.75</v>
      </c>
      <c r="X1621" s="2">
        <v>3.75</v>
      </c>
      <c r="Y1621" s="2">
        <v>0.06</v>
      </c>
      <c r="Z1621" s="2">
        <v>825</v>
      </c>
      <c r="AA1621" s="2">
        <v>5137.0600000000004</v>
      </c>
      <c r="AB1621">
        <v>0</v>
      </c>
      <c r="AC1621">
        <v>2014</v>
      </c>
      <c r="AE1621" s="2">
        <v>887.33999999999992</v>
      </c>
    </row>
    <row r="1622" spans="2:31" ht="14.5">
      <c r="B1622" s="2">
        <v>86089</v>
      </c>
      <c r="C1622" s="2" t="s">
        <v>1680</v>
      </c>
      <c r="D1622" s="2" t="s">
        <v>1681</v>
      </c>
      <c r="E1622" s="2" t="s">
        <v>118</v>
      </c>
      <c r="F1622" s="2" t="s">
        <v>29</v>
      </c>
      <c r="G1622" s="2" t="s">
        <v>30</v>
      </c>
      <c r="H1622" s="2" t="s">
        <v>218</v>
      </c>
      <c r="I1622" s="2" t="s">
        <v>219</v>
      </c>
      <c r="J1622" s="2" t="s">
        <v>220</v>
      </c>
      <c r="K1622" s="2" t="s">
        <v>267</v>
      </c>
      <c r="L1622" s="3"/>
      <c r="M1622" s="3">
        <v>41820</v>
      </c>
      <c r="N1622" s="3">
        <v>41820</v>
      </c>
      <c r="O1622" s="3">
        <v>41821</v>
      </c>
      <c r="P1622" s="2" t="s">
        <v>112</v>
      </c>
      <c r="Q1622" s="2" t="s">
        <v>113</v>
      </c>
      <c r="R1622" s="2" t="s">
        <v>37</v>
      </c>
      <c r="S1622" s="2" t="s">
        <v>114</v>
      </c>
      <c r="T1622" s="2" t="s">
        <v>47</v>
      </c>
      <c r="U1622" s="2">
        <v>60</v>
      </c>
      <c r="V1622" s="2">
        <v>52898</v>
      </c>
      <c r="W1622" s="2">
        <v>429002.78</v>
      </c>
      <c r="X1622" s="2">
        <v>8.11</v>
      </c>
      <c r="Y1622" s="2">
        <v>0.14000000000000001</v>
      </c>
      <c r="AB1622">
        <v>1</v>
      </c>
      <c r="AC1622">
        <v>2014</v>
      </c>
      <c r="AE1622" s="2">
        <v>7405.72</v>
      </c>
    </row>
    <row r="1623" spans="2:31" ht="14.5">
      <c r="B1623" s="2">
        <v>86090</v>
      </c>
      <c r="C1623" s="2" t="s">
        <v>1680</v>
      </c>
      <c r="D1623" s="2" t="s">
        <v>1681</v>
      </c>
      <c r="E1623" s="2" t="s">
        <v>118</v>
      </c>
      <c r="F1623" s="2" t="s">
        <v>29</v>
      </c>
      <c r="G1623" s="2" t="s">
        <v>30</v>
      </c>
      <c r="H1623" s="2" t="s">
        <v>218</v>
      </c>
      <c r="I1623" s="2" t="s">
        <v>219</v>
      </c>
      <c r="J1623" s="2" t="s">
        <v>220</v>
      </c>
      <c r="K1623" s="2" t="s">
        <v>267</v>
      </c>
      <c r="L1623" s="3"/>
      <c r="M1623" s="3">
        <v>41820</v>
      </c>
      <c r="N1623" s="3">
        <v>41820</v>
      </c>
      <c r="O1623" s="3">
        <v>41821</v>
      </c>
      <c r="P1623" s="2" t="s">
        <v>112</v>
      </c>
      <c r="Q1623" s="2" t="s">
        <v>113</v>
      </c>
      <c r="R1623" s="2" t="s">
        <v>37</v>
      </c>
      <c r="S1623" s="2" t="s">
        <v>114</v>
      </c>
      <c r="T1623" s="2" t="s">
        <v>47</v>
      </c>
      <c r="U1623" s="2">
        <v>60</v>
      </c>
      <c r="V1623" s="2">
        <v>30</v>
      </c>
      <c r="W1623" s="2">
        <v>243.3</v>
      </c>
      <c r="X1623" s="2">
        <v>8.11</v>
      </c>
      <c r="Y1623" s="2">
        <v>0.14000000000000001</v>
      </c>
      <c r="AB1623">
        <v>1</v>
      </c>
      <c r="AC1623">
        <v>2014</v>
      </c>
      <c r="AE1623" s="2">
        <v>4.2</v>
      </c>
    </row>
    <row r="1624" spans="2:31" ht="14.5">
      <c r="B1624" s="2">
        <v>86103</v>
      </c>
      <c r="C1624" s="2" t="s">
        <v>2861</v>
      </c>
      <c r="D1624" s="2" t="s">
        <v>2862</v>
      </c>
      <c r="E1624" s="2" t="s">
        <v>2817</v>
      </c>
      <c r="F1624" s="2" t="s">
        <v>29</v>
      </c>
      <c r="G1624" s="2" t="s">
        <v>30</v>
      </c>
      <c r="H1624" s="2" t="s">
        <v>218</v>
      </c>
      <c r="I1624" s="2" t="s">
        <v>219</v>
      </c>
      <c r="J1624" s="2" t="s">
        <v>220</v>
      </c>
      <c r="K1624" s="2" t="s">
        <v>34</v>
      </c>
      <c r="L1624" s="3"/>
      <c r="M1624" s="3">
        <v>41914</v>
      </c>
      <c r="N1624" s="3">
        <v>41929</v>
      </c>
      <c r="O1624" s="3">
        <v>41956</v>
      </c>
      <c r="P1624" s="2" t="s">
        <v>754</v>
      </c>
      <c r="Q1624" s="2" t="s">
        <v>755</v>
      </c>
      <c r="R1624" s="2" t="s">
        <v>37</v>
      </c>
      <c r="S1624" s="2" t="s">
        <v>756</v>
      </c>
      <c r="T1624" s="2" t="s">
        <v>47</v>
      </c>
      <c r="U1624" s="2">
        <v>30</v>
      </c>
      <c r="V1624" s="2">
        <v>7764</v>
      </c>
      <c r="W1624" s="2">
        <v>83695.92</v>
      </c>
      <c r="X1624" s="2">
        <v>10.78</v>
      </c>
      <c r="Y1624" s="2">
        <v>0.36</v>
      </c>
      <c r="Z1624" s="2">
        <v>1347</v>
      </c>
      <c r="AA1624" s="2">
        <v>14522.43</v>
      </c>
      <c r="AB1624">
        <v>0</v>
      </c>
      <c r="AC1624">
        <v>2014</v>
      </c>
      <c r="AE1624" s="2">
        <v>2795.04</v>
      </c>
    </row>
    <row r="1625" spans="2:31" ht="14.5">
      <c r="B1625" s="2">
        <v>86110</v>
      </c>
      <c r="C1625" s="2" t="s">
        <v>2105</v>
      </c>
      <c r="D1625" s="2" t="s">
        <v>2106</v>
      </c>
      <c r="E1625" s="2" t="s">
        <v>42</v>
      </c>
      <c r="F1625" s="2" t="s">
        <v>29</v>
      </c>
      <c r="G1625" s="2" t="s">
        <v>30</v>
      </c>
      <c r="H1625" s="2" t="s">
        <v>218</v>
      </c>
      <c r="I1625" s="2" t="s">
        <v>219</v>
      </c>
      <c r="J1625" s="2" t="s">
        <v>220</v>
      </c>
      <c r="K1625" s="2" t="s">
        <v>267</v>
      </c>
      <c r="L1625" s="3"/>
      <c r="M1625" s="3">
        <v>41870</v>
      </c>
      <c r="N1625" s="3">
        <v>41864</v>
      </c>
      <c r="O1625" s="3">
        <v>41865</v>
      </c>
      <c r="P1625" s="2" t="s">
        <v>35</v>
      </c>
      <c r="Q1625" s="2" t="s">
        <v>36</v>
      </c>
      <c r="R1625" s="2" t="s">
        <v>37</v>
      </c>
      <c r="S1625" s="2" t="s">
        <v>38</v>
      </c>
      <c r="T1625" s="2" t="s">
        <v>39</v>
      </c>
      <c r="U1625" s="2">
        <v>60</v>
      </c>
      <c r="V1625" s="2">
        <v>88809</v>
      </c>
      <c r="W1625" s="2">
        <v>200708.34</v>
      </c>
      <c r="X1625" s="2">
        <v>2.2599999999999998</v>
      </c>
      <c r="Y1625" s="2">
        <v>0.04</v>
      </c>
      <c r="AB1625">
        <v>1</v>
      </c>
      <c r="AC1625">
        <v>2014</v>
      </c>
      <c r="AE1625" s="2">
        <v>3552.36</v>
      </c>
    </row>
    <row r="1626" spans="2:31" ht="14.5">
      <c r="B1626" s="2">
        <v>86113</v>
      </c>
      <c r="C1626" s="2" t="s">
        <v>2682</v>
      </c>
      <c r="D1626" s="2" t="s">
        <v>2683</v>
      </c>
      <c r="E1626" s="2" t="s">
        <v>42</v>
      </c>
      <c r="F1626" s="2" t="s">
        <v>29</v>
      </c>
      <c r="G1626" s="2" t="s">
        <v>50</v>
      </c>
      <c r="H1626" s="2" t="s">
        <v>218</v>
      </c>
      <c r="I1626" s="2" t="s">
        <v>219</v>
      </c>
      <c r="J1626" s="2" t="s">
        <v>220</v>
      </c>
      <c r="K1626" s="2" t="s">
        <v>34</v>
      </c>
      <c r="L1626" s="3"/>
      <c r="M1626" s="3">
        <v>41837</v>
      </c>
      <c r="N1626" s="3">
        <v>41837</v>
      </c>
      <c r="O1626" s="3">
        <v>41940</v>
      </c>
      <c r="P1626" s="2" t="s">
        <v>859</v>
      </c>
      <c r="Q1626" s="2" t="s">
        <v>45</v>
      </c>
      <c r="R1626" s="2" t="s">
        <v>37</v>
      </c>
      <c r="S1626" s="2" t="s">
        <v>728</v>
      </c>
      <c r="T1626" s="2" t="s">
        <v>47</v>
      </c>
      <c r="U1626" s="2">
        <v>60</v>
      </c>
      <c r="V1626" s="2">
        <v>362</v>
      </c>
      <c r="W1626" s="2">
        <v>720.38</v>
      </c>
      <c r="X1626" s="2">
        <v>1.99</v>
      </c>
      <c r="Y1626" s="2">
        <v>0.03</v>
      </c>
      <c r="Z1626" s="2">
        <v>16</v>
      </c>
      <c r="AA1626" s="2">
        <v>919.81</v>
      </c>
      <c r="AB1626">
        <v>1</v>
      </c>
      <c r="AC1626">
        <v>2014</v>
      </c>
      <c r="AE1626" s="2">
        <v>10.86</v>
      </c>
    </row>
    <row r="1627" spans="2:31" ht="14.5">
      <c r="B1627" s="2">
        <v>86129</v>
      </c>
      <c r="C1627" s="2" t="s">
        <v>2684</v>
      </c>
      <c r="D1627" s="2" t="s">
        <v>2685</v>
      </c>
      <c r="E1627" s="2" t="s">
        <v>1581</v>
      </c>
      <c r="F1627" s="2" t="s">
        <v>29</v>
      </c>
      <c r="G1627" s="2" t="s">
        <v>30</v>
      </c>
      <c r="H1627" s="2" t="s">
        <v>218</v>
      </c>
      <c r="I1627" s="2" t="s">
        <v>219</v>
      </c>
      <c r="J1627" s="2" t="s">
        <v>220</v>
      </c>
      <c r="K1627" s="2" t="s">
        <v>34</v>
      </c>
      <c r="L1627" s="3"/>
      <c r="M1627" s="3">
        <v>41882</v>
      </c>
      <c r="N1627" s="3">
        <v>41845</v>
      </c>
      <c r="O1627" s="3">
        <v>41852</v>
      </c>
      <c r="P1627" s="2" t="s">
        <v>35</v>
      </c>
      <c r="Q1627" s="2" t="s">
        <v>36</v>
      </c>
      <c r="R1627" s="2" t="s">
        <v>37</v>
      </c>
      <c r="S1627" s="2" t="s">
        <v>38</v>
      </c>
      <c r="T1627" s="2" t="s">
        <v>39</v>
      </c>
      <c r="U1627" s="2">
        <v>60</v>
      </c>
      <c r="V1627" s="2">
        <v>525</v>
      </c>
      <c r="W1627" s="2">
        <v>1160.25</v>
      </c>
      <c r="X1627" s="2">
        <v>2.21</v>
      </c>
      <c r="Y1627" s="2">
        <v>0.04</v>
      </c>
      <c r="Z1627" s="2">
        <v>35</v>
      </c>
      <c r="AA1627" s="2">
        <v>638.65</v>
      </c>
      <c r="AB1627">
        <v>1</v>
      </c>
      <c r="AC1627">
        <v>2014</v>
      </c>
      <c r="AE1627" s="2">
        <v>21</v>
      </c>
    </row>
    <row r="1628" spans="2:31" ht="14.5">
      <c r="B1628" s="2">
        <v>86133</v>
      </c>
      <c r="C1628" s="2" t="s">
        <v>2686</v>
      </c>
      <c r="D1628" s="2" t="s">
        <v>2687</v>
      </c>
      <c r="E1628" s="2" t="s">
        <v>28</v>
      </c>
      <c r="F1628" s="2" t="s">
        <v>29</v>
      </c>
      <c r="G1628" s="2" t="s">
        <v>50</v>
      </c>
      <c r="H1628" s="2" t="s">
        <v>218</v>
      </c>
      <c r="I1628" s="2" t="s">
        <v>219</v>
      </c>
      <c r="J1628" s="2" t="s">
        <v>220</v>
      </c>
      <c r="K1628" s="2" t="s">
        <v>267</v>
      </c>
      <c r="L1628" s="3"/>
      <c r="M1628" s="3">
        <v>41954</v>
      </c>
      <c r="N1628" s="3">
        <v>41929</v>
      </c>
      <c r="O1628" s="3">
        <v>41950</v>
      </c>
      <c r="P1628" s="2" t="s">
        <v>842</v>
      </c>
      <c r="Q1628" s="2" t="s">
        <v>113</v>
      </c>
      <c r="R1628" s="2" t="s">
        <v>37</v>
      </c>
      <c r="S1628" s="2" t="s">
        <v>843</v>
      </c>
      <c r="T1628" s="2" t="s">
        <v>729</v>
      </c>
      <c r="U1628" s="2">
        <v>60</v>
      </c>
      <c r="V1628" s="2">
        <v>54976</v>
      </c>
      <c r="W1628" s="2">
        <v>206160</v>
      </c>
      <c r="X1628" s="2">
        <v>3.75</v>
      </c>
      <c r="Y1628" s="2">
        <v>0.06</v>
      </c>
      <c r="Z1628" s="2">
        <v>2356</v>
      </c>
      <c r="AA1628" s="2">
        <v>2151.27</v>
      </c>
      <c r="AB1628">
        <v>1</v>
      </c>
      <c r="AC1628">
        <v>2014</v>
      </c>
      <c r="AE1628" s="2">
        <v>3298.56</v>
      </c>
    </row>
    <row r="1629" spans="2:31" ht="14.5">
      <c r="B1629" s="2">
        <v>86136</v>
      </c>
      <c r="C1629" s="2" t="s">
        <v>2688</v>
      </c>
      <c r="D1629" s="2" t="s">
        <v>2689</v>
      </c>
      <c r="E1629" s="2" t="s">
        <v>28</v>
      </c>
      <c r="F1629" s="2" t="s">
        <v>29</v>
      </c>
      <c r="G1629" s="2" t="s">
        <v>30</v>
      </c>
      <c r="H1629" s="2" t="s">
        <v>218</v>
      </c>
      <c r="I1629" s="2" t="s">
        <v>219</v>
      </c>
      <c r="J1629" s="2" t="s">
        <v>220</v>
      </c>
      <c r="K1629" s="2" t="s">
        <v>267</v>
      </c>
      <c r="L1629" s="3"/>
      <c r="M1629" s="3">
        <v>41946</v>
      </c>
      <c r="N1629" s="3">
        <v>41929</v>
      </c>
      <c r="O1629" s="3">
        <v>41950</v>
      </c>
      <c r="P1629" s="2" t="s">
        <v>98</v>
      </c>
      <c r="Q1629" s="2" t="s">
        <v>99</v>
      </c>
      <c r="R1629" s="2" t="s">
        <v>37</v>
      </c>
      <c r="S1629" s="2" t="s">
        <v>100</v>
      </c>
      <c r="T1629" s="2" t="s">
        <v>39</v>
      </c>
      <c r="U1629" s="2">
        <v>60</v>
      </c>
      <c r="V1629" s="2">
        <v>24876</v>
      </c>
      <c r="W1629" s="2">
        <v>285078.96000000002</v>
      </c>
      <c r="X1629" s="2">
        <v>11.46</v>
      </c>
      <c r="Y1629" s="2">
        <v>0.19</v>
      </c>
      <c r="Z1629" s="2">
        <v>2345</v>
      </c>
      <c r="AA1629" s="2">
        <v>2456.7399999999998</v>
      </c>
      <c r="AB1629">
        <v>1</v>
      </c>
      <c r="AC1629">
        <v>2014</v>
      </c>
      <c r="AE1629" s="2">
        <v>4726.4400000000005</v>
      </c>
    </row>
    <row r="1630" spans="2:31" ht="14.5">
      <c r="B1630" s="2">
        <v>86137</v>
      </c>
      <c r="C1630" s="2" t="s">
        <v>2552</v>
      </c>
      <c r="D1630" s="2" t="s">
        <v>2553</v>
      </c>
      <c r="E1630" s="2" t="s">
        <v>118</v>
      </c>
      <c r="F1630" s="2" t="s">
        <v>29</v>
      </c>
      <c r="G1630" s="2" t="s">
        <v>30</v>
      </c>
      <c r="H1630" s="2" t="s">
        <v>218</v>
      </c>
      <c r="I1630" s="2" t="s">
        <v>219</v>
      </c>
      <c r="J1630" s="2" t="s">
        <v>220</v>
      </c>
      <c r="K1630" s="2" t="s">
        <v>34</v>
      </c>
      <c r="L1630" s="3"/>
      <c r="M1630" s="3">
        <v>41912</v>
      </c>
      <c r="N1630" s="3">
        <v>41913</v>
      </c>
      <c r="O1630" s="3">
        <v>41933</v>
      </c>
      <c r="P1630" s="2" t="s">
        <v>333</v>
      </c>
      <c r="Q1630" s="2" t="s">
        <v>225</v>
      </c>
      <c r="R1630" s="2" t="s">
        <v>37</v>
      </c>
      <c r="S1630" s="2" t="s">
        <v>100</v>
      </c>
      <c r="T1630" s="2" t="s">
        <v>39</v>
      </c>
      <c r="U1630" s="2">
        <v>60</v>
      </c>
      <c r="V1630" s="2">
        <v>1000</v>
      </c>
      <c r="W1630" s="2">
        <v>5440</v>
      </c>
      <c r="X1630" s="2">
        <v>5.44</v>
      </c>
      <c r="Y1630" s="2">
        <v>0.09</v>
      </c>
      <c r="AB1630">
        <v>0</v>
      </c>
      <c r="AC1630">
        <v>2014</v>
      </c>
      <c r="AE1630" s="2">
        <v>90</v>
      </c>
    </row>
    <row r="1631" spans="2:31" ht="14.5">
      <c r="B1631" s="2">
        <v>86144</v>
      </c>
      <c r="C1631" s="2" t="s">
        <v>2286</v>
      </c>
      <c r="D1631" s="2" t="s">
        <v>2287</v>
      </c>
      <c r="E1631" s="2" t="s">
        <v>1581</v>
      </c>
      <c r="F1631" s="2" t="s">
        <v>29</v>
      </c>
      <c r="G1631" s="2" t="s">
        <v>30</v>
      </c>
      <c r="H1631" s="2" t="s">
        <v>218</v>
      </c>
      <c r="I1631" s="2" t="s">
        <v>219</v>
      </c>
      <c r="J1631" s="2" t="s">
        <v>220</v>
      </c>
      <c r="K1631" s="2" t="s">
        <v>34</v>
      </c>
      <c r="L1631" s="3"/>
      <c r="M1631" s="3">
        <v>41963</v>
      </c>
      <c r="N1631" s="3">
        <v>41963</v>
      </c>
      <c r="O1631" s="3">
        <v>41967</v>
      </c>
      <c r="P1631" s="2" t="s">
        <v>112</v>
      </c>
      <c r="Q1631" s="2" t="s">
        <v>113</v>
      </c>
      <c r="R1631" s="2" t="s">
        <v>37</v>
      </c>
      <c r="S1631" s="2" t="s">
        <v>114</v>
      </c>
      <c r="T1631" s="2" t="s">
        <v>47</v>
      </c>
      <c r="U1631" s="2">
        <v>60</v>
      </c>
      <c r="V1631" s="2">
        <v>1536</v>
      </c>
      <c r="W1631" s="2">
        <v>12456.96</v>
      </c>
      <c r="X1631" s="2">
        <v>8.11</v>
      </c>
      <c r="Y1631" s="2">
        <v>0.14000000000000001</v>
      </c>
      <c r="AB1631">
        <v>1</v>
      </c>
      <c r="AC1631">
        <v>2014</v>
      </c>
      <c r="AE1631" s="2">
        <v>215.04000000000002</v>
      </c>
    </row>
    <row r="1632" spans="2:31" ht="14.5">
      <c r="B1632" s="2">
        <v>86151</v>
      </c>
      <c r="C1632" s="2" t="s">
        <v>1913</v>
      </c>
      <c r="D1632" s="2" t="s">
        <v>1914</v>
      </c>
      <c r="E1632" s="2" t="s">
        <v>118</v>
      </c>
      <c r="F1632" s="2" t="s">
        <v>29</v>
      </c>
      <c r="G1632" s="2" t="s">
        <v>30</v>
      </c>
      <c r="H1632" s="2" t="s">
        <v>218</v>
      </c>
      <c r="I1632" s="2" t="s">
        <v>219</v>
      </c>
      <c r="J1632" s="2" t="s">
        <v>220</v>
      </c>
      <c r="K1632" s="2" t="s">
        <v>267</v>
      </c>
      <c r="L1632" s="3"/>
      <c r="M1632" s="3">
        <v>42051</v>
      </c>
      <c r="N1632" s="3">
        <v>42028</v>
      </c>
      <c r="O1632" s="3">
        <v>42038</v>
      </c>
      <c r="P1632" s="2" t="s">
        <v>95</v>
      </c>
      <c r="Q1632" s="2" t="s">
        <v>96</v>
      </c>
      <c r="R1632" s="2" t="s">
        <v>37</v>
      </c>
      <c r="S1632" s="2" t="s">
        <v>97</v>
      </c>
      <c r="T1632" s="2" t="s">
        <v>39</v>
      </c>
      <c r="U1632" s="2">
        <v>30</v>
      </c>
      <c r="V1632" s="2">
        <v>7500</v>
      </c>
      <c r="W1632" s="2">
        <v>24075</v>
      </c>
      <c r="X1632" s="2">
        <v>3.21</v>
      </c>
      <c r="Y1632" s="2">
        <v>0.11</v>
      </c>
      <c r="AB1632">
        <v>1</v>
      </c>
      <c r="AC1632">
        <v>2015</v>
      </c>
      <c r="AE1632" s="2">
        <v>825</v>
      </c>
    </row>
    <row r="1633" spans="2:31" ht="14.5">
      <c r="B1633" s="2">
        <v>86154</v>
      </c>
      <c r="C1633" s="2" t="s">
        <v>2119</v>
      </c>
      <c r="D1633" s="2" t="s">
        <v>2120</v>
      </c>
      <c r="E1633" s="2" t="s">
        <v>118</v>
      </c>
      <c r="F1633" s="2" t="s">
        <v>29</v>
      </c>
      <c r="G1633" s="2" t="s">
        <v>30</v>
      </c>
      <c r="H1633" s="2" t="s">
        <v>218</v>
      </c>
      <c r="I1633" s="2" t="s">
        <v>219</v>
      </c>
      <c r="J1633" s="2" t="s">
        <v>220</v>
      </c>
      <c r="K1633" s="2" t="s">
        <v>267</v>
      </c>
      <c r="L1633" s="3"/>
      <c r="M1633" s="3">
        <v>42170</v>
      </c>
      <c r="N1633" s="3">
        <v>42020</v>
      </c>
      <c r="O1633" s="3">
        <v>42030</v>
      </c>
      <c r="P1633" s="2" t="s">
        <v>754</v>
      </c>
      <c r="Q1633" s="2" t="s">
        <v>755</v>
      </c>
      <c r="R1633" s="2" t="s">
        <v>37</v>
      </c>
      <c r="S1633" s="2" t="s">
        <v>756</v>
      </c>
      <c r="T1633" s="2" t="s">
        <v>47</v>
      </c>
      <c r="U1633" s="2">
        <v>30</v>
      </c>
      <c r="V1633" s="2">
        <v>13000</v>
      </c>
      <c r="W1633" s="2">
        <v>126880</v>
      </c>
      <c r="X1633" s="2">
        <v>9.76</v>
      </c>
      <c r="Y1633" s="2">
        <v>0.33</v>
      </c>
      <c r="AB1633">
        <v>1</v>
      </c>
      <c r="AC1633">
        <v>2015</v>
      </c>
      <c r="AE1633" s="2">
        <v>4290</v>
      </c>
    </row>
    <row r="1634" spans="2:31" ht="14.5">
      <c r="B1634" s="2">
        <v>86155</v>
      </c>
      <c r="C1634" s="2" t="s">
        <v>2690</v>
      </c>
      <c r="D1634" s="2" t="s">
        <v>2691</v>
      </c>
      <c r="E1634" s="2" t="s">
        <v>118</v>
      </c>
      <c r="F1634" s="2" t="s">
        <v>29</v>
      </c>
      <c r="G1634" s="2" t="s">
        <v>30</v>
      </c>
      <c r="H1634" s="2" t="s">
        <v>218</v>
      </c>
      <c r="I1634" s="2" t="s">
        <v>219</v>
      </c>
      <c r="J1634" s="2" t="s">
        <v>220</v>
      </c>
      <c r="K1634" s="2" t="s">
        <v>267</v>
      </c>
      <c r="L1634" s="3"/>
      <c r="M1634" s="3">
        <v>42034</v>
      </c>
      <c r="N1634" s="3">
        <v>42020</v>
      </c>
      <c r="O1634" s="3">
        <v>42023</v>
      </c>
      <c r="P1634" s="2" t="s">
        <v>754</v>
      </c>
      <c r="Q1634" s="2" t="s">
        <v>755</v>
      </c>
      <c r="R1634" s="2" t="s">
        <v>37</v>
      </c>
      <c r="S1634" s="2" t="s">
        <v>756</v>
      </c>
      <c r="T1634" s="2" t="s">
        <v>47</v>
      </c>
      <c r="U1634" s="2">
        <v>30</v>
      </c>
      <c r="V1634" s="2">
        <v>85000</v>
      </c>
      <c r="W1634" s="2">
        <v>829600</v>
      </c>
      <c r="X1634" s="2">
        <v>9.76</v>
      </c>
      <c r="Y1634" s="2">
        <v>0.33</v>
      </c>
      <c r="AB1634">
        <v>1</v>
      </c>
      <c r="AC1634">
        <v>2015</v>
      </c>
      <c r="AE1634" s="2">
        <v>28050</v>
      </c>
    </row>
    <row r="1635" spans="2:31" ht="14.5">
      <c r="B1635" s="2">
        <v>86162</v>
      </c>
      <c r="C1635" s="2" t="s">
        <v>2127</v>
      </c>
      <c r="D1635" s="2" t="s">
        <v>2128</v>
      </c>
      <c r="E1635" s="2" t="s">
        <v>118</v>
      </c>
      <c r="F1635" s="2" t="s">
        <v>29</v>
      </c>
      <c r="G1635" s="2" t="s">
        <v>30</v>
      </c>
      <c r="H1635" s="2" t="s">
        <v>218</v>
      </c>
      <c r="I1635" s="2" t="s">
        <v>219</v>
      </c>
      <c r="J1635" s="2" t="s">
        <v>220</v>
      </c>
      <c r="K1635" s="2" t="s">
        <v>267</v>
      </c>
      <c r="L1635" s="3"/>
      <c r="M1635" s="3">
        <v>42062</v>
      </c>
      <c r="N1635" s="3">
        <v>42059</v>
      </c>
      <c r="O1635" s="3">
        <v>42059</v>
      </c>
      <c r="P1635" s="2" t="s">
        <v>999</v>
      </c>
      <c r="Q1635" s="2" t="s">
        <v>1000</v>
      </c>
      <c r="R1635" s="2" t="s">
        <v>37</v>
      </c>
      <c r="S1635" s="2" t="s">
        <v>1001</v>
      </c>
      <c r="T1635" s="2" t="s">
        <v>47</v>
      </c>
      <c r="U1635" s="2">
        <v>30</v>
      </c>
      <c r="V1635" s="2">
        <v>10300</v>
      </c>
      <c r="W1635" s="2">
        <v>139256</v>
      </c>
      <c r="X1635" s="2">
        <v>13.52</v>
      </c>
      <c r="Y1635" s="2">
        <v>0.45</v>
      </c>
      <c r="AB1635">
        <v>1</v>
      </c>
      <c r="AC1635">
        <v>2015</v>
      </c>
      <c r="AE1635" s="2">
        <v>4635</v>
      </c>
    </row>
    <row r="1636" spans="2:31" ht="14.5">
      <c r="B1636" s="2">
        <v>86174</v>
      </c>
      <c r="C1636" s="2" t="s">
        <v>1706</v>
      </c>
      <c r="D1636" s="2" t="s">
        <v>1707</v>
      </c>
      <c r="E1636" s="2" t="s">
        <v>1581</v>
      </c>
      <c r="F1636" s="2" t="s">
        <v>29</v>
      </c>
      <c r="G1636" s="2" t="s">
        <v>30</v>
      </c>
      <c r="H1636" s="2" t="s">
        <v>218</v>
      </c>
      <c r="I1636" s="2" t="s">
        <v>219</v>
      </c>
      <c r="J1636" s="2" t="s">
        <v>220</v>
      </c>
      <c r="K1636" s="2" t="s">
        <v>34</v>
      </c>
      <c r="L1636" s="3"/>
      <c r="M1636" s="3">
        <v>42062</v>
      </c>
      <c r="N1636" s="3">
        <v>42063</v>
      </c>
      <c r="O1636" s="3">
        <v>42068</v>
      </c>
      <c r="P1636" s="2" t="s">
        <v>112</v>
      </c>
      <c r="Q1636" s="2" t="s">
        <v>113</v>
      </c>
      <c r="R1636" s="2" t="s">
        <v>37</v>
      </c>
      <c r="S1636" s="2" t="s">
        <v>114</v>
      </c>
      <c r="T1636" s="2" t="s">
        <v>47</v>
      </c>
      <c r="U1636" s="2">
        <v>60</v>
      </c>
      <c r="V1636" s="2">
        <v>1728</v>
      </c>
      <c r="W1636" s="2">
        <v>13340.16</v>
      </c>
      <c r="X1636" s="2">
        <v>7.72</v>
      </c>
      <c r="Y1636" s="2">
        <v>0.13</v>
      </c>
      <c r="AB1636">
        <v>0</v>
      </c>
      <c r="AC1636">
        <v>2015</v>
      </c>
      <c r="AE1636" s="2">
        <v>224.64000000000001</v>
      </c>
    </row>
    <row r="1637" spans="2:31" ht="14.5">
      <c r="B1637" s="2">
        <v>86188</v>
      </c>
      <c r="C1637" s="2" t="s">
        <v>2692</v>
      </c>
      <c r="D1637" s="2" t="s">
        <v>2693</v>
      </c>
      <c r="E1637" s="2" t="s">
        <v>118</v>
      </c>
      <c r="F1637" s="2" t="s">
        <v>29</v>
      </c>
      <c r="G1637" s="2" t="s">
        <v>30</v>
      </c>
      <c r="H1637" s="2" t="s">
        <v>218</v>
      </c>
      <c r="I1637" s="2" t="s">
        <v>219</v>
      </c>
      <c r="J1637" s="2" t="s">
        <v>220</v>
      </c>
      <c r="K1637" s="2" t="s">
        <v>267</v>
      </c>
      <c r="L1637" s="3"/>
      <c r="M1637" s="3">
        <v>42124</v>
      </c>
      <c r="N1637" s="3">
        <v>42116</v>
      </c>
      <c r="O1637" s="3">
        <v>42118</v>
      </c>
      <c r="P1637" s="2" t="s">
        <v>112</v>
      </c>
      <c r="Q1637" s="2" t="s">
        <v>113</v>
      </c>
      <c r="R1637" s="2" t="s">
        <v>37</v>
      </c>
      <c r="S1637" s="2" t="s">
        <v>114</v>
      </c>
      <c r="T1637" s="2" t="s">
        <v>47</v>
      </c>
      <c r="U1637" s="2">
        <v>60</v>
      </c>
      <c r="V1637" s="2">
        <v>44102</v>
      </c>
      <c r="W1637" s="2">
        <v>340467.44</v>
      </c>
      <c r="X1637" s="2">
        <v>7.72</v>
      </c>
      <c r="Y1637" s="2">
        <v>0.13</v>
      </c>
      <c r="Z1637" s="2">
        <v>8221</v>
      </c>
      <c r="AB1637">
        <v>1</v>
      </c>
      <c r="AC1637">
        <v>2015</v>
      </c>
      <c r="AE1637" s="2">
        <v>5733.26</v>
      </c>
    </row>
    <row r="1638" spans="2:31" ht="14.5">
      <c r="B1638" s="2">
        <v>86189</v>
      </c>
      <c r="C1638" s="2" t="s">
        <v>1927</v>
      </c>
      <c r="D1638" s="2" t="s">
        <v>1928</v>
      </c>
      <c r="E1638" s="2" t="s">
        <v>118</v>
      </c>
      <c r="F1638" s="2" t="s">
        <v>29</v>
      </c>
      <c r="G1638" s="2" t="s">
        <v>30</v>
      </c>
      <c r="H1638" s="2" t="s">
        <v>218</v>
      </c>
      <c r="I1638" s="2" t="s">
        <v>219</v>
      </c>
      <c r="J1638" s="2" t="s">
        <v>220</v>
      </c>
      <c r="K1638" s="2" t="s">
        <v>267</v>
      </c>
      <c r="L1638" s="3"/>
      <c r="M1638" s="3">
        <v>42170</v>
      </c>
      <c r="N1638" s="3">
        <v>42138</v>
      </c>
      <c r="O1638" s="3">
        <v>42139</v>
      </c>
      <c r="P1638" s="2" t="s">
        <v>95</v>
      </c>
      <c r="Q1638" s="2" t="s">
        <v>96</v>
      </c>
      <c r="R1638" s="2" t="s">
        <v>37</v>
      </c>
      <c r="S1638" s="2" t="s">
        <v>97</v>
      </c>
      <c r="T1638" s="2" t="s">
        <v>39</v>
      </c>
      <c r="U1638" s="2">
        <v>30</v>
      </c>
      <c r="V1638" s="2">
        <v>2</v>
      </c>
      <c r="W1638" s="2">
        <v>6.24</v>
      </c>
      <c r="X1638" s="2">
        <v>3.12</v>
      </c>
      <c r="Y1638" s="2">
        <v>0.1</v>
      </c>
      <c r="AB1638">
        <v>1</v>
      </c>
      <c r="AC1638">
        <v>2015</v>
      </c>
      <c r="AE1638" s="2">
        <v>0.2</v>
      </c>
    </row>
    <row r="1639" spans="2:31" ht="14.5">
      <c r="B1639" s="2">
        <v>86193</v>
      </c>
      <c r="C1639" s="2" t="s">
        <v>2694</v>
      </c>
      <c r="D1639" s="2" t="s">
        <v>2695</v>
      </c>
      <c r="E1639" s="2" t="s">
        <v>42</v>
      </c>
      <c r="F1639" s="2" t="s">
        <v>29</v>
      </c>
      <c r="G1639" s="2" t="s">
        <v>50</v>
      </c>
      <c r="H1639" s="2" t="s">
        <v>218</v>
      </c>
      <c r="I1639" s="2" t="s">
        <v>219</v>
      </c>
      <c r="J1639" s="2" t="s">
        <v>220</v>
      </c>
      <c r="K1639" s="2" t="s">
        <v>267</v>
      </c>
      <c r="L1639" s="3"/>
      <c r="M1639" s="3">
        <v>42185</v>
      </c>
      <c r="N1639" s="3">
        <v>42129</v>
      </c>
      <c r="O1639" s="3">
        <v>42130</v>
      </c>
      <c r="P1639" s="2" t="s">
        <v>802</v>
      </c>
      <c r="Q1639" s="2" t="s">
        <v>96</v>
      </c>
      <c r="R1639" s="2" t="s">
        <v>37</v>
      </c>
      <c r="S1639" s="2" t="s">
        <v>38</v>
      </c>
      <c r="T1639" s="2" t="s">
        <v>39</v>
      </c>
      <c r="U1639" s="2">
        <v>90</v>
      </c>
      <c r="V1639" s="2">
        <v>2118</v>
      </c>
      <c r="W1639" s="2">
        <v>19697.400000000001</v>
      </c>
      <c r="X1639" s="2">
        <v>9.3000000000000007</v>
      </c>
      <c r="Y1639" s="2">
        <v>0.1</v>
      </c>
      <c r="AB1639">
        <v>1</v>
      </c>
      <c r="AC1639">
        <v>2015</v>
      </c>
      <c r="AE1639" s="2">
        <v>211.8</v>
      </c>
    </row>
    <row r="1640" spans="2:31" ht="14.5">
      <c r="B1640" s="2">
        <v>86208</v>
      </c>
      <c r="C1640" s="2" t="s">
        <v>1718</v>
      </c>
      <c r="D1640" s="2" t="s">
        <v>1719</v>
      </c>
      <c r="E1640" s="2" t="s">
        <v>118</v>
      </c>
      <c r="F1640" s="2" t="s">
        <v>29</v>
      </c>
      <c r="G1640" s="2" t="s">
        <v>30</v>
      </c>
      <c r="H1640" s="2" t="s">
        <v>218</v>
      </c>
      <c r="I1640" s="2" t="s">
        <v>219</v>
      </c>
      <c r="J1640" s="2" t="s">
        <v>220</v>
      </c>
      <c r="K1640" s="2" t="s">
        <v>267</v>
      </c>
      <c r="L1640" s="3"/>
      <c r="M1640" s="3">
        <v>42216</v>
      </c>
      <c r="N1640" s="3">
        <v>42208</v>
      </c>
      <c r="O1640" s="3">
        <v>42208</v>
      </c>
      <c r="P1640" s="2" t="s">
        <v>112</v>
      </c>
      <c r="Q1640" s="2" t="s">
        <v>113</v>
      </c>
      <c r="R1640" s="2" t="s">
        <v>37</v>
      </c>
      <c r="S1640" s="2" t="s">
        <v>114</v>
      </c>
      <c r="T1640" s="2" t="s">
        <v>47</v>
      </c>
      <c r="U1640" s="2">
        <v>60</v>
      </c>
      <c r="V1640" s="2">
        <v>30881</v>
      </c>
      <c r="W1640" s="2">
        <v>250444.91</v>
      </c>
      <c r="X1640" s="2">
        <v>8.11</v>
      </c>
      <c r="Y1640" s="2">
        <v>0.14000000000000001</v>
      </c>
      <c r="AB1640">
        <v>1</v>
      </c>
      <c r="AC1640">
        <v>2015</v>
      </c>
      <c r="AE1640" s="2">
        <v>4323.34</v>
      </c>
    </row>
    <row r="1641" spans="2:31" ht="14.5">
      <c r="B1641" s="2">
        <v>86211</v>
      </c>
      <c r="C1641" s="2" t="s">
        <v>2696</v>
      </c>
      <c r="D1641" s="2" t="s">
        <v>2697</v>
      </c>
      <c r="E1641" s="2" t="s">
        <v>42</v>
      </c>
      <c r="F1641" s="2" t="s">
        <v>29</v>
      </c>
      <c r="G1641" s="2" t="s">
        <v>30</v>
      </c>
      <c r="H1641" s="2" t="s">
        <v>218</v>
      </c>
      <c r="I1641" s="2" t="s">
        <v>219</v>
      </c>
      <c r="J1641" s="2" t="s">
        <v>220</v>
      </c>
      <c r="K1641" s="2" t="s">
        <v>34</v>
      </c>
      <c r="L1641" s="3"/>
      <c r="M1641" s="3">
        <v>42234</v>
      </c>
      <c r="N1641" s="3">
        <v>42241</v>
      </c>
      <c r="O1641" s="3">
        <v>42243</v>
      </c>
      <c r="P1641" s="2" t="s">
        <v>484</v>
      </c>
      <c r="Q1641" s="2" t="s">
        <v>105</v>
      </c>
      <c r="R1641" s="2" t="s">
        <v>37</v>
      </c>
      <c r="S1641" s="2" t="s">
        <v>100</v>
      </c>
      <c r="T1641" s="2" t="s">
        <v>39</v>
      </c>
      <c r="U1641" s="2">
        <v>30</v>
      </c>
      <c r="V1641" s="2">
        <v>385</v>
      </c>
      <c r="W1641" s="2">
        <v>1366.75</v>
      </c>
      <c r="X1641" s="2">
        <v>3.55</v>
      </c>
      <c r="Y1641" s="2">
        <v>0.12</v>
      </c>
      <c r="Z1641" s="2">
        <v>25</v>
      </c>
      <c r="AA1641" s="2">
        <v>149.65</v>
      </c>
      <c r="AB1641">
        <v>0</v>
      </c>
      <c r="AC1641">
        <v>2015</v>
      </c>
      <c r="AE1641" s="2">
        <v>46.199999999999996</v>
      </c>
    </row>
    <row r="1642" spans="2:31" ht="14.5">
      <c r="B1642" s="2">
        <v>86216</v>
      </c>
      <c r="C1642" s="2" t="s">
        <v>1722</v>
      </c>
      <c r="D1642" s="2" t="s">
        <v>1723</v>
      </c>
      <c r="E1642" s="2" t="s">
        <v>42</v>
      </c>
      <c r="F1642" s="2" t="s">
        <v>29</v>
      </c>
      <c r="G1642" s="2" t="s">
        <v>50</v>
      </c>
      <c r="H1642" s="2" t="s">
        <v>218</v>
      </c>
      <c r="I1642" s="2" t="s">
        <v>219</v>
      </c>
      <c r="J1642" s="2" t="s">
        <v>220</v>
      </c>
      <c r="K1642" s="2" t="s">
        <v>34</v>
      </c>
      <c r="L1642" s="3"/>
      <c r="M1642" s="3">
        <v>42255</v>
      </c>
      <c r="N1642" s="3">
        <v>42242</v>
      </c>
      <c r="O1642" s="3">
        <v>42249</v>
      </c>
      <c r="P1642" s="2" t="s">
        <v>802</v>
      </c>
      <c r="Q1642" s="2" t="s">
        <v>96</v>
      </c>
      <c r="R1642" s="2" t="s">
        <v>37</v>
      </c>
      <c r="S1642" s="2" t="s">
        <v>38</v>
      </c>
      <c r="T1642" s="2" t="s">
        <v>39</v>
      </c>
      <c r="U1642" s="2">
        <v>90</v>
      </c>
      <c r="V1642" s="2">
        <v>2434</v>
      </c>
      <c r="W1642" s="2">
        <v>22636.2</v>
      </c>
      <c r="X1642" s="2">
        <v>9.3000000000000007</v>
      </c>
      <c r="Y1642" s="2">
        <v>0.1</v>
      </c>
      <c r="AB1642">
        <v>1</v>
      </c>
      <c r="AC1642">
        <v>2015</v>
      </c>
      <c r="AE1642" s="2">
        <v>243.4</v>
      </c>
    </row>
    <row r="1643" spans="2:31" ht="14.5">
      <c r="B1643" s="2">
        <v>86245</v>
      </c>
      <c r="C1643" s="2" t="s">
        <v>2698</v>
      </c>
      <c r="D1643" s="2" t="s">
        <v>2699</v>
      </c>
      <c r="E1643" s="2" t="s">
        <v>118</v>
      </c>
      <c r="F1643" s="2" t="s">
        <v>29</v>
      </c>
      <c r="G1643" s="2" t="s">
        <v>30</v>
      </c>
      <c r="H1643" s="2" t="s">
        <v>218</v>
      </c>
      <c r="I1643" s="2" t="s">
        <v>219</v>
      </c>
      <c r="J1643" s="2" t="s">
        <v>220</v>
      </c>
      <c r="K1643" s="2" t="s">
        <v>34</v>
      </c>
      <c r="L1643" s="3"/>
      <c r="M1643" s="3">
        <v>40195</v>
      </c>
      <c r="N1643" s="3">
        <v>40142</v>
      </c>
      <c r="O1643" s="3">
        <v>40142</v>
      </c>
      <c r="P1643" s="2" t="s">
        <v>706</v>
      </c>
      <c r="Q1643" s="2" t="s">
        <v>707</v>
      </c>
      <c r="R1643" s="2" t="s">
        <v>37</v>
      </c>
      <c r="S1643" s="2" t="s">
        <v>708</v>
      </c>
      <c r="T1643" s="2" t="s">
        <v>47</v>
      </c>
      <c r="U1643" s="2">
        <v>30</v>
      </c>
      <c r="V1643" s="2">
        <v>2150</v>
      </c>
      <c r="W1643" s="2">
        <v>21500</v>
      </c>
      <c r="X1643" s="2">
        <v>10</v>
      </c>
      <c r="Y1643" s="2">
        <v>0.33</v>
      </c>
      <c r="Z1643" s="2">
        <v>179</v>
      </c>
      <c r="AA1643" s="2">
        <v>2196.29</v>
      </c>
      <c r="AB1643">
        <v>1</v>
      </c>
      <c r="AC1643">
        <v>2009</v>
      </c>
      <c r="AE1643" s="2">
        <v>709.5</v>
      </c>
    </row>
    <row r="1644" spans="2:31" ht="14.5">
      <c r="B1644" s="2">
        <v>86246</v>
      </c>
      <c r="C1644" s="2" t="s">
        <v>2700</v>
      </c>
      <c r="D1644" s="2" t="s">
        <v>2701</v>
      </c>
      <c r="E1644" s="2" t="s">
        <v>118</v>
      </c>
      <c r="F1644" s="2" t="s">
        <v>29</v>
      </c>
      <c r="G1644" s="2" t="s">
        <v>30</v>
      </c>
      <c r="H1644" s="2" t="s">
        <v>218</v>
      </c>
      <c r="I1644" s="2" t="s">
        <v>219</v>
      </c>
      <c r="J1644" s="2" t="s">
        <v>220</v>
      </c>
      <c r="K1644" s="2" t="s">
        <v>34</v>
      </c>
      <c r="L1644" s="3"/>
      <c r="M1644" s="3">
        <v>40192</v>
      </c>
      <c r="N1644" s="3">
        <v>40178</v>
      </c>
      <c r="O1644" s="3">
        <v>40178</v>
      </c>
      <c r="P1644" s="2" t="s">
        <v>44</v>
      </c>
      <c r="Q1644" s="2" t="s">
        <v>45</v>
      </c>
      <c r="R1644" s="2" t="s">
        <v>37</v>
      </c>
      <c r="S1644" s="2" t="s">
        <v>46</v>
      </c>
      <c r="T1644" s="2" t="s">
        <v>47</v>
      </c>
      <c r="U1644" s="2">
        <v>60</v>
      </c>
      <c r="V1644" s="2">
        <v>16575</v>
      </c>
      <c r="W1644" s="2">
        <v>145197</v>
      </c>
      <c r="X1644" s="2">
        <v>8.76</v>
      </c>
      <c r="Y1644" s="2">
        <v>0.15</v>
      </c>
      <c r="Z1644" s="2">
        <v>6843</v>
      </c>
      <c r="AA1644" s="2">
        <v>7231</v>
      </c>
      <c r="AB1644">
        <v>1</v>
      </c>
      <c r="AC1644">
        <v>2009</v>
      </c>
      <c r="AE1644" s="2">
        <v>2486.25</v>
      </c>
    </row>
    <row r="1645" spans="2:31" ht="14.5">
      <c r="B1645" s="2">
        <v>86250</v>
      </c>
      <c r="C1645" s="2" t="s">
        <v>2702</v>
      </c>
      <c r="D1645" s="2" t="s">
        <v>2703</v>
      </c>
      <c r="E1645" s="2" t="s">
        <v>118</v>
      </c>
      <c r="F1645" s="2" t="s">
        <v>29</v>
      </c>
      <c r="G1645" s="2" t="s">
        <v>30</v>
      </c>
      <c r="H1645" s="2" t="s">
        <v>218</v>
      </c>
      <c r="I1645" s="2" t="s">
        <v>219</v>
      </c>
      <c r="J1645" s="2" t="s">
        <v>220</v>
      </c>
      <c r="K1645" s="2" t="s">
        <v>34</v>
      </c>
      <c r="L1645" s="3"/>
      <c r="M1645" s="3">
        <v>40219</v>
      </c>
      <c r="N1645" s="3">
        <v>40185</v>
      </c>
      <c r="O1645" s="3">
        <v>40185</v>
      </c>
      <c r="P1645" s="2" t="s">
        <v>95</v>
      </c>
      <c r="Q1645" s="2" t="s">
        <v>96</v>
      </c>
      <c r="R1645" s="2" t="s">
        <v>37</v>
      </c>
      <c r="S1645" s="2" t="s">
        <v>97</v>
      </c>
      <c r="T1645" s="2" t="s">
        <v>39</v>
      </c>
      <c r="U1645" s="2">
        <v>30</v>
      </c>
      <c r="V1645" s="2">
        <v>2500</v>
      </c>
      <c r="W1645" s="2">
        <v>14450</v>
      </c>
      <c r="X1645" s="2">
        <v>5.78</v>
      </c>
      <c r="Y1645" s="2">
        <v>0.19</v>
      </c>
      <c r="Z1645" s="2">
        <v>216</v>
      </c>
      <c r="AA1645" s="2">
        <v>2064.42</v>
      </c>
      <c r="AB1645">
        <v>1</v>
      </c>
      <c r="AC1645">
        <v>2010</v>
      </c>
      <c r="AE1645" s="2">
        <v>475</v>
      </c>
    </row>
    <row r="1646" spans="2:31" ht="14.5">
      <c r="B1646" s="2">
        <v>86251</v>
      </c>
      <c r="C1646" s="2" t="s">
        <v>1941</v>
      </c>
      <c r="D1646" s="2" t="s">
        <v>1942</v>
      </c>
      <c r="E1646" s="2" t="s">
        <v>118</v>
      </c>
      <c r="F1646" s="2" t="s">
        <v>29</v>
      </c>
      <c r="G1646" s="2" t="s">
        <v>30</v>
      </c>
      <c r="H1646" s="2" t="s">
        <v>218</v>
      </c>
      <c r="I1646" s="2" t="s">
        <v>219</v>
      </c>
      <c r="J1646" s="2" t="s">
        <v>220</v>
      </c>
      <c r="K1646" s="2" t="s">
        <v>34</v>
      </c>
      <c r="L1646" s="3"/>
      <c r="M1646" s="3">
        <v>40226</v>
      </c>
      <c r="N1646" s="3">
        <v>40170</v>
      </c>
      <c r="O1646" s="3">
        <v>40170</v>
      </c>
      <c r="P1646" s="2" t="s">
        <v>706</v>
      </c>
      <c r="Q1646" s="2" t="s">
        <v>707</v>
      </c>
      <c r="R1646" s="2" t="s">
        <v>37</v>
      </c>
      <c r="S1646" s="2" t="s">
        <v>708</v>
      </c>
      <c r="T1646" s="2" t="s">
        <v>47</v>
      </c>
      <c r="U1646" s="2">
        <v>30</v>
      </c>
      <c r="V1646" s="2">
        <v>1100</v>
      </c>
      <c r="W1646" s="2">
        <v>11000</v>
      </c>
      <c r="X1646" s="2">
        <v>10</v>
      </c>
      <c r="Y1646" s="2">
        <v>0.33</v>
      </c>
      <c r="AB1646">
        <v>1</v>
      </c>
      <c r="AC1646">
        <v>2009</v>
      </c>
      <c r="AE1646" s="2">
        <v>363</v>
      </c>
    </row>
    <row r="1647" spans="2:31" ht="14.5">
      <c r="B1647" s="2">
        <v>86252</v>
      </c>
      <c r="C1647" s="2" t="s">
        <v>1941</v>
      </c>
      <c r="D1647" s="2" t="s">
        <v>1942</v>
      </c>
      <c r="E1647" s="2" t="s">
        <v>118</v>
      </c>
      <c r="F1647" s="2" t="s">
        <v>29</v>
      </c>
      <c r="G1647" s="2" t="s">
        <v>30</v>
      </c>
      <c r="H1647" s="2" t="s">
        <v>218</v>
      </c>
      <c r="I1647" s="2" t="s">
        <v>219</v>
      </c>
      <c r="J1647" s="2" t="s">
        <v>220</v>
      </c>
      <c r="K1647" s="2" t="s">
        <v>34</v>
      </c>
      <c r="L1647" s="3"/>
      <c r="M1647" s="3">
        <v>40226</v>
      </c>
      <c r="N1647" s="3">
        <v>40170</v>
      </c>
      <c r="O1647" s="3">
        <v>40170</v>
      </c>
      <c r="P1647" s="2" t="s">
        <v>333</v>
      </c>
      <c r="Q1647" s="2" t="s">
        <v>225</v>
      </c>
      <c r="R1647" s="2" t="s">
        <v>37</v>
      </c>
      <c r="S1647" s="2" t="s">
        <v>100</v>
      </c>
      <c r="T1647" s="2" t="s">
        <v>39</v>
      </c>
      <c r="U1647" s="2">
        <v>60</v>
      </c>
      <c r="V1647" s="2">
        <v>140</v>
      </c>
      <c r="W1647" s="2">
        <v>1054.2</v>
      </c>
      <c r="X1647" s="2">
        <v>7.53</v>
      </c>
      <c r="Y1647" s="2">
        <v>0.13</v>
      </c>
      <c r="AB1647">
        <v>1</v>
      </c>
      <c r="AC1647">
        <v>2009</v>
      </c>
      <c r="AE1647" s="2">
        <v>18.2</v>
      </c>
    </row>
    <row r="1648" spans="2:31" ht="14.5">
      <c r="B1648" s="2">
        <v>86254</v>
      </c>
      <c r="C1648" s="2" t="s">
        <v>2704</v>
      </c>
      <c r="D1648" s="2" t="s">
        <v>2705</v>
      </c>
      <c r="E1648" s="2" t="s">
        <v>60</v>
      </c>
      <c r="F1648" s="2" t="s">
        <v>29</v>
      </c>
      <c r="G1648" s="2" t="s">
        <v>30</v>
      </c>
      <c r="H1648" s="2" t="s">
        <v>218</v>
      </c>
      <c r="I1648" s="2" t="s">
        <v>219</v>
      </c>
      <c r="J1648" s="2" t="s">
        <v>220</v>
      </c>
      <c r="K1648" s="2" t="s">
        <v>34</v>
      </c>
      <c r="L1648" s="3"/>
      <c r="M1648" s="3">
        <v>40182</v>
      </c>
      <c r="N1648" s="3">
        <v>40165</v>
      </c>
      <c r="O1648" s="3">
        <v>40165</v>
      </c>
      <c r="P1648" s="2" t="s">
        <v>164</v>
      </c>
      <c r="Q1648" s="2" t="s">
        <v>165</v>
      </c>
      <c r="R1648" s="2" t="s">
        <v>37</v>
      </c>
      <c r="S1648" s="2" t="s">
        <v>166</v>
      </c>
      <c r="T1648" s="2" t="s">
        <v>39</v>
      </c>
      <c r="U1648" s="2">
        <v>60</v>
      </c>
      <c r="V1648" s="2">
        <v>8000</v>
      </c>
      <c r="W1648" s="2">
        <v>19520</v>
      </c>
      <c r="X1648" s="2">
        <v>2.44</v>
      </c>
      <c r="Y1648" s="2">
        <v>0.04</v>
      </c>
      <c r="Z1648" s="2">
        <v>425</v>
      </c>
      <c r="AA1648" s="2">
        <v>2978.5</v>
      </c>
      <c r="AB1648">
        <v>1</v>
      </c>
      <c r="AC1648">
        <v>2009</v>
      </c>
      <c r="AE1648" s="2">
        <v>320</v>
      </c>
    </row>
    <row r="1649" spans="2:31" ht="14.5">
      <c r="B1649" s="2">
        <v>86259</v>
      </c>
      <c r="C1649" s="2" t="s">
        <v>2706</v>
      </c>
      <c r="D1649" s="2" t="s">
        <v>2707</v>
      </c>
      <c r="E1649" s="2" t="s">
        <v>118</v>
      </c>
      <c r="F1649" s="2" t="s">
        <v>29</v>
      </c>
      <c r="G1649" s="2" t="s">
        <v>30</v>
      </c>
      <c r="H1649" s="2" t="s">
        <v>218</v>
      </c>
      <c r="I1649" s="2" t="s">
        <v>219</v>
      </c>
      <c r="J1649" s="2" t="s">
        <v>220</v>
      </c>
      <c r="K1649" s="2" t="s">
        <v>267</v>
      </c>
      <c r="L1649" s="3"/>
      <c r="M1649" s="3">
        <v>40259</v>
      </c>
      <c r="N1649" s="3">
        <v>40207</v>
      </c>
      <c r="O1649" s="3">
        <v>40207</v>
      </c>
      <c r="P1649" s="2" t="s">
        <v>35</v>
      </c>
      <c r="Q1649" s="2" t="s">
        <v>36</v>
      </c>
      <c r="R1649" s="2" t="s">
        <v>37</v>
      </c>
      <c r="S1649" s="2" t="s">
        <v>38</v>
      </c>
      <c r="T1649" s="2" t="s">
        <v>39</v>
      </c>
      <c r="U1649" s="2">
        <v>60</v>
      </c>
      <c r="V1649" s="2">
        <v>1600</v>
      </c>
      <c r="W1649" s="2">
        <v>4640</v>
      </c>
      <c r="X1649" s="2">
        <v>2.9</v>
      </c>
      <c r="Y1649" s="2">
        <v>0.05</v>
      </c>
      <c r="Z1649" s="2">
        <v>157</v>
      </c>
      <c r="AA1649" s="2">
        <v>1601.5</v>
      </c>
      <c r="AB1649">
        <v>1</v>
      </c>
      <c r="AC1649">
        <v>2010</v>
      </c>
      <c r="AE1649" s="2">
        <v>80</v>
      </c>
    </row>
    <row r="1650" spans="2:31" ht="14.5">
      <c r="B1650" s="2">
        <v>86260</v>
      </c>
      <c r="C1650" s="2" t="s">
        <v>2708</v>
      </c>
      <c r="D1650" s="2" t="s">
        <v>2709</v>
      </c>
      <c r="E1650" s="2" t="s">
        <v>118</v>
      </c>
      <c r="F1650" s="2" t="s">
        <v>29</v>
      </c>
      <c r="G1650" s="2" t="s">
        <v>30</v>
      </c>
      <c r="H1650" s="2" t="s">
        <v>218</v>
      </c>
      <c r="I1650" s="2" t="s">
        <v>219</v>
      </c>
      <c r="J1650" s="2" t="s">
        <v>220</v>
      </c>
      <c r="K1650" s="2" t="s">
        <v>267</v>
      </c>
      <c r="L1650" s="3"/>
      <c r="M1650" s="3">
        <v>40240</v>
      </c>
      <c r="N1650" s="3">
        <v>40207</v>
      </c>
      <c r="O1650" s="3">
        <v>40207</v>
      </c>
      <c r="P1650" s="2" t="s">
        <v>112</v>
      </c>
      <c r="Q1650" s="2" t="s">
        <v>113</v>
      </c>
      <c r="R1650" s="2" t="s">
        <v>37</v>
      </c>
      <c r="S1650" s="2" t="s">
        <v>114</v>
      </c>
      <c r="T1650" s="2" t="s">
        <v>47</v>
      </c>
      <c r="U1650" s="2">
        <v>60</v>
      </c>
      <c r="V1650" s="2">
        <v>6600</v>
      </c>
      <c r="W1650" s="2">
        <v>74052</v>
      </c>
      <c r="X1650" s="2">
        <v>11.22</v>
      </c>
      <c r="Y1650" s="2">
        <v>0.19</v>
      </c>
      <c r="Z1650" s="2">
        <v>843</v>
      </c>
      <c r="AA1650" s="2">
        <v>6470.51</v>
      </c>
      <c r="AB1650">
        <v>1</v>
      </c>
      <c r="AC1650">
        <v>2010</v>
      </c>
      <c r="AE1650" s="2">
        <v>1254</v>
      </c>
    </row>
    <row r="1651" spans="2:31" ht="14.5">
      <c r="B1651" s="2">
        <v>86261</v>
      </c>
      <c r="C1651" s="2" t="s">
        <v>2710</v>
      </c>
      <c r="D1651" s="2" t="s">
        <v>2711</v>
      </c>
      <c r="E1651" s="2" t="s">
        <v>118</v>
      </c>
      <c r="F1651" s="2" t="s">
        <v>29</v>
      </c>
      <c r="G1651" s="2" t="s">
        <v>30</v>
      </c>
      <c r="H1651" s="2" t="s">
        <v>218</v>
      </c>
      <c r="I1651" s="2" t="s">
        <v>219</v>
      </c>
      <c r="J1651" s="2" t="s">
        <v>220</v>
      </c>
      <c r="K1651" s="2" t="s">
        <v>267</v>
      </c>
      <c r="L1651" s="3"/>
      <c r="M1651" s="3">
        <v>40234</v>
      </c>
      <c r="N1651" s="3">
        <v>40207</v>
      </c>
      <c r="O1651" s="3">
        <v>40207</v>
      </c>
      <c r="P1651" s="2" t="s">
        <v>95</v>
      </c>
      <c r="Q1651" s="2" t="s">
        <v>96</v>
      </c>
      <c r="R1651" s="2" t="s">
        <v>37</v>
      </c>
      <c r="S1651" s="2" t="s">
        <v>97</v>
      </c>
      <c r="T1651" s="2" t="s">
        <v>39</v>
      </c>
      <c r="U1651" s="2">
        <v>30</v>
      </c>
      <c r="V1651" s="2">
        <v>32660</v>
      </c>
      <c r="W1651" s="2">
        <v>188774.8</v>
      </c>
      <c r="X1651" s="2">
        <v>5.78</v>
      </c>
      <c r="Y1651" s="2">
        <v>0.19</v>
      </c>
      <c r="Z1651" s="2">
        <v>2804</v>
      </c>
      <c r="AA1651" s="2">
        <v>5050.8</v>
      </c>
      <c r="AB1651">
        <v>1</v>
      </c>
      <c r="AC1651">
        <v>2010</v>
      </c>
      <c r="AE1651" s="2">
        <v>6205.4</v>
      </c>
    </row>
    <row r="1652" spans="2:31" ht="14.5">
      <c r="B1652" s="2">
        <v>86263</v>
      </c>
      <c r="C1652" s="2" t="s">
        <v>2308</v>
      </c>
      <c r="D1652" s="2" t="s">
        <v>2309</v>
      </c>
      <c r="E1652" s="2" t="s">
        <v>118</v>
      </c>
      <c r="F1652" s="2" t="s">
        <v>29</v>
      </c>
      <c r="G1652" s="2" t="s">
        <v>30</v>
      </c>
      <c r="H1652" s="2" t="s">
        <v>218</v>
      </c>
      <c r="I1652" s="2" t="s">
        <v>219</v>
      </c>
      <c r="J1652" s="2" t="s">
        <v>220</v>
      </c>
      <c r="K1652" s="2" t="s">
        <v>267</v>
      </c>
      <c r="L1652" s="3"/>
      <c r="M1652" s="3">
        <v>40234</v>
      </c>
      <c r="N1652" s="3">
        <v>40227</v>
      </c>
      <c r="O1652" s="3">
        <v>40227</v>
      </c>
      <c r="P1652" s="2" t="s">
        <v>112</v>
      </c>
      <c r="Q1652" s="2" t="s">
        <v>113</v>
      </c>
      <c r="R1652" s="2" t="s">
        <v>37</v>
      </c>
      <c r="S1652" s="2" t="s">
        <v>114</v>
      </c>
      <c r="T1652" s="2" t="s">
        <v>47</v>
      </c>
      <c r="U1652" s="2">
        <v>60</v>
      </c>
      <c r="V1652" s="2">
        <v>29</v>
      </c>
      <c r="W1652" s="2">
        <v>325.38</v>
      </c>
      <c r="X1652" s="2">
        <v>11.22</v>
      </c>
      <c r="Y1652" s="2">
        <v>0.19</v>
      </c>
      <c r="AB1652">
        <v>1</v>
      </c>
      <c r="AC1652">
        <v>2010</v>
      </c>
      <c r="AE1652" s="2">
        <v>5.51</v>
      </c>
    </row>
    <row r="1653" spans="2:31" ht="14.5">
      <c r="B1653" s="2">
        <v>86266</v>
      </c>
      <c r="C1653" s="2" t="s">
        <v>2712</v>
      </c>
      <c r="D1653" s="2" t="s">
        <v>2713</v>
      </c>
      <c r="E1653" s="2" t="s">
        <v>118</v>
      </c>
      <c r="F1653" s="2" t="s">
        <v>29</v>
      </c>
      <c r="G1653" s="2" t="s">
        <v>30</v>
      </c>
      <c r="H1653" s="2" t="s">
        <v>218</v>
      </c>
      <c r="I1653" s="2" t="s">
        <v>219</v>
      </c>
      <c r="J1653" s="2" t="s">
        <v>220</v>
      </c>
      <c r="K1653" s="2" t="s">
        <v>34</v>
      </c>
      <c r="L1653" s="3"/>
      <c r="M1653" s="3">
        <v>40256</v>
      </c>
      <c r="N1653" s="3">
        <v>40235</v>
      </c>
      <c r="O1653" s="3">
        <v>40235</v>
      </c>
      <c r="P1653" s="2" t="s">
        <v>333</v>
      </c>
      <c r="Q1653" s="2" t="s">
        <v>225</v>
      </c>
      <c r="R1653" s="2" t="s">
        <v>37</v>
      </c>
      <c r="S1653" s="2" t="s">
        <v>100</v>
      </c>
      <c r="T1653" s="2" t="s">
        <v>39</v>
      </c>
      <c r="U1653" s="2">
        <v>60</v>
      </c>
      <c r="V1653" s="2">
        <v>744</v>
      </c>
      <c r="W1653" s="2">
        <v>5602.32</v>
      </c>
      <c r="X1653" s="2">
        <v>7.53</v>
      </c>
      <c r="Y1653" s="2">
        <v>0.13</v>
      </c>
      <c r="Z1653" s="2">
        <v>41</v>
      </c>
      <c r="AA1653" s="2">
        <v>1152.1400000000001</v>
      </c>
      <c r="AB1653">
        <v>1</v>
      </c>
      <c r="AC1653">
        <v>2010</v>
      </c>
      <c r="AE1653" s="2">
        <v>96.72</v>
      </c>
    </row>
    <row r="1654" spans="2:31" ht="14.5">
      <c r="B1654" s="2">
        <v>86267</v>
      </c>
      <c r="C1654" s="2" t="s">
        <v>2714</v>
      </c>
      <c r="D1654" s="2" t="s">
        <v>2715</v>
      </c>
      <c r="E1654" s="2" t="s">
        <v>118</v>
      </c>
      <c r="F1654" s="2" t="s">
        <v>29</v>
      </c>
      <c r="G1654" s="2" t="s">
        <v>30</v>
      </c>
      <c r="H1654" s="2" t="s">
        <v>218</v>
      </c>
      <c r="I1654" s="2" t="s">
        <v>219</v>
      </c>
      <c r="J1654" s="2" t="s">
        <v>220</v>
      </c>
      <c r="K1654" s="2" t="s">
        <v>34</v>
      </c>
      <c r="L1654" s="3"/>
      <c r="M1654" s="3">
        <v>40318</v>
      </c>
      <c r="N1654" s="3">
        <v>40170</v>
      </c>
      <c r="O1654" s="3">
        <v>40170</v>
      </c>
      <c r="P1654" s="2" t="s">
        <v>333</v>
      </c>
      <c r="Q1654" s="2" t="s">
        <v>225</v>
      </c>
      <c r="R1654" s="2" t="s">
        <v>37</v>
      </c>
      <c r="S1654" s="2" t="s">
        <v>100</v>
      </c>
      <c r="T1654" s="2" t="s">
        <v>39</v>
      </c>
      <c r="U1654" s="2">
        <v>60</v>
      </c>
      <c r="V1654" s="2">
        <v>6</v>
      </c>
      <c r="W1654" s="2">
        <v>45.18</v>
      </c>
      <c r="X1654" s="2">
        <v>7.53</v>
      </c>
      <c r="Y1654" s="2">
        <v>0.13</v>
      </c>
      <c r="AB1654">
        <v>1</v>
      </c>
      <c r="AC1654">
        <v>2009</v>
      </c>
      <c r="AE1654" s="2">
        <v>0.78</v>
      </c>
    </row>
    <row r="1655" spans="2:31" ht="14.5">
      <c r="B1655" s="2">
        <v>86278</v>
      </c>
      <c r="C1655" s="2" t="s">
        <v>2716</v>
      </c>
      <c r="D1655" s="2" t="s">
        <v>2717</v>
      </c>
      <c r="E1655" s="2" t="s">
        <v>118</v>
      </c>
      <c r="F1655" s="2" t="s">
        <v>29</v>
      </c>
      <c r="G1655" s="2" t="s">
        <v>30</v>
      </c>
      <c r="H1655" s="2" t="s">
        <v>218</v>
      </c>
      <c r="I1655" s="2" t="s">
        <v>219</v>
      </c>
      <c r="J1655" s="2" t="s">
        <v>220</v>
      </c>
      <c r="K1655" s="2" t="s">
        <v>34</v>
      </c>
      <c r="L1655" s="3"/>
      <c r="M1655" s="3">
        <v>40269</v>
      </c>
      <c r="N1655" s="3">
        <v>40262</v>
      </c>
      <c r="O1655" s="3">
        <v>40262</v>
      </c>
      <c r="P1655" s="2" t="s">
        <v>706</v>
      </c>
      <c r="Q1655" s="2" t="s">
        <v>707</v>
      </c>
      <c r="R1655" s="2" t="s">
        <v>37</v>
      </c>
      <c r="S1655" s="2" t="s">
        <v>708</v>
      </c>
      <c r="T1655" s="2" t="s">
        <v>47</v>
      </c>
      <c r="U1655" s="2">
        <v>30</v>
      </c>
      <c r="V1655" s="2">
        <v>2000</v>
      </c>
      <c r="W1655" s="2">
        <v>20000</v>
      </c>
      <c r="X1655" s="2">
        <v>10</v>
      </c>
      <c r="Y1655" s="2">
        <v>0.33</v>
      </c>
      <c r="Z1655" s="2">
        <v>168</v>
      </c>
      <c r="AA1655" s="2">
        <v>1905.63</v>
      </c>
      <c r="AB1655">
        <v>1</v>
      </c>
      <c r="AC1655">
        <v>2010</v>
      </c>
      <c r="AE1655" s="2">
        <v>660</v>
      </c>
    </row>
    <row r="1656" spans="2:31" ht="14.5">
      <c r="B1656" s="2">
        <v>86288</v>
      </c>
      <c r="C1656" s="2" t="s">
        <v>2718</v>
      </c>
      <c r="D1656" s="2" t="s">
        <v>2719</v>
      </c>
      <c r="E1656" s="2" t="s">
        <v>118</v>
      </c>
      <c r="F1656" s="2" t="s">
        <v>29</v>
      </c>
      <c r="G1656" s="2" t="s">
        <v>30</v>
      </c>
      <c r="H1656" s="2" t="s">
        <v>218</v>
      </c>
      <c r="I1656" s="2" t="s">
        <v>219</v>
      </c>
      <c r="J1656" s="2" t="s">
        <v>220</v>
      </c>
      <c r="K1656" s="2" t="s">
        <v>267</v>
      </c>
      <c r="L1656" s="3"/>
      <c r="M1656" s="3">
        <v>40269</v>
      </c>
      <c r="N1656" s="3">
        <v>40262</v>
      </c>
      <c r="O1656" s="3">
        <v>40262</v>
      </c>
      <c r="P1656" s="2" t="s">
        <v>112</v>
      </c>
      <c r="Q1656" s="2" t="s">
        <v>113</v>
      </c>
      <c r="R1656" s="2" t="s">
        <v>37</v>
      </c>
      <c r="S1656" s="2" t="s">
        <v>114</v>
      </c>
      <c r="T1656" s="2" t="s">
        <v>47</v>
      </c>
      <c r="U1656" s="2">
        <v>60</v>
      </c>
      <c r="V1656" s="2">
        <v>3354</v>
      </c>
      <c r="W1656" s="2">
        <v>37631.879999999997</v>
      </c>
      <c r="X1656" s="2">
        <v>11.22</v>
      </c>
      <c r="Y1656" s="2">
        <v>0.19</v>
      </c>
      <c r="Z1656" s="2">
        <v>393</v>
      </c>
      <c r="AA1656" s="2">
        <v>1694</v>
      </c>
      <c r="AB1656">
        <v>1</v>
      </c>
      <c r="AC1656">
        <v>2010</v>
      </c>
      <c r="AE1656" s="2">
        <v>637.26</v>
      </c>
    </row>
    <row r="1657" spans="2:31" ht="14.5">
      <c r="B1657" s="2">
        <v>86290</v>
      </c>
      <c r="C1657" s="2" t="s">
        <v>2720</v>
      </c>
      <c r="D1657" s="2" t="s">
        <v>2721</v>
      </c>
      <c r="E1657" s="2" t="s">
        <v>28</v>
      </c>
      <c r="F1657" s="2" t="s">
        <v>29</v>
      </c>
      <c r="G1657" s="2" t="s">
        <v>30</v>
      </c>
      <c r="H1657" s="2" t="s">
        <v>218</v>
      </c>
      <c r="I1657" s="2" t="s">
        <v>219</v>
      </c>
      <c r="J1657" s="2" t="s">
        <v>220</v>
      </c>
      <c r="K1657" s="2" t="s">
        <v>34</v>
      </c>
      <c r="L1657" s="3"/>
      <c r="M1657" s="3">
        <v>40380</v>
      </c>
      <c r="N1657" s="3">
        <v>40289</v>
      </c>
      <c r="O1657" s="3">
        <v>40289</v>
      </c>
      <c r="P1657" s="2" t="s">
        <v>35</v>
      </c>
      <c r="Q1657" s="2" t="s">
        <v>36</v>
      </c>
      <c r="R1657" s="2" t="s">
        <v>37</v>
      </c>
      <c r="S1657" s="2" t="s">
        <v>38</v>
      </c>
      <c r="T1657" s="2" t="s">
        <v>39</v>
      </c>
      <c r="U1657" s="2">
        <v>60</v>
      </c>
      <c r="V1657" s="2">
        <v>3319</v>
      </c>
      <c r="W1657" s="2">
        <v>9060.8700000000008</v>
      </c>
      <c r="X1657" s="2">
        <v>2.73</v>
      </c>
      <c r="Y1657" s="2">
        <v>0.05</v>
      </c>
      <c r="Z1657" s="2">
        <v>699</v>
      </c>
      <c r="AA1657" s="2">
        <v>3952.34</v>
      </c>
      <c r="AB1657">
        <v>1</v>
      </c>
      <c r="AC1657">
        <v>2010</v>
      </c>
      <c r="AE1657" s="2">
        <v>165.95000000000002</v>
      </c>
    </row>
    <row r="1658" spans="2:31" ht="14.5">
      <c r="B1658" s="2">
        <v>86291</v>
      </c>
      <c r="C1658" s="2" t="s">
        <v>2720</v>
      </c>
      <c r="D1658" s="2" t="s">
        <v>2721</v>
      </c>
      <c r="E1658" s="2" t="s">
        <v>28</v>
      </c>
      <c r="F1658" s="2" t="s">
        <v>29</v>
      </c>
      <c r="G1658" s="2" t="s">
        <v>30</v>
      </c>
      <c r="H1658" s="2" t="s">
        <v>218</v>
      </c>
      <c r="I1658" s="2" t="s">
        <v>219</v>
      </c>
      <c r="J1658" s="2" t="s">
        <v>220</v>
      </c>
      <c r="K1658" s="2" t="s">
        <v>34</v>
      </c>
      <c r="L1658" s="3"/>
      <c r="M1658" s="3">
        <v>40380</v>
      </c>
      <c r="N1658" s="3">
        <v>40289</v>
      </c>
      <c r="O1658" s="3">
        <v>40289</v>
      </c>
      <c r="P1658" s="2" t="s">
        <v>35</v>
      </c>
      <c r="Q1658" s="2" t="s">
        <v>36</v>
      </c>
      <c r="R1658" s="2" t="s">
        <v>37</v>
      </c>
      <c r="S1658" s="2" t="s">
        <v>38</v>
      </c>
      <c r="T1658" s="2" t="s">
        <v>39</v>
      </c>
      <c r="U1658" s="2">
        <v>60</v>
      </c>
      <c r="V1658" s="2">
        <v>3529</v>
      </c>
      <c r="W1658" s="2">
        <v>9634.17</v>
      </c>
      <c r="X1658" s="2">
        <v>2.73</v>
      </c>
      <c r="Y1658" s="2">
        <v>0.05</v>
      </c>
      <c r="AB1658">
        <v>1</v>
      </c>
      <c r="AC1658">
        <v>2010</v>
      </c>
      <c r="AE1658" s="2">
        <v>176.45000000000002</v>
      </c>
    </row>
    <row r="1659" spans="2:31" ht="14.5">
      <c r="B1659" s="2">
        <v>86308</v>
      </c>
      <c r="C1659" s="2" t="s">
        <v>1748</v>
      </c>
      <c r="D1659" s="2" t="s">
        <v>1749</v>
      </c>
      <c r="E1659" s="2" t="s">
        <v>60</v>
      </c>
      <c r="F1659" s="2" t="s">
        <v>29</v>
      </c>
      <c r="G1659" s="2" t="s">
        <v>30</v>
      </c>
      <c r="H1659" s="2" t="s">
        <v>218</v>
      </c>
      <c r="I1659" s="2" t="s">
        <v>219</v>
      </c>
      <c r="J1659" s="2" t="s">
        <v>220</v>
      </c>
      <c r="K1659" s="2" t="s">
        <v>34</v>
      </c>
      <c r="L1659" s="3"/>
      <c r="M1659" s="3">
        <v>40350</v>
      </c>
      <c r="N1659" s="3">
        <v>40330</v>
      </c>
      <c r="O1659" s="3">
        <v>40330</v>
      </c>
      <c r="P1659" s="2" t="s">
        <v>164</v>
      </c>
      <c r="Q1659" s="2" t="s">
        <v>165</v>
      </c>
      <c r="R1659" s="2" t="s">
        <v>37</v>
      </c>
      <c r="S1659" s="2" t="s">
        <v>166</v>
      </c>
      <c r="T1659" s="2" t="s">
        <v>39</v>
      </c>
      <c r="U1659" s="2">
        <v>60</v>
      </c>
      <c r="V1659" s="2">
        <v>1481</v>
      </c>
      <c r="W1659" s="2">
        <v>3613.64</v>
      </c>
      <c r="X1659" s="2">
        <v>2.44</v>
      </c>
      <c r="Y1659" s="2">
        <v>0.04</v>
      </c>
      <c r="AB1659">
        <v>1</v>
      </c>
      <c r="AC1659">
        <v>2010</v>
      </c>
      <c r="AE1659" s="2">
        <v>59.24</v>
      </c>
    </row>
    <row r="1660" spans="2:31" ht="14.5">
      <c r="B1660" s="2">
        <v>86319</v>
      </c>
      <c r="C1660" s="2" t="s">
        <v>2179</v>
      </c>
      <c r="D1660" s="2" t="s">
        <v>2180</v>
      </c>
      <c r="E1660" s="2" t="s">
        <v>60</v>
      </c>
      <c r="F1660" s="2" t="s">
        <v>29</v>
      </c>
      <c r="G1660" s="2" t="s">
        <v>30</v>
      </c>
      <c r="H1660" s="2" t="s">
        <v>218</v>
      </c>
      <c r="I1660" s="2" t="s">
        <v>219</v>
      </c>
      <c r="J1660" s="2" t="s">
        <v>220</v>
      </c>
      <c r="K1660" s="2" t="s">
        <v>34</v>
      </c>
      <c r="L1660" s="3"/>
      <c r="M1660" s="3">
        <v>40442</v>
      </c>
      <c r="N1660" s="3">
        <v>40378</v>
      </c>
      <c r="O1660" s="3">
        <v>40378</v>
      </c>
      <c r="P1660" s="2" t="s">
        <v>139</v>
      </c>
      <c r="Q1660" s="2" t="s">
        <v>140</v>
      </c>
      <c r="R1660" s="2" t="s">
        <v>37</v>
      </c>
      <c r="S1660" s="2" t="s">
        <v>141</v>
      </c>
      <c r="T1660" s="2" t="s">
        <v>47</v>
      </c>
      <c r="U1660" s="2">
        <v>60</v>
      </c>
      <c r="V1660" s="2">
        <v>11485</v>
      </c>
      <c r="W1660" s="2">
        <v>65809.05</v>
      </c>
      <c r="X1660" s="2">
        <v>5.73</v>
      </c>
      <c r="Y1660" s="2">
        <v>0.1</v>
      </c>
      <c r="AB1660">
        <v>1</v>
      </c>
      <c r="AC1660">
        <v>2010</v>
      </c>
      <c r="AE1660" s="2">
        <v>1148.5</v>
      </c>
    </row>
    <row r="1661" spans="2:31" ht="14.5">
      <c r="B1661" s="2">
        <v>86330</v>
      </c>
      <c r="C1661" s="2" t="s">
        <v>1754</v>
      </c>
      <c r="D1661" s="2" t="s">
        <v>1755</v>
      </c>
      <c r="E1661" s="2" t="s">
        <v>118</v>
      </c>
      <c r="F1661" s="2" t="s">
        <v>29</v>
      </c>
      <c r="G1661" s="2" t="s">
        <v>30</v>
      </c>
      <c r="H1661" s="2" t="s">
        <v>218</v>
      </c>
      <c r="I1661" s="2" t="s">
        <v>219</v>
      </c>
      <c r="J1661" s="2" t="s">
        <v>220</v>
      </c>
      <c r="K1661" s="2" t="s">
        <v>34</v>
      </c>
      <c r="L1661" s="3"/>
      <c r="M1661" s="3">
        <v>40480</v>
      </c>
      <c r="N1661" s="3">
        <v>40448</v>
      </c>
      <c r="O1661" s="3">
        <v>40448</v>
      </c>
      <c r="P1661" s="2" t="s">
        <v>112</v>
      </c>
      <c r="Q1661" s="2" t="s">
        <v>113</v>
      </c>
      <c r="R1661" s="2" t="s">
        <v>37</v>
      </c>
      <c r="S1661" s="2" t="s">
        <v>114</v>
      </c>
      <c r="T1661" s="2" t="s">
        <v>47</v>
      </c>
      <c r="U1661" s="2">
        <v>60</v>
      </c>
      <c r="V1661" s="2">
        <v>75000</v>
      </c>
      <c r="W1661" s="2">
        <v>841500</v>
      </c>
      <c r="X1661" s="2">
        <v>11.22</v>
      </c>
      <c r="Y1661" s="2">
        <v>0.19</v>
      </c>
      <c r="AB1661">
        <v>1</v>
      </c>
      <c r="AC1661">
        <v>2010</v>
      </c>
      <c r="AE1661" s="2">
        <v>14250</v>
      </c>
    </row>
    <row r="1662" spans="2:31" ht="14.5">
      <c r="B1662" s="2">
        <v>86331</v>
      </c>
      <c r="C1662" s="2" t="s">
        <v>2722</v>
      </c>
      <c r="D1662" s="2" t="s">
        <v>2723</v>
      </c>
      <c r="E1662" s="2" t="s">
        <v>60</v>
      </c>
      <c r="F1662" s="2" t="s">
        <v>29</v>
      </c>
      <c r="G1662" s="2" t="s">
        <v>30</v>
      </c>
      <c r="H1662" s="2" t="s">
        <v>218</v>
      </c>
      <c r="I1662" s="2" t="s">
        <v>219</v>
      </c>
      <c r="J1662" s="2" t="s">
        <v>220</v>
      </c>
      <c r="K1662" s="2" t="s">
        <v>34</v>
      </c>
      <c r="L1662" s="3"/>
      <c r="M1662" s="3">
        <v>40442</v>
      </c>
      <c r="N1662" s="3">
        <v>40414</v>
      </c>
      <c r="O1662" s="3">
        <v>40414</v>
      </c>
      <c r="P1662" s="2" t="s">
        <v>139</v>
      </c>
      <c r="Q1662" s="2" t="s">
        <v>140</v>
      </c>
      <c r="R1662" s="2" t="s">
        <v>37</v>
      </c>
      <c r="S1662" s="2" t="s">
        <v>141</v>
      </c>
      <c r="T1662" s="2" t="s">
        <v>47</v>
      </c>
      <c r="U1662" s="2">
        <v>60</v>
      </c>
      <c r="V1662" s="2">
        <v>9200</v>
      </c>
      <c r="W1662" s="2">
        <v>52716</v>
      </c>
      <c r="X1662" s="2">
        <v>5.73</v>
      </c>
      <c r="Y1662" s="2">
        <v>0.1</v>
      </c>
      <c r="Z1662" s="2">
        <v>668</v>
      </c>
      <c r="AA1662" s="2">
        <v>2633.57</v>
      </c>
      <c r="AB1662">
        <v>1</v>
      </c>
      <c r="AC1662">
        <v>2010</v>
      </c>
      <c r="AE1662" s="2">
        <v>920</v>
      </c>
    </row>
    <row r="1663" spans="2:31" ht="14.5">
      <c r="B1663" s="2">
        <v>86334</v>
      </c>
      <c r="C1663" s="2" t="s">
        <v>2183</v>
      </c>
      <c r="D1663" s="2" t="s">
        <v>2184</v>
      </c>
      <c r="E1663" s="2" t="s">
        <v>28</v>
      </c>
      <c r="F1663" s="2" t="s">
        <v>29</v>
      </c>
      <c r="G1663" s="2" t="s">
        <v>30</v>
      </c>
      <c r="H1663" s="2" t="s">
        <v>218</v>
      </c>
      <c r="I1663" s="2" t="s">
        <v>219</v>
      </c>
      <c r="J1663" s="2" t="s">
        <v>220</v>
      </c>
      <c r="K1663" s="2" t="s">
        <v>34</v>
      </c>
      <c r="L1663" s="3"/>
      <c r="M1663" s="3">
        <v>40451</v>
      </c>
      <c r="N1663" s="3">
        <v>40431</v>
      </c>
      <c r="O1663" s="3">
        <v>40431</v>
      </c>
      <c r="P1663" s="2" t="s">
        <v>95</v>
      </c>
      <c r="Q1663" s="2" t="s">
        <v>96</v>
      </c>
      <c r="R1663" s="2" t="s">
        <v>37</v>
      </c>
      <c r="S1663" s="2" t="s">
        <v>97</v>
      </c>
      <c r="T1663" s="2" t="s">
        <v>39</v>
      </c>
      <c r="U1663" s="2">
        <v>30</v>
      </c>
      <c r="V1663" s="2">
        <v>44669</v>
      </c>
      <c r="W1663" s="2">
        <v>198777.05</v>
      </c>
      <c r="X1663" s="2">
        <v>4.45</v>
      </c>
      <c r="Y1663" s="2">
        <v>0.15</v>
      </c>
      <c r="AB1663">
        <v>1</v>
      </c>
      <c r="AC1663">
        <v>2010</v>
      </c>
      <c r="AE1663" s="2">
        <v>6700.3499999999995</v>
      </c>
    </row>
    <row r="1664" spans="2:31" ht="14.5">
      <c r="B1664" s="2">
        <v>86344</v>
      </c>
      <c r="C1664" s="2" t="s">
        <v>1965</v>
      </c>
      <c r="D1664" s="2" t="s">
        <v>1966</v>
      </c>
      <c r="E1664" s="2" t="s">
        <v>118</v>
      </c>
      <c r="F1664" s="2" t="s">
        <v>29</v>
      </c>
      <c r="G1664" s="2" t="s">
        <v>30</v>
      </c>
      <c r="H1664" s="2" t="s">
        <v>218</v>
      </c>
      <c r="I1664" s="2" t="s">
        <v>219</v>
      </c>
      <c r="J1664" s="2" t="s">
        <v>220</v>
      </c>
      <c r="K1664" s="2" t="s">
        <v>34</v>
      </c>
      <c r="L1664" s="3"/>
      <c r="M1664" s="3">
        <v>40471</v>
      </c>
      <c r="N1664" s="3">
        <v>40477</v>
      </c>
      <c r="O1664" s="3">
        <v>40477</v>
      </c>
      <c r="P1664" s="2" t="s">
        <v>407</v>
      </c>
      <c r="Q1664" s="2" t="s">
        <v>408</v>
      </c>
      <c r="R1664" s="2" t="s">
        <v>37</v>
      </c>
      <c r="S1664" s="2" t="s">
        <v>409</v>
      </c>
      <c r="T1664" s="2" t="s">
        <v>47</v>
      </c>
      <c r="U1664" s="2">
        <v>60</v>
      </c>
      <c r="V1664" s="2">
        <v>204</v>
      </c>
      <c r="W1664" s="2">
        <v>669.12</v>
      </c>
      <c r="X1664" s="2">
        <v>3.28</v>
      </c>
      <c r="Y1664" s="2">
        <v>0.05</v>
      </c>
      <c r="AB1664">
        <v>0</v>
      </c>
      <c r="AC1664">
        <v>2010</v>
      </c>
      <c r="AE1664" s="2">
        <v>10.200000000000001</v>
      </c>
    </row>
    <row r="1665" spans="2:31" ht="14.5">
      <c r="B1665" s="2">
        <v>86353</v>
      </c>
      <c r="C1665" s="2" t="s">
        <v>2332</v>
      </c>
      <c r="D1665" s="2" t="s">
        <v>2333</v>
      </c>
      <c r="E1665" s="2" t="s">
        <v>118</v>
      </c>
      <c r="F1665" s="2" t="s">
        <v>29</v>
      </c>
      <c r="G1665" s="2" t="s">
        <v>30</v>
      </c>
      <c r="H1665" s="2" t="s">
        <v>218</v>
      </c>
      <c r="I1665" s="2" t="s">
        <v>219</v>
      </c>
      <c r="J1665" s="2" t="s">
        <v>220</v>
      </c>
      <c r="K1665" s="2" t="s">
        <v>34</v>
      </c>
      <c r="L1665" s="3"/>
      <c r="M1665" s="3">
        <v>40514</v>
      </c>
      <c r="N1665" s="3">
        <v>40511</v>
      </c>
      <c r="O1665" s="3">
        <v>40511</v>
      </c>
      <c r="P1665" s="2" t="s">
        <v>35</v>
      </c>
      <c r="Q1665" s="2" t="s">
        <v>36</v>
      </c>
      <c r="R1665" s="2" t="s">
        <v>37</v>
      </c>
      <c r="S1665" s="2" t="s">
        <v>38</v>
      </c>
      <c r="T1665" s="2" t="s">
        <v>39</v>
      </c>
      <c r="U1665" s="2">
        <v>60</v>
      </c>
      <c r="V1665" s="2">
        <v>10685</v>
      </c>
      <c r="W1665" s="2">
        <v>28422.1</v>
      </c>
      <c r="X1665" s="2">
        <v>2.66</v>
      </c>
      <c r="Y1665" s="2">
        <v>0.04</v>
      </c>
      <c r="AB1665">
        <v>1</v>
      </c>
      <c r="AC1665">
        <v>2010</v>
      </c>
      <c r="AE1665" s="2">
        <v>427.40000000000003</v>
      </c>
    </row>
    <row r="1666" spans="2:31" ht="14.5">
      <c r="B1666" s="2">
        <v>86357</v>
      </c>
      <c r="C1666" s="2" t="s">
        <v>2724</v>
      </c>
      <c r="D1666" s="2" t="s">
        <v>2725</v>
      </c>
      <c r="E1666" s="2" t="s">
        <v>118</v>
      </c>
      <c r="F1666" s="2" t="s">
        <v>29</v>
      </c>
      <c r="G1666" s="2" t="s">
        <v>30</v>
      </c>
      <c r="H1666" s="2" t="s">
        <v>218</v>
      </c>
      <c r="I1666" s="2" t="s">
        <v>219</v>
      </c>
      <c r="J1666" s="2" t="s">
        <v>220</v>
      </c>
      <c r="K1666" s="2" t="s">
        <v>267</v>
      </c>
      <c r="L1666" s="3"/>
      <c r="M1666" s="3">
        <v>40527</v>
      </c>
      <c r="N1666" s="3">
        <v>40513</v>
      </c>
      <c r="O1666" s="3">
        <v>40513</v>
      </c>
      <c r="P1666" s="2" t="s">
        <v>44</v>
      </c>
      <c r="Q1666" s="2" t="s">
        <v>45</v>
      </c>
      <c r="R1666" s="2" t="s">
        <v>37</v>
      </c>
      <c r="S1666" s="2" t="s">
        <v>46</v>
      </c>
      <c r="T1666" s="2" t="s">
        <v>47</v>
      </c>
      <c r="U1666" s="2">
        <v>60</v>
      </c>
      <c r="V1666" s="2">
        <v>3570</v>
      </c>
      <c r="W1666" s="2">
        <v>30523.5</v>
      </c>
      <c r="X1666" s="2">
        <v>8.5500000000000007</v>
      </c>
      <c r="Y1666" s="2">
        <v>0.14000000000000001</v>
      </c>
      <c r="Z1666" s="2">
        <v>294</v>
      </c>
      <c r="AA1666" s="2">
        <v>2894</v>
      </c>
      <c r="AB1666">
        <v>1</v>
      </c>
      <c r="AC1666">
        <v>2010</v>
      </c>
      <c r="AE1666" s="2">
        <v>499.80000000000007</v>
      </c>
    </row>
    <row r="1667" spans="2:31" ht="14.5">
      <c r="B1667" s="2">
        <v>86365</v>
      </c>
      <c r="C1667" s="2" t="s">
        <v>1538</v>
      </c>
      <c r="D1667" s="2" t="s">
        <v>1539</v>
      </c>
      <c r="E1667" s="2" t="s">
        <v>118</v>
      </c>
      <c r="F1667" s="2" t="s">
        <v>29</v>
      </c>
      <c r="G1667" s="2" t="s">
        <v>30</v>
      </c>
      <c r="H1667" s="2" t="s">
        <v>218</v>
      </c>
      <c r="I1667" s="2" t="s">
        <v>219</v>
      </c>
      <c r="J1667" s="2" t="s">
        <v>220</v>
      </c>
      <c r="K1667" s="2" t="s">
        <v>34</v>
      </c>
      <c r="L1667" s="3"/>
      <c r="M1667" s="3">
        <v>40582</v>
      </c>
      <c r="N1667" s="3">
        <v>40535</v>
      </c>
      <c r="O1667" s="3">
        <v>40535</v>
      </c>
      <c r="P1667" s="2" t="s">
        <v>95</v>
      </c>
      <c r="Q1667" s="2" t="s">
        <v>96</v>
      </c>
      <c r="R1667" s="2" t="s">
        <v>37</v>
      </c>
      <c r="S1667" s="2" t="s">
        <v>97</v>
      </c>
      <c r="T1667" s="2" t="s">
        <v>39</v>
      </c>
      <c r="U1667" s="2">
        <v>30</v>
      </c>
      <c r="V1667" s="2">
        <v>2550</v>
      </c>
      <c r="W1667" s="2">
        <v>11526</v>
      </c>
      <c r="X1667" s="2">
        <v>4.5199999999999996</v>
      </c>
      <c r="Y1667" s="2">
        <v>0.15</v>
      </c>
      <c r="AB1667">
        <v>1</v>
      </c>
      <c r="AC1667">
        <v>2010</v>
      </c>
      <c r="AE1667" s="2">
        <v>382.5</v>
      </c>
    </row>
    <row r="1668" spans="2:31" ht="14.5">
      <c r="B1668" s="2">
        <v>86373</v>
      </c>
      <c r="C1668" s="2" t="s">
        <v>2726</v>
      </c>
      <c r="D1668" s="2" t="s">
        <v>2727</v>
      </c>
      <c r="E1668" s="2" t="s">
        <v>118</v>
      </c>
      <c r="F1668" s="2" t="s">
        <v>29</v>
      </c>
      <c r="G1668" s="2" t="s">
        <v>30</v>
      </c>
      <c r="H1668" s="2" t="s">
        <v>218</v>
      </c>
      <c r="I1668" s="2" t="s">
        <v>219</v>
      </c>
      <c r="J1668" s="2" t="s">
        <v>220</v>
      </c>
      <c r="K1668" s="2" t="s">
        <v>34</v>
      </c>
      <c r="L1668" s="3"/>
      <c r="M1668" s="3">
        <v>40638</v>
      </c>
      <c r="N1668" s="3">
        <v>40634</v>
      </c>
      <c r="O1668" s="3">
        <v>40634</v>
      </c>
      <c r="P1668" s="2" t="s">
        <v>35</v>
      </c>
      <c r="Q1668" s="2" t="s">
        <v>36</v>
      </c>
      <c r="R1668" s="2" t="s">
        <v>37</v>
      </c>
      <c r="S1668" s="2" t="s">
        <v>38</v>
      </c>
      <c r="T1668" s="2" t="s">
        <v>39</v>
      </c>
      <c r="U1668" s="2">
        <v>60</v>
      </c>
      <c r="V1668" s="2">
        <v>972</v>
      </c>
      <c r="W1668" s="2">
        <v>2507.7600000000002</v>
      </c>
      <c r="X1668" s="2">
        <v>2.58</v>
      </c>
      <c r="Y1668" s="2">
        <v>0.04</v>
      </c>
      <c r="Z1668" s="2">
        <v>58</v>
      </c>
      <c r="AA1668" s="2">
        <v>5596.5</v>
      </c>
      <c r="AB1668">
        <v>1</v>
      </c>
      <c r="AC1668">
        <v>2011</v>
      </c>
      <c r="AE1668" s="2">
        <v>38.880000000000003</v>
      </c>
    </row>
    <row r="1669" spans="2:31" ht="14.5">
      <c r="B1669" s="2">
        <v>86375</v>
      </c>
      <c r="C1669" s="2" t="s">
        <v>2193</v>
      </c>
      <c r="D1669" s="2" t="s">
        <v>2194</v>
      </c>
      <c r="E1669" s="2" t="s">
        <v>28</v>
      </c>
      <c r="F1669" s="2" t="s">
        <v>29</v>
      </c>
      <c r="G1669" s="2" t="s">
        <v>30</v>
      </c>
      <c r="H1669" s="2" t="s">
        <v>218</v>
      </c>
      <c r="I1669" s="2" t="s">
        <v>219</v>
      </c>
      <c r="J1669" s="2" t="s">
        <v>220</v>
      </c>
      <c r="K1669" s="2" t="s">
        <v>34</v>
      </c>
      <c r="L1669" s="3"/>
      <c r="M1669" s="3">
        <v>40640</v>
      </c>
      <c r="N1669" s="3">
        <v>40633</v>
      </c>
      <c r="O1669" s="3">
        <v>40633</v>
      </c>
      <c r="P1669" s="2" t="s">
        <v>95</v>
      </c>
      <c r="Q1669" s="2" t="s">
        <v>96</v>
      </c>
      <c r="R1669" s="2" t="s">
        <v>37</v>
      </c>
      <c r="S1669" s="2" t="s">
        <v>97</v>
      </c>
      <c r="T1669" s="2" t="s">
        <v>39</v>
      </c>
      <c r="U1669" s="2">
        <v>30</v>
      </c>
      <c r="V1669" s="2">
        <v>27769</v>
      </c>
      <c r="W1669" s="2">
        <v>117185.18</v>
      </c>
      <c r="X1669" s="2">
        <v>4.22</v>
      </c>
      <c r="Y1669" s="2">
        <v>0.14000000000000001</v>
      </c>
      <c r="AB1669">
        <v>1</v>
      </c>
      <c r="AC1669">
        <v>2011</v>
      </c>
      <c r="AE1669" s="2">
        <v>3887.6600000000003</v>
      </c>
    </row>
    <row r="1670" spans="2:31" ht="14.5">
      <c r="B1670" s="2">
        <v>86381</v>
      </c>
      <c r="C1670" s="2" t="s">
        <v>1546</v>
      </c>
      <c r="D1670" s="2" t="s">
        <v>1547</v>
      </c>
      <c r="E1670" s="2" t="s">
        <v>118</v>
      </c>
      <c r="F1670" s="2" t="s">
        <v>29</v>
      </c>
      <c r="G1670" s="2" t="s">
        <v>30</v>
      </c>
      <c r="H1670" s="2" t="s">
        <v>218</v>
      </c>
      <c r="I1670" s="2" t="s">
        <v>219</v>
      </c>
      <c r="J1670" s="2" t="s">
        <v>220</v>
      </c>
      <c r="K1670" s="2" t="s">
        <v>267</v>
      </c>
      <c r="L1670" s="3"/>
      <c r="M1670" s="3">
        <v>40674</v>
      </c>
      <c r="N1670" s="3">
        <v>40687</v>
      </c>
      <c r="O1670" s="3">
        <v>40687</v>
      </c>
      <c r="P1670" s="2" t="s">
        <v>35</v>
      </c>
      <c r="Q1670" s="2" t="s">
        <v>36</v>
      </c>
      <c r="R1670" s="2" t="s">
        <v>37</v>
      </c>
      <c r="S1670" s="2" t="s">
        <v>38</v>
      </c>
      <c r="T1670" s="2" t="s">
        <v>39</v>
      </c>
      <c r="U1670" s="2">
        <v>60</v>
      </c>
      <c r="V1670" s="2">
        <v>10500</v>
      </c>
      <c r="W1670" s="2">
        <v>26355</v>
      </c>
      <c r="X1670" s="2">
        <v>2.5099999999999998</v>
      </c>
      <c r="Y1670" s="2">
        <v>0.04</v>
      </c>
      <c r="AB1670">
        <v>0</v>
      </c>
      <c r="AC1670">
        <v>2011</v>
      </c>
      <c r="AE1670" s="2">
        <v>420</v>
      </c>
    </row>
    <row r="1671" spans="2:31" ht="14.5">
      <c r="B1671" s="2">
        <v>86382</v>
      </c>
      <c r="C1671" s="2" t="s">
        <v>2460</v>
      </c>
      <c r="D1671" s="2" t="s">
        <v>2461</v>
      </c>
      <c r="E1671" s="2" t="s">
        <v>118</v>
      </c>
      <c r="F1671" s="2" t="s">
        <v>29</v>
      </c>
      <c r="G1671" s="2" t="s">
        <v>30</v>
      </c>
      <c r="H1671" s="2" t="s">
        <v>218</v>
      </c>
      <c r="I1671" s="2" t="s">
        <v>219</v>
      </c>
      <c r="J1671" s="2" t="s">
        <v>220</v>
      </c>
      <c r="K1671" s="2" t="s">
        <v>267</v>
      </c>
      <c r="L1671" s="3"/>
      <c r="M1671" s="3">
        <v>40674</v>
      </c>
      <c r="N1671" s="3">
        <v>40687</v>
      </c>
      <c r="O1671" s="3">
        <v>40687</v>
      </c>
      <c r="P1671" s="2" t="s">
        <v>44</v>
      </c>
      <c r="Q1671" s="2" t="s">
        <v>45</v>
      </c>
      <c r="R1671" s="2" t="s">
        <v>37</v>
      </c>
      <c r="S1671" s="2" t="s">
        <v>46</v>
      </c>
      <c r="T1671" s="2" t="s">
        <v>47</v>
      </c>
      <c r="U1671" s="2">
        <v>60</v>
      </c>
      <c r="V1671" s="2">
        <v>14893</v>
      </c>
      <c r="W1671" s="2">
        <v>123016.18</v>
      </c>
      <c r="X1671" s="2">
        <v>8.26</v>
      </c>
      <c r="Y1671" s="2">
        <v>0.14000000000000001</v>
      </c>
      <c r="AB1671">
        <v>0</v>
      </c>
      <c r="AC1671">
        <v>2011</v>
      </c>
      <c r="AE1671" s="2">
        <v>2085.02</v>
      </c>
    </row>
    <row r="1672" spans="2:31" ht="14.5">
      <c r="B1672" s="2">
        <v>86396</v>
      </c>
      <c r="C1672" s="2" t="s">
        <v>1550</v>
      </c>
      <c r="D1672" s="2" t="s">
        <v>1551</v>
      </c>
      <c r="E1672" s="2" t="s">
        <v>118</v>
      </c>
      <c r="F1672" s="2" t="s">
        <v>29</v>
      </c>
      <c r="G1672" s="2" t="s">
        <v>30</v>
      </c>
      <c r="H1672" s="2" t="s">
        <v>218</v>
      </c>
      <c r="I1672" s="2" t="s">
        <v>219</v>
      </c>
      <c r="J1672" s="2" t="s">
        <v>220</v>
      </c>
      <c r="K1672" s="2" t="s">
        <v>267</v>
      </c>
      <c r="L1672" s="3"/>
      <c r="M1672" s="3">
        <v>40760</v>
      </c>
      <c r="N1672" s="3">
        <v>40760</v>
      </c>
      <c r="O1672" s="3">
        <v>40760</v>
      </c>
      <c r="P1672" s="2" t="s">
        <v>35</v>
      </c>
      <c r="Q1672" s="2" t="s">
        <v>36</v>
      </c>
      <c r="R1672" s="2" t="s">
        <v>37</v>
      </c>
      <c r="S1672" s="2" t="s">
        <v>38</v>
      </c>
      <c r="T1672" s="2" t="s">
        <v>39</v>
      </c>
      <c r="U1672" s="2">
        <v>60</v>
      </c>
      <c r="V1672" s="2">
        <v>11549</v>
      </c>
      <c r="W1672" s="2">
        <v>28987.99</v>
      </c>
      <c r="X1672" s="2">
        <v>2.5099999999999998</v>
      </c>
      <c r="Y1672" s="2">
        <v>0.04</v>
      </c>
      <c r="AB1672">
        <v>1</v>
      </c>
      <c r="AC1672">
        <v>2011</v>
      </c>
      <c r="AE1672" s="2">
        <v>461.96000000000004</v>
      </c>
    </row>
    <row r="1673" spans="2:31" ht="14.5">
      <c r="B1673" s="2">
        <v>86400</v>
      </c>
      <c r="C1673" s="2" t="s">
        <v>2596</v>
      </c>
      <c r="D1673" s="2" t="s">
        <v>2597</v>
      </c>
      <c r="E1673" s="2" t="s">
        <v>118</v>
      </c>
      <c r="F1673" s="2" t="s">
        <v>29</v>
      </c>
      <c r="G1673" s="2" t="s">
        <v>30</v>
      </c>
      <c r="H1673" s="2" t="s">
        <v>218</v>
      </c>
      <c r="I1673" s="2" t="s">
        <v>219</v>
      </c>
      <c r="J1673" s="2" t="s">
        <v>220</v>
      </c>
      <c r="K1673" s="2" t="s">
        <v>267</v>
      </c>
      <c r="L1673" s="3"/>
      <c r="M1673" s="3">
        <v>40808</v>
      </c>
      <c r="N1673" s="3">
        <v>40781</v>
      </c>
      <c r="O1673" s="3">
        <v>40781</v>
      </c>
      <c r="P1673" s="2" t="s">
        <v>333</v>
      </c>
      <c r="Q1673" s="2" t="s">
        <v>225</v>
      </c>
      <c r="R1673" s="2" t="s">
        <v>37</v>
      </c>
      <c r="S1673" s="2" t="s">
        <v>100</v>
      </c>
      <c r="T1673" s="2" t="s">
        <v>39</v>
      </c>
      <c r="U1673" s="2">
        <v>60</v>
      </c>
      <c r="V1673" s="2">
        <v>1684</v>
      </c>
      <c r="W1673" s="2">
        <v>11821.68</v>
      </c>
      <c r="X1673" s="2">
        <v>7.02</v>
      </c>
      <c r="Y1673" s="2">
        <v>0.12</v>
      </c>
      <c r="AB1673">
        <v>1</v>
      </c>
      <c r="AC1673">
        <v>2011</v>
      </c>
      <c r="AE1673" s="2">
        <v>202.07999999999998</v>
      </c>
    </row>
    <row r="1674" spans="2:31" ht="14.5">
      <c r="B1674" s="2">
        <v>86405</v>
      </c>
      <c r="C1674" s="2" t="s">
        <v>1772</v>
      </c>
      <c r="D1674" s="2" t="s">
        <v>1773</v>
      </c>
      <c r="E1674" s="2" t="s">
        <v>118</v>
      </c>
      <c r="F1674" s="2" t="s">
        <v>29</v>
      </c>
      <c r="G1674" s="2" t="s">
        <v>30</v>
      </c>
      <c r="H1674" s="2" t="s">
        <v>218</v>
      </c>
      <c r="I1674" s="2" t="s">
        <v>219</v>
      </c>
      <c r="J1674" s="2" t="s">
        <v>220</v>
      </c>
      <c r="K1674" s="2" t="s">
        <v>267</v>
      </c>
      <c r="L1674" s="3"/>
      <c r="M1674" s="3">
        <v>40760</v>
      </c>
      <c r="N1674" s="3">
        <v>40779</v>
      </c>
      <c r="O1674" s="3">
        <v>40779</v>
      </c>
      <c r="P1674" s="2" t="s">
        <v>706</v>
      </c>
      <c r="Q1674" s="2" t="s">
        <v>707</v>
      </c>
      <c r="R1674" s="2" t="s">
        <v>37</v>
      </c>
      <c r="S1674" s="2" t="s">
        <v>708</v>
      </c>
      <c r="T1674" s="2" t="s">
        <v>47</v>
      </c>
      <c r="U1674" s="2">
        <v>30</v>
      </c>
      <c r="V1674" s="2">
        <v>30000</v>
      </c>
      <c r="W1674" s="2">
        <v>246900</v>
      </c>
      <c r="X1674" s="2">
        <v>8.23</v>
      </c>
      <c r="Y1674" s="2">
        <v>0.27</v>
      </c>
      <c r="AB1674">
        <v>0</v>
      </c>
      <c r="AC1674">
        <v>2011</v>
      </c>
      <c r="AE1674" s="2">
        <v>8100.0000000000009</v>
      </c>
    </row>
    <row r="1675" spans="2:31" ht="14.5">
      <c r="B1675" s="2">
        <v>86408</v>
      </c>
      <c r="C1675" s="2" t="s">
        <v>2728</v>
      </c>
      <c r="D1675" s="2" t="s">
        <v>2729</v>
      </c>
      <c r="E1675" s="2" t="s">
        <v>118</v>
      </c>
      <c r="F1675" s="2" t="s">
        <v>29</v>
      </c>
      <c r="G1675" s="2" t="s">
        <v>30</v>
      </c>
      <c r="H1675" s="2" t="s">
        <v>218</v>
      </c>
      <c r="I1675" s="2" t="s">
        <v>219</v>
      </c>
      <c r="J1675" s="2" t="s">
        <v>220</v>
      </c>
      <c r="K1675" s="2" t="s">
        <v>267</v>
      </c>
      <c r="L1675" s="3"/>
      <c r="M1675" s="3">
        <v>40806</v>
      </c>
      <c r="N1675" s="3">
        <v>40792</v>
      </c>
      <c r="O1675" s="3">
        <v>40792</v>
      </c>
      <c r="P1675" s="2" t="s">
        <v>749</v>
      </c>
      <c r="Q1675" s="2" t="s">
        <v>76</v>
      </c>
      <c r="R1675" s="2" t="s">
        <v>37</v>
      </c>
      <c r="S1675" s="2" t="s">
        <v>78</v>
      </c>
      <c r="T1675" s="2" t="s">
        <v>47</v>
      </c>
      <c r="U1675" s="2">
        <v>30</v>
      </c>
      <c r="V1675" s="2">
        <v>3360</v>
      </c>
      <c r="W1675" s="2">
        <v>66931.199999999997</v>
      </c>
      <c r="X1675" s="2">
        <v>19.920000000000002</v>
      </c>
      <c r="Y1675" s="2">
        <v>0.66</v>
      </c>
      <c r="Z1675" s="2">
        <v>617</v>
      </c>
      <c r="AA1675" s="2">
        <v>2886.92</v>
      </c>
      <c r="AB1675">
        <v>1</v>
      </c>
      <c r="AC1675">
        <v>2011</v>
      </c>
      <c r="AE1675" s="2">
        <v>2217.6</v>
      </c>
    </row>
    <row r="1676" spans="2:31" ht="14.5">
      <c r="B1676" s="2">
        <v>86411</v>
      </c>
      <c r="C1676" s="2" t="s">
        <v>2602</v>
      </c>
      <c r="D1676" s="2" t="s">
        <v>2603</v>
      </c>
      <c r="E1676" s="2" t="s">
        <v>118</v>
      </c>
      <c r="F1676" s="2" t="s">
        <v>29</v>
      </c>
      <c r="G1676" s="2" t="s">
        <v>30</v>
      </c>
      <c r="H1676" s="2" t="s">
        <v>218</v>
      </c>
      <c r="I1676" s="2" t="s">
        <v>219</v>
      </c>
      <c r="J1676" s="2" t="s">
        <v>220</v>
      </c>
      <c r="K1676" s="2" t="s">
        <v>267</v>
      </c>
      <c r="L1676" s="3"/>
      <c r="M1676" s="3">
        <v>40816</v>
      </c>
      <c r="N1676" s="3">
        <v>40812</v>
      </c>
      <c r="O1676" s="3">
        <v>40812</v>
      </c>
      <c r="P1676" s="2" t="s">
        <v>95</v>
      </c>
      <c r="Q1676" s="2" t="s">
        <v>96</v>
      </c>
      <c r="R1676" s="2" t="s">
        <v>37</v>
      </c>
      <c r="S1676" s="2" t="s">
        <v>97</v>
      </c>
      <c r="T1676" s="2" t="s">
        <v>39</v>
      </c>
      <c r="U1676" s="2">
        <v>30</v>
      </c>
      <c r="V1676" s="2">
        <v>2688</v>
      </c>
      <c r="W1676" s="2">
        <v>11343.36</v>
      </c>
      <c r="X1676" s="2">
        <v>4.22</v>
      </c>
      <c r="Y1676" s="2">
        <v>0.14000000000000001</v>
      </c>
      <c r="AB1676">
        <v>1</v>
      </c>
      <c r="AC1676">
        <v>2011</v>
      </c>
      <c r="AE1676" s="2">
        <v>376.32000000000005</v>
      </c>
    </row>
    <row r="1677" spans="2:31" ht="14.5">
      <c r="B1677" s="2">
        <v>86419</v>
      </c>
      <c r="C1677" s="2" t="s">
        <v>2730</v>
      </c>
      <c r="D1677" s="2" t="s">
        <v>2731</v>
      </c>
      <c r="E1677" s="2" t="s">
        <v>28</v>
      </c>
      <c r="F1677" s="2" t="s">
        <v>29</v>
      </c>
      <c r="G1677" s="2" t="s">
        <v>50</v>
      </c>
      <c r="H1677" s="2" t="s">
        <v>218</v>
      </c>
      <c r="I1677" s="2" t="s">
        <v>219</v>
      </c>
      <c r="J1677" s="2" t="s">
        <v>220</v>
      </c>
      <c r="K1677" s="2" t="s">
        <v>267</v>
      </c>
      <c r="L1677" s="3"/>
      <c r="M1677" s="3">
        <v>40906</v>
      </c>
      <c r="N1677" s="3">
        <v>40862</v>
      </c>
      <c r="O1677" s="3">
        <v>40862</v>
      </c>
      <c r="P1677" s="2" t="s">
        <v>740</v>
      </c>
      <c r="Q1677" s="2" t="s">
        <v>36</v>
      </c>
      <c r="R1677" s="2" t="s">
        <v>37</v>
      </c>
      <c r="S1677" s="2" t="s">
        <v>226</v>
      </c>
      <c r="T1677" s="2" t="s">
        <v>526</v>
      </c>
      <c r="U1677" s="2">
        <v>240</v>
      </c>
      <c r="V1677" s="2">
        <v>2374</v>
      </c>
      <c r="W1677" s="2">
        <v>4629.3</v>
      </c>
      <c r="X1677" s="2">
        <v>1.95</v>
      </c>
      <c r="Y1677" s="2">
        <v>0.01</v>
      </c>
      <c r="Z1677" s="2">
        <v>888</v>
      </c>
      <c r="AA1677" s="2">
        <v>4417.96</v>
      </c>
      <c r="AB1677">
        <v>1</v>
      </c>
      <c r="AC1677">
        <v>2011</v>
      </c>
      <c r="AE1677" s="2">
        <v>23.740000000000002</v>
      </c>
    </row>
    <row r="1678" spans="2:31" ht="14.5">
      <c r="B1678" s="2">
        <v>86423</v>
      </c>
      <c r="C1678" s="2" t="s">
        <v>2200</v>
      </c>
      <c r="D1678" s="2" t="s">
        <v>2201</v>
      </c>
      <c r="E1678" s="2" t="s">
        <v>118</v>
      </c>
      <c r="F1678" s="2" t="s">
        <v>29</v>
      </c>
      <c r="G1678" s="2" t="s">
        <v>30</v>
      </c>
      <c r="H1678" s="2" t="s">
        <v>218</v>
      </c>
      <c r="I1678" s="2" t="s">
        <v>219</v>
      </c>
      <c r="J1678" s="2" t="s">
        <v>220</v>
      </c>
      <c r="K1678" s="2" t="s">
        <v>267</v>
      </c>
      <c r="L1678" s="3"/>
      <c r="M1678" s="3">
        <v>40917</v>
      </c>
      <c r="N1678" s="3">
        <v>40878</v>
      </c>
      <c r="O1678" s="3">
        <v>40878</v>
      </c>
      <c r="P1678" s="2" t="s">
        <v>112</v>
      </c>
      <c r="Q1678" s="2" t="s">
        <v>113</v>
      </c>
      <c r="R1678" s="2" t="s">
        <v>37</v>
      </c>
      <c r="S1678" s="2" t="s">
        <v>114</v>
      </c>
      <c r="T1678" s="2" t="s">
        <v>47</v>
      </c>
      <c r="U1678" s="2">
        <v>60</v>
      </c>
      <c r="V1678" s="2">
        <v>35000</v>
      </c>
      <c r="W1678" s="2">
        <v>385000</v>
      </c>
      <c r="X1678" s="2">
        <v>11</v>
      </c>
      <c r="Y1678" s="2">
        <v>0.18</v>
      </c>
      <c r="AB1678">
        <v>1</v>
      </c>
      <c r="AC1678">
        <v>2011</v>
      </c>
      <c r="AE1678" s="2">
        <v>6300</v>
      </c>
    </row>
    <row r="1679" spans="2:31" ht="14.5">
      <c r="B1679" s="2">
        <v>86424</v>
      </c>
      <c r="C1679" s="2" t="s">
        <v>2200</v>
      </c>
      <c r="D1679" s="2" t="s">
        <v>2201</v>
      </c>
      <c r="E1679" s="2" t="s">
        <v>118</v>
      </c>
      <c r="F1679" s="2" t="s">
        <v>29</v>
      </c>
      <c r="G1679" s="2" t="s">
        <v>30</v>
      </c>
      <c r="H1679" s="2" t="s">
        <v>218</v>
      </c>
      <c r="I1679" s="2" t="s">
        <v>219</v>
      </c>
      <c r="J1679" s="2" t="s">
        <v>220</v>
      </c>
      <c r="K1679" s="2" t="s">
        <v>267</v>
      </c>
      <c r="L1679" s="3"/>
      <c r="M1679" s="3">
        <v>40917</v>
      </c>
      <c r="N1679" s="3">
        <v>40878</v>
      </c>
      <c r="O1679" s="3">
        <v>40878</v>
      </c>
      <c r="P1679" s="2" t="s">
        <v>35</v>
      </c>
      <c r="Q1679" s="2" t="s">
        <v>36</v>
      </c>
      <c r="R1679" s="2" t="s">
        <v>37</v>
      </c>
      <c r="S1679" s="2" t="s">
        <v>38</v>
      </c>
      <c r="T1679" s="2" t="s">
        <v>39</v>
      </c>
      <c r="U1679" s="2">
        <v>60</v>
      </c>
      <c r="V1679" s="2">
        <v>4466</v>
      </c>
      <c r="W1679" s="2">
        <v>11522.28</v>
      </c>
      <c r="X1679" s="2">
        <v>2.58</v>
      </c>
      <c r="Y1679" s="2">
        <v>0.04</v>
      </c>
      <c r="AB1679">
        <v>1</v>
      </c>
      <c r="AC1679">
        <v>2011</v>
      </c>
      <c r="AE1679" s="2">
        <v>178.64000000000001</v>
      </c>
    </row>
    <row r="1680" spans="2:31" ht="14.5">
      <c r="B1680" s="2">
        <v>86425</v>
      </c>
      <c r="C1680" s="2" t="s">
        <v>2732</v>
      </c>
      <c r="D1680" s="2" t="s">
        <v>2733</v>
      </c>
      <c r="E1680" s="2" t="s">
        <v>42</v>
      </c>
      <c r="F1680" s="2" t="s">
        <v>29</v>
      </c>
      <c r="G1680" s="2" t="s">
        <v>50</v>
      </c>
      <c r="H1680" s="2" t="s">
        <v>218</v>
      </c>
      <c r="I1680" s="2" t="s">
        <v>219</v>
      </c>
      <c r="J1680" s="2" t="s">
        <v>220</v>
      </c>
      <c r="K1680" s="2" t="s">
        <v>34</v>
      </c>
      <c r="L1680" s="3"/>
      <c r="M1680" s="3">
        <v>40882</v>
      </c>
      <c r="N1680" s="3">
        <v>40867</v>
      </c>
      <c r="O1680" s="3">
        <v>40867</v>
      </c>
      <c r="P1680" s="2" t="s">
        <v>1564</v>
      </c>
      <c r="Q1680" s="2" t="s">
        <v>99</v>
      </c>
      <c r="R1680" s="2" t="s">
        <v>37</v>
      </c>
      <c r="S1680" s="2" t="s">
        <v>172</v>
      </c>
      <c r="T1680" s="2" t="s">
        <v>87</v>
      </c>
      <c r="U1680" s="2">
        <v>240</v>
      </c>
      <c r="V1680" s="2">
        <v>580</v>
      </c>
      <c r="W1680" s="2">
        <v>7250</v>
      </c>
      <c r="X1680" s="2">
        <v>12.5</v>
      </c>
      <c r="Y1680" s="2">
        <v>0.05</v>
      </c>
      <c r="Z1680" s="2">
        <v>214</v>
      </c>
      <c r="AA1680" s="2">
        <v>2057.1999999999998</v>
      </c>
      <c r="AB1680">
        <v>1</v>
      </c>
      <c r="AC1680">
        <v>2011</v>
      </c>
      <c r="AE1680" s="2">
        <v>29</v>
      </c>
    </row>
    <row r="1681" spans="2:31" ht="14.5">
      <c r="B1681" s="2">
        <v>86433</v>
      </c>
      <c r="C1681" s="2" t="s">
        <v>2734</v>
      </c>
      <c r="D1681" s="2" t="s">
        <v>2735</v>
      </c>
      <c r="E1681" s="2" t="s">
        <v>118</v>
      </c>
      <c r="F1681" s="2" t="s">
        <v>29</v>
      </c>
      <c r="G1681" s="2" t="s">
        <v>30</v>
      </c>
      <c r="H1681" s="2" t="s">
        <v>218</v>
      </c>
      <c r="I1681" s="2" t="s">
        <v>219</v>
      </c>
      <c r="J1681" s="2" t="s">
        <v>220</v>
      </c>
      <c r="K1681" s="2" t="s">
        <v>267</v>
      </c>
      <c r="L1681" s="3"/>
      <c r="M1681" s="3">
        <v>40955</v>
      </c>
      <c r="N1681" s="3">
        <v>40942</v>
      </c>
      <c r="O1681" s="3">
        <v>40942</v>
      </c>
      <c r="P1681" s="2" t="s">
        <v>44</v>
      </c>
      <c r="Q1681" s="2" t="s">
        <v>45</v>
      </c>
      <c r="R1681" s="2" t="s">
        <v>37</v>
      </c>
      <c r="S1681" s="2" t="s">
        <v>46</v>
      </c>
      <c r="T1681" s="2" t="s">
        <v>47</v>
      </c>
      <c r="U1681" s="2">
        <v>60</v>
      </c>
      <c r="V1681" s="2">
        <v>18528</v>
      </c>
      <c r="W1681" s="2">
        <v>153041.28</v>
      </c>
      <c r="X1681" s="2">
        <v>8.26</v>
      </c>
      <c r="Y1681" s="2">
        <v>0.14000000000000001</v>
      </c>
      <c r="Z1681" s="2">
        <v>1713</v>
      </c>
      <c r="AA1681" s="2">
        <v>15672.8</v>
      </c>
      <c r="AB1681">
        <v>1</v>
      </c>
      <c r="AC1681">
        <v>2012</v>
      </c>
      <c r="AE1681" s="2">
        <v>2593.92</v>
      </c>
    </row>
    <row r="1682" spans="2:31" ht="14.5">
      <c r="B1682" s="2">
        <v>86453</v>
      </c>
      <c r="C1682" s="2" t="s">
        <v>2736</v>
      </c>
      <c r="D1682" s="2" t="s">
        <v>2737</v>
      </c>
      <c r="E1682" s="2" t="s">
        <v>28</v>
      </c>
      <c r="F1682" s="2" t="s">
        <v>29</v>
      </c>
      <c r="G1682" s="2" t="s">
        <v>30</v>
      </c>
      <c r="H1682" s="2" t="s">
        <v>218</v>
      </c>
      <c r="I1682" s="2" t="s">
        <v>219</v>
      </c>
      <c r="J1682" s="2" t="s">
        <v>220</v>
      </c>
      <c r="K1682" s="2" t="s">
        <v>267</v>
      </c>
      <c r="L1682" s="3"/>
      <c r="M1682" s="3">
        <v>40998</v>
      </c>
      <c r="N1682" s="3">
        <v>40953</v>
      </c>
      <c r="O1682" s="3">
        <v>40953</v>
      </c>
      <c r="P1682" s="2" t="s">
        <v>44</v>
      </c>
      <c r="Q1682" s="2" t="s">
        <v>45</v>
      </c>
      <c r="R1682" s="2" t="s">
        <v>37</v>
      </c>
      <c r="S1682" s="2" t="s">
        <v>46</v>
      </c>
      <c r="T1682" s="2" t="s">
        <v>47</v>
      </c>
      <c r="U1682" s="2">
        <v>60</v>
      </c>
      <c r="V1682" s="2">
        <v>233630</v>
      </c>
      <c r="W1682" s="2">
        <v>1929783.8</v>
      </c>
      <c r="X1682" s="2">
        <v>8.26</v>
      </c>
      <c r="Y1682" s="2">
        <v>0.14000000000000001</v>
      </c>
      <c r="Z1682" s="2">
        <v>21394</v>
      </c>
      <c r="AA1682" s="2">
        <v>13590.64</v>
      </c>
      <c r="AB1682">
        <v>1</v>
      </c>
      <c r="AC1682">
        <v>2012</v>
      </c>
      <c r="AE1682" s="2">
        <v>32708.200000000004</v>
      </c>
    </row>
    <row r="1683" spans="2:31" ht="14.5">
      <c r="B1683" s="2">
        <v>86454</v>
      </c>
      <c r="C1683" s="2" t="s">
        <v>2738</v>
      </c>
      <c r="D1683" s="2" t="s">
        <v>2739</v>
      </c>
      <c r="E1683" s="2" t="s">
        <v>118</v>
      </c>
      <c r="F1683" s="2" t="s">
        <v>29</v>
      </c>
      <c r="G1683" s="2" t="s">
        <v>30</v>
      </c>
      <c r="H1683" s="2" t="s">
        <v>218</v>
      </c>
      <c r="I1683" s="2" t="s">
        <v>219</v>
      </c>
      <c r="J1683" s="2" t="s">
        <v>220</v>
      </c>
      <c r="K1683" s="2" t="s">
        <v>267</v>
      </c>
      <c r="L1683" s="3"/>
      <c r="M1683" s="3">
        <v>40987</v>
      </c>
      <c r="N1683" s="3">
        <v>40954</v>
      </c>
      <c r="O1683" s="3">
        <v>40954</v>
      </c>
      <c r="P1683" s="2" t="s">
        <v>35</v>
      </c>
      <c r="Q1683" s="2" t="s">
        <v>36</v>
      </c>
      <c r="R1683" s="2" t="s">
        <v>37</v>
      </c>
      <c r="S1683" s="2" t="s">
        <v>38</v>
      </c>
      <c r="T1683" s="2" t="s">
        <v>39</v>
      </c>
      <c r="U1683" s="2">
        <v>60</v>
      </c>
      <c r="V1683" s="2">
        <v>19705</v>
      </c>
      <c r="W1683" s="2">
        <v>50838.9</v>
      </c>
      <c r="X1683" s="2">
        <v>2.58</v>
      </c>
      <c r="Y1683" s="2">
        <v>0.04</v>
      </c>
      <c r="Z1683" s="2">
        <v>1095</v>
      </c>
      <c r="AA1683" s="2">
        <v>4405.24</v>
      </c>
      <c r="AB1683">
        <v>1</v>
      </c>
      <c r="AC1683">
        <v>2012</v>
      </c>
      <c r="AE1683" s="2">
        <v>788.2</v>
      </c>
    </row>
    <row r="1684" spans="2:31" ht="14.5">
      <c r="B1684" s="2">
        <v>86459</v>
      </c>
      <c r="C1684" s="2" t="s">
        <v>1792</v>
      </c>
      <c r="D1684" s="2" t="s">
        <v>1793</v>
      </c>
      <c r="E1684" s="2" t="s">
        <v>1581</v>
      </c>
      <c r="F1684" s="2" t="s">
        <v>29</v>
      </c>
      <c r="G1684" s="2" t="s">
        <v>30</v>
      </c>
      <c r="H1684" s="2" t="s">
        <v>218</v>
      </c>
      <c r="I1684" s="2" t="s">
        <v>219</v>
      </c>
      <c r="J1684" s="2" t="s">
        <v>220</v>
      </c>
      <c r="K1684" s="2" t="s">
        <v>34</v>
      </c>
      <c r="L1684" s="3"/>
      <c r="M1684" s="3">
        <v>41025</v>
      </c>
      <c r="N1684" s="3">
        <v>41033</v>
      </c>
      <c r="O1684" s="3">
        <v>41033</v>
      </c>
      <c r="P1684" s="2" t="s">
        <v>44</v>
      </c>
      <c r="Q1684" s="2" t="s">
        <v>45</v>
      </c>
      <c r="R1684" s="2" t="s">
        <v>37</v>
      </c>
      <c r="S1684" s="2" t="s">
        <v>46</v>
      </c>
      <c r="T1684" s="2" t="s">
        <v>47</v>
      </c>
      <c r="U1684" s="2">
        <v>60</v>
      </c>
      <c r="V1684" s="2">
        <v>25240</v>
      </c>
      <c r="W1684" s="2">
        <v>201920</v>
      </c>
      <c r="X1684" s="2">
        <v>8</v>
      </c>
      <c r="Y1684" s="2">
        <v>0.13</v>
      </c>
      <c r="AB1684">
        <v>0</v>
      </c>
      <c r="AC1684">
        <v>2012</v>
      </c>
      <c r="AE1684" s="2">
        <v>3281.2000000000003</v>
      </c>
    </row>
    <row r="1685" spans="2:31" ht="14.5">
      <c r="B1685" s="2">
        <v>86460</v>
      </c>
      <c r="C1685" s="2" t="s">
        <v>1792</v>
      </c>
      <c r="D1685" s="2" t="s">
        <v>1793</v>
      </c>
      <c r="E1685" s="2" t="s">
        <v>1581</v>
      </c>
      <c r="F1685" s="2" t="s">
        <v>29</v>
      </c>
      <c r="G1685" s="2" t="s">
        <v>30</v>
      </c>
      <c r="H1685" s="2" t="s">
        <v>218</v>
      </c>
      <c r="I1685" s="2" t="s">
        <v>219</v>
      </c>
      <c r="J1685" s="2" t="s">
        <v>220</v>
      </c>
      <c r="K1685" s="2" t="s">
        <v>34</v>
      </c>
      <c r="L1685" s="3"/>
      <c r="M1685" s="3">
        <v>41025</v>
      </c>
      <c r="N1685" s="3">
        <v>41033</v>
      </c>
      <c r="O1685" s="3">
        <v>41033</v>
      </c>
      <c r="P1685" s="2" t="s">
        <v>98</v>
      </c>
      <c r="Q1685" s="2" t="s">
        <v>99</v>
      </c>
      <c r="R1685" s="2" t="s">
        <v>37</v>
      </c>
      <c r="S1685" s="2" t="s">
        <v>100</v>
      </c>
      <c r="T1685" s="2" t="s">
        <v>39</v>
      </c>
      <c r="U1685" s="2">
        <v>60</v>
      </c>
      <c r="V1685" s="2">
        <v>350</v>
      </c>
      <c r="W1685" s="2">
        <v>5120.5</v>
      </c>
      <c r="X1685" s="2">
        <v>14.63</v>
      </c>
      <c r="Y1685" s="2">
        <v>0.24</v>
      </c>
      <c r="AB1685">
        <v>0</v>
      </c>
      <c r="AC1685">
        <v>2012</v>
      </c>
      <c r="AE1685" s="2">
        <v>84</v>
      </c>
    </row>
    <row r="1686" spans="2:31" ht="14.5">
      <c r="B1686" s="2">
        <v>86461</v>
      </c>
      <c r="C1686" s="2" t="s">
        <v>2740</v>
      </c>
      <c r="D1686" s="2" t="s">
        <v>2741</v>
      </c>
      <c r="E1686" s="2" t="s">
        <v>118</v>
      </c>
      <c r="F1686" s="2" t="s">
        <v>29</v>
      </c>
      <c r="G1686" s="2" t="s">
        <v>30</v>
      </c>
      <c r="H1686" s="2" t="s">
        <v>218</v>
      </c>
      <c r="I1686" s="2" t="s">
        <v>219</v>
      </c>
      <c r="J1686" s="2" t="s">
        <v>220</v>
      </c>
      <c r="K1686" s="2" t="s">
        <v>267</v>
      </c>
      <c r="L1686" s="3"/>
      <c r="M1686" s="3">
        <v>41023</v>
      </c>
      <c r="N1686" s="3">
        <v>41002</v>
      </c>
      <c r="O1686" s="3">
        <v>41002</v>
      </c>
      <c r="P1686" s="2" t="s">
        <v>95</v>
      </c>
      <c r="Q1686" s="2" t="s">
        <v>96</v>
      </c>
      <c r="R1686" s="2" t="s">
        <v>37</v>
      </c>
      <c r="S1686" s="2" t="s">
        <v>97</v>
      </c>
      <c r="T1686" s="2" t="s">
        <v>39</v>
      </c>
      <c r="U1686" s="2">
        <v>30</v>
      </c>
      <c r="V1686" s="2">
        <v>1150</v>
      </c>
      <c r="W1686" s="2">
        <v>4738</v>
      </c>
      <c r="X1686" s="2">
        <v>4.12</v>
      </c>
      <c r="Y1686" s="2">
        <v>0.14000000000000001</v>
      </c>
      <c r="Z1686" s="2">
        <v>70</v>
      </c>
      <c r="AA1686" s="2">
        <v>1494.6</v>
      </c>
      <c r="AB1686">
        <v>1</v>
      </c>
      <c r="AC1686">
        <v>2012</v>
      </c>
      <c r="AE1686" s="2">
        <v>161.00000000000003</v>
      </c>
    </row>
    <row r="1687" spans="2:31" ht="14.5">
      <c r="B1687" s="2">
        <v>86463</v>
      </c>
      <c r="C1687" s="2" t="s">
        <v>1794</v>
      </c>
      <c r="D1687" s="2" t="s">
        <v>1795</v>
      </c>
      <c r="E1687" s="2" t="s">
        <v>118</v>
      </c>
      <c r="F1687" s="2" t="s">
        <v>29</v>
      </c>
      <c r="G1687" s="2" t="s">
        <v>30</v>
      </c>
      <c r="H1687" s="2" t="s">
        <v>218</v>
      </c>
      <c r="I1687" s="2" t="s">
        <v>219</v>
      </c>
      <c r="J1687" s="2" t="s">
        <v>220</v>
      </c>
      <c r="K1687" s="2" t="s">
        <v>34</v>
      </c>
      <c r="L1687" s="3"/>
      <c r="M1687" s="3">
        <v>41032</v>
      </c>
      <c r="N1687" s="3">
        <v>40995</v>
      </c>
      <c r="O1687" s="3">
        <v>40995</v>
      </c>
      <c r="P1687" s="2" t="s">
        <v>164</v>
      </c>
      <c r="Q1687" s="2" t="s">
        <v>165</v>
      </c>
      <c r="R1687" s="2" t="s">
        <v>37</v>
      </c>
      <c r="S1687" s="2" t="s">
        <v>166</v>
      </c>
      <c r="T1687" s="2" t="s">
        <v>39</v>
      </c>
      <c r="U1687" s="2">
        <v>60</v>
      </c>
      <c r="V1687" s="2">
        <v>1614</v>
      </c>
      <c r="W1687" s="2">
        <v>3760.62</v>
      </c>
      <c r="X1687" s="2">
        <v>2.33</v>
      </c>
      <c r="Y1687" s="2">
        <v>0.04</v>
      </c>
      <c r="AB1687">
        <v>1</v>
      </c>
      <c r="AC1687">
        <v>2012</v>
      </c>
      <c r="AE1687" s="2">
        <v>64.56</v>
      </c>
    </row>
    <row r="1688" spans="2:31" ht="14.5">
      <c r="B1688" s="2">
        <v>86469</v>
      </c>
      <c r="C1688" s="2" t="s">
        <v>2742</v>
      </c>
      <c r="D1688" s="2" t="s">
        <v>2743</v>
      </c>
      <c r="E1688" s="2" t="s">
        <v>42</v>
      </c>
      <c r="F1688" s="2" t="s">
        <v>29</v>
      </c>
      <c r="G1688" s="2" t="s">
        <v>30</v>
      </c>
      <c r="H1688" s="2" t="s">
        <v>218</v>
      </c>
      <c r="I1688" s="2" t="s">
        <v>219</v>
      </c>
      <c r="J1688" s="2" t="s">
        <v>220</v>
      </c>
      <c r="K1688" s="2" t="s">
        <v>34</v>
      </c>
      <c r="L1688" s="3"/>
      <c r="M1688" s="3">
        <v>41025</v>
      </c>
      <c r="N1688" s="3">
        <v>41007</v>
      </c>
      <c r="O1688" s="3">
        <v>41007</v>
      </c>
      <c r="P1688" s="2" t="s">
        <v>95</v>
      </c>
      <c r="Q1688" s="2" t="s">
        <v>96</v>
      </c>
      <c r="R1688" s="2" t="s">
        <v>37</v>
      </c>
      <c r="S1688" s="2" t="s">
        <v>97</v>
      </c>
      <c r="T1688" s="2" t="s">
        <v>39</v>
      </c>
      <c r="U1688" s="2">
        <v>30</v>
      </c>
      <c r="V1688" s="2">
        <v>26962</v>
      </c>
      <c r="W1688" s="2">
        <v>111083.44</v>
      </c>
      <c r="X1688" s="2">
        <v>4.12</v>
      </c>
      <c r="Y1688" s="2">
        <v>0.14000000000000001</v>
      </c>
      <c r="Z1688" s="2">
        <v>1638</v>
      </c>
      <c r="AA1688" s="2">
        <v>18446.919999999998</v>
      </c>
      <c r="AB1688">
        <v>1</v>
      </c>
      <c r="AC1688">
        <v>2012</v>
      </c>
      <c r="AE1688" s="2">
        <v>3774.6800000000003</v>
      </c>
    </row>
    <row r="1689" spans="2:31" ht="14.5">
      <c r="B1689" s="2">
        <v>86477</v>
      </c>
      <c r="C1689" s="2" t="s">
        <v>2744</v>
      </c>
      <c r="D1689" s="2" t="s">
        <v>2745</v>
      </c>
      <c r="E1689" s="2" t="s">
        <v>42</v>
      </c>
      <c r="F1689" s="2" t="s">
        <v>29</v>
      </c>
      <c r="G1689" s="2" t="s">
        <v>30</v>
      </c>
      <c r="H1689" s="2" t="s">
        <v>218</v>
      </c>
      <c r="I1689" s="2" t="s">
        <v>219</v>
      </c>
      <c r="J1689" s="2" t="s">
        <v>220</v>
      </c>
      <c r="K1689" s="2" t="s">
        <v>34</v>
      </c>
      <c r="L1689" s="3"/>
      <c r="M1689" s="3">
        <v>41145</v>
      </c>
      <c r="N1689" s="3">
        <v>41064</v>
      </c>
      <c r="O1689" s="3">
        <v>41064</v>
      </c>
      <c r="P1689" s="2" t="s">
        <v>98</v>
      </c>
      <c r="Q1689" s="2" t="s">
        <v>99</v>
      </c>
      <c r="R1689" s="2" t="s">
        <v>37</v>
      </c>
      <c r="S1689" s="2" t="s">
        <v>100</v>
      </c>
      <c r="T1689" s="2" t="s">
        <v>39</v>
      </c>
      <c r="U1689" s="2">
        <v>60</v>
      </c>
      <c r="V1689" s="2">
        <v>5232</v>
      </c>
      <c r="W1689" s="2">
        <v>68800.800000000003</v>
      </c>
      <c r="X1689" s="2">
        <v>13.15</v>
      </c>
      <c r="Y1689" s="2">
        <v>0.22</v>
      </c>
      <c r="Z1689" s="2">
        <v>526</v>
      </c>
      <c r="AA1689" s="2">
        <v>9994.57</v>
      </c>
      <c r="AB1689">
        <v>1</v>
      </c>
      <c r="AC1689">
        <v>2012</v>
      </c>
      <c r="AE1689" s="2">
        <v>1151.04</v>
      </c>
    </row>
    <row r="1690" spans="2:31" ht="14.5">
      <c r="B1690" s="2">
        <v>86478</v>
      </c>
      <c r="C1690" s="2" t="s">
        <v>1798</v>
      </c>
      <c r="D1690" s="2" t="s">
        <v>1799</v>
      </c>
      <c r="E1690" s="2" t="s">
        <v>118</v>
      </c>
      <c r="F1690" s="2" t="s">
        <v>29</v>
      </c>
      <c r="G1690" s="2" t="s">
        <v>30</v>
      </c>
      <c r="H1690" s="2" t="s">
        <v>218</v>
      </c>
      <c r="I1690" s="2" t="s">
        <v>219</v>
      </c>
      <c r="J1690" s="2" t="s">
        <v>220</v>
      </c>
      <c r="K1690" s="2" t="s">
        <v>267</v>
      </c>
      <c r="L1690" s="3"/>
      <c r="M1690" s="3">
        <v>41138</v>
      </c>
      <c r="N1690" s="3">
        <v>41068</v>
      </c>
      <c r="O1690" s="3">
        <v>41068</v>
      </c>
      <c r="P1690" s="2" t="s">
        <v>44</v>
      </c>
      <c r="Q1690" s="2" t="s">
        <v>45</v>
      </c>
      <c r="R1690" s="2" t="s">
        <v>37</v>
      </c>
      <c r="S1690" s="2" t="s">
        <v>46</v>
      </c>
      <c r="T1690" s="2" t="s">
        <v>47</v>
      </c>
      <c r="U1690" s="2">
        <v>60</v>
      </c>
      <c r="V1690" s="2">
        <v>18518</v>
      </c>
      <c r="W1690" s="2">
        <v>144070.04</v>
      </c>
      <c r="X1690" s="2">
        <v>7.78</v>
      </c>
      <c r="Y1690" s="2">
        <v>0.13</v>
      </c>
      <c r="AB1690">
        <v>1</v>
      </c>
      <c r="AC1690">
        <v>2012</v>
      </c>
      <c r="AE1690" s="2">
        <v>2407.34</v>
      </c>
    </row>
    <row r="1691" spans="2:31" ht="14.5">
      <c r="B1691" s="2">
        <v>86488</v>
      </c>
      <c r="C1691" s="2" t="s">
        <v>2746</v>
      </c>
      <c r="D1691" s="2" t="s">
        <v>2747</v>
      </c>
      <c r="E1691" s="2" t="s">
        <v>28</v>
      </c>
      <c r="F1691" s="2" t="s">
        <v>29</v>
      </c>
      <c r="G1691" s="2" t="s">
        <v>50</v>
      </c>
      <c r="H1691" s="2" t="s">
        <v>218</v>
      </c>
      <c r="I1691" s="2" t="s">
        <v>219</v>
      </c>
      <c r="J1691" s="2" t="s">
        <v>220</v>
      </c>
      <c r="K1691" s="2" t="s">
        <v>267</v>
      </c>
      <c r="L1691" s="3"/>
      <c r="M1691" s="3">
        <v>41128</v>
      </c>
      <c r="N1691" s="3">
        <v>41115</v>
      </c>
      <c r="O1691" s="3">
        <v>41115</v>
      </c>
      <c r="P1691" s="2" t="s">
        <v>740</v>
      </c>
      <c r="Q1691" s="2" t="s">
        <v>36</v>
      </c>
      <c r="R1691" s="2" t="s">
        <v>37</v>
      </c>
      <c r="S1691" s="2" t="s">
        <v>226</v>
      </c>
      <c r="T1691" s="2" t="s">
        <v>526</v>
      </c>
      <c r="U1691" s="2">
        <v>240</v>
      </c>
      <c r="V1691" s="2">
        <v>26439</v>
      </c>
      <c r="W1691" s="2">
        <v>51556.05</v>
      </c>
      <c r="X1691" s="2">
        <v>1.95</v>
      </c>
      <c r="Y1691" s="2">
        <v>0.01</v>
      </c>
      <c r="Z1691" s="2">
        <v>9907</v>
      </c>
      <c r="AA1691" s="2">
        <v>3853.89</v>
      </c>
      <c r="AB1691">
        <v>1</v>
      </c>
      <c r="AC1691">
        <v>2012</v>
      </c>
      <c r="AE1691" s="2">
        <v>264.39</v>
      </c>
    </row>
    <row r="1692" spans="2:31" ht="14.5">
      <c r="B1692" s="2">
        <v>86494</v>
      </c>
      <c r="C1692" s="2" t="s">
        <v>2021</v>
      </c>
      <c r="D1692" s="2" t="s">
        <v>2022</v>
      </c>
      <c r="E1692" s="2" t="s">
        <v>28</v>
      </c>
      <c r="F1692" s="2" t="s">
        <v>29</v>
      </c>
      <c r="G1692" s="2" t="s">
        <v>30</v>
      </c>
      <c r="H1692" s="2" t="s">
        <v>218</v>
      </c>
      <c r="I1692" s="2" t="s">
        <v>219</v>
      </c>
      <c r="J1692" s="2" t="s">
        <v>220</v>
      </c>
      <c r="K1692" s="2" t="s">
        <v>267</v>
      </c>
      <c r="L1692" s="3"/>
      <c r="M1692" s="3">
        <v>41152</v>
      </c>
      <c r="N1692" s="3">
        <v>41143</v>
      </c>
      <c r="O1692" s="3">
        <v>41143</v>
      </c>
      <c r="P1692" s="2" t="s">
        <v>749</v>
      </c>
      <c r="Q1692" s="2" t="s">
        <v>76</v>
      </c>
      <c r="R1692" s="2" t="s">
        <v>37</v>
      </c>
      <c r="S1692" s="2" t="s">
        <v>78</v>
      </c>
      <c r="T1692" s="2" t="s">
        <v>47</v>
      </c>
      <c r="U1692" s="2">
        <v>30</v>
      </c>
      <c r="V1692" s="2">
        <v>153642</v>
      </c>
      <c r="W1692" s="2">
        <v>2310775.6800000002</v>
      </c>
      <c r="X1692" s="2">
        <v>15.04</v>
      </c>
      <c r="Y1692" s="2">
        <v>0.5</v>
      </c>
      <c r="AB1692">
        <v>1</v>
      </c>
      <c r="AC1692">
        <v>2012</v>
      </c>
      <c r="AE1692" s="2">
        <v>76821</v>
      </c>
    </row>
    <row r="1693" spans="2:31" ht="14.5">
      <c r="B1693" s="2">
        <v>86500</v>
      </c>
      <c r="C1693" s="2" t="s">
        <v>2748</v>
      </c>
      <c r="D1693" s="2" t="s">
        <v>2749</v>
      </c>
      <c r="E1693" s="2" t="s">
        <v>42</v>
      </c>
      <c r="F1693" s="2" t="s">
        <v>29</v>
      </c>
      <c r="G1693" s="2" t="s">
        <v>30</v>
      </c>
      <c r="H1693" s="2" t="s">
        <v>218</v>
      </c>
      <c r="I1693" s="2" t="s">
        <v>219</v>
      </c>
      <c r="J1693" s="2" t="s">
        <v>220</v>
      </c>
      <c r="K1693" s="2" t="s">
        <v>34</v>
      </c>
      <c r="L1693" s="3"/>
      <c r="M1693" s="3">
        <v>41145</v>
      </c>
      <c r="N1693" s="3">
        <v>41121</v>
      </c>
      <c r="O1693" s="3">
        <v>41121</v>
      </c>
      <c r="P1693" s="2" t="s">
        <v>98</v>
      </c>
      <c r="Q1693" s="2" t="s">
        <v>99</v>
      </c>
      <c r="R1693" s="2" t="s">
        <v>37</v>
      </c>
      <c r="S1693" s="2" t="s">
        <v>100</v>
      </c>
      <c r="T1693" s="2" t="s">
        <v>39</v>
      </c>
      <c r="U1693" s="2">
        <v>60</v>
      </c>
      <c r="V1693" s="2">
        <v>12548</v>
      </c>
      <c r="W1693" s="2">
        <v>165006.20000000001</v>
      </c>
      <c r="X1693" s="2">
        <v>13.15</v>
      </c>
      <c r="Y1693" s="2">
        <v>0.22</v>
      </c>
      <c r="Z1693" s="2">
        <v>1297</v>
      </c>
      <c r="AA1693" s="2">
        <v>21520.66</v>
      </c>
      <c r="AB1693">
        <v>1</v>
      </c>
      <c r="AC1693">
        <v>2012</v>
      </c>
      <c r="AE1693" s="2">
        <v>2760.56</v>
      </c>
    </row>
    <row r="1694" spans="2:31" ht="14.5">
      <c r="B1694" s="2">
        <v>86501</v>
      </c>
      <c r="C1694" s="2" t="s">
        <v>2750</v>
      </c>
      <c r="D1694" s="2" t="s">
        <v>2751</v>
      </c>
      <c r="E1694" s="2" t="s">
        <v>118</v>
      </c>
      <c r="F1694" s="2" t="s">
        <v>29</v>
      </c>
      <c r="G1694" s="2" t="s">
        <v>30</v>
      </c>
      <c r="H1694" s="2" t="s">
        <v>218</v>
      </c>
      <c r="I1694" s="2" t="s">
        <v>219</v>
      </c>
      <c r="J1694" s="2" t="s">
        <v>220</v>
      </c>
      <c r="K1694" s="2" t="s">
        <v>34</v>
      </c>
      <c r="L1694" s="3"/>
      <c r="M1694" s="3">
        <v>41163</v>
      </c>
      <c r="N1694" s="3">
        <v>41129</v>
      </c>
      <c r="O1694" s="3">
        <v>41129</v>
      </c>
      <c r="P1694" s="2" t="s">
        <v>759</v>
      </c>
      <c r="Q1694" s="2" t="s">
        <v>84</v>
      </c>
      <c r="R1694" s="2" t="s">
        <v>37</v>
      </c>
      <c r="S1694" s="2" t="s">
        <v>152</v>
      </c>
      <c r="T1694" s="2" t="s">
        <v>39</v>
      </c>
      <c r="U1694" s="2">
        <v>120</v>
      </c>
      <c r="V1694" s="2">
        <v>2427</v>
      </c>
      <c r="W1694" s="2">
        <v>72033.36</v>
      </c>
      <c r="X1694" s="2">
        <v>29.68</v>
      </c>
      <c r="Y1694" s="2">
        <v>0.25</v>
      </c>
      <c r="Z1694" s="2">
        <v>647</v>
      </c>
      <c r="AA1694" s="2">
        <v>7263.17</v>
      </c>
      <c r="AB1694">
        <v>1</v>
      </c>
      <c r="AC1694">
        <v>2012</v>
      </c>
      <c r="AE1694" s="2">
        <v>606.75</v>
      </c>
    </row>
    <row r="1695" spans="2:31" ht="14.5">
      <c r="B1695" s="2">
        <v>86503</v>
      </c>
      <c r="C1695" s="2" t="s">
        <v>2752</v>
      </c>
      <c r="D1695" s="2" t="s">
        <v>2753</v>
      </c>
      <c r="E1695" s="2" t="s">
        <v>42</v>
      </c>
      <c r="F1695" s="2" t="s">
        <v>29</v>
      </c>
      <c r="G1695" s="2" t="s">
        <v>30</v>
      </c>
      <c r="H1695" s="2" t="s">
        <v>218</v>
      </c>
      <c r="I1695" s="2" t="s">
        <v>219</v>
      </c>
      <c r="J1695" s="2" t="s">
        <v>220</v>
      </c>
      <c r="K1695" s="2" t="s">
        <v>34</v>
      </c>
      <c r="L1695" s="3"/>
      <c r="M1695" s="3">
        <v>41152</v>
      </c>
      <c r="N1695" s="3">
        <v>41137</v>
      </c>
      <c r="O1695" s="3">
        <v>41137</v>
      </c>
      <c r="P1695" s="2" t="s">
        <v>98</v>
      </c>
      <c r="Q1695" s="2" t="s">
        <v>99</v>
      </c>
      <c r="R1695" s="2" t="s">
        <v>37</v>
      </c>
      <c r="S1695" s="2" t="s">
        <v>100</v>
      </c>
      <c r="T1695" s="2" t="s">
        <v>39</v>
      </c>
      <c r="U1695" s="2">
        <v>60</v>
      </c>
      <c r="V1695" s="2">
        <v>629</v>
      </c>
      <c r="W1695" s="2">
        <v>8271.35</v>
      </c>
      <c r="X1695" s="2">
        <v>13.15</v>
      </c>
      <c r="Y1695" s="2">
        <v>0.22</v>
      </c>
      <c r="Z1695" s="2">
        <v>67</v>
      </c>
      <c r="AA1695" s="2">
        <v>1618.12</v>
      </c>
      <c r="AB1695">
        <v>1</v>
      </c>
      <c r="AC1695">
        <v>2012</v>
      </c>
      <c r="AE1695" s="2">
        <v>138.38</v>
      </c>
    </row>
    <row r="1696" spans="2:31" ht="14.5">
      <c r="B1696" s="2">
        <v>86504</v>
      </c>
      <c r="C1696" s="2" t="s">
        <v>2754</v>
      </c>
      <c r="D1696" s="2" t="s">
        <v>2755</v>
      </c>
      <c r="E1696" s="2" t="s">
        <v>60</v>
      </c>
      <c r="F1696" s="2" t="s">
        <v>29</v>
      </c>
      <c r="G1696" s="2" t="s">
        <v>50</v>
      </c>
      <c r="H1696" s="2" t="s">
        <v>218</v>
      </c>
      <c r="I1696" s="2" t="s">
        <v>219</v>
      </c>
      <c r="J1696" s="2" t="s">
        <v>220</v>
      </c>
      <c r="K1696" s="2" t="s">
        <v>34</v>
      </c>
      <c r="L1696" s="3"/>
      <c r="M1696" s="3">
        <v>41151</v>
      </c>
      <c r="N1696" s="3">
        <v>41151</v>
      </c>
      <c r="O1696" s="3">
        <v>41151</v>
      </c>
      <c r="P1696" s="2" t="s">
        <v>740</v>
      </c>
      <c r="Q1696" s="2" t="s">
        <v>36</v>
      </c>
      <c r="R1696" s="2" t="s">
        <v>37</v>
      </c>
      <c r="S1696" s="2" t="s">
        <v>226</v>
      </c>
      <c r="T1696" s="2" t="s">
        <v>526</v>
      </c>
      <c r="U1696" s="2">
        <v>240</v>
      </c>
      <c r="V1696" s="2">
        <v>30000</v>
      </c>
      <c r="W1696" s="2">
        <v>58500</v>
      </c>
      <c r="X1696" s="2">
        <v>1.95</v>
      </c>
      <c r="Y1696" s="2">
        <v>0.01</v>
      </c>
      <c r="Z1696" s="2">
        <v>11101</v>
      </c>
      <c r="AA1696" s="2">
        <v>33216.14</v>
      </c>
      <c r="AB1696">
        <v>1</v>
      </c>
      <c r="AC1696">
        <v>2012</v>
      </c>
      <c r="AE1696" s="2">
        <v>300</v>
      </c>
    </row>
    <row r="1697" spans="2:31" ht="14.5">
      <c r="B1697" s="2">
        <v>86511</v>
      </c>
      <c r="C1697" s="2" t="s">
        <v>1598</v>
      </c>
      <c r="D1697" s="2" t="s">
        <v>1599</v>
      </c>
      <c r="E1697" s="2" t="s">
        <v>118</v>
      </c>
      <c r="F1697" s="2" t="s">
        <v>29</v>
      </c>
      <c r="G1697" s="2" t="s">
        <v>30</v>
      </c>
      <c r="H1697" s="2" t="s">
        <v>218</v>
      </c>
      <c r="I1697" s="2" t="s">
        <v>219</v>
      </c>
      <c r="J1697" s="2" t="s">
        <v>220</v>
      </c>
      <c r="K1697" s="2" t="s">
        <v>34</v>
      </c>
      <c r="L1697" s="3"/>
      <c r="M1697" s="3">
        <v>41211</v>
      </c>
      <c r="N1697" s="3">
        <v>41211</v>
      </c>
      <c r="O1697" s="3">
        <v>41211</v>
      </c>
      <c r="P1697" s="2" t="s">
        <v>706</v>
      </c>
      <c r="Q1697" s="2" t="s">
        <v>707</v>
      </c>
      <c r="R1697" s="2" t="s">
        <v>37</v>
      </c>
      <c r="S1697" s="2" t="s">
        <v>708</v>
      </c>
      <c r="T1697" s="2" t="s">
        <v>47</v>
      </c>
      <c r="U1697" s="2">
        <v>30</v>
      </c>
      <c r="V1697" s="2">
        <v>24799</v>
      </c>
      <c r="W1697" s="2">
        <v>137386.46</v>
      </c>
      <c r="X1697" s="2">
        <v>5.54</v>
      </c>
      <c r="Y1697" s="2">
        <v>0.18</v>
      </c>
      <c r="AB1697">
        <v>1</v>
      </c>
      <c r="AC1697">
        <v>2012</v>
      </c>
      <c r="AE1697" s="2">
        <v>4463.82</v>
      </c>
    </row>
    <row r="1698" spans="2:31" ht="14.5">
      <c r="B1698" s="2">
        <v>86512</v>
      </c>
      <c r="C1698" s="2" t="s">
        <v>2756</v>
      </c>
      <c r="D1698" s="2" t="s">
        <v>2757</v>
      </c>
      <c r="E1698" s="2" t="s">
        <v>118</v>
      </c>
      <c r="F1698" s="2" t="s">
        <v>29</v>
      </c>
      <c r="G1698" s="2" t="s">
        <v>30</v>
      </c>
      <c r="H1698" s="2" t="s">
        <v>218</v>
      </c>
      <c r="I1698" s="2" t="s">
        <v>219</v>
      </c>
      <c r="J1698" s="2" t="s">
        <v>220</v>
      </c>
      <c r="K1698" s="2" t="s">
        <v>267</v>
      </c>
      <c r="L1698" s="3"/>
      <c r="M1698" s="3">
        <v>41213</v>
      </c>
      <c r="N1698" s="3">
        <v>41213</v>
      </c>
      <c r="O1698" s="3">
        <v>41213</v>
      </c>
      <c r="P1698" s="2" t="s">
        <v>706</v>
      </c>
      <c r="Q1698" s="2" t="s">
        <v>707</v>
      </c>
      <c r="R1698" s="2" t="s">
        <v>37</v>
      </c>
      <c r="S1698" s="2" t="s">
        <v>708</v>
      </c>
      <c r="T1698" s="2" t="s">
        <v>47</v>
      </c>
      <c r="U1698" s="2">
        <v>30</v>
      </c>
      <c r="V1698" s="2">
        <v>19078</v>
      </c>
      <c r="W1698" s="2">
        <v>105692.12</v>
      </c>
      <c r="X1698" s="2">
        <v>5.54</v>
      </c>
      <c r="Y1698" s="2">
        <v>0.18</v>
      </c>
      <c r="Z1698" s="2">
        <v>2030</v>
      </c>
      <c r="AA1698" s="2">
        <v>11846.85</v>
      </c>
      <c r="AB1698">
        <v>1</v>
      </c>
      <c r="AC1698">
        <v>2012</v>
      </c>
      <c r="AE1698" s="2">
        <v>3434.04</v>
      </c>
    </row>
    <row r="1699" spans="2:31" ht="14.5">
      <c r="B1699" s="2">
        <v>86513</v>
      </c>
      <c r="C1699" s="2" t="s">
        <v>2758</v>
      </c>
      <c r="D1699" s="2" t="s">
        <v>2759</v>
      </c>
      <c r="E1699" s="2" t="s">
        <v>28</v>
      </c>
      <c r="F1699" s="2" t="s">
        <v>29</v>
      </c>
      <c r="G1699" s="2" t="s">
        <v>30</v>
      </c>
      <c r="H1699" s="2" t="s">
        <v>218</v>
      </c>
      <c r="I1699" s="2" t="s">
        <v>219</v>
      </c>
      <c r="J1699" s="2" t="s">
        <v>220</v>
      </c>
      <c r="K1699" s="2" t="s">
        <v>267</v>
      </c>
      <c r="L1699" s="3"/>
      <c r="M1699" s="3">
        <v>41228</v>
      </c>
      <c r="N1699" s="3">
        <v>41228</v>
      </c>
      <c r="O1699" s="3">
        <v>41228</v>
      </c>
      <c r="P1699" s="2" t="s">
        <v>759</v>
      </c>
      <c r="Q1699" s="2" t="s">
        <v>84</v>
      </c>
      <c r="R1699" s="2" t="s">
        <v>37</v>
      </c>
      <c r="S1699" s="2" t="s">
        <v>152</v>
      </c>
      <c r="T1699" s="2" t="s">
        <v>39</v>
      </c>
      <c r="U1699" s="2">
        <v>120</v>
      </c>
      <c r="V1699" s="2">
        <v>16114</v>
      </c>
      <c r="W1699" s="2">
        <v>472301.34</v>
      </c>
      <c r="X1699" s="2">
        <v>29.31</v>
      </c>
      <c r="Y1699" s="2">
        <v>0.24</v>
      </c>
      <c r="Z1699" s="2">
        <v>4256</v>
      </c>
      <c r="AA1699" s="2">
        <v>6052.1</v>
      </c>
      <c r="AB1699">
        <v>1</v>
      </c>
      <c r="AC1699">
        <v>2012</v>
      </c>
      <c r="AE1699" s="2">
        <v>3867.3599999999997</v>
      </c>
    </row>
    <row r="1700" spans="2:31" ht="14.5">
      <c r="B1700" s="2">
        <v>86514</v>
      </c>
      <c r="C1700" s="2" t="s">
        <v>2824</v>
      </c>
      <c r="D1700" s="2" t="s">
        <v>2825</v>
      </c>
      <c r="E1700" s="2" t="s">
        <v>2817</v>
      </c>
      <c r="F1700" s="2" t="s">
        <v>29</v>
      </c>
      <c r="G1700" s="2" t="s">
        <v>30</v>
      </c>
      <c r="H1700" s="2" t="s">
        <v>218</v>
      </c>
      <c r="I1700" s="2" t="s">
        <v>219</v>
      </c>
      <c r="J1700" s="2" t="s">
        <v>220</v>
      </c>
      <c r="K1700" s="2" t="s">
        <v>34</v>
      </c>
      <c r="L1700" s="3"/>
      <c r="M1700" s="3">
        <v>41228</v>
      </c>
      <c r="N1700" s="3">
        <v>41205</v>
      </c>
      <c r="O1700" s="3">
        <v>41205</v>
      </c>
      <c r="P1700" s="2" t="s">
        <v>35</v>
      </c>
      <c r="Q1700" s="2" t="s">
        <v>36</v>
      </c>
      <c r="R1700" s="2" t="s">
        <v>37</v>
      </c>
      <c r="S1700" s="2" t="s">
        <v>38</v>
      </c>
      <c r="T1700" s="2" t="s">
        <v>39</v>
      </c>
      <c r="U1700" s="2">
        <v>60</v>
      </c>
      <c r="V1700" s="2">
        <v>225</v>
      </c>
      <c r="W1700" s="2">
        <v>544.5</v>
      </c>
      <c r="X1700" s="2">
        <v>2.42</v>
      </c>
      <c r="Y1700" s="2">
        <v>0.04</v>
      </c>
      <c r="AB1700">
        <v>1</v>
      </c>
      <c r="AC1700">
        <v>2012</v>
      </c>
      <c r="AE1700" s="2">
        <v>9</v>
      </c>
    </row>
    <row r="1701" spans="2:31" ht="14.5">
      <c r="B1701" s="2">
        <v>86518</v>
      </c>
      <c r="C1701" s="2" t="s">
        <v>2863</v>
      </c>
      <c r="D1701" s="2" t="s">
        <v>2864</v>
      </c>
      <c r="E1701" s="2" t="s">
        <v>2817</v>
      </c>
      <c r="F1701" s="2" t="s">
        <v>29</v>
      </c>
      <c r="G1701" s="2" t="s">
        <v>30</v>
      </c>
      <c r="H1701" s="2" t="s">
        <v>218</v>
      </c>
      <c r="I1701" s="2" t="s">
        <v>219</v>
      </c>
      <c r="J1701" s="2" t="s">
        <v>220</v>
      </c>
      <c r="K1701" s="2" t="s">
        <v>34</v>
      </c>
      <c r="L1701" s="3"/>
      <c r="M1701" s="3">
        <v>41243</v>
      </c>
      <c r="N1701" s="3">
        <v>41243</v>
      </c>
      <c r="O1701" s="3">
        <v>41243</v>
      </c>
      <c r="P1701" s="2" t="s">
        <v>44</v>
      </c>
      <c r="Q1701" s="2" t="s">
        <v>45</v>
      </c>
      <c r="R1701" s="2" t="s">
        <v>37</v>
      </c>
      <c r="S1701" s="2" t="s">
        <v>46</v>
      </c>
      <c r="T1701" s="2" t="s">
        <v>47</v>
      </c>
      <c r="U1701" s="2">
        <v>60</v>
      </c>
      <c r="V1701" s="2">
        <v>300</v>
      </c>
      <c r="W1701" s="2">
        <v>2316</v>
      </c>
      <c r="X1701" s="2">
        <v>7.72</v>
      </c>
      <c r="Y1701" s="2">
        <v>0.13</v>
      </c>
      <c r="Z1701" s="2">
        <v>25</v>
      </c>
      <c r="AA1701" s="2">
        <v>742.98</v>
      </c>
      <c r="AB1701">
        <v>1</v>
      </c>
      <c r="AC1701">
        <v>2012</v>
      </c>
      <c r="AE1701" s="2">
        <v>39</v>
      </c>
    </row>
    <row r="1702" spans="2:31" ht="14.5">
      <c r="B1702" s="2">
        <v>86522</v>
      </c>
      <c r="C1702" s="2" t="s">
        <v>2033</v>
      </c>
      <c r="D1702" s="2" t="s">
        <v>2034</v>
      </c>
      <c r="E1702" s="2" t="s">
        <v>28</v>
      </c>
      <c r="F1702" s="2" t="s">
        <v>29</v>
      </c>
      <c r="G1702" s="2" t="s">
        <v>30</v>
      </c>
      <c r="H1702" s="2" t="s">
        <v>218</v>
      </c>
      <c r="I1702" s="2" t="s">
        <v>219</v>
      </c>
      <c r="J1702" s="2" t="s">
        <v>220</v>
      </c>
      <c r="K1702" s="2" t="s">
        <v>267</v>
      </c>
      <c r="L1702" s="3"/>
      <c r="M1702" s="3">
        <v>41243</v>
      </c>
      <c r="N1702" s="3">
        <v>41213</v>
      </c>
      <c r="O1702" s="3">
        <v>41213</v>
      </c>
      <c r="P1702" s="2" t="s">
        <v>1457</v>
      </c>
      <c r="Q1702" s="2" t="s">
        <v>236</v>
      </c>
      <c r="R1702" s="2" t="s">
        <v>37</v>
      </c>
      <c r="S1702" s="2" t="s">
        <v>1458</v>
      </c>
      <c r="T1702" s="2" t="s">
        <v>47</v>
      </c>
      <c r="U1702" s="2">
        <v>30</v>
      </c>
      <c r="V1702" s="2">
        <v>43040</v>
      </c>
      <c r="W1702" s="2">
        <v>283633.59999999998</v>
      </c>
      <c r="X1702" s="2">
        <v>6.59</v>
      </c>
      <c r="Y1702" s="2">
        <v>0.22</v>
      </c>
      <c r="AB1702">
        <v>1</v>
      </c>
      <c r="AC1702">
        <v>2012</v>
      </c>
      <c r="AE1702" s="2">
        <v>9468.7999999999993</v>
      </c>
    </row>
    <row r="1703" spans="2:31" ht="14.5">
      <c r="B1703" s="2">
        <v>86524</v>
      </c>
      <c r="C1703" s="2" t="s">
        <v>2630</v>
      </c>
      <c r="D1703" s="2" t="s">
        <v>2631</v>
      </c>
      <c r="E1703" s="2" t="s">
        <v>28</v>
      </c>
      <c r="F1703" s="2" t="s">
        <v>29</v>
      </c>
      <c r="G1703" s="2" t="s">
        <v>50</v>
      </c>
      <c r="H1703" s="2" t="s">
        <v>218</v>
      </c>
      <c r="I1703" s="2" t="s">
        <v>219</v>
      </c>
      <c r="J1703" s="2" t="s">
        <v>220</v>
      </c>
      <c r="K1703" s="2" t="s">
        <v>267</v>
      </c>
      <c r="L1703" s="3"/>
      <c r="M1703" s="3">
        <v>41243</v>
      </c>
      <c r="N1703" s="3">
        <v>41219</v>
      </c>
      <c r="O1703" s="3">
        <v>41219</v>
      </c>
      <c r="P1703" s="2" t="s">
        <v>2037</v>
      </c>
      <c r="Q1703" s="2" t="s">
        <v>140</v>
      </c>
      <c r="R1703" s="2" t="s">
        <v>37</v>
      </c>
      <c r="S1703" s="2" t="s">
        <v>2038</v>
      </c>
      <c r="T1703" s="2" t="s">
        <v>729</v>
      </c>
      <c r="U1703" s="2">
        <v>60</v>
      </c>
      <c r="V1703" s="2">
        <v>14798</v>
      </c>
      <c r="W1703" s="2">
        <v>63631.4</v>
      </c>
      <c r="X1703" s="2">
        <v>4.3</v>
      </c>
      <c r="Y1703" s="2">
        <v>7.0000000000000007E-2</v>
      </c>
      <c r="AB1703">
        <v>1</v>
      </c>
      <c r="AC1703">
        <v>2012</v>
      </c>
      <c r="AE1703" s="2">
        <v>1035.8600000000001</v>
      </c>
    </row>
    <row r="1704" spans="2:31" ht="14.5">
      <c r="B1704" s="2">
        <v>86525</v>
      </c>
      <c r="C1704" s="2" t="s">
        <v>2760</v>
      </c>
      <c r="D1704" s="2" t="s">
        <v>2761</v>
      </c>
      <c r="E1704" s="2" t="s">
        <v>118</v>
      </c>
      <c r="F1704" s="2" t="s">
        <v>29</v>
      </c>
      <c r="G1704" s="2" t="s">
        <v>30</v>
      </c>
      <c r="H1704" s="2" t="s">
        <v>218</v>
      </c>
      <c r="I1704" s="2" t="s">
        <v>219</v>
      </c>
      <c r="J1704" s="2" t="s">
        <v>220</v>
      </c>
      <c r="K1704" s="2" t="s">
        <v>34</v>
      </c>
      <c r="L1704" s="3"/>
      <c r="M1704" s="3">
        <v>41221</v>
      </c>
      <c r="N1704" s="3">
        <v>41211</v>
      </c>
      <c r="O1704" s="3">
        <v>41211</v>
      </c>
      <c r="P1704" s="2" t="s">
        <v>95</v>
      </c>
      <c r="Q1704" s="2" t="s">
        <v>96</v>
      </c>
      <c r="R1704" s="2" t="s">
        <v>37</v>
      </c>
      <c r="S1704" s="2" t="s">
        <v>97</v>
      </c>
      <c r="T1704" s="2" t="s">
        <v>39</v>
      </c>
      <c r="U1704" s="2">
        <v>30</v>
      </c>
      <c r="V1704" s="2">
        <v>2700</v>
      </c>
      <c r="W1704" s="2">
        <v>10287</v>
      </c>
      <c r="X1704" s="2">
        <v>3.81</v>
      </c>
      <c r="Y1704" s="2">
        <v>0.13</v>
      </c>
      <c r="Z1704" s="2">
        <v>234</v>
      </c>
      <c r="AA1704" s="2">
        <v>2154.1</v>
      </c>
      <c r="AB1704">
        <v>1</v>
      </c>
      <c r="AC1704">
        <v>2012</v>
      </c>
      <c r="AE1704" s="2">
        <v>351</v>
      </c>
    </row>
    <row r="1705" spans="2:31" ht="14.5">
      <c r="B1705" s="2">
        <v>86529</v>
      </c>
      <c r="C1705" s="2" t="s">
        <v>2762</v>
      </c>
      <c r="D1705" s="2" t="s">
        <v>2763</v>
      </c>
      <c r="E1705" s="2" t="s">
        <v>118</v>
      </c>
      <c r="F1705" s="2" t="s">
        <v>29</v>
      </c>
      <c r="G1705" s="2" t="s">
        <v>30</v>
      </c>
      <c r="H1705" s="2" t="s">
        <v>218</v>
      </c>
      <c r="I1705" s="2" t="s">
        <v>219</v>
      </c>
      <c r="J1705" s="2" t="s">
        <v>220</v>
      </c>
      <c r="K1705" s="2" t="s">
        <v>267</v>
      </c>
      <c r="L1705" s="3"/>
      <c r="M1705" s="3">
        <v>41249</v>
      </c>
      <c r="N1705" s="3">
        <v>41233</v>
      </c>
      <c r="O1705" s="3">
        <v>41233</v>
      </c>
      <c r="P1705" s="2" t="s">
        <v>333</v>
      </c>
      <c r="Q1705" s="2" t="s">
        <v>225</v>
      </c>
      <c r="R1705" s="2" t="s">
        <v>37</v>
      </c>
      <c r="S1705" s="2" t="s">
        <v>100</v>
      </c>
      <c r="T1705" s="2" t="s">
        <v>39</v>
      </c>
      <c r="U1705" s="2">
        <v>60</v>
      </c>
      <c r="V1705" s="2">
        <v>25</v>
      </c>
      <c r="W1705" s="2">
        <v>169</v>
      </c>
      <c r="X1705" s="2">
        <v>6.76</v>
      </c>
      <c r="Y1705" s="2">
        <v>0.11</v>
      </c>
      <c r="Z1705" s="2">
        <v>1</v>
      </c>
      <c r="AA1705" s="2">
        <v>5220.79</v>
      </c>
      <c r="AB1705">
        <v>1</v>
      </c>
      <c r="AC1705">
        <v>2012</v>
      </c>
      <c r="AE1705" s="2">
        <v>2.75</v>
      </c>
    </row>
    <row r="1706" spans="2:31" ht="14.5">
      <c r="B1706" s="2">
        <v>86530</v>
      </c>
      <c r="C1706" s="2" t="s">
        <v>2764</v>
      </c>
      <c r="D1706" s="2" t="s">
        <v>2765</v>
      </c>
      <c r="E1706" s="2" t="s">
        <v>118</v>
      </c>
      <c r="F1706" s="2" t="s">
        <v>29</v>
      </c>
      <c r="G1706" s="2" t="s">
        <v>30</v>
      </c>
      <c r="H1706" s="2" t="s">
        <v>218</v>
      </c>
      <c r="I1706" s="2" t="s">
        <v>219</v>
      </c>
      <c r="J1706" s="2" t="s">
        <v>220</v>
      </c>
      <c r="K1706" s="2" t="s">
        <v>34</v>
      </c>
      <c r="L1706" s="3"/>
      <c r="M1706" s="3">
        <v>41250</v>
      </c>
      <c r="N1706" s="3">
        <v>41241</v>
      </c>
      <c r="O1706" s="3">
        <v>41241</v>
      </c>
      <c r="P1706" s="2" t="s">
        <v>759</v>
      </c>
      <c r="Q1706" s="2" t="s">
        <v>84</v>
      </c>
      <c r="R1706" s="2" t="s">
        <v>37</v>
      </c>
      <c r="S1706" s="2" t="s">
        <v>152</v>
      </c>
      <c r="T1706" s="2" t="s">
        <v>39</v>
      </c>
      <c r="U1706" s="2">
        <v>120</v>
      </c>
      <c r="V1706" s="2">
        <v>8335</v>
      </c>
      <c r="W1706" s="2">
        <v>222544.5</v>
      </c>
      <c r="X1706" s="2">
        <v>26.7</v>
      </c>
      <c r="Y1706" s="2">
        <v>0.22</v>
      </c>
      <c r="Z1706" s="2">
        <v>2034</v>
      </c>
      <c r="AA1706" s="2">
        <v>10977.65</v>
      </c>
      <c r="AB1706">
        <v>1</v>
      </c>
      <c r="AC1706">
        <v>2012</v>
      </c>
      <c r="AE1706" s="2">
        <v>1833.7</v>
      </c>
    </row>
    <row r="1707" spans="2:31" ht="14.5">
      <c r="B1707" s="2">
        <v>86537</v>
      </c>
      <c r="C1707" s="2" t="s">
        <v>2492</v>
      </c>
      <c r="D1707" s="2" t="s">
        <v>2493</v>
      </c>
      <c r="E1707" s="2" t="s">
        <v>28</v>
      </c>
      <c r="F1707" s="2" t="s">
        <v>29</v>
      </c>
      <c r="G1707" s="2" t="s">
        <v>30</v>
      </c>
      <c r="H1707" s="2" t="s">
        <v>218</v>
      </c>
      <c r="I1707" s="2" t="s">
        <v>219</v>
      </c>
      <c r="J1707" s="2" t="s">
        <v>220</v>
      </c>
      <c r="K1707" s="2" t="s">
        <v>267</v>
      </c>
      <c r="L1707" s="3"/>
      <c r="M1707" s="3">
        <v>41337</v>
      </c>
      <c r="N1707" s="3">
        <v>41337</v>
      </c>
      <c r="O1707" s="3">
        <v>41337</v>
      </c>
      <c r="P1707" s="2" t="s">
        <v>759</v>
      </c>
      <c r="Q1707" s="2" t="s">
        <v>84</v>
      </c>
      <c r="R1707" s="2" t="s">
        <v>37</v>
      </c>
      <c r="S1707" s="2" t="s">
        <v>152</v>
      </c>
      <c r="T1707" s="2" t="s">
        <v>39</v>
      </c>
      <c r="U1707" s="2">
        <v>120</v>
      </c>
      <c r="V1707" s="2">
        <v>17201</v>
      </c>
      <c r="W1707" s="2">
        <v>459266.7</v>
      </c>
      <c r="X1707" s="2">
        <v>26.7</v>
      </c>
      <c r="Y1707" s="2">
        <v>0.22</v>
      </c>
      <c r="AB1707">
        <v>1</v>
      </c>
      <c r="AC1707">
        <v>2013</v>
      </c>
      <c r="AE1707" s="2">
        <v>3784.22</v>
      </c>
    </row>
    <row r="1708" spans="2:31" ht="14.5">
      <c r="B1708" s="2">
        <v>86543</v>
      </c>
      <c r="C1708" s="2" t="s">
        <v>2640</v>
      </c>
      <c r="D1708" s="2" t="s">
        <v>2641</v>
      </c>
      <c r="E1708" s="2" t="s">
        <v>118</v>
      </c>
      <c r="F1708" s="2" t="s">
        <v>29</v>
      </c>
      <c r="G1708" s="2" t="s">
        <v>30</v>
      </c>
      <c r="H1708" s="2" t="s">
        <v>218</v>
      </c>
      <c r="I1708" s="2" t="s">
        <v>219</v>
      </c>
      <c r="J1708" s="2" t="s">
        <v>220</v>
      </c>
      <c r="K1708" s="2" t="s">
        <v>34</v>
      </c>
      <c r="L1708" s="3"/>
      <c r="M1708" s="3">
        <v>41327</v>
      </c>
      <c r="N1708" s="3">
        <v>41330</v>
      </c>
      <c r="O1708" s="3">
        <v>41330</v>
      </c>
      <c r="P1708" s="2" t="s">
        <v>333</v>
      </c>
      <c r="Q1708" s="2" t="s">
        <v>225</v>
      </c>
      <c r="R1708" s="2" t="s">
        <v>37</v>
      </c>
      <c r="S1708" s="2" t="s">
        <v>100</v>
      </c>
      <c r="T1708" s="2" t="s">
        <v>39</v>
      </c>
      <c r="U1708" s="2">
        <v>60</v>
      </c>
      <c r="V1708" s="2">
        <v>2250</v>
      </c>
      <c r="W1708" s="2">
        <v>15210</v>
      </c>
      <c r="X1708" s="2">
        <v>6.76</v>
      </c>
      <c r="Y1708" s="2">
        <v>0.11</v>
      </c>
      <c r="AB1708">
        <v>0</v>
      </c>
      <c r="AC1708">
        <v>2013</v>
      </c>
      <c r="AE1708" s="2">
        <v>247.5</v>
      </c>
    </row>
    <row r="1709" spans="2:31" ht="14.5">
      <c r="B1709" s="2">
        <v>86544</v>
      </c>
      <c r="C1709" s="2" t="s">
        <v>1618</v>
      </c>
      <c r="D1709" s="2" t="s">
        <v>1619</v>
      </c>
      <c r="E1709" s="2" t="s">
        <v>118</v>
      </c>
      <c r="F1709" s="2" t="s">
        <v>29</v>
      </c>
      <c r="G1709" s="2" t="s">
        <v>30</v>
      </c>
      <c r="H1709" s="2" t="s">
        <v>218</v>
      </c>
      <c r="I1709" s="2" t="s">
        <v>219</v>
      </c>
      <c r="J1709" s="2" t="s">
        <v>220</v>
      </c>
      <c r="K1709" s="2" t="s">
        <v>34</v>
      </c>
      <c r="L1709" s="3"/>
      <c r="M1709" s="3">
        <v>41316</v>
      </c>
      <c r="N1709" s="3">
        <v>41340</v>
      </c>
      <c r="O1709" s="3">
        <v>41340</v>
      </c>
      <c r="P1709" s="2" t="s">
        <v>706</v>
      </c>
      <c r="Q1709" s="2" t="s">
        <v>707</v>
      </c>
      <c r="R1709" s="2" t="s">
        <v>37</v>
      </c>
      <c r="S1709" s="2" t="s">
        <v>708</v>
      </c>
      <c r="T1709" s="2" t="s">
        <v>47</v>
      </c>
      <c r="U1709" s="2">
        <v>30</v>
      </c>
      <c r="V1709" s="2">
        <v>13620</v>
      </c>
      <c r="W1709" s="2">
        <v>65512.2</v>
      </c>
      <c r="X1709" s="2">
        <v>4.8099999999999996</v>
      </c>
      <c r="Y1709" s="2">
        <v>0.16</v>
      </c>
      <c r="AB1709">
        <v>0</v>
      </c>
      <c r="AC1709">
        <v>2013</v>
      </c>
      <c r="AE1709" s="2">
        <v>2179.1999999999998</v>
      </c>
    </row>
    <row r="1710" spans="2:31" ht="14.5">
      <c r="B1710" s="2">
        <v>86559</v>
      </c>
      <c r="C1710" s="2" t="s">
        <v>2766</v>
      </c>
      <c r="D1710" s="2" t="s">
        <v>2767</v>
      </c>
      <c r="E1710" s="2" t="s">
        <v>1581</v>
      </c>
      <c r="F1710" s="2" t="s">
        <v>29</v>
      </c>
      <c r="G1710" s="2" t="s">
        <v>50</v>
      </c>
      <c r="H1710" s="2" t="s">
        <v>218</v>
      </c>
      <c r="I1710" s="2" t="s">
        <v>219</v>
      </c>
      <c r="J1710" s="2" t="s">
        <v>220</v>
      </c>
      <c r="K1710" s="2" t="s">
        <v>34</v>
      </c>
      <c r="L1710" s="3"/>
      <c r="M1710" s="3">
        <v>41396</v>
      </c>
      <c r="N1710" s="3">
        <v>41362</v>
      </c>
      <c r="O1710" s="3">
        <v>41362</v>
      </c>
      <c r="P1710" s="2" t="s">
        <v>740</v>
      </c>
      <c r="Q1710" s="2" t="s">
        <v>36</v>
      </c>
      <c r="R1710" s="2" t="s">
        <v>37</v>
      </c>
      <c r="S1710" s="2" t="s">
        <v>226</v>
      </c>
      <c r="T1710" s="2" t="s">
        <v>526</v>
      </c>
      <c r="U1710" s="2">
        <v>240</v>
      </c>
      <c r="V1710" s="2">
        <v>564</v>
      </c>
      <c r="W1710" s="2">
        <v>1099.8</v>
      </c>
      <c r="X1710" s="2">
        <v>1.95</v>
      </c>
      <c r="Y1710" s="2">
        <v>0.01</v>
      </c>
      <c r="Z1710" s="2">
        <v>210</v>
      </c>
      <c r="AA1710" s="2">
        <v>1551.32</v>
      </c>
      <c r="AB1710">
        <v>1</v>
      </c>
      <c r="AC1710">
        <v>2013</v>
      </c>
      <c r="AE1710" s="2">
        <v>5.64</v>
      </c>
    </row>
    <row r="1711" spans="2:31" ht="14.5">
      <c r="B1711" s="2">
        <v>86563</v>
      </c>
      <c r="C1711" s="2" t="s">
        <v>2061</v>
      </c>
      <c r="D1711" s="2" t="s">
        <v>2062</v>
      </c>
      <c r="E1711" s="2" t="s">
        <v>118</v>
      </c>
      <c r="F1711" s="2" t="s">
        <v>29</v>
      </c>
      <c r="G1711" s="2" t="s">
        <v>30</v>
      </c>
      <c r="H1711" s="2" t="s">
        <v>218</v>
      </c>
      <c r="I1711" s="2" t="s">
        <v>219</v>
      </c>
      <c r="J1711" s="2" t="s">
        <v>220</v>
      </c>
      <c r="K1711" s="2" t="s">
        <v>34</v>
      </c>
      <c r="L1711" s="3"/>
      <c r="M1711" s="3">
        <v>41495</v>
      </c>
      <c r="N1711" s="3">
        <v>41495</v>
      </c>
      <c r="O1711" s="3">
        <v>41495</v>
      </c>
      <c r="P1711" s="2" t="s">
        <v>35</v>
      </c>
      <c r="Q1711" s="2" t="s">
        <v>36</v>
      </c>
      <c r="R1711" s="2" t="s">
        <v>37</v>
      </c>
      <c r="S1711" s="2" t="s">
        <v>38</v>
      </c>
      <c r="T1711" s="2" t="s">
        <v>39</v>
      </c>
      <c r="U1711" s="2">
        <v>60</v>
      </c>
      <c r="V1711" s="2">
        <v>32298</v>
      </c>
      <c r="W1711" s="2">
        <v>72993.48</v>
      </c>
      <c r="X1711" s="2">
        <v>2.2599999999999998</v>
      </c>
      <c r="Y1711" s="2">
        <v>0.04</v>
      </c>
      <c r="AB1711">
        <v>1</v>
      </c>
      <c r="AC1711">
        <v>2013</v>
      </c>
      <c r="AE1711" s="2">
        <v>1291.92</v>
      </c>
    </row>
    <row r="1712" spans="2:31" ht="14.5">
      <c r="B1712" s="2">
        <v>86564</v>
      </c>
      <c r="C1712" s="2" t="s">
        <v>2832</v>
      </c>
      <c r="D1712" s="2" t="s">
        <v>2833</v>
      </c>
      <c r="E1712" s="2" t="s">
        <v>2817</v>
      </c>
      <c r="F1712" s="2" t="s">
        <v>29</v>
      </c>
      <c r="G1712" s="2" t="s">
        <v>30</v>
      </c>
      <c r="H1712" s="2" t="s">
        <v>218</v>
      </c>
      <c r="I1712" s="2" t="s">
        <v>219</v>
      </c>
      <c r="J1712" s="2" t="s">
        <v>220</v>
      </c>
      <c r="K1712" s="2" t="s">
        <v>34</v>
      </c>
      <c r="L1712" s="3"/>
      <c r="M1712" s="3">
        <v>41394</v>
      </c>
      <c r="N1712" s="3">
        <v>41388</v>
      </c>
      <c r="O1712" s="3">
        <v>41388</v>
      </c>
      <c r="P1712" s="2" t="s">
        <v>95</v>
      </c>
      <c r="Q1712" s="2" t="s">
        <v>96</v>
      </c>
      <c r="R1712" s="2" t="s">
        <v>37</v>
      </c>
      <c r="S1712" s="2" t="s">
        <v>97</v>
      </c>
      <c r="T1712" s="2" t="s">
        <v>39</v>
      </c>
      <c r="U1712" s="2">
        <v>30</v>
      </c>
      <c r="V1712" s="2">
        <v>2100</v>
      </c>
      <c r="W1712" s="2">
        <v>6993</v>
      </c>
      <c r="X1712" s="2">
        <v>3.33</v>
      </c>
      <c r="Y1712" s="2">
        <v>0.11</v>
      </c>
      <c r="AB1712">
        <v>1</v>
      </c>
      <c r="AC1712">
        <v>2013</v>
      </c>
      <c r="AE1712" s="2">
        <v>231</v>
      </c>
    </row>
    <row r="1713" spans="2:31" ht="14.5">
      <c r="B1713" s="2">
        <v>86565</v>
      </c>
      <c r="C1713" s="2" t="s">
        <v>2832</v>
      </c>
      <c r="D1713" s="2" t="s">
        <v>2833</v>
      </c>
      <c r="E1713" s="2" t="s">
        <v>2817</v>
      </c>
      <c r="F1713" s="2" t="s">
        <v>29</v>
      </c>
      <c r="G1713" s="2" t="s">
        <v>30</v>
      </c>
      <c r="H1713" s="2" t="s">
        <v>218</v>
      </c>
      <c r="I1713" s="2" t="s">
        <v>219</v>
      </c>
      <c r="J1713" s="2" t="s">
        <v>220</v>
      </c>
      <c r="K1713" s="2" t="s">
        <v>34</v>
      </c>
      <c r="L1713" s="3"/>
      <c r="M1713" s="3">
        <v>41394</v>
      </c>
      <c r="N1713" s="3">
        <v>41388</v>
      </c>
      <c r="O1713" s="3">
        <v>41388</v>
      </c>
      <c r="P1713" s="2" t="s">
        <v>44</v>
      </c>
      <c r="Q1713" s="2" t="s">
        <v>45</v>
      </c>
      <c r="R1713" s="2" t="s">
        <v>37</v>
      </c>
      <c r="S1713" s="2" t="s">
        <v>46</v>
      </c>
      <c r="T1713" s="2" t="s">
        <v>47</v>
      </c>
      <c r="U1713" s="2">
        <v>60</v>
      </c>
      <c r="V1713" s="2">
        <v>1702</v>
      </c>
      <c r="W1713" s="2">
        <v>12373.54</v>
      </c>
      <c r="X1713" s="2">
        <v>7.27</v>
      </c>
      <c r="Y1713" s="2">
        <v>0.12</v>
      </c>
      <c r="AB1713">
        <v>1</v>
      </c>
      <c r="AC1713">
        <v>2013</v>
      </c>
      <c r="AE1713" s="2">
        <v>204.23999999999998</v>
      </c>
    </row>
    <row r="1714" spans="2:31" ht="14.5">
      <c r="B1714" s="2">
        <v>86573</v>
      </c>
      <c r="C1714" s="2" t="s">
        <v>2768</v>
      </c>
      <c r="D1714" s="2" t="s">
        <v>2769</v>
      </c>
      <c r="E1714" s="2" t="s">
        <v>28</v>
      </c>
      <c r="F1714" s="2" t="s">
        <v>29</v>
      </c>
      <c r="G1714" s="2" t="s">
        <v>30</v>
      </c>
      <c r="H1714" s="2" t="s">
        <v>218</v>
      </c>
      <c r="I1714" s="2" t="s">
        <v>219</v>
      </c>
      <c r="J1714" s="2" t="s">
        <v>220</v>
      </c>
      <c r="K1714" s="2" t="s">
        <v>267</v>
      </c>
      <c r="L1714" s="3"/>
      <c r="M1714" s="3">
        <v>41425</v>
      </c>
      <c r="N1714" s="3">
        <v>41443</v>
      </c>
      <c r="O1714" s="3">
        <v>41443</v>
      </c>
      <c r="P1714" s="2" t="s">
        <v>759</v>
      </c>
      <c r="Q1714" s="2" t="s">
        <v>84</v>
      </c>
      <c r="R1714" s="2" t="s">
        <v>37</v>
      </c>
      <c r="S1714" s="2" t="s">
        <v>152</v>
      </c>
      <c r="T1714" s="2" t="s">
        <v>39</v>
      </c>
      <c r="U1714" s="2">
        <v>120</v>
      </c>
      <c r="V1714" s="2">
        <v>7995</v>
      </c>
      <c r="W1714" s="2">
        <v>174131.1</v>
      </c>
      <c r="X1714" s="2">
        <v>21.78</v>
      </c>
      <c r="Y1714" s="2">
        <v>0.18</v>
      </c>
      <c r="Z1714" s="2">
        <v>1946</v>
      </c>
      <c r="AA1714" s="2">
        <v>12382</v>
      </c>
      <c r="AB1714">
        <v>0</v>
      </c>
      <c r="AC1714">
        <v>2013</v>
      </c>
      <c r="AE1714" s="2">
        <v>1439.1</v>
      </c>
    </row>
    <row r="1715" spans="2:31" ht="14.5">
      <c r="B1715" s="2">
        <v>86579</v>
      </c>
      <c r="C1715" s="2" t="s">
        <v>2770</v>
      </c>
      <c r="D1715" s="2" t="s">
        <v>2771</v>
      </c>
      <c r="E1715" s="2" t="s">
        <v>28</v>
      </c>
      <c r="F1715" s="2" t="s">
        <v>29</v>
      </c>
      <c r="G1715" s="2" t="s">
        <v>30</v>
      </c>
      <c r="H1715" s="2" t="s">
        <v>218</v>
      </c>
      <c r="I1715" s="2" t="s">
        <v>219</v>
      </c>
      <c r="J1715" s="2" t="s">
        <v>220</v>
      </c>
      <c r="K1715" s="2" t="s">
        <v>267</v>
      </c>
      <c r="L1715" s="3"/>
      <c r="M1715" s="3">
        <v>41513</v>
      </c>
      <c r="N1715" s="3">
        <v>41479</v>
      </c>
      <c r="O1715" s="3">
        <v>41479</v>
      </c>
      <c r="P1715" s="2" t="s">
        <v>749</v>
      </c>
      <c r="Q1715" s="2" t="s">
        <v>76</v>
      </c>
      <c r="R1715" s="2" t="s">
        <v>37</v>
      </c>
      <c r="S1715" s="2" t="s">
        <v>78</v>
      </c>
      <c r="T1715" s="2" t="s">
        <v>47</v>
      </c>
      <c r="U1715" s="2">
        <v>30</v>
      </c>
      <c r="V1715" s="2">
        <v>69963</v>
      </c>
      <c r="W1715" s="2">
        <v>906720.48</v>
      </c>
      <c r="X1715" s="2">
        <v>12.96</v>
      </c>
      <c r="Y1715" s="2">
        <v>0.43</v>
      </c>
      <c r="Z1715" s="2">
        <v>7819</v>
      </c>
      <c r="AA1715" s="2">
        <v>7108.78</v>
      </c>
      <c r="AB1715">
        <v>1</v>
      </c>
      <c r="AC1715">
        <v>2013</v>
      </c>
      <c r="AE1715" s="2">
        <v>30084.09</v>
      </c>
    </row>
    <row r="1716" spans="2:31" ht="14.5">
      <c r="B1716" s="2">
        <v>86581</v>
      </c>
      <c r="C1716" s="2" t="s">
        <v>2772</v>
      </c>
      <c r="D1716" s="2" t="s">
        <v>2773</v>
      </c>
      <c r="E1716" s="2" t="s">
        <v>118</v>
      </c>
      <c r="F1716" s="2" t="s">
        <v>29</v>
      </c>
      <c r="G1716" s="2" t="s">
        <v>30</v>
      </c>
      <c r="H1716" s="2" t="s">
        <v>218</v>
      </c>
      <c r="I1716" s="2" t="s">
        <v>219</v>
      </c>
      <c r="J1716" s="2" t="s">
        <v>220</v>
      </c>
      <c r="K1716" s="2" t="s">
        <v>34</v>
      </c>
      <c r="L1716" s="3"/>
      <c r="M1716" s="3">
        <v>41486</v>
      </c>
      <c r="N1716" s="3">
        <v>41474</v>
      </c>
      <c r="O1716" s="3">
        <v>41474</v>
      </c>
      <c r="P1716" s="2" t="s">
        <v>754</v>
      </c>
      <c r="Q1716" s="2" t="s">
        <v>755</v>
      </c>
      <c r="R1716" s="2" t="s">
        <v>37</v>
      </c>
      <c r="S1716" s="2" t="s">
        <v>756</v>
      </c>
      <c r="T1716" s="2" t="s">
        <v>47</v>
      </c>
      <c r="U1716" s="2">
        <v>30</v>
      </c>
      <c r="V1716" s="2">
        <v>5728</v>
      </c>
      <c r="W1716" s="2">
        <v>60258.559999999998</v>
      </c>
      <c r="X1716" s="2">
        <v>10.52</v>
      </c>
      <c r="Y1716" s="2">
        <v>0.35</v>
      </c>
      <c r="Z1716" s="2">
        <v>770</v>
      </c>
      <c r="AA1716" s="2">
        <v>2871</v>
      </c>
      <c r="AB1716">
        <v>1</v>
      </c>
      <c r="AC1716">
        <v>2013</v>
      </c>
      <c r="AE1716" s="2">
        <v>2004.8</v>
      </c>
    </row>
    <row r="1717" spans="2:31" ht="14.5">
      <c r="B1717" s="2">
        <v>86589</v>
      </c>
      <c r="C1717" s="2" t="s">
        <v>1640</v>
      </c>
      <c r="D1717" s="2" t="s">
        <v>1641</v>
      </c>
      <c r="E1717" s="2" t="s">
        <v>1581</v>
      </c>
      <c r="F1717" s="2" t="s">
        <v>29</v>
      </c>
      <c r="G1717" s="2" t="s">
        <v>30</v>
      </c>
      <c r="H1717" s="2" t="s">
        <v>218</v>
      </c>
      <c r="I1717" s="2" t="s">
        <v>219</v>
      </c>
      <c r="J1717" s="2" t="s">
        <v>220</v>
      </c>
      <c r="K1717" s="2" t="s">
        <v>34</v>
      </c>
      <c r="L1717" s="3"/>
      <c r="M1717" s="3">
        <v>41492</v>
      </c>
      <c r="N1717" s="3">
        <v>41415</v>
      </c>
      <c r="O1717" s="3">
        <v>41961</v>
      </c>
      <c r="P1717" s="2" t="s">
        <v>706</v>
      </c>
      <c r="Q1717" s="2" t="s">
        <v>707</v>
      </c>
      <c r="R1717" s="2" t="s">
        <v>37</v>
      </c>
      <c r="S1717" s="2" t="s">
        <v>708</v>
      </c>
      <c r="T1717" s="2" t="s">
        <v>47</v>
      </c>
      <c r="U1717" s="2">
        <v>30</v>
      </c>
      <c r="V1717" s="2">
        <v>48</v>
      </c>
      <c r="W1717" s="2">
        <v>225.6</v>
      </c>
      <c r="X1717" s="2">
        <v>4.7</v>
      </c>
      <c r="Y1717" s="2">
        <v>0.16</v>
      </c>
      <c r="AB1717">
        <v>1</v>
      </c>
      <c r="AC1717">
        <v>2014</v>
      </c>
      <c r="AE1717" s="2">
        <v>7.68</v>
      </c>
    </row>
    <row r="1718" spans="2:31" ht="14.5">
      <c r="B1718" s="2">
        <v>86590</v>
      </c>
      <c r="C1718" s="2" t="s">
        <v>1861</v>
      </c>
      <c r="D1718" s="2" t="s">
        <v>1862</v>
      </c>
      <c r="E1718" s="2" t="s">
        <v>118</v>
      </c>
      <c r="F1718" s="2" t="s">
        <v>29</v>
      </c>
      <c r="G1718" s="2" t="s">
        <v>30</v>
      </c>
      <c r="H1718" s="2" t="s">
        <v>218</v>
      </c>
      <c r="I1718" s="2" t="s">
        <v>219</v>
      </c>
      <c r="J1718" s="2" t="s">
        <v>220</v>
      </c>
      <c r="K1718" s="2" t="s">
        <v>34</v>
      </c>
      <c r="L1718" s="3"/>
      <c r="M1718" s="3">
        <v>41544</v>
      </c>
      <c r="N1718" s="3">
        <v>41544</v>
      </c>
      <c r="O1718" s="3">
        <v>41544</v>
      </c>
      <c r="P1718" s="2" t="s">
        <v>44</v>
      </c>
      <c r="Q1718" s="2" t="s">
        <v>45</v>
      </c>
      <c r="R1718" s="2" t="s">
        <v>37</v>
      </c>
      <c r="S1718" s="2" t="s">
        <v>46</v>
      </c>
      <c r="T1718" s="2" t="s">
        <v>47</v>
      </c>
      <c r="U1718" s="2">
        <v>60</v>
      </c>
      <c r="V1718" s="2">
        <v>19697</v>
      </c>
      <c r="W1718" s="2">
        <v>137879</v>
      </c>
      <c r="X1718" s="2">
        <v>7</v>
      </c>
      <c r="Y1718" s="2">
        <v>0.12</v>
      </c>
      <c r="AB1718">
        <v>1</v>
      </c>
      <c r="AC1718">
        <v>2013</v>
      </c>
      <c r="AE1718" s="2">
        <v>2363.64</v>
      </c>
    </row>
    <row r="1719" spans="2:31" ht="14.5">
      <c r="B1719" s="2">
        <v>86591</v>
      </c>
      <c r="C1719" s="2" t="s">
        <v>2073</v>
      </c>
      <c r="D1719" s="2" t="s">
        <v>2074</v>
      </c>
      <c r="E1719" s="2" t="s">
        <v>118</v>
      </c>
      <c r="F1719" s="2" t="s">
        <v>29</v>
      </c>
      <c r="G1719" s="2" t="s">
        <v>30</v>
      </c>
      <c r="H1719" s="2" t="s">
        <v>218</v>
      </c>
      <c r="I1719" s="2" t="s">
        <v>219</v>
      </c>
      <c r="J1719" s="2" t="s">
        <v>220</v>
      </c>
      <c r="K1719" s="2" t="s">
        <v>34</v>
      </c>
      <c r="L1719" s="3"/>
      <c r="M1719" s="3">
        <v>41515</v>
      </c>
      <c r="N1719" s="3">
        <v>41530</v>
      </c>
      <c r="O1719" s="3">
        <v>41530</v>
      </c>
      <c r="P1719" s="2" t="s">
        <v>95</v>
      </c>
      <c r="Q1719" s="2" t="s">
        <v>96</v>
      </c>
      <c r="R1719" s="2" t="s">
        <v>37</v>
      </c>
      <c r="S1719" s="2" t="s">
        <v>97</v>
      </c>
      <c r="T1719" s="2" t="s">
        <v>39</v>
      </c>
      <c r="U1719" s="2">
        <v>30</v>
      </c>
      <c r="V1719" s="2">
        <v>7363</v>
      </c>
      <c r="W1719" s="2">
        <v>24518.79</v>
      </c>
      <c r="X1719" s="2">
        <v>3.33</v>
      </c>
      <c r="Y1719" s="2">
        <v>0.11</v>
      </c>
      <c r="AB1719">
        <v>0</v>
      </c>
      <c r="AC1719">
        <v>2013</v>
      </c>
      <c r="AE1719" s="2">
        <v>809.93</v>
      </c>
    </row>
    <row r="1720" spans="2:31" ht="14.5">
      <c r="B1720" s="2">
        <v>86596</v>
      </c>
      <c r="C1720" s="2" t="s">
        <v>2774</v>
      </c>
      <c r="D1720" s="2" t="s">
        <v>2775</v>
      </c>
      <c r="E1720" s="2" t="s">
        <v>1581</v>
      </c>
      <c r="F1720" s="2" t="s">
        <v>29</v>
      </c>
      <c r="G1720" s="2" t="s">
        <v>30</v>
      </c>
      <c r="H1720" s="2" t="s">
        <v>218</v>
      </c>
      <c r="I1720" s="2" t="s">
        <v>219</v>
      </c>
      <c r="J1720" s="2" t="s">
        <v>220</v>
      </c>
      <c r="K1720" s="2" t="s">
        <v>34</v>
      </c>
      <c r="L1720" s="3"/>
      <c r="M1720" s="3">
        <v>41560</v>
      </c>
      <c r="N1720" s="3">
        <v>41415</v>
      </c>
      <c r="O1720" s="3">
        <v>41961</v>
      </c>
      <c r="P1720" s="2" t="s">
        <v>35</v>
      </c>
      <c r="Q1720" s="2" t="s">
        <v>36</v>
      </c>
      <c r="R1720" s="2" t="s">
        <v>37</v>
      </c>
      <c r="S1720" s="2" t="s">
        <v>38</v>
      </c>
      <c r="T1720" s="2" t="s">
        <v>39</v>
      </c>
      <c r="U1720" s="2">
        <v>60</v>
      </c>
      <c r="V1720" s="2">
        <v>63</v>
      </c>
      <c r="W1720" s="2">
        <v>142.38</v>
      </c>
      <c r="X1720" s="2">
        <v>2.2599999999999998</v>
      </c>
      <c r="Y1720" s="2">
        <v>0.04</v>
      </c>
      <c r="AB1720">
        <v>1</v>
      </c>
      <c r="AC1720">
        <v>2014</v>
      </c>
      <c r="AE1720" s="2">
        <v>2.52</v>
      </c>
    </row>
    <row r="1721" spans="2:31" ht="14.5">
      <c r="B1721" s="2">
        <v>86600</v>
      </c>
      <c r="C1721" s="2" t="s">
        <v>2776</v>
      </c>
      <c r="D1721" s="2" t="s">
        <v>2777</v>
      </c>
      <c r="E1721" s="2" t="s">
        <v>1581</v>
      </c>
      <c r="F1721" s="2" t="s">
        <v>29</v>
      </c>
      <c r="G1721" s="2" t="s">
        <v>50</v>
      </c>
      <c r="H1721" s="2" t="s">
        <v>218</v>
      </c>
      <c r="I1721" s="2" t="s">
        <v>219</v>
      </c>
      <c r="J1721" s="2" t="s">
        <v>220</v>
      </c>
      <c r="K1721" s="2" t="s">
        <v>34</v>
      </c>
      <c r="L1721" s="3"/>
      <c r="M1721" s="3">
        <v>41526</v>
      </c>
      <c r="N1721" s="3">
        <v>41527</v>
      </c>
      <c r="O1721" s="3">
        <v>41527</v>
      </c>
      <c r="P1721" s="2" t="s">
        <v>740</v>
      </c>
      <c r="Q1721" s="2" t="s">
        <v>36</v>
      </c>
      <c r="R1721" s="2" t="s">
        <v>37</v>
      </c>
      <c r="S1721" s="2" t="s">
        <v>226</v>
      </c>
      <c r="T1721" s="2" t="s">
        <v>526</v>
      </c>
      <c r="U1721" s="2">
        <v>240</v>
      </c>
      <c r="V1721" s="2">
        <v>2280</v>
      </c>
      <c r="W1721" s="2">
        <v>4446</v>
      </c>
      <c r="X1721" s="2">
        <v>1.95</v>
      </c>
      <c r="Y1721" s="2">
        <v>0.01</v>
      </c>
      <c r="Z1721" s="2">
        <v>845</v>
      </c>
      <c r="AA1721" s="2">
        <v>5435.44</v>
      </c>
      <c r="AB1721">
        <v>0</v>
      </c>
      <c r="AC1721">
        <v>2013</v>
      </c>
      <c r="AE1721" s="2">
        <v>22.8</v>
      </c>
    </row>
    <row r="1722" spans="2:31" ht="14.5">
      <c r="B1722" s="2">
        <v>86606</v>
      </c>
      <c r="C1722" s="2" t="s">
        <v>2778</v>
      </c>
      <c r="D1722" s="2" t="s">
        <v>2779</v>
      </c>
      <c r="E1722" s="2" t="s">
        <v>1581</v>
      </c>
      <c r="F1722" s="2" t="s">
        <v>29</v>
      </c>
      <c r="G1722" s="2" t="s">
        <v>30</v>
      </c>
      <c r="H1722" s="2" t="s">
        <v>218</v>
      </c>
      <c r="I1722" s="2" t="s">
        <v>219</v>
      </c>
      <c r="J1722" s="2" t="s">
        <v>220</v>
      </c>
      <c r="K1722" s="2" t="s">
        <v>34</v>
      </c>
      <c r="L1722" s="3"/>
      <c r="M1722" s="3">
        <v>41574</v>
      </c>
      <c r="N1722" s="3">
        <v>41583</v>
      </c>
      <c r="O1722" s="3">
        <v>41590</v>
      </c>
      <c r="P1722" s="2" t="s">
        <v>95</v>
      </c>
      <c r="Q1722" s="2" t="s">
        <v>96</v>
      </c>
      <c r="R1722" s="2" t="s">
        <v>37</v>
      </c>
      <c r="S1722" s="2" t="s">
        <v>97</v>
      </c>
      <c r="T1722" s="2" t="s">
        <v>39</v>
      </c>
      <c r="U1722" s="2">
        <v>30</v>
      </c>
      <c r="V1722" s="2">
        <v>5568</v>
      </c>
      <c r="W1722" s="2">
        <v>18541.439999999999</v>
      </c>
      <c r="X1722" s="2">
        <v>3.33</v>
      </c>
      <c r="Y1722" s="2">
        <v>0.11</v>
      </c>
      <c r="Z1722" s="2">
        <v>342</v>
      </c>
      <c r="AA1722" s="2">
        <v>3325.77</v>
      </c>
      <c r="AB1722">
        <v>0</v>
      </c>
      <c r="AC1722">
        <v>2013</v>
      </c>
      <c r="AE1722" s="2">
        <v>612.48</v>
      </c>
    </row>
    <row r="1723" spans="2:31" ht="14.5">
      <c r="B1723" s="2">
        <v>86617</v>
      </c>
      <c r="C1723" s="2" t="s">
        <v>2780</v>
      </c>
      <c r="D1723" s="2" t="s">
        <v>2781</v>
      </c>
      <c r="E1723" s="2" t="s">
        <v>118</v>
      </c>
      <c r="F1723" s="2" t="s">
        <v>29</v>
      </c>
      <c r="G1723" s="2" t="s">
        <v>30</v>
      </c>
      <c r="H1723" s="2" t="s">
        <v>218</v>
      </c>
      <c r="I1723" s="2" t="s">
        <v>219</v>
      </c>
      <c r="J1723" s="2" t="s">
        <v>220</v>
      </c>
      <c r="K1723" s="2" t="s">
        <v>267</v>
      </c>
      <c r="L1723" s="3"/>
      <c r="M1723" s="3">
        <v>41607</v>
      </c>
      <c r="N1723" s="3">
        <v>41598</v>
      </c>
      <c r="O1723" s="3">
        <v>41615</v>
      </c>
      <c r="P1723" s="2" t="s">
        <v>35</v>
      </c>
      <c r="Q1723" s="2" t="s">
        <v>36</v>
      </c>
      <c r="R1723" s="2" t="s">
        <v>37</v>
      </c>
      <c r="S1723" s="2" t="s">
        <v>38</v>
      </c>
      <c r="T1723" s="2" t="s">
        <v>39</v>
      </c>
      <c r="U1723" s="2">
        <v>60</v>
      </c>
      <c r="V1723" s="2">
        <v>45525</v>
      </c>
      <c r="W1723" s="2">
        <v>102886.5</v>
      </c>
      <c r="X1723" s="2">
        <v>2.2599999999999998</v>
      </c>
      <c r="Y1723" s="2">
        <v>0.04</v>
      </c>
      <c r="Z1723" s="2">
        <v>2818</v>
      </c>
      <c r="AA1723" s="2">
        <v>6976.78</v>
      </c>
      <c r="AB1723">
        <v>1</v>
      </c>
      <c r="AC1723">
        <v>2013</v>
      </c>
      <c r="AE1723" s="2">
        <v>1821</v>
      </c>
    </row>
    <row r="1724" spans="2:31" ht="14.5">
      <c r="B1724" s="2">
        <v>86618</v>
      </c>
      <c r="C1724" s="2" t="s">
        <v>2522</v>
      </c>
      <c r="D1724" s="2" t="s">
        <v>2523</v>
      </c>
      <c r="E1724" s="2" t="s">
        <v>118</v>
      </c>
      <c r="F1724" s="2" t="s">
        <v>29</v>
      </c>
      <c r="G1724" s="2" t="s">
        <v>50</v>
      </c>
      <c r="H1724" s="2" t="s">
        <v>218</v>
      </c>
      <c r="I1724" s="2" t="s">
        <v>219</v>
      </c>
      <c r="J1724" s="2" t="s">
        <v>220</v>
      </c>
      <c r="K1724" s="2" t="s">
        <v>267</v>
      </c>
      <c r="L1724" s="3"/>
      <c r="M1724" s="3">
        <v>41607</v>
      </c>
      <c r="N1724" s="3">
        <v>41591</v>
      </c>
      <c r="O1724" s="3">
        <v>41605</v>
      </c>
      <c r="P1724" s="2" t="s">
        <v>802</v>
      </c>
      <c r="Q1724" s="2" t="s">
        <v>96</v>
      </c>
      <c r="R1724" s="2" t="s">
        <v>37</v>
      </c>
      <c r="S1724" s="2" t="s">
        <v>38</v>
      </c>
      <c r="T1724" s="2" t="s">
        <v>39</v>
      </c>
      <c r="U1724" s="2">
        <v>90</v>
      </c>
      <c r="V1724" s="2">
        <v>8035</v>
      </c>
      <c r="W1724" s="2">
        <v>74725.5</v>
      </c>
      <c r="X1724" s="2">
        <v>9.3000000000000007</v>
      </c>
      <c r="Y1724" s="2">
        <v>0.1</v>
      </c>
      <c r="AB1724">
        <v>1</v>
      </c>
      <c r="AC1724">
        <v>2013</v>
      </c>
      <c r="AE1724" s="2">
        <v>803.5</v>
      </c>
    </row>
    <row r="1725" spans="2:31" ht="14.5">
      <c r="B1725" s="2">
        <v>86627</v>
      </c>
      <c r="C1725" s="2" t="s">
        <v>2782</v>
      </c>
      <c r="D1725" s="2" t="s">
        <v>2783</v>
      </c>
      <c r="E1725" s="2" t="s">
        <v>118</v>
      </c>
      <c r="F1725" s="2" t="s">
        <v>29</v>
      </c>
      <c r="G1725" s="2" t="s">
        <v>50</v>
      </c>
      <c r="H1725" s="2" t="s">
        <v>218</v>
      </c>
      <c r="I1725" s="2" t="s">
        <v>219</v>
      </c>
      <c r="J1725" s="2" t="s">
        <v>220</v>
      </c>
      <c r="K1725" s="2" t="s">
        <v>34</v>
      </c>
      <c r="L1725" s="3"/>
      <c r="M1725" s="3">
        <v>41624</v>
      </c>
      <c r="N1725" s="3">
        <v>41628</v>
      </c>
      <c r="O1725" s="3">
        <v>41647</v>
      </c>
      <c r="P1725" s="2" t="s">
        <v>842</v>
      </c>
      <c r="Q1725" s="2" t="s">
        <v>113</v>
      </c>
      <c r="R1725" s="2" t="s">
        <v>37</v>
      </c>
      <c r="S1725" s="2" t="s">
        <v>843</v>
      </c>
      <c r="T1725" s="2" t="s">
        <v>729</v>
      </c>
      <c r="U1725" s="2">
        <v>60</v>
      </c>
      <c r="V1725" s="2">
        <v>2277</v>
      </c>
      <c r="W1725" s="2">
        <v>8857.5300000000007</v>
      </c>
      <c r="X1725" s="2">
        <v>3.89</v>
      </c>
      <c r="Y1725" s="2">
        <v>0.06</v>
      </c>
      <c r="Z1725" s="2">
        <v>128</v>
      </c>
      <c r="AA1725" s="2">
        <v>1611.43</v>
      </c>
      <c r="AB1725">
        <v>0</v>
      </c>
      <c r="AC1725">
        <v>2014</v>
      </c>
      <c r="AE1725" s="2">
        <v>136.62</v>
      </c>
    </row>
    <row r="1726" spans="2:31" ht="14.5">
      <c r="B1726" s="2">
        <v>86634</v>
      </c>
      <c r="C1726" s="2" t="s">
        <v>1656</v>
      </c>
      <c r="D1726" s="2" t="s">
        <v>1657</v>
      </c>
      <c r="E1726" s="2" t="s">
        <v>28</v>
      </c>
      <c r="F1726" s="2" t="s">
        <v>29</v>
      </c>
      <c r="G1726" s="2" t="s">
        <v>30</v>
      </c>
      <c r="H1726" s="2" t="s">
        <v>218</v>
      </c>
      <c r="I1726" s="2" t="s">
        <v>219</v>
      </c>
      <c r="J1726" s="2" t="s">
        <v>220</v>
      </c>
      <c r="K1726" s="2" t="s">
        <v>267</v>
      </c>
      <c r="L1726" s="3"/>
      <c r="M1726" s="3">
        <v>41670</v>
      </c>
      <c r="N1726" s="3">
        <v>41689</v>
      </c>
      <c r="O1726" s="3">
        <v>41694</v>
      </c>
      <c r="P1726" s="2" t="s">
        <v>759</v>
      </c>
      <c r="Q1726" s="2" t="s">
        <v>84</v>
      </c>
      <c r="R1726" s="2" t="s">
        <v>37</v>
      </c>
      <c r="S1726" s="2" t="s">
        <v>152</v>
      </c>
      <c r="T1726" s="2" t="s">
        <v>39</v>
      </c>
      <c r="U1726" s="2">
        <v>120</v>
      </c>
      <c r="V1726" s="2">
        <v>32753</v>
      </c>
      <c r="W1726" s="2">
        <v>670781.43999999994</v>
      </c>
      <c r="X1726" s="2">
        <v>20.48</v>
      </c>
      <c r="Y1726" s="2">
        <v>0.17</v>
      </c>
      <c r="AB1726">
        <v>0</v>
      </c>
      <c r="AC1726">
        <v>2014</v>
      </c>
      <c r="AE1726" s="2">
        <v>5568.01</v>
      </c>
    </row>
    <row r="1727" spans="2:31" ht="14.5">
      <c r="B1727" s="2">
        <v>86637</v>
      </c>
      <c r="C1727" s="2" t="s">
        <v>2664</v>
      </c>
      <c r="D1727" s="2" t="s">
        <v>2665</v>
      </c>
      <c r="E1727" s="2" t="s">
        <v>28</v>
      </c>
      <c r="F1727" s="2" t="s">
        <v>29</v>
      </c>
      <c r="G1727" s="2" t="s">
        <v>50</v>
      </c>
      <c r="H1727" s="2" t="s">
        <v>218</v>
      </c>
      <c r="I1727" s="2" t="s">
        <v>219</v>
      </c>
      <c r="J1727" s="2" t="s">
        <v>220</v>
      </c>
      <c r="K1727" s="2" t="s">
        <v>267</v>
      </c>
      <c r="L1727" s="3"/>
      <c r="M1727" s="3">
        <v>41670</v>
      </c>
      <c r="N1727" s="3">
        <v>41705</v>
      </c>
      <c r="O1727" s="3">
        <v>41710</v>
      </c>
      <c r="P1727" s="2" t="s">
        <v>2037</v>
      </c>
      <c r="Q1727" s="2" t="s">
        <v>140</v>
      </c>
      <c r="R1727" s="2" t="s">
        <v>37</v>
      </c>
      <c r="S1727" s="2" t="s">
        <v>2038</v>
      </c>
      <c r="T1727" s="2" t="s">
        <v>729</v>
      </c>
      <c r="U1727" s="2">
        <v>60</v>
      </c>
      <c r="V1727" s="2">
        <v>3879</v>
      </c>
      <c r="W1727" s="2">
        <v>16679.7</v>
      </c>
      <c r="X1727" s="2">
        <v>4.3</v>
      </c>
      <c r="Y1727" s="2">
        <v>7.0000000000000007E-2</v>
      </c>
      <c r="AB1727">
        <v>0</v>
      </c>
      <c r="AC1727">
        <v>2014</v>
      </c>
      <c r="AE1727" s="2">
        <v>271.53000000000003</v>
      </c>
    </row>
    <row r="1728" spans="2:31" ht="14.5">
      <c r="B1728" s="2">
        <v>86639</v>
      </c>
      <c r="C1728" s="2" t="s">
        <v>2855</v>
      </c>
      <c r="D1728" s="2" t="s">
        <v>2856</v>
      </c>
      <c r="E1728" s="2" t="s">
        <v>2817</v>
      </c>
      <c r="F1728" s="2" t="s">
        <v>29</v>
      </c>
      <c r="G1728" s="2" t="s">
        <v>30</v>
      </c>
      <c r="H1728" s="2" t="s">
        <v>218</v>
      </c>
      <c r="I1728" s="2" t="s">
        <v>219</v>
      </c>
      <c r="J1728" s="2" t="s">
        <v>220</v>
      </c>
      <c r="K1728" s="2" t="s">
        <v>34</v>
      </c>
      <c r="L1728" s="3"/>
      <c r="M1728" s="3">
        <v>41661</v>
      </c>
      <c r="N1728" s="3">
        <v>41681</v>
      </c>
      <c r="O1728" s="3">
        <v>41683</v>
      </c>
      <c r="P1728" s="2" t="s">
        <v>112</v>
      </c>
      <c r="Q1728" s="2" t="s">
        <v>113</v>
      </c>
      <c r="R1728" s="2" t="s">
        <v>37</v>
      </c>
      <c r="S1728" s="2" t="s">
        <v>114</v>
      </c>
      <c r="T1728" s="2" t="s">
        <v>47</v>
      </c>
      <c r="U1728" s="2">
        <v>60</v>
      </c>
      <c r="V1728" s="2">
        <v>3746</v>
      </c>
      <c r="W1728" s="2">
        <v>30941.96</v>
      </c>
      <c r="X1728" s="2">
        <v>8.26</v>
      </c>
      <c r="Y1728" s="2">
        <v>0.14000000000000001</v>
      </c>
      <c r="AB1728">
        <v>0</v>
      </c>
      <c r="AC1728">
        <v>2014</v>
      </c>
      <c r="AE1728" s="2">
        <v>524.44000000000005</v>
      </c>
    </row>
    <row r="1729" spans="2:31" ht="14.5">
      <c r="B1729" s="2">
        <v>86643</v>
      </c>
      <c r="C1729" s="2" t="s">
        <v>2784</v>
      </c>
      <c r="D1729" s="2" t="s">
        <v>2785</v>
      </c>
      <c r="E1729" s="2" t="s">
        <v>28</v>
      </c>
      <c r="F1729" s="2" t="s">
        <v>29</v>
      </c>
      <c r="G1729" s="2" t="s">
        <v>50</v>
      </c>
      <c r="H1729" s="2" t="s">
        <v>218</v>
      </c>
      <c r="I1729" s="2" t="s">
        <v>219</v>
      </c>
      <c r="J1729" s="2" t="s">
        <v>220</v>
      </c>
      <c r="K1729" s="2" t="s">
        <v>267</v>
      </c>
      <c r="L1729" s="3"/>
      <c r="M1729" s="3">
        <v>41670</v>
      </c>
      <c r="N1729" s="3">
        <v>41710</v>
      </c>
      <c r="O1729" s="3">
        <v>41715</v>
      </c>
      <c r="P1729" s="2" t="s">
        <v>818</v>
      </c>
      <c r="Q1729" s="2" t="s">
        <v>36</v>
      </c>
      <c r="R1729" s="2" t="s">
        <v>37</v>
      </c>
      <c r="S1729" s="2" t="s">
        <v>226</v>
      </c>
      <c r="T1729" s="2" t="s">
        <v>526</v>
      </c>
      <c r="U1729" s="2">
        <v>100</v>
      </c>
      <c r="V1729" s="2">
        <v>20000</v>
      </c>
      <c r="W1729" s="2">
        <v>26000</v>
      </c>
      <c r="X1729" s="2">
        <v>1.3</v>
      </c>
      <c r="Y1729" s="2">
        <v>0.01</v>
      </c>
      <c r="Z1729" s="2">
        <v>3920</v>
      </c>
      <c r="AA1729" s="2">
        <v>6010.2</v>
      </c>
      <c r="AB1729">
        <v>0</v>
      </c>
      <c r="AC1729">
        <v>2014</v>
      </c>
      <c r="AE1729" s="2">
        <v>200</v>
      </c>
    </row>
    <row r="1730" spans="2:31" ht="14.5">
      <c r="B1730" s="2">
        <v>86644</v>
      </c>
      <c r="C1730" s="2" t="s">
        <v>2786</v>
      </c>
      <c r="D1730" s="2" t="s">
        <v>2787</v>
      </c>
      <c r="E1730" s="2" t="s">
        <v>28</v>
      </c>
      <c r="F1730" s="2" t="s">
        <v>29</v>
      </c>
      <c r="G1730" s="2" t="s">
        <v>50</v>
      </c>
      <c r="H1730" s="2" t="s">
        <v>218</v>
      </c>
      <c r="I1730" s="2" t="s">
        <v>219</v>
      </c>
      <c r="J1730" s="2" t="s">
        <v>220</v>
      </c>
      <c r="K1730" s="2" t="s">
        <v>267</v>
      </c>
      <c r="L1730" s="3"/>
      <c r="M1730" s="3">
        <v>41670</v>
      </c>
      <c r="N1730" s="3">
        <v>41705</v>
      </c>
      <c r="O1730" s="3">
        <v>41710</v>
      </c>
      <c r="P1730" s="2" t="s">
        <v>802</v>
      </c>
      <c r="Q1730" s="2" t="s">
        <v>96</v>
      </c>
      <c r="R1730" s="2" t="s">
        <v>37</v>
      </c>
      <c r="S1730" s="2" t="s">
        <v>38</v>
      </c>
      <c r="T1730" s="2" t="s">
        <v>39</v>
      </c>
      <c r="U1730" s="2">
        <v>90</v>
      </c>
      <c r="V1730" s="2">
        <v>21596</v>
      </c>
      <c r="W1730" s="2">
        <v>200842.8</v>
      </c>
      <c r="X1730" s="2">
        <v>9.3000000000000007</v>
      </c>
      <c r="Y1730" s="2">
        <v>0.1</v>
      </c>
      <c r="Z1730" s="2">
        <v>1336</v>
      </c>
      <c r="AA1730" s="2">
        <v>5033.8</v>
      </c>
      <c r="AB1730">
        <v>0</v>
      </c>
      <c r="AC1730">
        <v>2014</v>
      </c>
      <c r="AE1730" s="2">
        <v>2159.6</v>
      </c>
    </row>
    <row r="1731" spans="2:31" ht="14.5">
      <c r="B1731" s="2">
        <v>86652</v>
      </c>
      <c r="C1731" s="2" t="s">
        <v>2788</v>
      </c>
      <c r="D1731" s="2" t="s">
        <v>2789</v>
      </c>
      <c r="E1731" s="2" t="s">
        <v>42</v>
      </c>
      <c r="F1731" s="2" t="s">
        <v>29</v>
      </c>
      <c r="G1731" s="2" t="s">
        <v>30</v>
      </c>
      <c r="H1731" s="2" t="s">
        <v>218</v>
      </c>
      <c r="I1731" s="2" t="s">
        <v>219</v>
      </c>
      <c r="J1731" s="2" t="s">
        <v>220</v>
      </c>
      <c r="K1731" s="2" t="s">
        <v>267</v>
      </c>
      <c r="L1731" s="3"/>
      <c r="M1731" s="3">
        <v>41670</v>
      </c>
      <c r="N1731" s="3">
        <v>41673</v>
      </c>
      <c r="O1731" s="3">
        <v>41694</v>
      </c>
      <c r="P1731" s="2" t="s">
        <v>754</v>
      </c>
      <c r="Q1731" s="2" t="s">
        <v>755</v>
      </c>
      <c r="R1731" s="2" t="s">
        <v>37</v>
      </c>
      <c r="S1731" s="2" t="s">
        <v>756</v>
      </c>
      <c r="T1731" s="2" t="s">
        <v>47</v>
      </c>
      <c r="U1731" s="2">
        <v>30</v>
      </c>
      <c r="V1731" s="2">
        <v>119370</v>
      </c>
      <c r="W1731" s="2">
        <v>1297551.8999999999</v>
      </c>
      <c r="X1731" s="2">
        <v>10.87</v>
      </c>
      <c r="Y1731" s="2">
        <v>0.36</v>
      </c>
      <c r="Z1731" s="2">
        <v>13429</v>
      </c>
      <c r="AA1731" s="2">
        <v>13380.52</v>
      </c>
      <c r="AB1731">
        <v>0</v>
      </c>
      <c r="AC1731">
        <v>2014</v>
      </c>
      <c r="AE1731" s="2">
        <v>42973.2</v>
      </c>
    </row>
    <row r="1732" spans="2:31" ht="14.5">
      <c r="B1732" s="2">
        <v>86663</v>
      </c>
      <c r="C1732" s="2" t="s">
        <v>2790</v>
      </c>
      <c r="D1732" s="2" t="s">
        <v>2791</v>
      </c>
      <c r="E1732" s="2" t="s">
        <v>28</v>
      </c>
      <c r="F1732" s="2" t="s">
        <v>29</v>
      </c>
      <c r="G1732" s="2" t="s">
        <v>50</v>
      </c>
      <c r="H1732" s="2" t="s">
        <v>218</v>
      </c>
      <c r="I1732" s="2" t="s">
        <v>219</v>
      </c>
      <c r="J1732" s="2" t="s">
        <v>220</v>
      </c>
      <c r="K1732" s="2" t="s">
        <v>267</v>
      </c>
      <c r="L1732" s="3"/>
      <c r="M1732" s="3">
        <v>41759</v>
      </c>
      <c r="N1732" s="3">
        <v>41746</v>
      </c>
      <c r="O1732" s="3">
        <v>41757</v>
      </c>
      <c r="P1732" s="2" t="s">
        <v>802</v>
      </c>
      <c r="Q1732" s="2" t="s">
        <v>96</v>
      </c>
      <c r="R1732" s="2" t="s">
        <v>37</v>
      </c>
      <c r="S1732" s="2" t="s">
        <v>38</v>
      </c>
      <c r="T1732" s="2" t="s">
        <v>39</v>
      </c>
      <c r="U1732" s="2">
        <v>90</v>
      </c>
      <c r="V1732" s="2">
        <v>135</v>
      </c>
      <c r="W1732" s="2">
        <v>1255.5</v>
      </c>
      <c r="X1732" s="2">
        <v>9.3000000000000007</v>
      </c>
      <c r="Y1732" s="2">
        <v>0.1</v>
      </c>
      <c r="Z1732" s="2">
        <v>8</v>
      </c>
      <c r="AA1732" s="2">
        <v>1231.5999999999999</v>
      </c>
      <c r="AB1732">
        <v>1</v>
      </c>
      <c r="AC1732">
        <v>2014</v>
      </c>
      <c r="AE1732" s="2">
        <v>13.5</v>
      </c>
    </row>
    <row r="1733" spans="2:31" ht="14.5">
      <c r="B1733" s="2">
        <v>86668</v>
      </c>
      <c r="C1733" s="2" t="s">
        <v>2792</v>
      </c>
      <c r="D1733" s="2" t="s">
        <v>2793</v>
      </c>
      <c r="E1733" s="2" t="s">
        <v>28</v>
      </c>
      <c r="F1733" s="2" t="s">
        <v>29</v>
      </c>
      <c r="G1733" s="2" t="s">
        <v>30</v>
      </c>
      <c r="H1733" s="2" t="s">
        <v>218</v>
      </c>
      <c r="I1733" s="2" t="s">
        <v>219</v>
      </c>
      <c r="J1733" s="2" t="s">
        <v>220</v>
      </c>
      <c r="K1733" s="2" t="s">
        <v>267</v>
      </c>
      <c r="L1733" s="3"/>
      <c r="M1733" s="3">
        <v>41759</v>
      </c>
      <c r="N1733" s="3">
        <v>41766</v>
      </c>
      <c r="O1733" s="3">
        <v>41803</v>
      </c>
      <c r="P1733" s="2" t="s">
        <v>98</v>
      </c>
      <c r="Q1733" s="2" t="s">
        <v>99</v>
      </c>
      <c r="R1733" s="2" t="s">
        <v>37</v>
      </c>
      <c r="S1733" s="2" t="s">
        <v>100</v>
      </c>
      <c r="T1733" s="2" t="s">
        <v>39</v>
      </c>
      <c r="U1733" s="2">
        <v>60</v>
      </c>
      <c r="V1733" s="2">
        <v>27293</v>
      </c>
      <c r="W1733" s="2">
        <v>306500.39</v>
      </c>
      <c r="X1733" s="2">
        <v>11.23</v>
      </c>
      <c r="Y1733" s="2">
        <v>0.19</v>
      </c>
      <c r="Z1733" s="2">
        <v>2525</v>
      </c>
      <c r="AA1733" s="2">
        <v>2352.5300000000002</v>
      </c>
      <c r="AB1733">
        <v>0</v>
      </c>
      <c r="AC1733">
        <v>2014</v>
      </c>
      <c r="AE1733" s="2">
        <v>5185.67</v>
      </c>
    </row>
    <row r="1734" spans="2:31" ht="14.5">
      <c r="B1734" s="2">
        <v>86680</v>
      </c>
      <c r="C1734" s="2" t="s">
        <v>2794</v>
      </c>
      <c r="D1734" s="2" t="s">
        <v>2795</v>
      </c>
      <c r="E1734" s="2" t="s">
        <v>28</v>
      </c>
      <c r="F1734" s="2" t="s">
        <v>29</v>
      </c>
      <c r="G1734" s="2" t="s">
        <v>30</v>
      </c>
      <c r="H1734" s="2" t="s">
        <v>218</v>
      </c>
      <c r="I1734" s="2" t="s">
        <v>219</v>
      </c>
      <c r="J1734" s="2" t="s">
        <v>220</v>
      </c>
      <c r="K1734" s="2" t="s">
        <v>267</v>
      </c>
      <c r="L1734" s="3"/>
      <c r="M1734" s="3">
        <v>41789</v>
      </c>
      <c r="N1734" s="3">
        <v>41811</v>
      </c>
      <c r="O1734" s="3">
        <v>41821</v>
      </c>
      <c r="P1734" s="2" t="s">
        <v>98</v>
      </c>
      <c r="Q1734" s="2" t="s">
        <v>99</v>
      </c>
      <c r="R1734" s="2" t="s">
        <v>37</v>
      </c>
      <c r="S1734" s="2" t="s">
        <v>100</v>
      </c>
      <c r="T1734" s="2" t="s">
        <v>39</v>
      </c>
      <c r="U1734" s="2">
        <v>60</v>
      </c>
      <c r="V1734" s="2">
        <v>2707</v>
      </c>
      <c r="W1734" s="2">
        <v>30399.61</v>
      </c>
      <c r="X1734" s="2">
        <v>11.23</v>
      </c>
      <c r="Y1734" s="2">
        <v>0.19</v>
      </c>
      <c r="Z1734" s="2">
        <v>263</v>
      </c>
      <c r="AA1734" s="2">
        <v>1811.6</v>
      </c>
      <c r="AB1734">
        <v>0</v>
      </c>
      <c r="AC1734">
        <v>2014</v>
      </c>
      <c r="AE1734" s="2">
        <v>514.33000000000004</v>
      </c>
    </row>
    <row r="1735" spans="2:31" ht="14.5">
      <c r="B1735" s="2">
        <v>86683</v>
      </c>
      <c r="C1735" s="2" t="s">
        <v>2796</v>
      </c>
      <c r="D1735" s="2" t="s">
        <v>2797</v>
      </c>
      <c r="E1735" s="2" t="s">
        <v>118</v>
      </c>
      <c r="F1735" s="2" t="s">
        <v>29</v>
      </c>
      <c r="G1735" s="2" t="s">
        <v>30</v>
      </c>
      <c r="H1735" s="2" t="s">
        <v>218</v>
      </c>
      <c r="I1735" s="2" t="s">
        <v>219</v>
      </c>
      <c r="J1735" s="2" t="s">
        <v>220</v>
      </c>
      <c r="K1735" s="2" t="s">
        <v>267</v>
      </c>
      <c r="L1735" s="3"/>
      <c r="M1735" s="3">
        <v>41789</v>
      </c>
      <c r="N1735" s="3">
        <v>41787</v>
      </c>
      <c r="O1735" s="3">
        <v>41801</v>
      </c>
      <c r="P1735" s="2" t="s">
        <v>112</v>
      </c>
      <c r="Q1735" s="2" t="s">
        <v>113</v>
      </c>
      <c r="R1735" s="2" t="s">
        <v>37</v>
      </c>
      <c r="S1735" s="2" t="s">
        <v>114</v>
      </c>
      <c r="T1735" s="2" t="s">
        <v>47</v>
      </c>
      <c r="U1735" s="2">
        <v>60</v>
      </c>
      <c r="V1735" s="2">
        <v>45950</v>
      </c>
      <c r="W1735" s="2">
        <v>372654.5</v>
      </c>
      <c r="X1735" s="2">
        <v>8.11</v>
      </c>
      <c r="Y1735" s="2">
        <v>0.14000000000000001</v>
      </c>
      <c r="Z1735" s="2">
        <v>6061</v>
      </c>
      <c r="AA1735" s="2">
        <v>6901.96</v>
      </c>
      <c r="AB1735">
        <v>1</v>
      </c>
      <c r="AC1735">
        <v>2014</v>
      </c>
      <c r="AE1735" s="2">
        <v>6433.0000000000009</v>
      </c>
    </row>
    <row r="1736" spans="2:31" ht="14.5">
      <c r="B1736" s="2">
        <v>86699</v>
      </c>
      <c r="C1736" s="2" t="s">
        <v>2861</v>
      </c>
      <c r="D1736" s="2" t="s">
        <v>2862</v>
      </c>
      <c r="E1736" s="2" t="s">
        <v>2817</v>
      </c>
      <c r="F1736" s="2" t="s">
        <v>29</v>
      </c>
      <c r="G1736" s="2" t="s">
        <v>30</v>
      </c>
      <c r="H1736" s="2" t="s">
        <v>218</v>
      </c>
      <c r="I1736" s="2" t="s">
        <v>219</v>
      </c>
      <c r="J1736" s="2" t="s">
        <v>220</v>
      </c>
      <c r="K1736" s="2" t="s">
        <v>34</v>
      </c>
      <c r="L1736" s="3"/>
      <c r="M1736" s="3">
        <v>41914</v>
      </c>
      <c r="N1736" s="3">
        <v>41929</v>
      </c>
      <c r="O1736" s="3">
        <v>41956</v>
      </c>
      <c r="P1736" s="2" t="s">
        <v>95</v>
      </c>
      <c r="Q1736" s="2" t="s">
        <v>96</v>
      </c>
      <c r="R1736" s="2" t="s">
        <v>37</v>
      </c>
      <c r="S1736" s="2" t="s">
        <v>97</v>
      </c>
      <c r="T1736" s="2" t="s">
        <v>39</v>
      </c>
      <c r="U1736" s="2">
        <v>30</v>
      </c>
      <c r="V1736" s="2">
        <v>4488</v>
      </c>
      <c r="W1736" s="2">
        <v>14406.48</v>
      </c>
      <c r="X1736" s="2">
        <v>3.21</v>
      </c>
      <c r="Y1736" s="2">
        <v>0.11</v>
      </c>
      <c r="AB1736">
        <v>0</v>
      </c>
      <c r="AC1736">
        <v>2014</v>
      </c>
      <c r="AE1736" s="2">
        <v>493.68</v>
      </c>
    </row>
    <row r="1737" spans="2:31" ht="14.5">
      <c r="B1737" s="2">
        <v>86701</v>
      </c>
      <c r="C1737" s="2" t="s">
        <v>2798</v>
      </c>
      <c r="D1737" s="2" t="s">
        <v>2799</v>
      </c>
      <c r="E1737" s="2" t="s">
        <v>118</v>
      </c>
      <c r="F1737" s="2" t="s">
        <v>29</v>
      </c>
      <c r="G1737" s="2" t="s">
        <v>30</v>
      </c>
      <c r="H1737" s="2" t="s">
        <v>218</v>
      </c>
      <c r="I1737" s="2" t="s">
        <v>219</v>
      </c>
      <c r="J1737" s="2" t="s">
        <v>220</v>
      </c>
      <c r="K1737" s="2" t="s">
        <v>267</v>
      </c>
      <c r="L1737" s="3"/>
      <c r="M1737" s="3">
        <v>41971</v>
      </c>
      <c r="N1737" s="3">
        <v>41873</v>
      </c>
      <c r="O1737" s="3">
        <v>41877</v>
      </c>
      <c r="P1737" s="2" t="s">
        <v>150</v>
      </c>
      <c r="Q1737" s="2" t="s">
        <v>84</v>
      </c>
      <c r="R1737" s="2" t="s">
        <v>151</v>
      </c>
      <c r="S1737" s="2" t="s">
        <v>152</v>
      </c>
      <c r="T1737" s="2" t="s">
        <v>39</v>
      </c>
      <c r="U1737" s="2">
        <v>120</v>
      </c>
      <c r="V1737" s="2">
        <v>5337</v>
      </c>
      <c r="W1737" s="2">
        <v>100869.3</v>
      </c>
      <c r="X1737" s="2">
        <v>18.899999999999999</v>
      </c>
      <c r="Y1737" s="2">
        <v>0.16</v>
      </c>
      <c r="Z1737" s="2">
        <v>1089</v>
      </c>
      <c r="AA1737" s="2">
        <v>3730.8</v>
      </c>
      <c r="AB1737">
        <v>1</v>
      </c>
      <c r="AC1737">
        <v>2014</v>
      </c>
      <c r="AE1737" s="2">
        <v>853.92000000000007</v>
      </c>
    </row>
    <row r="1738" spans="2:31" ht="14.5">
      <c r="B1738" s="2">
        <v>86703</v>
      </c>
      <c r="C1738" s="2" t="s">
        <v>2800</v>
      </c>
      <c r="D1738" s="2" t="s">
        <v>2801</v>
      </c>
      <c r="E1738" s="2" t="s">
        <v>42</v>
      </c>
      <c r="F1738" s="2" t="s">
        <v>29</v>
      </c>
      <c r="G1738" s="2" t="s">
        <v>30</v>
      </c>
      <c r="H1738" s="2" t="s">
        <v>218</v>
      </c>
      <c r="I1738" s="2" t="s">
        <v>219</v>
      </c>
      <c r="J1738" s="2" t="s">
        <v>220</v>
      </c>
      <c r="K1738" s="2" t="s">
        <v>267</v>
      </c>
      <c r="L1738" s="3"/>
      <c r="M1738" s="3">
        <v>41942</v>
      </c>
      <c r="N1738" s="3">
        <v>41864</v>
      </c>
      <c r="O1738" s="3">
        <v>41865</v>
      </c>
      <c r="P1738" s="2" t="s">
        <v>112</v>
      </c>
      <c r="Q1738" s="2" t="s">
        <v>113</v>
      </c>
      <c r="R1738" s="2" t="s">
        <v>37</v>
      </c>
      <c r="S1738" s="2" t="s">
        <v>114</v>
      </c>
      <c r="T1738" s="2" t="s">
        <v>47</v>
      </c>
      <c r="U1738" s="2">
        <v>60</v>
      </c>
      <c r="V1738" s="2">
        <v>86008</v>
      </c>
      <c r="W1738" s="2">
        <v>697524.88</v>
      </c>
      <c r="X1738" s="2">
        <v>8.11</v>
      </c>
      <c r="Y1738" s="2">
        <v>0.14000000000000001</v>
      </c>
      <c r="Z1738" s="2">
        <v>11117</v>
      </c>
      <c r="AA1738" s="2">
        <v>15617.93</v>
      </c>
      <c r="AB1738">
        <v>1</v>
      </c>
      <c r="AC1738">
        <v>2014</v>
      </c>
      <c r="AE1738" s="2">
        <v>12041.12</v>
      </c>
    </row>
    <row r="1739" spans="2:31" ht="14.5">
      <c r="B1739" s="2">
        <v>86720</v>
      </c>
      <c r="C1739" s="2" t="s">
        <v>2412</v>
      </c>
      <c r="D1739" s="2" t="s">
        <v>2413</v>
      </c>
      <c r="E1739" s="2" t="s">
        <v>28</v>
      </c>
      <c r="F1739" s="2" t="s">
        <v>29</v>
      </c>
      <c r="G1739" s="2" t="s">
        <v>50</v>
      </c>
      <c r="H1739" s="2" t="s">
        <v>218</v>
      </c>
      <c r="I1739" s="2" t="s">
        <v>219</v>
      </c>
      <c r="J1739" s="2" t="s">
        <v>220</v>
      </c>
      <c r="K1739" s="2" t="s">
        <v>267</v>
      </c>
      <c r="L1739" s="3"/>
      <c r="M1739" s="3">
        <v>41880</v>
      </c>
      <c r="N1739" s="3">
        <v>41911</v>
      </c>
      <c r="O1739" s="3">
        <v>41918</v>
      </c>
      <c r="P1739" s="2" t="s">
        <v>842</v>
      </c>
      <c r="Q1739" s="2" t="s">
        <v>113</v>
      </c>
      <c r="R1739" s="2" t="s">
        <v>37</v>
      </c>
      <c r="S1739" s="2" t="s">
        <v>843</v>
      </c>
      <c r="T1739" s="2" t="s">
        <v>729</v>
      </c>
      <c r="U1739" s="2">
        <v>60</v>
      </c>
      <c r="V1739" s="2">
        <v>42141</v>
      </c>
      <c r="W1739" s="2">
        <v>157185.93</v>
      </c>
      <c r="X1739" s="2">
        <v>3.73</v>
      </c>
      <c r="Y1739" s="2">
        <v>0.06</v>
      </c>
      <c r="AB1739">
        <v>0</v>
      </c>
      <c r="AC1739">
        <v>2014</v>
      </c>
      <c r="AE1739" s="2">
        <v>2528.46</v>
      </c>
    </row>
    <row r="1740" spans="2:31" ht="14.5">
      <c r="B1740" s="2">
        <v>86746</v>
      </c>
      <c r="C1740" s="2" t="s">
        <v>2288</v>
      </c>
      <c r="D1740" s="2" t="s">
        <v>2289</v>
      </c>
      <c r="E1740" s="2" t="s">
        <v>42</v>
      </c>
      <c r="F1740" s="2" t="s">
        <v>29</v>
      </c>
      <c r="G1740" s="2" t="s">
        <v>50</v>
      </c>
      <c r="H1740" s="2" t="s">
        <v>218</v>
      </c>
      <c r="I1740" s="2" t="s">
        <v>219</v>
      </c>
      <c r="J1740" s="2" t="s">
        <v>220</v>
      </c>
      <c r="K1740" s="2" t="s">
        <v>267</v>
      </c>
      <c r="L1740" s="3"/>
      <c r="M1740" s="3">
        <v>42018</v>
      </c>
      <c r="N1740" s="3">
        <v>41956</v>
      </c>
      <c r="O1740" s="3">
        <v>41957</v>
      </c>
      <c r="P1740" s="2" t="s">
        <v>727</v>
      </c>
      <c r="Q1740" s="2" t="s">
        <v>45</v>
      </c>
      <c r="R1740" s="2" t="s">
        <v>37</v>
      </c>
      <c r="S1740" s="2" t="s">
        <v>728</v>
      </c>
      <c r="T1740" s="2" t="s">
        <v>729</v>
      </c>
      <c r="U1740" s="2">
        <v>60</v>
      </c>
      <c r="V1740" s="2">
        <v>459</v>
      </c>
      <c r="W1740" s="2">
        <v>913.41</v>
      </c>
      <c r="X1740" s="2">
        <v>1.99</v>
      </c>
      <c r="Y1740" s="2">
        <v>0.03</v>
      </c>
      <c r="AB1740">
        <v>1</v>
      </c>
      <c r="AC1740">
        <v>2014</v>
      </c>
      <c r="AE1740" s="2">
        <v>13.77</v>
      </c>
    </row>
    <row r="1741" spans="2:31" ht="14.5">
      <c r="B1741" s="2">
        <v>86747</v>
      </c>
      <c r="C1741" s="2" t="s">
        <v>1696</v>
      </c>
      <c r="D1741" s="2" t="s">
        <v>1697</v>
      </c>
      <c r="E1741" s="2" t="s">
        <v>42</v>
      </c>
      <c r="F1741" s="2" t="s">
        <v>29</v>
      </c>
      <c r="G1741" s="2" t="s">
        <v>30</v>
      </c>
      <c r="H1741" s="2" t="s">
        <v>218</v>
      </c>
      <c r="I1741" s="2" t="s">
        <v>219</v>
      </c>
      <c r="J1741" s="2" t="s">
        <v>220</v>
      </c>
      <c r="K1741" s="2" t="s">
        <v>267</v>
      </c>
      <c r="L1741" s="3"/>
      <c r="M1741" s="3">
        <v>42051</v>
      </c>
      <c r="N1741" s="3">
        <v>42018</v>
      </c>
      <c r="O1741" s="3">
        <v>42023</v>
      </c>
      <c r="P1741" s="2" t="s">
        <v>999</v>
      </c>
      <c r="Q1741" s="2" t="s">
        <v>1000</v>
      </c>
      <c r="R1741" s="2" t="s">
        <v>37</v>
      </c>
      <c r="S1741" s="2" t="s">
        <v>1001</v>
      </c>
      <c r="T1741" s="2" t="s">
        <v>47</v>
      </c>
      <c r="U1741" s="2">
        <v>30</v>
      </c>
      <c r="V1741" s="2">
        <v>49270</v>
      </c>
      <c r="W1741" s="2">
        <v>666130.4</v>
      </c>
      <c r="X1741" s="2">
        <v>13.52</v>
      </c>
      <c r="Y1741" s="2">
        <v>0.45</v>
      </c>
      <c r="AB1741">
        <v>1</v>
      </c>
      <c r="AC1741">
        <v>2015</v>
      </c>
      <c r="AE1741" s="2">
        <v>22171.5</v>
      </c>
    </row>
    <row r="1742" spans="2:31" ht="14.5">
      <c r="B1742" s="2">
        <v>86749</v>
      </c>
      <c r="C1742" s="2" t="s">
        <v>2290</v>
      </c>
      <c r="D1742" s="2" t="s">
        <v>2291</v>
      </c>
      <c r="E1742" s="2" t="s">
        <v>118</v>
      </c>
      <c r="F1742" s="2" t="s">
        <v>29</v>
      </c>
      <c r="G1742" s="2" t="s">
        <v>30</v>
      </c>
      <c r="H1742" s="2" t="s">
        <v>218</v>
      </c>
      <c r="I1742" s="2" t="s">
        <v>219</v>
      </c>
      <c r="J1742" s="2" t="s">
        <v>220</v>
      </c>
      <c r="K1742" s="2" t="s">
        <v>267</v>
      </c>
      <c r="L1742" s="3"/>
      <c r="M1742" s="3">
        <v>42019</v>
      </c>
      <c r="N1742" s="3">
        <v>41990</v>
      </c>
      <c r="O1742" s="3">
        <v>41995</v>
      </c>
      <c r="P1742" s="2" t="s">
        <v>95</v>
      </c>
      <c r="Q1742" s="2" t="s">
        <v>96</v>
      </c>
      <c r="R1742" s="2" t="s">
        <v>37</v>
      </c>
      <c r="S1742" s="2" t="s">
        <v>97</v>
      </c>
      <c r="T1742" s="2" t="s">
        <v>39</v>
      </c>
      <c r="U1742" s="2">
        <v>30</v>
      </c>
      <c r="V1742" s="2">
        <v>22500</v>
      </c>
      <c r="W1742" s="2">
        <v>72225</v>
      </c>
      <c r="X1742" s="2">
        <v>3.21</v>
      </c>
      <c r="Y1742" s="2">
        <v>0.11</v>
      </c>
      <c r="AB1742">
        <v>1</v>
      </c>
      <c r="AC1742">
        <v>2014</v>
      </c>
      <c r="AE1742" s="2">
        <v>2475</v>
      </c>
    </row>
    <row r="1743" spans="2:31" ht="14.5">
      <c r="B1743" s="2">
        <v>86773</v>
      </c>
      <c r="C1743" s="2" t="s">
        <v>2802</v>
      </c>
      <c r="D1743" s="2" t="s">
        <v>2803</v>
      </c>
      <c r="E1743" s="2" t="s">
        <v>118</v>
      </c>
      <c r="F1743" s="2" t="s">
        <v>29</v>
      </c>
      <c r="G1743" s="2" t="s">
        <v>50</v>
      </c>
      <c r="H1743" s="2" t="s">
        <v>218</v>
      </c>
      <c r="I1743" s="2" t="s">
        <v>219</v>
      </c>
      <c r="J1743" s="2" t="s">
        <v>220</v>
      </c>
      <c r="K1743" s="2" t="s">
        <v>267</v>
      </c>
      <c r="L1743" s="3"/>
      <c r="M1743" s="3">
        <v>42041</v>
      </c>
      <c r="N1743" s="3">
        <v>42034</v>
      </c>
      <c r="O1743" s="3">
        <v>42037</v>
      </c>
      <c r="P1743" s="2" t="s">
        <v>842</v>
      </c>
      <c r="Q1743" s="2" t="s">
        <v>113</v>
      </c>
      <c r="R1743" s="2" t="s">
        <v>37</v>
      </c>
      <c r="S1743" s="2" t="s">
        <v>843</v>
      </c>
      <c r="T1743" s="2" t="s">
        <v>729</v>
      </c>
      <c r="U1743" s="2">
        <v>60</v>
      </c>
      <c r="V1743" s="2">
        <v>5000</v>
      </c>
      <c r="W1743" s="2">
        <v>18650</v>
      </c>
      <c r="X1743" s="2">
        <v>3.73</v>
      </c>
      <c r="Y1743" s="2">
        <v>0.06</v>
      </c>
      <c r="Z1743" s="2">
        <v>297</v>
      </c>
      <c r="AA1743" s="2">
        <v>1326</v>
      </c>
      <c r="AB1743">
        <v>1</v>
      </c>
      <c r="AC1743">
        <v>2015</v>
      </c>
      <c r="AE1743" s="2">
        <v>300</v>
      </c>
    </row>
    <row r="1744" spans="2:31" ht="14.5">
      <c r="B1744" s="2">
        <v>86781</v>
      </c>
      <c r="C1744" s="2" t="s">
        <v>2131</v>
      </c>
      <c r="D1744" s="2" t="s">
        <v>2132</v>
      </c>
      <c r="E1744" s="2" t="s">
        <v>118</v>
      </c>
      <c r="F1744" s="2" t="s">
        <v>29</v>
      </c>
      <c r="G1744" s="2" t="s">
        <v>50</v>
      </c>
      <c r="H1744" s="2" t="s">
        <v>218</v>
      </c>
      <c r="I1744" s="2" t="s">
        <v>219</v>
      </c>
      <c r="J1744" s="2" t="s">
        <v>220</v>
      </c>
      <c r="K1744" s="2" t="s">
        <v>267</v>
      </c>
      <c r="L1744" s="3"/>
      <c r="M1744" s="3">
        <v>42079</v>
      </c>
      <c r="N1744" s="3">
        <v>42075</v>
      </c>
      <c r="O1744" s="3">
        <v>42080</v>
      </c>
      <c r="P1744" s="2" t="s">
        <v>842</v>
      </c>
      <c r="Q1744" s="2" t="s">
        <v>113</v>
      </c>
      <c r="R1744" s="2" t="s">
        <v>37</v>
      </c>
      <c r="S1744" s="2" t="s">
        <v>843</v>
      </c>
      <c r="T1744" s="2" t="s">
        <v>729</v>
      </c>
      <c r="U1744" s="2">
        <v>60</v>
      </c>
      <c r="V1744" s="2">
        <v>273</v>
      </c>
      <c r="W1744" s="2">
        <v>982.8</v>
      </c>
      <c r="X1744" s="2">
        <v>3.6</v>
      </c>
      <c r="Y1744" s="2">
        <v>0.06</v>
      </c>
      <c r="AB1744">
        <v>1</v>
      </c>
      <c r="AC1744">
        <v>2015</v>
      </c>
      <c r="AE1744" s="2">
        <v>16.38</v>
      </c>
    </row>
    <row r="1745" spans="2:31" ht="14.5">
      <c r="B1745" s="2">
        <v>86785</v>
      </c>
      <c r="C1745" s="2" t="s">
        <v>1708</v>
      </c>
      <c r="D1745" s="2" t="s">
        <v>1709</v>
      </c>
      <c r="E1745" s="2" t="s">
        <v>42</v>
      </c>
      <c r="F1745" s="2" t="s">
        <v>29</v>
      </c>
      <c r="G1745" s="2" t="s">
        <v>50</v>
      </c>
      <c r="H1745" s="2" t="s">
        <v>218</v>
      </c>
      <c r="I1745" s="2" t="s">
        <v>219</v>
      </c>
      <c r="J1745" s="2" t="s">
        <v>220</v>
      </c>
      <c r="K1745" s="2" t="s">
        <v>267</v>
      </c>
      <c r="L1745" s="3"/>
      <c r="M1745" s="3">
        <v>42094</v>
      </c>
      <c r="N1745" s="3">
        <v>42087</v>
      </c>
      <c r="O1745" s="3">
        <v>42087</v>
      </c>
      <c r="P1745" s="2" t="s">
        <v>291</v>
      </c>
      <c r="Q1745" s="2" t="s">
        <v>99</v>
      </c>
      <c r="R1745" s="2" t="s">
        <v>37</v>
      </c>
      <c r="S1745" s="2" t="s">
        <v>172</v>
      </c>
      <c r="T1745" s="2" t="s">
        <v>87</v>
      </c>
      <c r="U1745" s="2">
        <v>240</v>
      </c>
      <c r="V1745" s="2">
        <v>1820</v>
      </c>
      <c r="W1745" s="2">
        <v>12430.6</v>
      </c>
      <c r="X1745" s="2">
        <v>6.83</v>
      </c>
      <c r="Y1745" s="2">
        <v>0.03</v>
      </c>
      <c r="AB1745">
        <v>1</v>
      </c>
      <c r="AC1745">
        <v>2015</v>
      </c>
      <c r="AE1745" s="2">
        <v>54.6</v>
      </c>
    </row>
    <row r="1746" spans="2:31" ht="14.5">
      <c r="B1746" s="2">
        <v>86786</v>
      </c>
      <c r="C1746" s="2" t="s">
        <v>2804</v>
      </c>
      <c r="D1746" s="2" t="s">
        <v>2805</v>
      </c>
      <c r="E1746" s="2" t="s">
        <v>118</v>
      </c>
      <c r="F1746" s="2" t="s">
        <v>29</v>
      </c>
      <c r="G1746" s="2" t="s">
        <v>30</v>
      </c>
      <c r="H1746" s="2" t="s">
        <v>218</v>
      </c>
      <c r="I1746" s="2" t="s">
        <v>219</v>
      </c>
      <c r="J1746" s="2" t="s">
        <v>220</v>
      </c>
      <c r="K1746" s="2" t="s">
        <v>267</v>
      </c>
      <c r="L1746" s="3"/>
      <c r="M1746" s="3">
        <v>42094</v>
      </c>
      <c r="N1746" s="3">
        <v>42139</v>
      </c>
      <c r="O1746" s="3">
        <v>42141</v>
      </c>
      <c r="P1746" s="2" t="s">
        <v>706</v>
      </c>
      <c r="Q1746" s="2" t="s">
        <v>707</v>
      </c>
      <c r="R1746" s="2" t="s">
        <v>37</v>
      </c>
      <c r="S1746" s="2" t="s">
        <v>708</v>
      </c>
      <c r="T1746" s="2" t="s">
        <v>47</v>
      </c>
      <c r="U1746" s="2">
        <v>30</v>
      </c>
      <c r="V1746" s="2">
        <v>27365</v>
      </c>
      <c r="W1746" s="2">
        <v>125605.35</v>
      </c>
      <c r="X1746" s="2">
        <v>4.59</v>
      </c>
      <c r="Y1746" s="2">
        <v>0.15</v>
      </c>
      <c r="Z1746" s="2">
        <v>2885</v>
      </c>
      <c r="AA1746" s="2">
        <v>2564.94</v>
      </c>
      <c r="AB1746">
        <v>0</v>
      </c>
      <c r="AC1746">
        <v>2015</v>
      </c>
      <c r="AE1746" s="2">
        <v>4104.75</v>
      </c>
    </row>
    <row r="1747" spans="2:31" ht="14.5">
      <c r="B1747" s="2">
        <v>86787</v>
      </c>
      <c r="C1747" s="2" t="s">
        <v>2806</v>
      </c>
      <c r="D1747" s="2" t="s">
        <v>2807</v>
      </c>
      <c r="E1747" s="2" t="s">
        <v>42</v>
      </c>
      <c r="F1747" s="2" t="s">
        <v>29</v>
      </c>
      <c r="G1747" s="2" t="s">
        <v>30</v>
      </c>
      <c r="H1747" s="2" t="s">
        <v>218</v>
      </c>
      <c r="I1747" s="2" t="s">
        <v>219</v>
      </c>
      <c r="J1747" s="2" t="s">
        <v>220</v>
      </c>
      <c r="K1747" s="2" t="s">
        <v>34</v>
      </c>
      <c r="L1747" s="3"/>
      <c r="M1747" s="3">
        <v>42118</v>
      </c>
      <c r="N1747" s="3">
        <v>42128</v>
      </c>
      <c r="O1747" s="3">
        <v>42132</v>
      </c>
      <c r="P1747" s="2" t="s">
        <v>484</v>
      </c>
      <c r="Q1747" s="2" t="s">
        <v>105</v>
      </c>
      <c r="R1747" s="2" t="s">
        <v>37</v>
      </c>
      <c r="S1747" s="2" t="s">
        <v>100</v>
      </c>
      <c r="T1747" s="2" t="s">
        <v>39</v>
      </c>
      <c r="U1747" s="2">
        <v>30</v>
      </c>
      <c r="V1747" s="2">
        <v>200</v>
      </c>
      <c r="W1747" s="2">
        <v>710</v>
      </c>
      <c r="X1747" s="2">
        <v>3.55</v>
      </c>
      <c r="Y1747" s="2">
        <v>0.12</v>
      </c>
      <c r="Z1747" s="2">
        <v>12</v>
      </c>
      <c r="AA1747" s="2">
        <v>1301.94</v>
      </c>
      <c r="AB1747">
        <v>0</v>
      </c>
      <c r="AC1747">
        <v>2015</v>
      </c>
      <c r="AE1747" s="2">
        <v>24</v>
      </c>
    </row>
    <row r="1748" spans="2:31" ht="14.5">
      <c r="B1748" s="2">
        <v>86788</v>
      </c>
      <c r="C1748" s="2" t="s">
        <v>2300</v>
      </c>
      <c r="D1748" s="2" t="s">
        <v>2301</v>
      </c>
      <c r="E1748" s="2" t="s">
        <v>1581</v>
      </c>
      <c r="F1748" s="2" t="s">
        <v>29</v>
      </c>
      <c r="G1748" s="2" t="s">
        <v>30</v>
      </c>
      <c r="H1748" s="2" t="s">
        <v>218</v>
      </c>
      <c r="I1748" s="2" t="s">
        <v>219</v>
      </c>
      <c r="J1748" s="2" t="s">
        <v>220</v>
      </c>
      <c r="K1748" s="2" t="s">
        <v>34</v>
      </c>
      <c r="L1748" s="3"/>
      <c r="M1748" s="3">
        <v>42153</v>
      </c>
      <c r="N1748" s="3">
        <v>42088</v>
      </c>
      <c r="O1748" s="3">
        <v>42093</v>
      </c>
      <c r="P1748" s="2" t="s">
        <v>112</v>
      </c>
      <c r="Q1748" s="2" t="s">
        <v>113</v>
      </c>
      <c r="R1748" s="2" t="s">
        <v>37</v>
      </c>
      <c r="S1748" s="2" t="s">
        <v>114</v>
      </c>
      <c r="T1748" s="2" t="s">
        <v>47</v>
      </c>
      <c r="U1748" s="2">
        <v>60</v>
      </c>
      <c r="V1748" s="2">
        <v>1008</v>
      </c>
      <c r="W1748" s="2">
        <v>7781.76</v>
      </c>
      <c r="X1748" s="2">
        <v>7.72</v>
      </c>
      <c r="Y1748" s="2">
        <v>0.13</v>
      </c>
      <c r="AB1748">
        <v>1</v>
      </c>
      <c r="AC1748">
        <v>2015</v>
      </c>
      <c r="AE1748" s="2">
        <v>131.04</v>
      </c>
    </row>
    <row r="1749" spans="2:31" ht="14.5">
      <c r="B1749" s="2">
        <v>86789</v>
      </c>
      <c r="C1749" s="2" t="s">
        <v>2300</v>
      </c>
      <c r="D1749" s="2" t="s">
        <v>2301</v>
      </c>
      <c r="E1749" s="2" t="s">
        <v>1581</v>
      </c>
      <c r="F1749" s="2" t="s">
        <v>29</v>
      </c>
      <c r="G1749" s="2" t="s">
        <v>50</v>
      </c>
      <c r="H1749" s="2" t="s">
        <v>218</v>
      </c>
      <c r="I1749" s="2" t="s">
        <v>219</v>
      </c>
      <c r="J1749" s="2" t="s">
        <v>220</v>
      </c>
      <c r="K1749" s="2" t="s">
        <v>34</v>
      </c>
      <c r="L1749" s="3"/>
      <c r="M1749" s="3">
        <v>42153</v>
      </c>
      <c r="N1749" s="3">
        <v>42088</v>
      </c>
      <c r="O1749" s="3">
        <v>42093</v>
      </c>
      <c r="P1749" s="2" t="s">
        <v>727</v>
      </c>
      <c r="Q1749" s="2" t="s">
        <v>45</v>
      </c>
      <c r="R1749" s="2" t="s">
        <v>37</v>
      </c>
      <c r="S1749" s="2" t="s">
        <v>728</v>
      </c>
      <c r="T1749" s="2" t="s">
        <v>729</v>
      </c>
      <c r="U1749" s="2">
        <v>60</v>
      </c>
      <c r="V1749" s="2">
        <v>282</v>
      </c>
      <c r="W1749" s="2">
        <v>549.9</v>
      </c>
      <c r="X1749" s="2">
        <v>1.95</v>
      </c>
      <c r="Y1749" s="2">
        <v>0.03</v>
      </c>
      <c r="AB1749">
        <v>1</v>
      </c>
      <c r="AC1749">
        <v>2015</v>
      </c>
      <c r="AE1749" s="2">
        <v>8.4599999999999991</v>
      </c>
    </row>
    <row r="1750" spans="2:31" ht="14.5">
      <c r="B1750" s="2">
        <v>86795</v>
      </c>
      <c r="C1750" s="2" t="s">
        <v>2137</v>
      </c>
      <c r="D1750" s="2" t="s">
        <v>2138</v>
      </c>
      <c r="E1750" s="2" t="s">
        <v>1581</v>
      </c>
      <c r="F1750" s="2" t="s">
        <v>29</v>
      </c>
      <c r="G1750" s="2" t="s">
        <v>30</v>
      </c>
      <c r="H1750" s="2" t="s">
        <v>218</v>
      </c>
      <c r="I1750" s="2" t="s">
        <v>219</v>
      </c>
      <c r="J1750" s="2" t="s">
        <v>220</v>
      </c>
      <c r="K1750" s="2" t="s">
        <v>34</v>
      </c>
      <c r="L1750" s="3"/>
      <c r="M1750" s="3">
        <v>42185</v>
      </c>
      <c r="N1750" s="3">
        <v>42116</v>
      </c>
      <c r="O1750" s="3">
        <v>42117</v>
      </c>
      <c r="P1750" s="2" t="s">
        <v>112</v>
      </c>
      <c r="Q1750" s="2" t="s">
        <v>113</v>
      </c>
      <c r="R1750" s="2" t="s">
        <v>37</v>
      </c>
      <c r="S1750" s="2" t="s">
        <v>114</v>
      </c>
      <c r="T1750" s="2" t="s">
        <v>47</v>
      </c>
      <c r="U1750" s="2">
        <v>60</v>
      </c>
      <c r="V1750" s="2">
        <v>1056</v>
      </c>
      <c r="W1750" s="2">
        <v>8152.32</v>
      </c>
      <c r="X1750" s="2">
        <v>7.72</v>
      </c>
      <c r="Y1750" s="2">
        <v>0.13</v>
      </c>
      <c r="AB1750">
        <v>1</v>
      </c>
      <c r="AC1750">
        <v>2015</v>
      </c>
      <c r="AE1750" s="2">
        <v>137.28</v>
      </c>
    </row>
    <row r="1751" spans="2:31" ht="14.5">
      <c r="B1751" s="2">
        <v>86797</v>
      </c>
      <c r="C1751" s="2" t="s">
        <v>2692</v>
      </c>
      <c r="D1751" s="2" t="s">
        <v>2693</v>
      </c>
      <c r="E1751" s="2" t="s">
        <v>118</v>
      </c>
      <c r="F1751" s="2" t="s">
        <v>29</v>
      </c>
      <c r="G1751" s="2" t="s">
        <v>30</v>
      </c>
      <c r="H1751" s="2" t="s">
        <v>218</v>
      </c>
      <c r="I1751" s="2" t="s">
        <v>219</v>
      </c>
      <c r="J1751" s="2" t="s">
        <v>220</v>
      </c>
      <c r="K1751" s="2" t="s">
        <v>267</v>
      </c>
      <c r="L1751" s="3"/>
      <c r="M1751" s="3">
        <v>42124</v>
      </c>
      <c r="N1751" s="3">
        <v>42116</v>
      </c>
      <c r="O1751" s="3">
        <v>42118</v>
      </c>
      <c r="P1751" s="2" t="s">
        <v>112</v>
      </c>
      <c r="Q1751" s="2" t="s">
        <v>113</v>
      </c>
      <c r="R1751" s="2" t="s">
        <v>37</v>
      </c>
      <c r="S1751" s="2" t="s">
        <v>114</v>
      </c>
      <c r="T1751" s="2" t="s">
        <v>47</v>
      </c>
      <c r="U1751" s="2">
        <v>60</v>
      </c>
      <c r="V1751" s="2">
        <v>21667</v>
      </c>
      <c r="W1751" s="2">
        <v>167269.24</v>
      </c>
      <c r="X1751" s="2">
        <v>7.72</v>
      </c>
      <c r="Y1751" s="2">
        <v>0.13</v>
      </c>
      <c r="AB1751">
        <v>1</v>
      </c>
      <c r="AC1751">
        <v>2015</v>
      </c>
      <c r="AE1751" s="2">
        <v>2816.71</v>
      </c>
    </row>
    <row r="1752" spans="2:31" ht="14.5">
      <c r="B1752" s="2">
        <v>86798</v>
      </c>
      <c r="C1752" s="2" t="s">
        <v>1927</v>
      </c>
      <c r="D1752" s="2" t="s">
        <v>1928</v>
      </c>
      <c r="E1752" s="2" t="s">
        <v>118</v>
      </c>
      <c r="F1752" s="2" t="s">
        <v>29</v>
      </c>
      <c r="G1752" s="2" t="s">
        <v>30</v>
      </c>
      <c r="H1752" s="2" t="s">
        <v>218</v>
      </c>
      <c r="I1752" s="2" t="s">
        <v>219</v>
      </c>
      <c r="J1752" s="2" t="s">
        <v>220</v>
      </c>
      <c r="K1752" s="2" t="s">
        <v>267</v>
      </c>
      <c r="L1752" s="3"/>
      <c r="M1752" s="3">
        <v>42170</v>
      </c>
      <c r="N1752" s="3">
        <v>42138</v>
      </c>
      <c r="O1752" s="3">
        <v>42139</v>
      </c>
      <c r="P1752" s="2" t="s">
        <v>95</v>
      </c>
      <c r="Q1752" s="2" t="s">
        <v>96</v>
      </c>
      <c r="R1752" s="2" t="s">
        <v>37</v>
      </c>
      <c r="S1752" s="2" t="s">
        <v>97</v>
      </c>
      <c r="T1752" s="2" t="s">
        <v>39</v>
      </c>
      <c r="U1752" s="2">
        <v>30</v>
      </c>
      <c r="V1752" s="2">
        <v>29998</v>
      </c>
      <c r="W1752" s="2">
        <v>93593.76</v>
      </c>
      <c r="X1752" s="2">
        <v>3.12</v>
      </c>
      <c r="Y1752" s="2">
        <v>0.1</v>
      </c>
      <c r="AB1752">
        <v>1</v>
      </c>
      <c r="AC1752">
        <v>2015</v>
      </c>
      <c r="AE1752" s="2">
        <v>2999.8</v>
      </c>
    </row>
    <row r="1753" spans="2:31" ht="14.5">
      <c r="B1753" s="2">
        <v>86808</v>
      </c>
      <c r="C1753" s="2" t="s">
        <v>2808</v>
      </c>
      <c r="D1753" s="2" t="s">
        <v>2809</v>
      </c>
      <c r="E1753" s="2" t="s">
        <v>118</v>
      </c>
      <c r="F1753" s="2" t="s">
        <v>29</v>
      </c>
      <c r="G1753" s="2" t="s">
        <v>50</v>
      </c>
      <c r="H1753" s="2" t="s">
        <v>218</v>
      </c>
      <c r="I1753" s="2" t="s">
        <v>219</v>
      </c>
      <c r="J1753" s="2" t="s">
        <v>220</v>
      </c>
      <c r="K1753" s="2" t="s">
        <v>267</v>
      </c>
      <c r="L1753" s="3"/>
      <c r="M1753" s="3">
        <v>42185</v>
      </c>
      <c r="N1753" s="3">
        <v>42159</v>
      </c>
      <c r="O1753" s="3">
        <v>42170</v>
      </c>
      <c r="P1753" s="2" t="s">
        <v>842</v>
      </c>
      <c r="Q1753" s="2" t="s">
        <v>113</v>
      </c>
      <c r="R1753" s="2" t="s">
        <v>37</v>
      </c>
      <c r="S1753" s="2" t="s">
        <v>843</v>
      </c>
      <c r="T1753" s="2" t="s">
        <v>729</v>
      </c>
      <c r="U1753" s="2">
        <v>60</v>
      </c>
      <c r="V1753" s="2">
        <v>18000</v>
      </c>
      <c r="W1753" s="2">
        <v>64800</v>
      </c>
      <c r="X1753" s="2">
        <v>3.6</v>
      </c>
      <c r="Y1753" s="2">
        <v>0.06</v>
      </c>
      <c r="Z1753" s="2">
        <v>2253</v>
      </c>
      <c r="AA1753" s="2">
        <v>3785.72</v>
      </c>
      <c r="AB1753">
        <v>1</v>
      </c>
      <c r="AC1753">
        <v>2015</v>
      </c>
      <c r="AE1753" s="2">
        <v>1080</v>
      </c>
    </row>
    <row r="1754" spans="2:31" ht="14.5">
      <c r="B1754" s="2">
        <v>86809</v>
      </c>
      <c r="C1754" s="2" t="s">
        <v>2808</v>
      </c>
      <c r="D1754" s="2" t="s">
        <v>2809</v>
      </c>
      <c r="E1754" s="2" t="s">
        <v>118</v>
      </c>
      <c r="F1754" s="2" t="s">
        <v>29</v>
      </c>
      <c r="G1754" s="2" t="s">
        <v>50</v>
      </c>
      <c r="H1754" s="2" t="s">
        <v>218</v>
      </c>
      <c r="I1754" s="2" t="s">
        <v>219</v>
      </c>
      <c r="J1754" s="2" t="s">
        <v>220</v>
      </c>
      <c r="K1754" s="2" t="s">
        <v>267</v>
      </c>
      <c r="L1754" s="3"/>
      <c r="M1754" s="3">
        <v>42185</v>
      </c>
      <c r="N1754" s="3">
        <v>42159</v>
      </c>
      <c r="O1754" s="3">
        <v>42170</v>
      </c>
      <c r="P1754" s="2" t="s">
        <v>842</v>
      </c>
      <c r="Q1754" s="2" t="s">
        <v>113</v>
      </c>
      <c r="R1754" s="2" t="s">
        <v>37</v>
      </c>
      <c r="S1754" s="2" t="s">
        <v>843</v>
      </c>
      <c r="T1754" s="2" t="s">
        <v>729</v>
      </c>
      <c r="U1754" s="2">
        <v>60</v>
      </c>
      <c r="V1754" s="2">
        <v>29287</v>
      </c>
      <c r="W1754" s="2">
        <v>105433.2</v>
      </c>
      <c r="X1754" s="2">
        <v>3.6</v>
      </c>
      <c r="Y1754" s="2">
        <v>0.06</v>
      </c>
      <c r="AB1754">
        <v>1</v>
      </c>
      <c r="AC1754">
        <v>2015</v>
      </c>
      <c r="AE1754" s="2">
        <v>1757.22</v>
      </c>
    </row>
    <row r="1755" spans="2:31" ht="14.5">
      <c r="B1755" s="2">
        <v>86810</v>
      </c>
      <c r="C1755" s="2" t="s">
        <v>1929</v>
      </c>
      <c r="D1755" s="2" t="s">
        <v>1930</v>
      </c>
      <c r="E1755" s="2" t="s">
        <v>118</v>
      </c>
      <c r="F1755" s="2" t="s">
        <v>29</v>
      </c>
      <c r="G1755" s="2" t="s">
        <v>50</v>
      </c>
      <c r="H1755" s="2" t="s">
        <v>218</v>
      </c>
      <c r="I1755" s="2" t="s">
        <v>219</v>
      </c>
      <c r="J1755" s="2" t="s">
        <v>220</v>
      </c>
      <c r="K1755" s="2" t="s">
        <v>267</v>
      </c>
      <c r="L1755" s="3"/>
      <c r="M1755" s="3">
        <v>42170</v>
      </c>
      <c r="N1755" s="3">
        <v>42159</v>
      </c>
      <c r="O1755" s="3">
        <v>42170</v>
      </c>
      <c r="P1755" s="2" t="s">
        <v>802</v>
      </c>
      <c r="Q1755" s="2" t="s">
        <v>96</v>
      </c>
      <c r="R1755" s="2" t="s">
        <v>37</v>
      </c>
      <c r="S1755" s="2" t="s">
        <v>38</v>
      </c>
      <c r="T1755" s="2" t="s">
        <v>39</v>
      </c>
      <c r="U1755" s="2">
        <v>90</v>
      </c>
      <c r="V1755" s="2">
        <v>6312</v>
      </c>
      <c r="W1755" s="2">
        <v>34716</v>
      </c>
      <c r="X1755" s="2">
        <v>5.5</v>
      </c>
      <c r="Y1755" s="2">
        <v>0.06</v>
      </c>
      <c r="AB1755">
        <v>1</v>
      </c>
      <c r="AC1755">
        <v>2015</v>
      </c>
      <c r="AE1755" s="2">
        <v>378.71999999999997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31136-1E33-4B53-A79E-7ED390391D56}">
  <dimension ref="B1:AO3526"/>
  <sheetViews>
    <sheetView showGridLines="0" zoomScale="85" zoomScaleNormal="85" workbookViewId="0">
      <selection activeCell="AB13" sqref="AB13"/>
    </sheetView>
  </sheetViews>
  <sheetFormatPr defaultColWidth="8.90625" defaultRowHeight="14.5"/>
  <cols>
    <col min="1" max="1" width="3.81640625" style="4" customWidth="1"/>
    <col min="2" max="2" width="12.36328125" style="4" bestFit="1" customWidth="1"/>
    <col min="3" max="3" width="16.08984375" style="4" customWidth="1"/>
    <col min="4" max="4" width="17.453125" style="4" customWidth="1"/>
    <col min="5" max="6" width="16.7265625" style="4" customWidth="1"/>
    <col min="7" max="7" width="18" style="4" customWidth="1"/>
    <col min="8" max="8" width="21.36328125" style="4" customWidth="1"/>
    <col min="9" max="9" width="55.26953125" style="4" bestFit="1" customWidth="1"/>
    <col min="10" max="10" width="12.08984375" style="4" customWidth="1"/>
    <col min="11" max="11" width="13" style="4" customWidth="1"/>
    <col min="12" max="13" width="8.90625" style="4"/>
    <col min="14" max="14" width="55" style="4" customWidth="1"/>
    <col min="15" max="15" width="16.81640625" style="4" customWidth="1"/>
    <col min="16" max="16" width="18.54296875" style="4" bestFit="1" customWidth="1"/>
    <col min="17" max="17" width="12.36328125" style="4" bestFit="1" customWidth="1"/>
    <col min="18" max="18" width="16.81640625" style="4" bestFit="1" customWidth="1"/>
    <col min="19" max="19" width="18.54296875" style="4" bestFit="1" customWidth="1"/>
    <col min="20" max="20" width="21.08984375" style="4" bestFit="1" customWidth="1"/>
    <col min="21" max="24" width="8.90625" style="4"/>
    <col min="25" max="25" width="14.6328125" style="4" bestFit="1" customWidth="1"/>
    <col min="26" max="26" width="61" style="4" bestFit="1" customWidth="1"/>
    <col min="27" max="30" width="14.81640625" style="4" bestFit="1" customWidth="1"/>
    <col min="31" max="16384" width="8.90625" style="4"/>
  </cols>
  <sheetData>
    <row r="1" spans="2:41" ht="15">
      <c r="N1" s="14" t="s">
        <v>2879</v>
      </c>
      <c r="AD1"/>
      <c r="AE1"/>
      <c r="AF1"/>
      <c r="AG1"/>
      <c r="AH1"/>
      <c r="AI1"/>
      <c r="AJ1"/>
      <c r="AK1"/>
      <c r="AL1"/>
      <c r="AM1"/>
      <c r="AN1"/>
      <c r="AO1"/>
    </row>
    <row r="2" spans="2:41" ht="15">
      <c r="B2" s="5" t="s">
        <v>2810</v>
      </c>
      <c r="F2" s="5" t="s">
        <v>2900</v>
      </c>
      <c r="G2" s="28">
        <f>SUM(tblARV[Line Item Value])</f>
        <v>282646683.17000043</v>
      </c>
      <c r="N2"/>
      <c r="Q2" s="14" t="s">
        <v>2887</v>
      </c>
      <c r="X2" s="14" t="s">
        <v>2896</v>
      </c>
      <c r="Y2"/>
      <c r="Z2"/>
      <c r="AD2"/>
      <c r="AE2"/>
      <c r="AF2"/>
      <c r="AG2"/>
      <c r="AH2"/>
      <c r="AI2"/>
      <c r="AJ2"/>
      <c r="AK2"/>
      <c r="AL2"/>
      <c r="AM2"/>
      <c r="AN2"/>
      <c r="AO2"/>
    </row>
    <row r="3" spans="2:41" ht="15">
      <c r="N3" s="9" t="s">
        <v>2874</v>
      </c>
      <c r="O3" s="4">
        <f>COUNTA($F$20:$F$1349)</f>
        <v>1330</v>
      </c>
      <c r="Q3" s="16" t="s">
        <v>2888</v>
      </c>
      <c r="Y3"/>
      <c r="Z3"/>
      <c r="AD3"/>
      <c r="AE3"/>
      <c r="AF3"/>
      <c r="AG3"/>
      <c r="AH3"/>
      <c r="AI3"/>
      <c r="AJ3"/>
      <c r="AK3"/>
      <c r="AL3"/>
      <c r="AM3"/>
      <c r="AN3"/>
      <c r="AO3"/>
    </row>
    <row r="4" spans="2:41" ht="15">
      <c r="B4" s="6" t="s">
        <v>2814</v>
      </c>
      <c r="C4" s="6" t="s">
        <v>2813</v>
      </c>
      <c r="D4"/>
      <c r="E4"/>
      <c r="F4"/>
      <c r="G4" s="9" t="s">
        <v>2904</v>
      </c>
      <c r="H4"/>
      <c r="I4"/>
      <c r="J4"/>
      <c r="N4" s="9" t="s">
        <v>2875</v>
      </c>
      <c r="O4" s="4">
        <f>COUNTIF($F$20:$F$1349,"On-time")</f>
        <v>1156</v>
      </c>
      <c r="Y4" s="6" t="s">
        <v>14</v>
      </c>
      <c r="Z4" t="s">
        <v>112</v>
      </c>
      <c r="AA4"/>
      <c r="AD4"/>
      <c r="AE4"/>
      <c r="AF4"/>
      <c r="AG4"/>
      <c r="AH4"/>
      <c r="AI4"/>
      <c r="AJ4"/>
      <c r="AK4"/>
      <c r="AL4"/>
      <c r="AM4"/>
      <c r="AN4"/>
      <c r="AO4"/>
    </row>
    <row r="5" spans="2:41" ht="15">
      <c r="B5" s="6" t="s">
        <v>2812</v>
      </c>
      <c r="C5" t="s">
        <v>32</v>
      </c>
      <c r="D5" t="s">
        <v>219</v>
      </c>
      <c r="E5" t="s">
        <v>2811</v>
      </c>
      <c r="F5"/>
      <c r="G5" s="9" t="s">
        <v>32</v>
      </c>
      <c r="H5" s="8">
        <f>+C13</f>
        <v>84170272.520000011</v>
      </c>
      <c r="I5"/>
      <c r="J5"/>
      <c r="N5" s="9" t="s">
        <v>2876</v>
      </c>
      <c r="O5" s="4">
        <f>COUNTIF($F$20:$F$1349,"Late")</f>
        <v>174</v>
      </c>
      <c r="Q5" s="6" t="s">
        <v>2866</v>
      </c>
      <c r="R5" t="s">
        <v>2868</v>
      </c>
      <c r="S5" t="s">
        <v>2889</v>
      </c>
      <c r="T5" t="s">
        <v>2890</v>
      </c>
      <c r="Z5"/>
      <c r="AA5"/>
      <c r="AD5"/>
      <c r="AE5"/>
      <c r="AF5"/>
      <c r="AG5"/>
      <c r="AH5"/>
      <c r="AI5"/>
      <c r="AJ5"/>
      <c r="AK5"/>
      <c r="AL5"/>
      <c r="AM5"/>
      <c r="AN5"/>
      <c r="AO5"/>
    </row>
    <row r="6" spans="2:41" ht="15">
      <c r="B6" s="7" t="s">
        <v>1581</v>
      </c>
      <c r="C6" s="8"/>
      <c r="D6" s="8">
        <v>1271710.9599999997</v>
      </c>
      <c r="E6" s="8">
        <v>1271710.9599999997</v>
      </c>
      <c r="F6"/>
      <c r="G6" s="9" t="s">
        <v>219</v>
      </c>
      <c r="H6" s="8">
        <f>+D13</f>
        <v>198476410.64999995</v>
      </c>
      <c r="I6"/>
      <c r="J6"/>
      <c r="N6" s="9" t="s">
        <v>2877</v>
      </c>
      <c r="O6" s="15">
        <f>O4/$O$3</f>
        <v>0.86917293233082704</v>
      </c>
      <c r="Q6" s="7" t="s">
        <v>1581</v>
      </c>
      <c r="R6">
        <v>72</v>
      </c>
      <c r="S6">
        <v>34</v>
      </c>
      <c r="T6">
        <v>72</v>
      </c>
      <c r="Y6" s="23" t="s">
        <v>2898</v>
      </c>
      <c r="Z6" t="s">
        <v>2905</v>
      </c>
      <c r="AA6"/>
      <c r="AB6"/>
      <c r="AC6"/>
      <c r="AD6"/>
    </row>
    <row r="7" spans="2:41" ht="15">
      <c r="B7" s="7" t="s">
        <v>60</v>
      </c>
      <c r="C7" s="8">
        <v>2939836.81</v>
      </c>
      <c r="D7" s="8">
        <v>10663657.68</v>
      </c>
      <c r="E7" s="8">
        <v>13603494.49</v>
      </c>
      <c r="F7"/>
      <c r="G7" s="9" t="s">
        <v>2811</v>
      </c>
      <c r="H7" s="8">
        <f>SUM(H5:H6)</f>
        <v>282646683.16999996</v>
      </c>
      <c r="I7"/>
      <c r="J7"/>
      <c r="N7" s="9" t="s">
        <v>2903</v>
      </c>
      <c r="Q7" s="7" t="s">
        <v>60</v>
      </c>
      <c r="R7">
        <v>141</v>
      </c>
      <c r="S7">
        <v>129</v>
      </c>
      <c r="T7">
        <v>141</v>
      </c>
      <c r="Y7">
        <v>2007</v>
      </c>
      <c r="Z7" s="39">
        <v>18.43010752688172</v>
      </c>
      <c r="AA7"/>
      <c r="AB7"/>
      <c r="AC7"/>
      <c r="AD7"/>
    </row>
    <row r="8" spans="2:41" ht="15">
      <c r="B8" s="7" t="s">
        <v>426</v>
      </c>
      <c r="C8" s="8"/>
      <c r="D8" s="8">
        <v>7878.7</v>
      </c>
      <c r="E8" s="8">
        <v>7878.7</v>
      </c>
      <c r="F8"/>
      <c r="G8"/>
      <c r="H8"/>
      <c r="I8"/>
      <c r="J8"/>
      <c r="N8" s="9" t="s">
        <v>219</v>
      </c>
      <c r="O8" s="21">
        <f>COUNTIFS($F$20:$F$1349,"On-time",$H$20:$H$1349,$N8)/COUNTIF($H$20:$H$1349,$N8)</f>
        <v>0.81950672645739908</v>
      </c>
      <c r="Q8" s="7" t="s">
        <v>426</v>
      </c>
      <c r="R8">
        <v>4</v>
      </c>
      <c r="S8">
        <v>4</v>
      </c>
      <c r="T8">
        <v>4</v>
      </c>
      <c r="Y8">
        <v>2008</v>
      </c>
      <c r="Z8" s="39">
        <v>11.996223307035605</v>
      </c>
      <c r="AA8"/>
      <c r="AB8"/>
      <c r="AC8"/>
      <c r="AD8"/>
    </row>
    <row r="9" spans="2:41" ht="15">
      <c r="B9" s="7" t="s">
        <v>42</v>
      </c>
      <c r="C9" s="8">
        <v>35811697.88000001</v>
      </c>
      <c r="D9" s="8">
        <v>26324470.699999988</v>
      </c>
      <c r="E9" s="8">
        <v>62136168.579999998</v>
      </c>
      <c r="F9"/>
      <c r="G9"/>
      <c r="H9"/>
      <c r="I9"/>
      <c r="J9"/>
      <c r="N9" s="9" t="s">
        <v>32</v>
      </c>
      <c r="O9" s="21">
        <f>COUNTIFS($F$20:$F$1349,"On-time",$H$20:$H$1349,$N9)/COUNTIF($H$20:$H$1349,$N9)</f>
        <v>0.97031963470319638</v>
      </c>
      <c r="Q9" s="7" t="s">
        <v>42</v>
      </c>
      <c r="R9">
        <v>349</v>
      </c>
      <c r="S9">
        <v>315</v>
      </c>
      <c r="T9">
        <v>349</v>
      </c>
      <c r="Y9">
        <v>2009</v>
      </c>
      <c r="Z9" s="39">
        <v>11.578116944150098</v>
      </c>
      <c r="AA9"/>
      <c r="AB9"/>
      <c r="AC9"/>
      <c r="AD9"/>
    </row>
    <row r="10" spans="2:41" ht="15">
      <c r="B10" s="7" t="s">
        <v>28</v>
      </c>
      <c r="C10" s="8">
        <v>30408878.560000006</v>
      </c>
      <c r="D10" s="8">
        <v>84151677.089999989</v>
      </c>
      <c r="E10" s="8">
        <v>114560555.64999999</v>
      </c>
      <c r="F10"/>
      <c r="G10"/>
      <c r="H10"/>
      <c r="I10"/>
      <c r="J10"/>
      <c r="Q10" s="7" t="s">
        <v>2817</v>
      </c>
      <c r="R10">
        <v>52</v>
      </c>
      <c r="S10">
        <v>42</v>
      </c>
      <c r="T10">
        <v>52</v>
      </c>
      <c r="Y10">
        <v>2010</v>
      </c>
      <c r="Z10" s="39">
        <v>11.238156136806278</v>
      </c>
      <c r="AA10"/>
      <c r="AB10"/>
      <c r="AC10"/>
      <c r="AD10"/>
    </row>
    <row r="11" spans="2:41" ht="15">
      <c r="B11" s="7" t="s">
        <v>118</v>
      </c>
      <c r="C11" s="8">
        <v>15004699.019999998</v>
      </c>
      <c r="D11" s="8">
        <v>74857939.040000007</v>
      </c>
      <c r="E11" s="8">
        <v>89862638.060000002</v>
      </c>
      <c r="F11"/>
      <c r="G11"/>
      <c r="H11"/>
      <c r="I11"/>
      <c r="J11"/>
      <c r="N11" s="9" t="s">
        <v>2880</v>
      </c>
      <c r="Q11" s="7" t="s">
        <v>28</v>
      </c>
      <c r="R11">
        <v>397</v>
      </c>
      <c r="S11">
        <v>336</v>
      </c>
      <c r="T11">
        <v>397</v>
      </c>
      <c r="Y11">
        <v>2011</v>
      </c>
      <c r="Z11" s="39">
        <v>11.203822169930246</v>
      </c>
      <c r="AA11"/>
      <c r="AB11"/>
      <c r="AC11"/>
      <c r="AD11"/>
    </row>
    <row r="12" spans="2:41" ht="15">
      <c r="B12" s="7" t="s">
        <v>2817</v>
      </c>
      <c r="C12" s="8">
        <v>5160.25</v>
      </c>
      <c r="D12" s="8">
        <v>1199076.48</v>
      </c>
      <c r="E12" s="8">
        <v>1204236.73</v>
      </c>
      <c r="F12"/>
      <c r="G12"/>
      <c r="H12"/>
      <c r="I12"/>
      <c r="J12"/>
      <c r="N12" t="s">
        <v>2881</v>
      </c>
      <c r="O12" s="27">
        <f>AVERAGEIF($E$20:$E$1349,"&gt;0")</f>
        <v>21.488505747126435</v>
      </c>
      <c r="Q12" s="7" t="s">
        <v>118</v>
      </c>
      <c r="R12">
        <v>738</v>
      </c>
      <c r="S12">
        <v>641</v>
      </c>
      <c r="T12">
        <v>738</v>
      </c>
      <c r="Y12">
        <v>2012</v>
      </c>
      <c r="Z12" s="39">
        <v>10.477872892779285</v>
      </c>
      <c r="AA12"/>
      <c r="AB12"/>
      <c r="AC12"/>
      <c r="AD12"/>
    </row>
    <row r="13" spans="2:41" ht="15">
      <c r="B13" s="7" t="s">
        <v>2811</v>
      </c>
      <c r="C13" s="8">
        <v>84170272.520000011</v>
      </c>
      <c r="D13" s="8">
        <v>198476410.64999995</v>
      </c>
      <c r="E13" s="8">
        <v>282646683.17000002</v>
      </c>
      <c r="F13"/>
      <c r="G13"/>
      <c r="H13"/>
      <c r="I13"/>
      <c r="J13"/>
      <c r="N13" t="s">
        <v>2882</v>
      </c>
      <c r="O13" s="4">
        <f>_xlfn.MAXIFS($E$20:$E$1349,$E$20:$E$1349,"&gt;0")</f>
        <v>280</v>
      </c>
      <c r="Q13" s="7" t="s">
        <v>2867</v>
      </c>
      <c r="R13">
        <v>1753</v>
      </c>
      <c r="S13">
        <v>1501</v>
      </c>
      <c r="T13">
        <v>1753</v>
      </c>
      <c r="Y13">
        <v>2013</v>
      </c>
      <c r="Z13" s="39">
        <v>8.3026637417412861</v>
      </c>
      <c r="AA13"/>
      <c r="AB13"/>
      <c r="AC13"/>
      <c r="AD13"/>
    </row>
    <row r="14" spans="2:41" ht="15">
      <c r="B14"/>
      <c r="C14"/>
      <c r="D14"/>
      <c r="E14"/>
      <c r="F14"/>
      <c r="G14"/>
      <c r="H14"/>
      <c r="N14" t="s">
        <v>2883</v>
      </c>
      <c r="O14" s="4">
        <f>_xlfn.MINIFS($E$20:$E$1349,$E$20:$E$1349,"&gt;0")</f>
        <v>1</v>
      </c>
      <c r="Q14"/>
      <c r="R14"/>
      <c r="S14"/>
      <c r="Y14">
        <v>2014</v>
      </c>
      <c r="Z14" s="39">
        <v>8.1930146894909139</v>
      </c>
      <c r="AA14"/>
      <c r="AB14"/>
      <c r="AC14"/>
      <c r="AD14"/>
    </row>
    <row r="15" spans="2:41" ht="15">
      <c r="B15"/>
      <c r="C15"/>
      <c r="D15"/>
      <c r="E15"/>
      <c r="N15" s="16" t="s">
        <v>2885</v>
      </c>
      <c r="O15" s="17" cm="1">
        <f t="array" ref="O15">MEDIAN(_xlfn._xlws.FILTER(E$20:$E$1349,(E$20:$E$1349)&gt;0))</f>
        <v>12</v>
      </c>
      <c r="Q15"/>
      <c r="R15"/>
      <c r="S15"/>
      <c r="Y15">
        <v>2015</v>
      </c>
      <c r="Z15" s="39">
        <v>7.9930262329576323</v>
      </c>
      <c r="AA15"/>
      <c r="AB15"/>
      <c r="AC15"/>
      <c r="AD15"/>
    </row>
    <row r="16" spans="2:41" ht="15">
      <c r="B16" s="9" t="s">
        <v>2865</v>
      </c>
      <c r="C16"/>
      <c r="D16"/>
      <c r="E16"/>
      <c r="N16" t="s">
        <v>2884</v>
      </c>
      <c r="O16" s="17" cm="1">
        <f t="array" ref="O16">_xlfn.STDEV.S(_xlfn._xlws.FILTER(E$20:$E$1349,(E$20:$E$1349)&gt;0))</f>
        <v>30.303997047595232</v>
      </c>
      <c r="Q16"/>
      <c r="R16"/>
      <c r="S16"/>
      <c r="Y16" t="s">
        <v>2867</v>
      </c>
      <c r="Z16" s="39">
        <v>9.5359765580263236</v>
      </c>
      <c r="AA16"/>
      <c r="AB16"/>
      <c r="AC16"/>
      <c r="AD16"/>
    </row>
    <row r="17" spans="2:30" ht="15">
      <c r="B17" s="9"/>
      <c r="C17"/>
      <c r="D17"/>
      <c r="E17"/>
      <c r="N17"/>
      <c r="O17"/>
      <c r="P17"/>
      <c r="Y17"/>
      <c r="Z17"/>
      <c r="AA17"/>
      <c r="AB17"/>
      <c r="AC17"/>
      <c r="AD17"/>
    </row>
    <row r="18" spans="2:30" ht="15">
      <c r="B18" s="9" t="s">
        <v>2878</v>
      </c>
      <c r="C18"/>
      <c r="D18"/>
      <c r="E18"/>
      <c r="N18" s="14" t="s">
        <v>2887</v>
      </c>
      <c r="S18"/>
      <c r="Y18"/>
      <c r="Z18"/>
      <c r="AA18"/>
      <c r="AB18"/>
      <c r="AC18"/>
      <c r="AD18"/>
    </row>
    <row r="19" spans="2:30" ht="15">
      <c r="B19" s="6" t="s">
        <v>2871</v>
      </c>
      <c r="C19" t="s">
        <v>2869</v>
      </c>
      <c r="D19" t="s">
        <v>2870</v>
      </c>
      <c r="E19" t="s">
        <v>2872</v>
      </c>
      <c r="F19" s="12" t="s">
        <v>2873</v>
      </c>
      <c r="G19" s="12" t="s">
        <v>3</v>
      </c>
      <c r="H19" s="12" t="s">
        <v>7</v>
      </c>
      <c r="I19" s="12" t="s">
        <v>6</v>
      </c>
      <c r="N19" s="16" t="s">
        <v>2888</v>
      </c>
      <c r="Q19" s="4">
        <v>1</v>
      </c>
      <c r="R19" s="4" t="str" cm="1">
        <f t="array" ref="R19">INDEX(S19:S21,Q19)</f>
        <v>All</v>
      </c>
      <c r="S19" s="4" t="s">
        <v>2899</v>
      </c>
      <c r="Y19"/>
      <c r="Z19"/>
      <c r="AA19"/>
      <c r="AB19"/>
      <c r="AC19"/>
      <c r="AD19"/>
    </row>
    <row r="20" spans="2:30" ht="15">
      <c r="B20" s="7" t="s">
        <v>769</v>
      </c>
      <c r="C20" s="10">
        <v>40660</v>
      </c>
      <c r="D20" s="10">
        <v>40660</v>
      </c>
      <c r="E20" s="18">
        <v>0</v>
      </c>
      <c r="F20" s="13" t="str">
        <f>IF($E20&lt;=0,"On-time","Late")</f>
        <v>On-time</v>
      </c>
      <c r="G20" s="19" t="str">
        <f>_xlfn.XLOOKUP($B20,tblARV[ASN/DN '#],tblARV[Country],"Not found")</f>
        <v>Rwanda</v>
      </c>
      <c r="H20" s="19" t="str">
        <f>_xlfn.XLOOKUP($B20,tblARV[ASN/DN '#],tblARV[Fulfill Via],"Not found")</f>
        <v>Direct Drop</v>
      </c>
      <c r="I20" s="19" t="str">
        <f>_xlfn.XLOOKUP($B20,tblARV[ASN/DN '#],tblARV[Vendor],"Not found")</f>
        <v>MYLAN LABORATORIES LTD (FORMERLY MATRIX LABORATORIES)</v>
      </c>
      <c r="S20" s="4" t="str" cm="1">
        <f t="array" ref="S20:S21">_xlfn.UNIQUE(tblARV[Fulfill Via])</f>
        <v>Direct Drop</v>
      </c>
      <c r="Y20"/>
      <c r="Z20"/>
      <c r="AA20"/>
      <c r="AB20"/>
      <c r="AC20"/>
      <c r="AD20"/>
    </row>
    <row r="21" spans="2:30" ht="15">
      <c r="B21" s="7" t="s">
        <v>973</v>
      </c>
      <c r="C21" s="10">
        <v>40641</v>
      </c>
      <c r="D21" s="10">
        <v>40641</v>
      </c>
      <c r="E21" s="18">
        <v>0</v>
      </c>
      <c r="F21" s="13" t="str">
        <f t="shared" ref="F21:F84" si="0">IF($E21&lt;=0,"On-time","Late")</f>
        <v>On-time</v>
      </c>
      <c r="G21" s="19" t="str">
        <f>_xlfn.XLOOKUP(B21,tblARV[ASN/DN '#],tblARV[Country],"Not found")</f>
        <v>Rwanda</v>
      </c>
      <c r="H21" s="19" t="str">
        <f>_xlfn.XLOOKUP($B21,tblARV[ASN/DN '#],tblARV[Fulfill Via],"Not found")</f>
        <v>Direct Drop</v>
      </c>
      <c r="I21" s="19" t="str">
        <f>_xlfn.XLOOKUP($B21,tblARV[ASN/DN '#],tblARV[Vendor],"Not found")</f>
        <v>Aurobindo Pharma Limited</v>
      </c>
      <c r="S21" s="4" t="str">
        <v>From RDC</v>
      </c>
      <c r="Y21"/>
      <c r="Z21"/>
      <c r="AA21"/>
      <c r="AB21"/>
      <c r="AC21"/>
      <c r="AD21"/>
    </row>
    <row r="22" spans="2:30" ht="15">
      <c r="B22" s="7" t="s">
        <v>1195</v>
      </c>
      <c r="C22" s="10">
        <v>40694</v>
      </c>
      <c r="D22" s="10">
        <v>40694</v>
      </c>
      <c r="E22" s="18">
        <v>0</v>
      </c>
      <c r="F22" s="13" t="str">
        <f t="shared" si="0"/>
        <v>On-time</v>
      </c>
      <c r="G22" s="19" t="str">
        <f>_xlfn.XLOOKUP(B22,tblARV[ASN/DN '#],tblARV[Country],"Not found")</f>
        <v>Rwanda</v>
      </c>
      <c r="H22" s="19" t="str">
        <f>_xlfn.XLOOKUP($B22,tblARV[ASN/DN '#],tblARV[Fulfill Via],"Not found")</f>
        <v>Direct Drop</v>
      </c>
      <c r="I22" s="19" t="str">
        <f>_xlfn.XLOOKUP($B22,tblARV[ASN/DN '#],tblARV[Vendor],"Not found")</f>
        <v>HETERO LABS LIMITED</v>
      </c>
      <c r="Y22"/>
      <c r="Z22"/>
      <c r="AA22"/>
      <c r="AB22"/>
      <c r="AC22"/>
      <c r="AD22"/>
    </row>
    <row r="23" spans="2:30" ht="15">
      <c r="B23" s="7" t="s">
        <v>1009</v>
      </c>
      <c r="C23" s="10">
        <v>40631</v>
      </c>
      <c r="D23" s="10">
        <v>40631</v>
      </c>
      <c r="E23" s="18">
        <v>0</v>
      </c>
      <c r="F23" s="13" t="str">
        <f t="shared" si="0"/>
        <v>On-time</v>
      </c>
      <c r="G23" s="19" t="str">
        <f>_xlfn.XLOOKUP(B23,tblARV[ASN/DN '#],tblARV[Country],"Not found")</f>
        <v>Uganda</v>
      </c>
      <c r="H23" s="19" t="str">
        <f>_xlfn.XLOOKUP($B23,tblARV[ASN/DN '#],tblARV[Fulfill Via],"Not found")</f>
        <v>Direct Drop</v>
      </c>
      <c r="I23" s="19" t="str">
        <f>_xlfn.XLOOKUP($B23,tblARV[ASN/DN '#],tblARV[Vendor],"Not found")</f>
        <v>ASPEN PHARMACARE</v>
      </c>
      <c r="Y23"/>
      <c r="Z23"/>
      <c r="AA23"/>
      <c r="AB23"/>
      <c r="AC23"/>
      <c r="AD23"/>
    </row>
    <row r="24" spans="2:30" ht="15">
      <c r="B24" s="7" t="s">
        <v>126</v>
      </c>
      <c r="C24" s="10">
        <v>39406</v>
      </c>
      <c r="D24" s="10">
        <v>39440</v>
      </c>
      <c r="E24" s="18">
        <v>34</v>
      </c>
      <c r="F24" s="13" t="str">
        <f t="shared" si="0"/>
        <v>Late</v>
      </c>
      <c r="G24" s="19" t="str">
        <f>_xlfn.XLOOKUP(B24,tblARV[ASN/DN '#],tblARV[Country],"Not found")</f>
        <v>Ethiopia</v>
      </c>
      <c r="H24" s="19" t="str">
        <f>_xlfn.XLOOKUP($B24,tblARV[ASN/DN '#],tblARV[Fulfill Via],"Not found")</f>
        <v>Direct Drop</v>
      </c>
      <c r="I24" s="19" t="str">
        <f>_xlfn.XLOOKUP($B24,tblARV[ASN/DN '#],tblARV[Vendor],"Not found")</f>
        <v>Aurobindo Pharma Limited</v>
      </c>
      <c r="N24" s="20" t="s">
        <v>3</v>
      </c>
      <c r="O24" s="12" t="s">
        <v>2891</v>
      </c>
      <c r="P24" s="12" t="s">
        <v>2892</v>
      </c>
      <c r="Q24" s="12" t="s">
        <v>2811</v>
      </c>
      <c r="R24" s="12" t="s">
        <v>2893</v>
      </c>
      <c r="S24" s="22" t="s">
        <v>2894</v>
      </c>
      <c r="Y24"/>
      <c r="Z24"/>
      <c r="AA24"/>
      <c r="AB24"/>
      <c r="AC24"/>
      <c r="AD24"/>
    </row>
    <row r="25" spans="2:30" ht="15">
      <c r="B25" s="7" t="s">
        <v>837</v>
      </c>
      <c r="C25" s="10">
        <v>40652</v>
      </c>
      <c r="D25" s="10">
        <v>40652</v>
      </c>
      <c r="E25" s="18">
        <v>0</v>
      </c>
      <c r="F25" s="13" t="str">
        <f t="shared" si="0"/>
        <v>On-time</v>
      </c>
      <c r="G25" s="19" t="str">
        <f>_xlfn.XLOOKUP(B25,tblARV[ASN/DN '#],tblARV[Country],"Not found")</f>
        <v>Uganda</v>
      </c>
      <c r="H25" s="19" t="str">
        <f>_xlfn.XLOOKUP($B25,tblARV[ASN/DN '#],tblARV[Fulfill Via],"Not found")</f>
        <v>Direct Drop</v>
      </c>
      <c r="I25" s="19" t="str">
        <f>_xlfn.XLOOKUP($B25,tblARV[ASN/DN '#],tblARV[Vendor],"Not found")</f>
        <v>MERCK SHARP &amp; DOHME IDEA GMBH (FORMALLY MERCK SHARP &amp; DOHME B.V.)</v>
      </c>
      <c r="N25" s="4" t="s">
        <v>118</v>
      </c>
      <c r="O25" s="4">
        <f>COUNTIFS($F$20:$F$1349,$O$24,$G$20:$G$1349,$N25)</f>
        <v>477</v>
      </c>
      <c r="P25" s="4">
        <f t="shared" ref="P25:P31" si="1">CHOOSE($Q$19,COUNTIFS($F$20:$F$1349,P$24,$G$20:$G$1349,$N25),
COUNTIFS($F$20:$F$1349,P$24,$G$20:$G$1349,$N25,$H$20:$H$1349,$R$19),
COUNTIFS($F$20:$F$1349,P$24,$G$20:$G$1349,$N25,$H$20:$H$1349,$R$19))</f>
        <v>68</v>
      </c>
      <c r="Q25" s="4">
        <f t="shared" ref="Q25:Q31" si="2">SUM(O25:P25)</f>
        <v>545</v>
      </c>
      <c r="R25" s="21">
        <f t="shared" ref="R25:R31" si="3">+O25/Q25</f>
        <v>0.87522935779816513</v>
      </c>
      <c r="S25" s="21">
        <f t="shared" ref="S25:S31" si="4">P25/Q25</f>
        <v>0.12477064220183487</v>
      </c>
      <c r="Y25"/>
      <c r="Z25"/>
      <c r="AA25"/>
      <c r="AB25"/>
      <c r="AC25"/>
      <c r="AD25"/>
    </row>
    <row r="26" spans="2:30" ht="15">
      <c r="B26" s="7" t="s">
        <v>204</v>
      </c>
      <c r="C26" s="10">
        <v>39450</v>
      </c>
      <c r="D26" s="10">
        <v>39450</v>
      </c>
      <c r="E26" s="18">
        <v>0</v>
      </c>
      <c r="F26" s="13" t="str">
        <f t="shared" si="0"/>
        <v>On-time</v>
      </c>
      <c r="G26" s="19" t="str">
        <f>_xlfn.XLOOKUP(B26,tblARV[ASN/DN '#],tblARV[Country],"Not found")</f>
        <v>Rwanda</v>
      </c>
      <c r="H26" s="19" t="str">
        <f>_xlfn.XLOOKUP($B26,tblARV[ASN/DN '#],tblARV[Fulfill Via],"Not found")</f>
        <v>Direct Drop</v>
      </c>
      <c r="I26" s="19" t="str">
        <f>_xlfn.XLOOKUP($B26,tblARV[ASN/DN '#],tblARV[Vendor],"Not found")</f>
        <v>Aurobindo Pharma Limited</v>
      </c>
      <c r="N26" s="4" t="s">
        <v>28</v>
      </c>
      <c r="O26" s="4">
        <f t="shared" ref="O26:O31" si="5">COUNTIFS($F$20:$F$1349,$O$24,$G$20:$G$1349,$N26)</f>
        <v>268</v>
      </c>
      <c r="P26" s="4">
        <f t="shared" si="1"/>
        <v>45</v>
      </c>
      <c r="Q26" s="4">
        <f t="shared" si="2"/>
        <v>313</v>
      </c>
      <c r="R26" s="21">
        <f t="shared" si="3"/>
        <v>0.85623003194888181</v>
      </c>
      <c r="S26" s="21">
        <f t="shared" si="4"/>
        <v>0.14376996805111822</v>
      </c>
      <c r="Y26"/>
      <c r="Z26"/>
      <c r="AA26"/>
      <c r="AB26"/>
      <c r="AC26"/>
      <c r="AD26"/>
    </row>
    <row r="27" spans="2:30" ht="15">
      <c r="B27" s="7" t="s">
        <v>990</v>
      </c>
      <c r="C27" s="10">
        <v>40658</v>
      </c>
      <c r="D27" s="10">
        <v>40658</v>
      </c>
      <c r="E27" s="18">
        <v>0</v>
      </c>
      <c r="F27" s="13" t="str">
        <f t="shared" si="0"/>
        <v>On-time</v>
      </c>
      <c r="G27" s="19" t="str">
        <f>_xlfn.XLOOKUP(B27,tblARV[ASN/DN '#],tblARV[Country],"Not found")</f>
        <v>Rwanda</v>
      </c>
      <c r="H27" s="19" t="str">
        <f>_xlfn.XLOOKUP($B27,tblARV[ASN/DN '#],tblARV[Fulfill Via],"Not found")</f>
        <v>Direct Drop</v>
      </c>
      <c r="I27" s="19" t="str">
        <f>_xlfn.XLOOKUP($B27,tblARV[ASN/DN '#],tblARV[Vendor],"Not found")</f>
        <v>Aurobindo Pharma Limited</v>
      </c>
      <c r="N27" s="4" t="s">
        <v>2817</v>
      </c>
      <c r="O27" s="4">
        <f t="shared" si="5"/>
        <v>19</v>
      </c>
      <c r="P27" s="4">
        <f t="shared" si="1"/>
        <v>5</v>
      </c>
      <c r="Q27" s="4">
        <f t="shared" si="2"/>
        <v>24</v>
      </c>
      <c r="R27" s="21">
        <f t="shared" si="3"/>
        <v>0.79166666666666663</v>
      </c>
      <c r="S27" s="21">
        <f t="shared" si="4"/>
        <v>0.20833333333333334</v>
      </c>
      <c r="Y27"/>
      <c r="Z27"/>
      <c r="AA27"/>
      <c r="AB27"/>
      <c r="AC27"/>
      <c r="AD27"/>
    </row>
    <row r="28" spans="2:30" ht="15">
      <c r="B28" s="7" t="s">
        <v>1211</v>
      </c>
      <c r="C28" s="10">
        <v>40667</v>
      </c>
      <c r="D28" s="10">
        <v>40667</v>
      </c>
      <c r="E28" s="18">
        <v>0</v>
      </c>
      <c r="F28" s="13" t="str">
        <f t="shared" si="0"/>
        <v>On-time</v>
      </c>
      <c r="G28" s="19" t="str">
        <f>_xlfn.XLOOKUP(B28,tblARV[ASN/DN '#],tblARV[Country],"Not found")</f>
        <v>Ethiopia</v>
      </c>
      <c r="H28" s="19" t="str">
        <f>_xlfn.XLOOKUP($B28,tblARV[ASN/DN '#],tblARV[Fulfill Via],"Not found")</f>
        <v>Direct Drop</v>
      </c>
      <c r="I28" s="19" t="str">
        <f>_xlfn.XLOOKUP($B28,tblARV[ASN/DN '#],tblARV[Vendor],"Not found")</f>
        <v>Aurobindo Pharma Limited</v>
      </c>
      <c r="N28" s="4" t="s">
        <v>42</v>
      </c>
      <c r="O28" s="4">
        <f t="shared" si="5"/>
        <v>276</v>
      </c>
      <c r="P28" s="4">
        <f t="shared" si="1"/>
        <v>27</v>
      </c>
      <c r="Q28" s="4">
        <f t="shared" si="2"/>
        <v>303</v>
      </c>
      <c r="R28" s="21">
        <f t="shared" si="3"/>
        <v>0.91089108910891092</v>
      </c>
      <c r="S28" s="21">
        <f t="shared" si="4"/>
        <v>8.9108910891089105E-2</v>
      </c>
      <c r="Y28"/>
      <c r="Z28"/>
      <c r="AA28"/>
      <c r="AB28"/>
      <c r="AC28"/>
      <c r="AD28"/>
    </row>
    <row r="29" spans="2:30" ht="15">
      <c r="B29" s="7" t="s">
        <v>211</v>
      </c>
      <c r="C29" s="10">
        <v>39450</v>
      </c>
      <c r="D29" s="10">
        <v>39450</v>
      </c>
      <c r="E29" s="18">
        <v>0</v>
      </c>
      <c r="F29" s="13" t="str">
        <f t="shared" si="0"/>
        <v>On-time</v>
      </c>
      <c r="G29" s="19" t="str">
        <f>_xlfn.XLOOKUP(B29,tblARV[ASN/DN '#],tblARV[Country],"Not found")</f>
        <v>Rwanda</v>
      </c>
      <c r="H29" s="19" t="str">
        <f>_xlfn.XLOOKUP($B29,tblARV[ASN/DN '#],tblARV[Fulfill Via],"Not found")</f>
        <v>Direct Drop</v>
      </c>
      <c r="I29" s="19" t="str">
        <f>_xlfn.XLOOKUP($B29,tblARV[ASN/DN '#],tblARV[Vendor],"Not found")</f>
        <v>Aurobindo Pharma Limited</v>
      </c>
      <c r="N29" s="4" t="s">
        <v>426</v>
      </c>
      <c r="O29" s="4">
        <f t="shared" si="5"/>
        <v>3</v>
      </c>
      <c r="P29" s="4">
        <f t="shared" si="1"/>
        <v>0</v>
      </c>
      <c r="Q29" s="4">
        <f t="shared" si="2"/>
        <v>3</v>
      </c>
      <c r="R29" s="21">
        <f t="shared" si="3"/>
        <v>1</v>
      </c>
      <c r="S29" s="21">
        <f t="shared" si="4"/>
        <v>0</v>
      </c>
      <c r="Y29"/>
      <c r="Z29"/>
      <c r="AA29"/>
      <c r="AB29"/>
      <c r="AC29"/>
      <c r="AD29"/>
    </row>
    <row r="30" spans="2:30" ht="15">
      <c r="B30" s="7" t="s">
        <v>928</v>
      </c>
      <c r="C30" s="10">
        <v>40711</v>
      </c>
      <c r="D30" s="10">
        <v>40711</v>
      </c>
      <c r="E30" s="18">
        <v>0</v>
      </c>
      <c r="F30" s="13" t="str">
        <f t="shared" si="0"/>
        <v>On-time</v>
      </c>
      <c r="G30" s="19" t="str">
        <f>_xlfn.XLOOKUP(B30,tblARV[ASN/DN '#],tblARV[Country],"Not found")</f>
        <v>Rwanda</v>
      </c>
      <c r="H30" s="19" t="str">
        <f>_xlfn.XLOOKUP($B30,tblARV[ASN/DN '#],tblARV[Fulfill Via],"Not found")</f>
        <v>Direct Drop</v>
      </c>
      <c r="I30" s="19" t="str">
        <f>_xlfn.XLOOKUP($B30,tblARV[ASN/DN '#],tblARV[Vendor],"Not found")</f>
        <v>HETERO LABS LIMITED</v>
      </c>
      <c r="N30" s="4" t="s">
        <v>60</v>
      </c>
      <c r="O30" s="4">
        <f t="shared" si="5"/>
        <v>96</v>
      </c>
      <c r="P30" s="4">
        <f t="shared" si="1"/>
        <v>11</v>
      </c>
      <c r="Q30" s="4">
        <f t="shared" si="2"/>
        <v>107</v>
      </c>
      <c r="R30" s="21">
        <f t="shared" si="3"/>
        <v>0.89719626168224298</v>
      </c>
      <c r="S30" s="21">
        <f t="shared" si="4"/>
        <v>0.10280373831775701</v>
      </c>
      <c r="Y30"/>
      <c r="Z30"/>
      <c r="AA30"/>
      <c r="AB30"/>
      <c r="AC30"/>
      <c r="AD30"/>
    </row>
    <row r="31" spans="2:30" ht="15">
      <c r="B31" s="7" t="s">
        <v>799</v>
      </c>
      <c r="C31" s="10">
        <v>40721</v>
      </c>
      <c r="D31" s="10">
        <v>40721</v>
      </c>
      <c r="E31" s="18">
        <v>0</v>
      </c>
      <c r="F31" s="13" t="str">
        <f t="shared" si="0"/>
        <v>On-time</v>
      </c>
      <c r="G31" s="19" t="str">
        <f>_xlfn.XLOOKUP(B31,tblARV[ASN/DN '#],tblARV[Country],"Not found")</f>
        <v>Tanzania</v>
      </c>
      <c r="H31" s="19" t="str">
        <f>_xlfn.XLOOKUP($B31,tblARV[ASN/DN '#],tblARV[Fulfill Via],"Not found")</f>
        <v>Direct Drop</v>
      </c>
      <c r="I31" s="19" t="str">
        <f>_xlfn.XLOOKUP($B31,tblARV[ASN/DN '#],tblARV[Vendor],"Not found")</f>
        <v>LAWRENCE LABORATORIES (SUBSIDIARY OF BRISTOL MYERS SQUIBB)</v>
      </c>
      <c r="N31" s="4" t="s">
        <v>1581</v>
      </c>
      <c r="O31" s="4">
        <f t="shared" si="5"/>
        <v>17</v>
      </c>
      <c r="P31" s="4">
        <f t="shared" si="1"/>
        <v>18</v>
      </c>
      <c r="Q31" s="4">
        <f t="shared" si="2"/>
        <v>35</v>
      </c>
      <c r="R31" s="21">
        <f t="shared" si="3"/>
        <v>0.48571428571428571</v>
      </c>
      <c r="S31" s="21">
        <f t="shared" si="4"/>
        <v>0.51428571428571423</v>
      </c>
      <c r="Y31"/>
      <c r="Z31"/>
      <c r="AA31"/>
      <c r="AB31"/>
      <c r="AC31"/>
      <c r="AD31"/>
    </row>
    <row r="32" spans="2:30" ht="15">
      <c r="B32" s="7" t="s">
        <v>938</v>
      </c>
      <c r="C32" s="10">
        <v>40738</v>
      </c>
      <c r="D32" s="10">
        <v>40738</v>
      </c>
      <c r="E32" s="18">
        <v>0</v>
      </c>
      <c r="F32" s="13" t="str">
        <f t="shared" si="0"/>
        <v>On-time</v>
      </c>
      <c r="G32" s="19" t="str">
        <f>_xlfn.XLOOKUP(B32,tblARV[ASN/DN '#],tblARV[Country],"Not found")</f>
        <v>Tanzania</v>
      </c>
      <c r="H32" s="19" t="str">
        <f>_xlfn.XLOOKUP($B32,tblARV[ASN/DN '#],tblARV[Fulfill Via],"Not found")</f>
        <v>Direct Drop</v>
      </c>
      <c r="I32" s="19" t="str">
        <f>_xlfn.XLOOKUP($B32,tblARV[ASN/DN '#],tblARV[Vendor],"Not found")</f>
        <v>LAWRENCE LABORATORIES (SUBSIDIARY OF BRISTOL MYERS SQUIBB)</v>
      </c>
      <c r="N32"/>
      <c r="O32"/>
      <c r="P32"/>
      <c r="Q32"/>
      <c r="R32"/>
      <c r="S32"/>
      <c r="Y32"/>
      <c r="Z32"/>
      <c r="AA32"/>
      <c r="AB32"/>
      <c r="AC32"/>
      <c r="AD32"/>
    </row>
    <row r="33" spans="2:30" ht="15">
      <c r="B33" s="7" t="s">
        <v>863</v>
      </c>
      <c r="C33" s="10">
        <v>40694</v>
      </c>
      <c r="D33" s="10">
        <v>40694</v>
      </c>
      <c r="E33" s="18">
        <v>0</v>
      </c>
      <c r="F33" s="13" t="str">
        <f t="shared" si="0"/>
        <v>On-time</v>
      </c>
      <c r="G33" s="19" t="str">
        <f>_xlfn.XLOOKUP(B33,tblARV[ASN/DN '#],tblARV[Country],"Not found")</f>
        <v>Uganda</v>
      </c>
      <c r="H33" s="19" t="str">
        <f>_xlfn.XLOOKUP($B33,tblARV[ASN/DN '#],tblARV[Fulfill Via],"Not found")</f>
        <v>Direct Drop</v>
      </c>
      <c r="I33" s="19" t="str">
        <f>_xlfn.XLOOKUP($B33,tblARV[ASN/DN '#],tblARV[Vendor],"Not found")</f>
        <v>ASPEN PHARMACARE</v>
      </c>
      <c r="N33"/>
      <c r="O33"/>
      <c r="P33"/>
      <c r="Q33"/>
      <c r="R33"/>
      <c r="S33"/>
      <c r="Y33"/>
      <c r="Z33"/>
      <c r="AA33"/>
      <c r="AB33"/>
      <c r="AC33"/>
      <c r="AD33"/>
    </row>
    <row r="34" spans="2:30" ht="15">
      <c r="B34" s="7" t="s">
        <v>1039</v>
      </c>
      <c r="C34" s="10">
        <v>40696</v>
      </c>
      <c r="D34" s="10">
        <v>40696</v>
      </c>
      <c r="E34" s="18">
        <v>0</v>
      </c>
      <c r="F34" s="13" t="str">
        <f t="shared" si="0"/>
        <v>On-time</v>
      </c>
      <c r="G34" s="19" t="str">
        <f>_xlfn.XLOOKUP(B34,tblARV[ASN/DN '#],tblARV[Country],"Not found")</f>
        <v>Uganda</v>
      </c>
      <c r="H34" s="19" t="str">
        <f>_xlfn.XLOOKUP($B34,tblARV[ASN/DN '#],tblARV[Fulfill Via],"Not found")</f>
        <v>Direct Drop</v>
      </c>
      <c r="I34" s="19" t="str">
        <f>_xlfn.XLOOKUP($B34,tblARV[ASN/DN '#],tblARV[Vendor],"Not found")</f>
        <v>ASPEN PHARMACARE</v>
      </c>
      <c r="Y34"/>
      <c r="Z34"/>
      <c r="AA34"/>
      <c r="AB34"/>
      <c r="AC34"/>
      <c r="AD34"/>
    </row>
    <row r="35" spans="2:30" ht="15">
      <c r="B35" s="7" t="s">
        <v>1345</v>
      </c>
      <c r="C35" s="10">
        <v>40722</v>
      </c>
      <c r="D35" s="10">
        <v>40722</v>
      </c>
      <c r="E35" s="18">
        <v>0</v>
      </c>
      <c r="F35" s="13" t="str">
        <f t="shared" si="0"/>
        <v>On-time</v>
      </c>
      <c r="G35" s="19" t="str">
        <f>_xlfn.XLOOKUP(B35,tblARV[ASN/DN '#],tblARV[Country],"Not found")</f>
        <v>Ethiopia</v>
      </c>
      <c r="H35" s="19" t="str">
        <f>_xlfn.XLOOKUP($B35,tblARV[ASN/DN '#],tblARV[Fulfill Via],"Not found")</f>
        <v>Direct Drop</v>
      </c>
      <c r="I35" s="19" t="str">
        <f>_xlfn.XLOOKUP($B35,tblARV[ASN/DN '#],tblARV[Vendor],"Not found")</f>
        <v>Aurobindo Pharma Limited</v>
      </c>
      <c r="N35" s="16" t="s">
        <v>2895</v>
      </c>
      <c r="Y35"/>
      <c r="Z35"/>
      <c r="AA35"/>
      <c r="AB35"/>
      <c r="AC35"/>
      <c r="AD35"/>
    </row>
    <row r="36" spans="2:30" ht="15">
      <c r="B36" s="7" t="s">
        <v>1476</v>
      </c>
      <c r="C36" s="10">
        <v>40725</v>
      </c>
      <c r="D36" s="10">
        <v>40725</v>
      </c>
      <c r="E36" s="18">
        <v>0</v>
      </c>
      <c r="F36" s="13" t="str">
        <f t="shared" si="0"/>
        <v>On-time</v>
      </c>
      <c r="G36" s="19" t="str">
        <f>_xlfn.XLOOKUP(B36,tblARV[ASN/DN '#],tblARV[Country],"Not found")</f>
        <v>Ethiopia</v>
      </c>
      <c r="H36" s="19" t="str">
        <f>_xlfn.XLOOKUP($B36,tblARV[ASN/DN '#],tblARV[Fulfill Via],"Not found")</f>
        <v>Direct Drop</v>
      </c>
      <c r="I36" s="19" t="str">
        <f>_xlfn.XLOOKUP($B36,tblARV[ASN/DN '#],tblARV[Vendor],"Not found")</f>
        <v>MYLAN LABORATORIES LTD (FORMERLY MATRIX LABORATORIES)</v>
      </c>
      <c r="N36" s="20" t="s">
        <v>6</v>
      </c>
      <c r="O36" s="12" t="s">
        <v>2891</v>
      </c>
      <c r="P36" s="12" t="s">
        <v>2892</v>
      </c>
      <c r="Q36" s="12" t="s">
        <v>2811</v>
      </c>
      <c r="R36" s="12" t="s">
        <v>2893</v>
      </c>
      <c r="S36" s="22" t="s">
        <v>2894</v>
      </c>
      <c r="Y36"/>
      <c r="Z36"/>
      <c r="AA36"/>
      <c r="AB36"/>
      <c r="AC36"/>
      <c r="AD36"/>
    </row>
    <row r="37" spans="2:30" ht="15">
      <c r="B37" s="7" t="s">
        <v>1226</v>
      </c>
      <c r="C37" s="10">
        <v>40807</v>
      </c>
      <c r="D37" s="10">
        <v>40807</v>
      </c>
      <c r="E37" s="18">
        <v>0</v>
      </c>
      <c r="F37" s="13" t="str">
        <f t="shared" si="0"/>
        <v>On-time</v>
      </c>
      <c r="G37" s="19" t="str">
        <f>_xlfn.XLOOKUP(B37,tblARV[ASN/DN '#],tblARV[Country],"Not found")</f>
        <v>Ethiopia</v>
      </c>
      <c r="H37" s="19" t="str">
        <f>_xlfn.XLOOKUP($B37,tblARV[ASN/DN '#],tblARV[Fulfill Via],"Not found")</f>
        <v>Direct Drop</v>
      </c>
      <c r="I37" s="19" t="str">
        <f>_xlfn.XLOOKUP($B37,tblARV[ASN/DN '#],tblARV[Vendor],"Not found")</f>
        <v>Aurobindo Pharma Limited</v>
      </c>
      <c r="N37" s="4" t="str" cm="1">
        <f t="array" ref="N37:N55">+_xlfn.UNIQUE(I20:I1349)</f>
        <v>MYLAN LABORATORIES LTD (FORMERLY MATRIX LABORATORIES)</v>
      </c>
      <c r="O37" s="4">
        <f>COUNTIFS($F$20:$F$1349,O$36,$I$20:$I$1349,$N37)</f>
        <v>63</v>
      </c>
      <c r="P37" s="4">
        <f>COUNTIFS($F$20:$F$1349,P$36,$I$20:$I$1349,$N37)</f>
        <v>0</v>
      </c>
      <c r="Q37" s="4">
        <f t="shared" ref="Q37" si="6">SUM(O37:P37)</f>
        <v>63</v>
      </c>
      <c r="R37" s="21">
        <f>+O37/Q37</f>
        <v>1</v>
      </c>
      <c r="S37" s="21">
        <f t="shared" ref="S37" si="7">P37/Q37</f>
        <v>0</v>
      </c>
      <c r="Y37"/>
      <c r="Z37"/>
      <c r="AA37"/>
      <c r="AB37"/>
      <c r="AC37"/>
      <c r="AD37"/>
    </row>
    <row r="38" spans="2:30" ht="15">
      <c r="B38" s="7" t="s">
        <v>936</v>
      </c>
      <c r="C38" s="10">
        <v>40746</v>
      </c>
      <c r="D38" s="10">
        <v>40746</v>
      </c>
      <c r="E38" s="18">
        <v>0</v>
      </c>
      <c r="F38" s="13" t="str">
        <f t="shared" si="0"/>
        <v>On-time</v>
      </c>
      <c r="G38" s="19" t="str">
        <f>_xlfn.XLOOKUP(B38,tblARV[ASN/DN '#],tblARV[Country],"Not found")</f>
        <v>Uganda</v>
      </c>
      <c r="H38" s="19" t="str">
        <f>_xlfn.XLOOKUP($B38,tblARV[ASN/DN '#],tblARV[Fulfill Via],"Not found")</f>
        <v>Direct Drop</v>
      </c>
      <c r="I38" s="19" t="str">
        <f>_xlfn.XLOOKUP($B38,tblARV[ASN/DN '#],tblARV[Vendor],"Not found")</f>
        <v>ASPEN PHARMACARE</v>
      </c>
      <c r="N38" s="4" t="str">
        <v>Aurobindo Pharma Limited</v>
      </c>
      <c r="O38" s="4">
        <f t="shared" ref="O38:P55" si="8">COUNTIFS($F$20:$F$1349,O$36,$I$20:$I$1349,$N38)</f>
        <v>92</v>
      </c>
      <c r="P38" s="4">
        <f t="shared" si="8"/>
        <v>13</v>
      </c>
      <c r="Q38" s="4">
        <f t="shared" ref="Q38:Q55" si="9">SUM(O38:P38)</f>
        <v>105</v>
      </c>
      <c r="R38" s="21">
        <f t="shared" ref="R38:R55" si="10">+O38/Q38</f>
        <v>0.87619047619047619</v>
      </c>
      <c r="S38" s="21">
        <f t="shared" ref="S38:S55" si="11">P38/Q38</f>
        <v>0.12380952380952381</v>
      </c>
      <c r="Y38"/>
      <c r="Z38"/>
      <c r="AA38"/>
      <c r="AB38"/>
      <c r="AC38"/>
      <c r="AD38"/>
    </row>
    <row r="39" spans="2:30" ht="15">
      <c r="B39" s="7" t="s">
        <v>1129</v>
      </c>
      <c r="C39" s="10">
        <v>40833</v>
      </c>
      <c r="D39" s="10">
        <v>40833</v>
      </c>
      <c r="E39" s="18">
        <v>0</v>
      </c>
      <c r="F39" s="13" t="str">
        <f t="shared" si="0"/>
        <v>On-time</v>
      </c>
      <c r="G39" s="19" t="str">
        <f>_xlfn.XLOOKUP(B39,tblARV[ASN/DN '#],tblARV[Country],"Not found")</f>
        <v>Rwanda</v>
      </c>
      <c r="H39" s="19" t="str">
        <f>_xlfn.XLOOKUP($B39,tblARV[ASN/DN '#],tblARV[Fulfill Via],"Not found")</f>
        <v>Direct Drop</v>
      </c>
      <c r="I39" s="19" t="str">
        <f>_xlfn.XLOOKUP($B39,tblARV[ASN/DN '#],tblARV[Vendor],"Not found")</f>
        <v>HETERO LABS LIMITED</v>
      </c>
      <c r="N39" s="16" t="str">
        <v>HETERO LABS LIMITED</v>
      </c>
      <c r="O39" s="4">
        <f t="shared" si="8"/>
        <v>41</v>
      </c>
      <c r="P39" s="4">
        <f t="shared" si="8"/>
        <v>0</v>
      </c>
      <c r="Q39" s="4">
        <f t="shared" si="9"/>
        <v>41</v>
      </c>
      <c r="R39" s="21">
        <f t="shared" si="10"/>
        <v>1</v>
      </c>
      <c r="S39" s="21">
        <f t="shared" si="11"/>
        <v>0</v>
      </c>
      <c r="Y39"/>
      <c r="Z39"/>
      <c r="AA39"/>
      <c r="AB39"/>
      <c r="AC39"/>
      <c r="AD39"/>
    </row>
    <row r="40" spans="2:30" ht="15">
      <c r="B40" s="7" t="s">
        <v>1351</v>
      </c>
      <c r="C40" s="10">
        <v>40815</v>
      </c>
      <c r="D40" s="10">
        <v>40815</v>
      </c>
      <c r="E40" s="18">
        <v>0</v>
      </c>
      <c r="F40" s="13" t="str">
        <f t="shared" si="0"/>
        <v>On-time</v>
      </c>
      <c r="G40" s="19" t="str">
        <f>_xlfn.XLOOKUP(B40,tblARV[ASN/DN '#],tblARV[Country],"Not found")</f>
        <v>Tanzania</v>
      </c>
      <c r="H40" s="19" t="str">
        <f>_xlfn.XLOOKUP($B40,tblARV[ASN/DN '#],tblARV[Fulfill Via],"Not found")</f>
        <v>Direct Drop</v>
      </c>
      <c r="I40" s="19" t="str">
        <f>_xlfn.XLOOKUP($B40,tblARV[ASN/DN '#],tblARV[Vendor],"Not found")</f>
        <v>EMCURE PHARMACEUTICALS LTD</v>
      </c>
      <c r="N40" s="4" t="str">
        <v>ASPEN PHARMACARE</v>
      </c>
      <c r="O40" s="4">
        <f t="shared" si="8"/>
        <v>29</v>
      </c>
      <c r="P40" s="4">
        <f t="shared" si="8"/>
        <v>0</v>
      </c>
      <c r="Q40" s="4">
        <f t="shared" si="9"/>
        <v>29</v>
      </c>
      <c r="R40" s="21">
        <f t="shared" si="10"/>
        <v>1</v>
      </c>
      <c r="S40" s="21">
        <f t="shared" si="11"/>
        <v>0</v>
      </c>
      <c r="Y40"/>
      <c r="Z40"/>
      <c r="AA40"/>
      <c r="AB40"/>
      <c r="AC40"/>
      <c r="AD40"/>
    </row>
    <row r="41" spans="2:30" ht="15">
      <c r="B41" s="7" t="s">
        <v>1499</v>
      </c>
      <c r="C41" s="10">
        <v>40780</v>
      </c>
      <c r="D41" s="10">
        <v>40780</v>
      </c>
      <c r="E41" s="18">
        <v>0</v>
      </c>
      <c r="F41" s="13" t="str">
        <f t="shared" si="0"/>
        <v>On-time</v>
      </c>
      <c r="G41" s="19" t="str">
        <f>_xlfn.XLOOKUP(B41,tblARV[ASN/DN '#],tblARV[Country],"Not found")</f>
        <v>Ethiopia</v>
      </c>
      <c r="H41" s="19" t="str">
        <f>_xlfn.XLOOKUP($B41,tblARV[ASN/DN '#],tblARV[Fulfill Via],"Not found")</f>
        <v>Direct Drop</v>
      </c>
      <c r="I41" s="19" t="str">
        <f>_xlfn.XLOOKUP($B41,tblARV[ASN/DN '#],tblARV[Vendor],"Not found")</f>
        <v>Aurobindo Pharma Limited</v>
      </c>
      <c r="N41" s="4" t="str">
        <v>MERCK SHARP &amp; DOHME IDEA GMBH (FORMALLY MERCK SHARP &amp; DOHME B.V.)</v>
      </c>
      <c r="O41" s="4">
        <f t="shared" si="8"/>
        <v>19</v>
      </c>
      <c r="P41" s="4">
        <f t="shared" si="8"/>
        <v>0</v>
      </c>
      <c r="Q41" s="4">
        <f t="shared" si="9"/>
        <v>19</v>
      </c>
      <c r="R41" s="21">
        <f t="shared" si="10"/>
        <v>1</v>
      </c>
      <c r="S41" s="21">
        <f t="shared" si="11"/>
        <v>0</v>
      </c>
      <c r="Y41"/>
      <c r="Z41"/>
      <c r="AA41"/>
      <c r="AB41"/>
      <c r="AC41"/>
      <c r="AD41"/>
    </row>
    <row r="42" spans="2:30" ht="15">
      <c r="B42" s="7" t="s">
        <v>108</v>
      </c>
      <c r="C42" s="10">
        <v>39475</v>
      </c>
      <c r="D42" s="10">
        <v>39475</v>
      </c>
      <c r="E42" s="18">
        <v>0</v>
      </c>
      <c r="F42" s="13" t="str">
        <f t="shared" si="0"/>
        <v>On-time</v>
      </c>
      <c r="G42" s="19" t="str">
        <f>_xlfn.XLOOKUP(B42,tblARV[ASN/DN '#],tblARV[Country],"Not found")</f>
        <v>Rwanda</v>
      </c>
      <c r="H42" s="19" t="str">
        <f>_xlfn.XLOOKUP($B42,tblARV[ASN/DN '#],tblARV[Fulfill Via],"Not found")</f>
        <v>Direct Drop</v>
      </c>
      <c r="I42" s="19" t="str">
        <f>_xlfn.XLOOKUP($B42,tblARV[ASN/DN '#],tblARV[Vendor],"Not found")</f>
        <v>MYLAN LABORATORIES LTD (FORMERLY MATRIX LABORATORIES)</v>
      </c>
      <c r="N42" s="4" t="str">
        <v>LAWRENCE LABORATORIES (SUBSIDIARY OF BRISTOL MYERS SQUIBB)</v>
      </c>
      <c r="O42" s="4">
        <f t="shared" si="8"/>
        <v>5</v>
      </c>
      <c r="P42" s="4">
        <f t="shared" si="8"/>
        <v>0</v>
      </c>
      <c r="Q42" s="4">
        <f t="shared" si="9"/>
        <v>5</v>
      </c>
      <c r="R42" s="21">
        <f t="shared" si="10"/>
        <v>1</v>
      </c>
      <c r="S42" s="21">
        <f t="shared" si="11"/>
        <v>0</v>
      </c>
      <c r="Y42"/>
      <c r="Z42"/>
      <c r="AA42"/>
      <c r="AB42"/>
      <c r="AC42"/>
      <c r="AD42"/>
    </row>
    <row r="43" spans="2:30" ht="15">
      <c r="B43" s="7" t="s">
        <v>1165</v>
      </c>
      <c r="C43" s="10">
        <v>40840</v>
      </c>
      <c r="D43" s="10">
        <v>40840</v>
      </c>
      <c r="E43" s="18">
        <v>0</v>
      </c>
      <c r="F43" s="13" t="str">
        <f t="shared" si="0"/>
        <v>On-time</v>
      </c>
      <c r="G43" s="19" t="str">
        <f>_xlfn.XLOOKUP(B43,tblARV[ASN/DN '#],tblARV[Country],"Not found")</f>
        <v>Tanzania</v>
      </c>
      <c r="H43" s="19" t="str">
        <f>_xlfn.XLOOKUP($B43,tblARV[ASN/DN '#],tblARV[Fulfill Via],"Not found")</f>
        <v>Direct Drop</v>
      </c>
      <c r="I43" s="19" t="str">
        <f>_xlfn.XLOOKUP($B43,tblARV[ASN/DN '#],tblARV[Vendor],"Not found")</f>
        <v>ABBVIE LOGISTICS (FORMERLY ABBOTT LOGISTICS BV)</v>
      </c>
      <c r="N43" s="4" t="str">
        <v>EMCURE PHARMACEUTICALS LTD</v>
      </c>
      <c r="O43" s="4">
        <f t="shared" si="8"/>
        <v>21</v>
      </c>
      <c r="P43" s="4">
        <f t="shared" si="8"/>
        <v>0</v>
      </c>
      <c r="Q43" s="4">
        <f t="shared" si="9"/>
        <v>21</v>
      </c>
      <c r="R43" s="21">
        <f>+O43/Q43</f>
        <v>1</v>
      </c>
      <c r="S43" s="21">
        <f t="shared" si="11"/>
        <v>0</v>
      </c>
      <c r="Y43"/>
      <c r="Z43"/>
      <c r="AA43"/>
      <c r="AB43"/>
      <c r="AC43"/>
      <c r="AD43"/>
    </row>
    <row r="44" spans="2:30" ht="15">
      <c r="B44" s="7" t="s">
        <v>1287</v>
      </c>
      <c r="C44" s="10">
        <v>40813</v>
      </c>
      <c r="D44" s="10">
        <v>40813</v>
      </c>
      <c r="E44" s="18">
        <v>0</v>
      </c>
      <c r="F44" s="13" t="str">
        <f t="shared" si="0"/>
        <v>On-time</v>
      </c>
      <c r="G44" s="19" t="str">
        <f>_xlfn.XLOOKUP(B44,tblARV[ASN/DN '#],tblARV[Country],"Not found")</f>
        <v>Rwanda</v>
      </c>
      <c r="H44" s="19" t="str">
        <f>_xlfn.XLOOKUP($B44,tblARV[ASN/DN '#],tblARV[Fulfill Via],"Not found")</f>
        <v>Direct Drop</v>
      </c>
      <c r="I44" s="19" t="str">
        <f>_xlfn.XLOOKUP($B44,tblARV[ASN/DN '#],tblARV[Vendor],"Not found")</f>
        <v>Aurobindo Pharma Limited</v>
      </c>
      <c r="N44" s="4" t="str">
        <v>ABBVIE LOGISTICS (FORMERLY ABBOTT LOGISTICS BV)</v>
      </c>
      <c r="O44" s="4">
        <f t="shared" si="8"/>
        <v>73</v>
      </c>
      <c r="P44" s="4">
        <f t="shared" si="8"/>
        <v>0</v>
      </c>
      <c r="Q44" s="4">
        <f t="shared" si="9"/>
        <v>73</v>
      </c>
      <c r="R44" s="21">
        <f t="shared" si="10"/>
        <v>1</v>
      </c>
      <c r="S44" s="21">
        <f t="shared" si="11"/>
        <v>0</v>
      </c>
      <c r="Y44"/>
      <c r="Z44"/>
      <c r="AA44"/>
      <c r="AB44"/>
      <c r="AC44"/>
      <c r="AD44"/>
    </row>
    <row r="45" spans="2:30" ht="15">
      <c r="B45" s="7" t="s">
        <v>779</v>
      </c>
      <c r="C45" s="10">
        <v>40847</v>
      </c>
      <c r="D45" s="10">
        <v>40847</v>
      </c>
      <c r="E45" s="18">
        <v>0</v>
      </c>
      <c r="F45" s="13" t="str">
        <f t="shared" si="0"/>
        <v>On-time</v>
      </c>
      <c r="G45" s="19" t="str">
        <f>_xlfn.XLOOKUP(B45,tblARV[ASN/DN '#],tblARV[Country],"Not found")</f>
        <v>Ethiopia</v>
      </c>
      <c r="H45" s="19" t="str">
        <f>_xlfn.XLOOKUP($B45,tblARV[ASN/DN '#],tblARV[Fulfill Via],"Not found")</f>
        <v>Direct Drop</v>
      </c>
      <c r="I45" s="19" t="str">
        <f>_xlfn.XLOOKUP($B45,tblARV[ASN/DN '#],tblARV[Vendor],"Not found")</f>
        <v>Aurobindo Pharma Limited</v>
      </c>
      <c r="N45" s="4" t="str">
        <v>STRIDES ARCOLAB LIMITED</v>
      </c>
      <c r="O45" s="4">
        <f t="shared" si="8"/>
        <v>11</v>
      </c>
      <c r="P45" s="4">
        <f t="shared" si="8"/>
        <v>0</v>
      </c>
      <c r="Q45" s="4">
        <f t="shared" si="9"/>
        <v>11</v>
      </c>
      <c r="R45" s="21">
        <f t="shared" si="10"/>
        <v>1</v>
      </c>
      <c r="S45" s="21">
        <f t="shared" si="11"/>
        <v>0</v>
      </c>
      <c r="Y45"/>
      <c r="Z45"/>
      <c r="AA45"/>
      <c r="AB45"/>
      <c r="AC45"/>
      <c r="AD45"/>
    </row>
    <row r="46" spans="2:30" ht="15">
      <c r="B46" s="7" t="s">
        <v>174</v>
      </c>
      <c r="C46" s="10">
        <v>39084</v>
      </c>
      <c r="D46" s="10">
        <v>39084</v>
      </c>
      <c r="E46" s="18">
        <v>0</v>
      </c>
      <c r="F46" s="13" t="str">
        <f t="shared" si="0"/>
        <v>On-time</v>
      </c>
      <c r="G46" s="19" t="str">
        <f>_xlfn.XLOOKUP(B46,tblARV[ASN/DN '#],tblARV[Country],"Not found")</f>
        <v>Uganda</v>
      </c>
      <c r="H46" s="19" t="str">
        <f>_xlfn.XLOOKUP($B46,tblARV[ASN/DN '#],tblARV[Fulfill Via],"Not found")</f>
        <v>Direct Drop</v>
      </c>
      <c r="I46" s="19" t="str">
        <f>_xlfn.XLOOKUP($B46,tblARV[ASN/DN '#],tblARV[Vendor],"Not found")</f>
        <v>STRIDES ARCOLAB LIMITED</v>
      </c>
      <c r="N46" s="4" t="str">
        <v>SUN PHARMACEUTICAL INDUSTRIES LTD (RANBAXY LABORATORIES LIMITED)</v>
      </c>
      <c r="O46" s="4">
        <f t="shared" si="8"/>
        <v>1</v>
      </c>
      <c r="P46" s="4">
        <f t="shared" si="8"/>
        <v>0</v>
      </c>
      <c r="Q46" s="4">
        <f t="shared" si="9"/>
        <v>1</v>
      </c>
      <c r="R46" s="21">
        <f t="shared" si="10"/>
        <v>1</v>
      </c>
      <c r="S46" s="21">
        <f t="shared" si="11"/>
        <v>0</v>
      </c>
      <c r="Y46"/>
      <c r="Z46"/>
      <c r="AA46"/>
      <c r="AB46"/>
      <c r="AC46"/>
      <c r="AD46"/>
    </row>
    <row r="47" spans="2:30" ht="15">
      <c r="B47" s="7" t="s">
        <v>904</v>
      </c>
      <c r="C47" s="10">
        <v>40835</v>
      </c>
      <c r="D47" s="10">
        <v>40835</v>
      </c>
      <c r="E47" s="18">
        <v>0</v>
      </c>
      <c r="F47" s="13" t="str">
        <f t="shared" si="0"/>
        <v>On-time</v>
      </c>
      <c r="G47" s="19" t="str">
        <f>_xlfn.XLOOKUP(B47,tblARV[ASN/DN '#],tblARV[Country],"Not found")</f>
        <v>Uganda</v>
      </c>
      <c r="H47" s="19" t="str">
        <f>_xlfn.XLOOKUP($B47,tblARV[ASN/DN '#],tblARV[Fulfill Via],"Not found")</f>
        <v>Direct Drop</v>
      </c>
      <c r="I47" s="19" t="str">
        <f>_xlfn.XLOOKUP($B47,tblARV[ASN/DN '#],tblARV[Vendor],"Not found")</f>
        <v>MERCK SHARP &amp; DOHME IDEA GMBH (FORMALLY MERCK SHARP &amp; DOHME B.V.)</v>
      </c>
      <c r="N47" s="4" t="str">
        <v>CIPLA LIMITED</v>
      </c>
      <c r="O47" s="4">
        <f t="shared" si="8"/>
        <v>37</v>
      </c>
      <c r="P47" s="4">
        <f t="shared" si="8"/>
        <v>0</v>
      </c>
      <c r="Q47" s="4">
        <f t="shared" si="9"/>
        <v>37</v>
      </c>
      <c r="R47" s="21">
        <f t="shared" si="10"/>
        <v>1</v>
      </c>
      <c r="S47" s="21">
        <f t="shared" si="11"/>
        <v>0</v>
      </c>
      <c r="Y47"/>
      <c r="Z47"/>
      <c r="AA47"/>
      <c r="AB47"/>
      <c r="AC47"/>
      <c r="AD47"/>
    </row>
    <row r="48" spans="2:30" ht="15">
      <c r="B48" s="7" t="s">
        <v>162</v>
      </c>
      <c r="C48" s="10">
        <v>39073</v>
      </c>
      <c r="D48" s="10">
        <v>39073</v>
      </c>
      <c r="E48" s="18">
        <v>0</v>
      </c>
      <c r="F48" s="13" t="str">
        <f t="shared" si="0"/>
        <v>On-time</v>
      </c>
      <c r="G48" s="19" t="str">
        <f>_xlfn.XLOOKUP(B48,tblARV[ASN/DN '#],tblARV[Country],"Not found")</f>
        <v>Uganda</v>
      </c>
      <c r="H48" s="19" t="str">
        <f>_xlfn.XLOOKUP($B48,tblARV[ASN/DN '#],tblARV[Fulfill Via],"Not found")</f>
        <v>Direct Drop</v>
      </c>
      <c r="I48" s="19" t="str">
        <f>_xlfn.XLOOKUP($B48,tblARV[ASN/DN '#],tblARV[Vendor],"Not found")</f>
        <v>SUN PHARMACEUTICAL INDUSTRIES LTD (RANBAXY LABORATORIES LIMITED)</v>
      </c>
      <c r="N48" s="4" t="str">
        <v>Hoffmann-La Roche ltd Basel</v>
      </c>
      <c r="O48" s="4">
        <f t="shared" si="8"/>
        <v>8</v>
      </c>
      <c r="P48" s="4">
        <f t="shared" si="8"/>
        <v>0</v>
      </c>
      <c r="Q48" s="4">
        <f t="shared" si="9"/>
        <v>8</v>
      </c>
      <c r="R48" s="21">
        <f t="shared" si="10"/>
        <v>1</v>
      </c>
      <c r="S48" s="21">
        <f t="shared" si="11"/>
        <v>0</v>
      </c>
      <c r="Y48"/>
      <c r="Z48"/>
      <c r="AA48"/>
      <c r="AB48"/>
      <c r="AC48"/>
      <c r="AD48"/>
    </row>
    <row r="49" spans="2:30" ht="15">
      <c r="B49" s="7" t="s">
        <v>786</v>
      </c>
      <c r="C49" s="10">
        <v>40890</v>
      </c>
      <c r="D49" s="10">
        <v>40890</v>
      </c>
      <c r="E49" s="18">
        <v>0</v>
      </c>
      <c r="F49" s="13" t="str">
        <f t="shared" si="0"/>
        <v>On-time</v>
      </c>
      <c r="G49" s="19" t="str">
        <f>_xlfn.XLOOKUP(B49,tblARV[ASN/DN '#],tblARV[Country],"Not found")</f>
        <v>Rwanda</v>
      </c>
      <c r="H49" s="19" t="str">
        <f>_xlfn.XLOOKUP($B49,tblARV[ASN/DN '#],tblARV[Fulfill Via],"Not found")</f>
        <v>Direct Drop</v>
      </c>
      <c r="I49" s="19" t="str">
        <f>_xlfn.XLOOKUP($B49,tblARV[ASN/DN '#],tblARV[Vendor],"Not found")</f>
        <v>CIPLA LIMITED</v>
      </c>
      <c r="N49" s="4" t="str">
        <v>BRISTOL-MYERS SQUIBB</v>
      </c>
      <c r="O49" s="4">
        <f t="shared" si="8"/>
        <v>13</v>
      </c>
      <c r="P49" s="4">
        <f t="shared" si="8"/>
        <v>0</v>
      </c>
      <c r="Q49" s="4">
        <f t="shared" si="9"/>
        <v>13</v>
      </c>
      <c r="R49" s="21">
        <f t="shared" si="10"/>
        <v>1</v>
      </c>
      <c r="S49" s="21">
        <f t="shared" si="11"/>
        <v>0</v>
      </c>
      <c r="Y49"/>
      <c r="Z49"/>
      <c r="AA49"/>
      <c r="AB49"/>
      <c r="AC49"/>
      <c r="AD49"/>
    </row>
    <row r="50" spans="2:30" ht="15">
      <c r="B50" s="7" t="s">
        <v>136</v>
      </c>
      <c r="C50" s="10">
        <v>39072</v>
      </c>
      <c r="D50" s="10">
        <v>39072</v>
      </c>
      <c r="E50" s="18">
        <v>0</v>
      </c>
      <c r="F50" s="13" t="str">
        <f t="shared" si="0"/>
        <v>On-time</v>
      </c>
      <c r="G50" s="19" t="str">
        <f>_xlfn.XLOOKUP(B50,tblARV[ASN/DN '#],tblARV[Country],"Not found")</f>
        <v>Uganda</v>
      </c>
      <c r="H50" s="19" t="str">
        <f>_xlfn.XLOOKUP($B50,tblARV[ASN/DN '#],tblARV[Fulfill Via],"Not found")</f>
        <v>Direct Drop</v>
      </c>
      <c r="I50" s="19" t="str">
        <f>_xlfn.XLOOKUP($B50,tblARV[ASN/DN '#],tblARV[Vendor],"Not found")</f>
        <v>Aurobindo Pharma Limited</v>
      </c>
      <c r="N50" s="4" t="str">
        <v>MICRO LABS LIMITED</v>
      </c>
      <c r="O50" s="4">
        <f t="shared" si="8"/>
        <v>5</v>
      </c>
      <c r="P50" s="4">
        <f t="shared" si="8"/>
        <v>0</v>
      </c>
      <c r="Q50" s="4">
        <f t="shared" si="9"/>
        <v>5</v>
      </c>
      <c r="R50" s="21">
        <f t="shared" si="10"/>
        <v>1</v>
      </c>
      <c r="S50" s="21">
        <f t="shared" si="11"/>
        <v>0</v>
      </c>
      <c r="Y50"/>
      <c r="Z50"/>
      <c r="AA50"/>
      <c r="AB50"/>
      <c r="AC50"/>
      <c r="AD50"/>
    </row>
    <row r="51" spans="2:30" ht="15">
      <c r="B51" s="7" t="s">
        <v>196</v>
      </c>
      <c r="C51" s="10">
        <v>39073</v>
      </c>
      <c r="D51" s="10">
        <v>39073</v>
      </c>
      <c r="E51" s="18">
        <v>0</v>
      </c>
      <c r="F51" s="13" t="str">
        <f t="shared" si="0"/>
        <v>On-time</v>
      </c>
      <c r="G51" s="19" t="str">
        <f>_xlfn.XLOOKUP(B51,tblARV[ASN/DN '#],tblARV[Country],"Not found")</f>
        <v>Uganda</v>
      </c>
      <c r="H51" s="19" t="str">
        <f>_xlfn.XLOOKUP($B51,tblARV[ASN/DN '#],tblARV[Fulfill Via],"Not found")</f>
        <v>Direct Drop</v>
      </c>
      <c r="I51" s="19" t="str">
        <f>_xlfn.XLOOKUP($B51,tblARV[ASN/DN '#],tblARV[Vendor],"Not found")</f>
        <v>ASPEN PHARMACARE</v>
      </c>
      <c r="N51" s="4" t="str">
        <v>GLAXOSMITHKLINE EXPORT LIMITED</v>
      </c>
      <c r="O51" s="4">
        <f t="shared" si="8"/>
        <v>2</v>
      </c>
      <c r="P51" s="4">
        <f t="shared" si="8"/>
        <v>0</v>
      </c>
      <c r="Q51" s="4">
        <f t="shared" si="9"/>
        <v>2</v>
      </c>
      <c r="R51" s="21">
        <f t="shared" si="10"/>
        <v>1</v>
      </c>
      <c r="S51" s="21">
        <f t="shared" si="11"/>
        <v>0</v>
      </c>
      <c r="Y51"/>
      <c r="Z51"/>
      <c r="AA51"/>
      <c r="AB51"/>
      <c r="AC51"/>
      <c r="AD51"/>
    </row>
    <row r="52" spans="2:30" ht="15">
      <c r="B52" s="7" t="s">
        <v>1096</v>
      </c>
      <c r="C52" s="10">
        <v>40927</v>
      </c>
      <c r="D52" s="10">
        <v>40927</v>
      </c>
      <c r="E52" s="18">
        <v>0</v>
      </c>
      <c r="F52" s="13" t="str">
        <f t="shared" si="0"/>
        <v>On-time</v>
      </c>
      <c r="G52" s="19" t="str">
        <f>_xlfn.XLOOKUP(B52,tblARV[ASN/DN '#],tblARV[Country],"Not found")</f>
        <v>Tanzania</v>
      </c>
      <c r="H52" s="19" t="str">
        <f>_xlfn.XLOOKUP($B52,tblARV[ASN/DN '#],tblARV[Fulfill Via],"Not found")</f>
        <v>Direct Drop</v>
      </c>
      <c r="I52" s="19" t="str">
        <f>_xlfn.XLOOKUP($B52,tblARV[ASN/DN '#],tblARV[Vendor],"Not found")</f>
        <v>ABBVIE LOGISTICS (FORMERLY ABBOTT LOGISTICS BV)</v>
      </c>
      <c r="N52" s="4" t="str">
        <v>B&amp;C GROUP S.A.</v>
      </c>
      <c r="O52" s="4">
        <f t="shared" si="8"/>
        <v>1</v>
      </c>
      <c r="P52" s="4">
        <f t="shared" si="8"/>
        <v>0</v>
      </c>
      <c r="Q52" s="4">
        <f t="shared" si="9"/>
        <v>1</v>
      </c>
      <c r="R52" s="21">
        <f t="shared" si="10"/>
        <v>1</v>
      </c>
      <c r="S52" s="21">
        <f t="shared" si="11"/>
        <v>0</v>
      </c>
      <c r="Y52"/>
      <c r="Z52"/>
      <c r="AA52"/>
      <c r="AB52"/>
      <c r="AC52"/>
      <c r="AD52"/>
    </row>
    <row r="53" spans="2:30" ht="15">
      <c r="B53" s="7" t="s">
        <v>202</v>
      </c>
      <c r="C53" s="10">
        <v>39566</v>
      </c>
      <c r="D53" s="10">
        <v>39518</v>
      </c>
      <c r="E53" s="18">
        <v>-48</v>
      </c>
      <c r="F53" s="13" t="str">
        <f t="shared" si="0"/>
        <v>On-time</v>
      </c>
      <c r="G53" s="19" t="str">
        <f>_xlfn.XLOOKUP(B53,tblARV[ASN/DN '#],tblARV[Country],"Not found")</f>
        <v>Rwanda</v>
      </c>
      <c r="H53" s="19" t="str">
        <f>_xlfn.XLOOKUP($B53,tblARV[ASN/DN '#],tblARV[Fulfill Via],"Not found")</f>
        <v>Direct Drop</v>
      </c>
      <c r="I53" s="19" t="str">
        <f>_xlfn.XLOOKUP($B53,tblARV[ASN/DN '#],tblARV[Vendor],"Not found")</f>
        <v>CIPLA LIMITED</v>
      </c>
      <c r="N53" s="4" t="str">
        <v>JANSSEN SCIENCES IRELAND UC (FORMERLY JANSSEN R&amp;D IRELAND)</v>
      </c>
      <c r="O53" s="4">
        <f t="shared" si="8"/>
        <v>1</v>
      </c>
      <c r="P53" s="4">
        <f t="shared" si="8"/>
        <v>0</v>
      </c>
      <c r="Q53" s="4">
        <f t="shared" si="9"/>
        <v>1</v>
      </c>
      <c r="R53" s="21">
        <f t="shared" si="10"/>
        <v>1</v>
      </c>
      <c r="S53" s="21">
        <f t="shared" si="11"/>
        <v>0</v>
      </c>
      <c r="Y53"/>
      <c r="Z53"/>
      <c r="AA53"/>
      <c r="AB53"/>
      <c r="AC53"/>
      <c r="AD53"/>
    </row>
    <row r="54" spans="2:30" ht="15">
      <c r="B54" s="7" t="s">
        <v>1425</v>
      </c>
      <c r="C54" s="10">
        <v>40912</v>
      </c>
      <c r="D54" s="10">
        <v>40912</v>
      </c>
      <c r="E54" s="18">
        <v>0</v>
      </c>
      <c r="F54" s="13" t="str">
        <f t="shared" si="0"/>
        <v>On-time</v>
      </c>
      <c r="G54" s="19" t="str">
        <f>_xlfn.XLOOKUP(B54,tblARV[ASN/DN '#],tblARV[Country],"Not found")</f>
        <v>Uganda</v>
      </c>
      <c r="H54" s="19" t="str">
        <f>_xlfn.XLOOKUP($B54,tblARV[ASN/DN '#],tblARV[Fulfill Via],"Not found")</f>
        <v>Direct Drop</v>
      </c>
      <c r="I54" s="19" t="str">
        <f>_xlfn.XLOOKUP($B54,tblARV[ASN/DN '#],tblARV[Vendor],"Not found")</f>
        <v>MERCK SHARP &amp; DOHME IDEA GMBH (FORMALLY MERCK SHARP &amp; DOHME B.V.)</v>
      </c>
      <c r="N54" s="4" t="str">
        <v>SWORDS LABORATORIES</v>
      </c>
      <c r="O54" s="4">
        <f t="shared" si="8"/>
        <v>3</v>
      </c>
      <c r="P54" s="4">
        <f t="shared" si="8"/>
        <v>0</v>
      </c>
      <c r="Q54" s="4">
        <f t="shared" si="9"/>
        <v>3</v>
      </c>
      <c r="R54" s="21">
        <f t="shared" si="10"/>
        <v>1</v>
      </c>
      <c r="S54" s="21">
        <f t="shared" si="11"/>
        <v>0</v>
      </c>
      <c r="Y54"/>
      <c r="Z54"/>
      <c r="AA54"/>
      <c r="AB54"/>
      <c r="AC54"/>
      <c r="AD54"/>
    </row>
    <row r="55" spans="2:30" ht="15">
      <c r="B55" s="7" t="s">
        <v>1104</v>
      </c>
      <c r="C55" s="10">
        <v>40922</v>
      </c>
      <c r="D55" s="10">
        <v>40922</v>
      </c>
      <c r="E55" s="18">
        <v>0</v>
      </c>
      <c r="F55" s="13" t="str">
        <f t="shared" si="0"/>
        <v>On-time</v>
      </c>
      <c r="G55" s="19" t="str">
        <f>_xlfn.XLOOKUP(B55,tblARV[ASN/DN '#],tblARV[Country],"Not found")</f>
        <v>Uganda</v>
      </c>
      <c r="H55" s="19" t="str">
        <f>_xlfn.XLOOKUP($B55,tblARV[ASN/DN '#],tblARV[Fulfill Via],"Not found")</f>
        <v>Direct Drop</v>
      </c>
      <c r="I55" s="19" t="str">
        <f>_xlfn.XLOOKUP($B55,tblARV[ASN/DN '#],tblARV[Vendor],"Not found")</f>
        <v>Hoffmann-La Roche ltd Basel</v>
      </c>
      <c r="N55" s="4" t="str">
        <v>SCMS from RDC</v>
      </c>
      <c r="O55" s="4">
        <f t="shared" si="8"/>
        <v>731</v>
      </c>
      <c r="P55" s="4">
        <f t="shared" si="8"/>
        <v>161</v>
      </c>
      <c r="Q55" s="4">
        <f t="shared" si="9"/>
        <v>892</v>
      </c>
      <c r="R55" s="21">
        <f t="shared" si="10"/>
        <v>0.81950672645739908</v>
      </c>
      <c r="S55" s="21">
        <f t="shared" si="11"/>
        <v>0.18049327354260089</v>
      </c>
      <c r="Y55"/>
      <c r="Z55"/>
      <c r="AA55"/>
      <c r="AB55"/>
      <c r="AC55"/>
      <c r="AD55"/>
    </row>
    <row r="56" spans="2:30" ht="15">
      <c r="B56" s="7" t="s">
        <v>184</v>
      </c>
      <c r="C56" s="10">
        <v>39511</v>
      </c>
      <c r="D56" s="10">
        <v>39511</v>
      </c>
      <c r="E56" s="18">
        <v>0</v>
      </c>
      <c r="F56" s="13" t="str">
        <f t="shared" si="0"/>
        <v>On-time</v>
      </c>
      <c r="G56" s="19" t="str">
        <f>_xlfn.XLOOKUP(B56,tblARV[ASN/DN '#],tblARV[Country],"Not found")</f>
        <v>Ethiopia</v>
      </c>
      <c r="H56" s="19" t="str">
        <f>_xlfn.XLOOKUP($B56,tblARV[ASN/DN '#],tblARV[Fulfill Via],"Not found")</f>
        <v>Direct Drop</v>
      </c>
      <c r="I56" s="19" t="str">
        <f>_xlfn.XLOOKUP($B56,tblARV[ASN/DN '#],tblARV[Vendor],"Not found")</f>
        <v>ASPEN PHARMACARE</v>
      </c>
      <c r="Y56"/>
      <c r="Z56"/>
      <c r="AA56"/>
      <c r="AB56"/>
      <c r="AC56"/>
      <c r="AD56"/>
    </row>
    <row r="57" spans="2:30" ht="15">
      <c r="B57" s="7" t="s">
        <v>830</v>
      </c>
      <c r="C57" s="10">
        <v>41012</v>
      </c>
      <c r="D57" s="10">
        <v>41012</v>
      </c>
      <c r="E57" s="18">
        <v>0</v>
      </c>
      <c r="F57" s="13" t="str">
        <f t="shared" si="0"/>
        <v>On-time</v>
      </c>
      <c r="G57" s="19" t="str">
        <f>_xlfn.XLOOKUP(B57,tblARV[ASN/DN '#],tblARV[Country],"Not found")</f>
        <v>Rwanda</v>
      </c>
      <c r="H57" s="19" t="str">
        <f>_xlfn.XLOOKUP($B57,tblARV[ASN/DN '#],tblARV[Fulfill Via],"Not found")</f>
        <v>Direct Drop</v>
      </c>
      <c r="I57" s="19" t="str">
        <f>_xlfn.XLOOKUP($B57,tblARV[ASN/DN '#],tblARV[Vendor],"Not found")</f>
        <v>Aurobindo Pharma Limited</v>
      </c>
      <c r="Y57"/>
      <c r="Z57"/>
      <c r="AA57"/>
      <c r="AB57"/>
      <c r="AC57"/>
      <c r="AD57"/>
    </row>
    <row r="58" spans="2:30" ht="15">
      <c r="B58" s="7" t="s">
        <v>1149</v>
      </c>
      <c r="C58" s="10">
        <v>40932</v>
      </c>
      <c r="D58" s="10">
        <v>40932</v>
      </c>
      <c r="E58" s="18">
        <v>0</v>
      </c>
      <c r="F58" s="13" t="str">
        <f t="shared" si="0"/>
        <v>On-time</v>
      </c>
      <c r="G58" s="19" t="str">
        <f>_xlfn.XLOOKUP(B58,tblARV[ASN/DN '#],tblARV[Country],"Not found")</f>
        <v>Rwanda</v>
      </c>
      <c r="H58" s="19" t="str">
        <f>_xlfn.XLOOKUP($B58,tblARV[ASN/DN '#],tblARV[Fulfill Via],"Not found")</f>
        <v>Direct Drop</v>
      </c>
      <c r="I58" s="19" t="str">
        <f>_xlfn.XLOOKUP($B58,tblARV[ASN/DN '#],tblARV[Vendor],"Not found")</f>
        <v>Aurobindo Pharma Limited</v>
      </c>
      <c r="Y58"/>
      <c r="Z58"/>
      <c r="AA58"/>
      <c r="AB58"/>
      <c r="AC58"/>
      <c r="AD58"/>
    </row>
    <row r="59" spans="2:30" ht="15">
      <c r="B59" s="7" t="s">
        <v>1356</v>
      </c>
      <c r="C59" s="10">
        <v>40932</v>
      </c>
      <c r="D59" s="10">
        <v>40933</v>
      </c>
      <c r="E59" s="18">
        <v>1</v>
      </c>
      <c r="F59" s="13" t="str">
        <f t="shared" si="0"/>
        <v>Late</v>
      </c>
      <c r="G59" s="19" t="str">
        <f>_xlfn.XLOOKUP(B59,tblARV[ASN/DN '#],tblARV[Country],"Not found")</f>
        <v>Rwanda</v>
      </c>
      <c r="H59" s="19" t="str">
        <f>_xlfn.XLOOKUP($B59,tblARV[ASN/DN '#],tblARV[Fulfill Via],"Not found")</f>
        <v>Direct Drop</v>
      </c>
      <c r="I59" s="19" t="str">
        <f>_xlfn.XLOOKUP($B59,tblARV[ASN/DN '#],tblARV[Vendor],"Not found")</f>
        <v>Aurobindo Pharma Limited</v>
      </c>
      <c r="Y59"/>
      <c r="Z59"/>
      <c r="AA59"/>
      <c r="AB59"/>
      <c r="AC59"/>
      <c r="AD59"/>
    </row>
    <row r="60" spans="2:30" ht="15">
      <c r="B60" s="7" t="s">
        <v>767</v>
      </c>
      <c r="C60" s="10">
        <v>40932</v>
      </c>
      <c r="D60" s="10">
        <v>40934</v>
      </c>
      <c r="E60" s="18">
        <v>2</v>
      </c>
      <c r="F60" s="13" t="str">
        <f t="shared" si="0"/>
        <v>Late</v>
      </c>
      <c r="G60" s="19" t="str">
        <f>_xlfn.XLOOKUP(B60,tblARV[ASN/DN '#],tblARV[Country],"Not found")</f>
        <v>Rwanda</v>
      </c>
      <c r="H60" s="19" t="str">
        <f>_xlfn.XLOOKUP($B60,tblARV[ASN/DN '#],tblARV[Fulfill Via],"Not found")</f>
        <v>Direct Drop</v>
      </c>
      <c r="I60" s="19" t="str">
        <f>_xlfn.XLOOKUP($B60,tblARV[ASN/DN '#],tblARV[Vendor],"Not found")</f>
        <v>Aurobindo Pharma Limited</v>
      </c>
      <c r="Y60"/>
      <c r="Z60"/>
      <c r="AA60"/>
      <c r="AB60"/>
      <c r="AC60"/>
      <c r="AD60"/>
    </row>
    <row r="61" spans="2:30" ht="15">
      <c r="B61" s="7" t="s">
        <v>1138</v>
      </c>
      <c r="C61" s="10">
        <v>40914</v>
      </c>
      <c r="D61" s="10">
        <v>40914</v>
      </c>
      <c r="E61" s="18">
        <v>0</v>
      </c>
      <c r="F61" s="13" t="str">
        <f t="shared" si="0"/>
        <v>On-time</v>
      </c>
      <c r="G61" s="19" t="str">
        <f>_xlfn.XLOOKUP(B61,tblARV[ASN/DN '#],tblARV[Country],"Not found")</f>
        <v>Uganda</v>
      </c>
      <c r="H61" s="19" t="str">
        <f>_xlfn.XLOOKUP($B61,tblARV[ASN/DN '#],tblARV[Fulfill Via],"Not found")</f>
        <v>Direct Drop</v>
      </c>
      <c r="I61" s="19" t="str">
        <f>_xlfn.XLOOKUP($B61,tblARV[ASN/DN '#],tblARV[Vendor],"Not found")</f>
        <v>ASPEN PHARMACARE</v>
      </c>
      <c r="Y61"/>
      <c r="Z61"/>
      <c r="AA61"/>
      <c r="AB61"/>
      <c r="AC61"/>
      <c r="AD61"/>
    </row>
    <row r="62" spans="2:30" ht="15">
      <c r="B62" s="7" t="s">
        <v>1022</v>
      </c>
      <c r="C62" s="10">
        <v>40912</v>
      </c>
      <c r="D62" s="10">
        <v>40912</v>
      </c>
      <c r="E62" s="18">
        <v>0</v>
      </c>
      <c r="F62" s="13" t="str">
        <f t="shared" si="0"/>
        <v>On-time</v>
      </c>
      <c r="G62" s="19" t="str">
        <f>_xlfn.XLOOKUP(B62,tblARV[ASN/DN '#],tblARV[Country],"Not found")</f>
        <v>Uganda</v>
      </c>
      <c r="H62" s="19" t="str">
        <f>_xlfn.XLOOKUP($B62,tblARV[ASN/DN '#],tblARV[Fulfill Via],"Not found")</f>
        <v>Direct Drop</v>
      </c>
      <c r="I62" s="19" t="str">
        <f>_xlfn.XLOOKUP($B62,tblARV[ASN/DN '#],tblARV[Vendor],"Not found")</f>
        <v>ASPEN PHARMACARE</v>
      </c>
      <c r="Y62"/>
      <c r="Z62"/>
      <c r="AA62"/>
      <c r="AB62"/>
      <c r="AC62"/>
      <c r="AD62"/>
    </row>
    <row r="63" spans="2:30" ht="15">
      <c r="B63" s="7" t="s">
        <v>1212</v>
      </c>
      <c r="C63" s="10">
        <v>40932</v>
      </c>
      <c r="D63" s="10">
        <v>40932</v>
      </c>
      <c r="E63" s="18">
        <v>0</v>
      </c>
      <c r="F63" s="13" t="str">
        <f t="shared" si="0"/>
        <v>On-time</v>
      </c>
      <c r="G63" s="19" t="str">
        <f>_xlfn.XLOOKUP(B63,tblARV[ASN/DN '#],tblARV[Country],"Not found")</f>
        <v>Rwanda</v>
      </c>
      <c r="H63" s="19" t="str">
        <f>_xlfn.XLOOKUP($B63,tblARV[ASN/DN '#],tblARV[Fulfill Via],"Not found")</f>
        <v>Direct Drop</v>
      </c>
      <c r="I63" s="19" t="str">
        <f>_xlfn.XLOOKUP($B63,tblARV[ASN/DN '#],tblARV[Vendor],"Not found")</f>
        <v>Aurobindo Pharma Limited</v>
      </c>
      <c r="Y63"/>
      <c r="Z63"/>
      <c r="AA63"/>
      <c r="AB63"/>
      <c r="AC63"/>
      <c r="AD63"/>
    </row>
    <row r="64" spans="2:30" ht="15">
      <c r="B64" s="7" t="s">
        <v>1207</v>
      </c>
      <c r="C64" s="10">
        <v>40935</v>
      </c>
      <c r="D64" s="10">
        <v>40935</v>
      </c>
      <c r="E64" s="18">
        <v>0</v>
      </c>
      <c r="F64" s="13" t="str">
        <f t="shared" si="0"/>
        <v>On-time</v>
      </c>
      <c r="G64" s="19" t="str">
        <f>_xlfn.XLOOKUP(B64,tblARV[ASN/DN '#],tblARV[Country],"Not found")</f>
        <v>Rwanda</v>
      </c>
      <c r="H64" s="19" t="str">
        <f>_xlfn.XLOOKUP($B64,tblARV[ASN/DN '#],tblARV[Fulfill Via],"Not found")</f>
        <v>Direct Drop</v>
      </c>
      <c r="I64" s="19" t="str">
        <f>_xlfn.XLOOKUP($B64,tblARV[ASN/DN '#],tblARV[Vendor],"Not found")</f>
        <v>ABBVIE LOGISTICS (FORMERLY ABBOTT LOGISTICS BV)</v>
      </c>
      <c r="Y64"/>
      <c r="Z64"/>
      <c r="AA64"/>
      <c r="AB64"/>
      <c r="AC64"/>
      <c r="AD64"/>
    </row>
    <row r="65" spans="2:30" ht="15">
      <c r="B65" s="7" t="s">
        <v>1316</v>
      </c>
      <c r="C65" s="10">
        <v>40941</v>
      </c>
      <c r="D65" s="10">
        <v>40941</v>
      </c>
      <c r="E65" s="18">
        <v>0</v>
      </c>
      <c r="F65" s="13" t="str">
        <f t="shared" si="0"/>
        <v>On-time</v>
      </c>
      <c r="G65" s="19" t="str">
        <f>_xlfn.XLOOKUP(B65,tblARV[ASN/DN '#],tblARV[Country],"Not found")</f>
        <v>Rwanda</v>
      </c>
      <c r="H65" s="19" t="str">
        <f>_xlfn.XLOOKUP($B65,tblARV[ASN/DN '#],tblARV[Fulfill Via],"Not found")</f>
        <v>Direct Drop</v>
      </c>
      <c r="I65" s="19" t="str">
        <f>_xlfn.XLOOKUP($B65,tblARV[ASN/DN '#],tblARV[Vendor],"Not found")</f>
        <v>ABBVIE LOGISTICS (FORMERLY ABBOTT LOGISTICS BV)</v>
      </c>
      <c r="Y65"/>
      <c r="Z65"/>
      <c r="AA65"/>
      <c r="AB65"/>
      <c r="AC65"/>
      <c r="AD65"/>
    </row>
    <row r="66" spans="2:30" ht="15">
      <c r="B66" s="7" t="s">
        <v>1224</v>
      </c>
      <c r="C66" s="10">
        <v>40953</v>
      </c>
      <c r="D66" s="10">
        <v>40953</v>
      </c>
      <c r="E66" s="18">
        <v>0</v>
      </c>
      <c r="F66" s="13" t="str">
        <f t="shared" si="0"/>
        <v>On-time</v>
      </c>
      <c r="G66" s="19" t="str">
        <f>_xlfn.XLOOKUP(B66,tblARV[ASN/DN '#],tblARV[Country],"Not found")</f>
        <v>Uganda</v>
      </c>
      <c r="H66" s="19" t="str">
        <f>_xlfn.XLOOKUP($B66,tblARV[ASN/DN '#],tblARV[Fulfill Via],"Not found")</f>
        <v>Direct Drop</v>
      </c>
      <c r="I66" s="19" t="str">
        <f>_xlfn.XLOOKUP($B66,tblARV[ASN/DN '#],tblARV[Vendor],"Not found")</f>
        <v>MERCK SHARP &amp; DOHME IDEA GMBH (FORMALLY MERCK SHARP &amp; DOHME B.V.)</v>
      </c>
      <c r="Y66"/>
      <c r="Z66"/>
      <c r="AA66"/>
      <c r="AB66"/>
      <c r="AC66"/>
      <c r="AD66"/>
    </row>
    <row r="67" spans="2:30" ht="15">
      <c r="B67" s="7" t="s">
        <v>1177</v>
      </c>
      <c r="C67" s="10">
        <v>40966</v>
      </c>
      <c r="D67" s="10">
        <v>40966</v>
      </c>
      <c r="E67" s="18">
        <v>0</v>
      </c>
      <c r="F67" s="13" t="str">
        <f t="shared" si="0"/>
        <v>On-time</v>
      </c>
      <c r="G67" s="19" t="str">
        <f>_xlfn.XLOOKUP(B67,tblARV[ASN/DN '#],tblARV[Country],"Not found")</f>
        <v>Rwanda</v>
      </c>
      <c r="H67" s="19" t="str">
        <f>_xlfn.XLOOKUP($B67,tblARV[ASN/DN '#],tblARV[Fulfill Via],"Not found")</f>
        <v>Direct Drop</v>
      </c>
      <c r="I67" s="19" t="str">
        <f>_xlfn.XLOOKUP($B67,tblARV[ASN/DN '#],tblARV[Vendor],"Not found")</f>
        <v>ABBVIE LOGISTICS (FORMERLY ABBOTT LOGISTICS BV)</v>
      </c>
      <c r="Y67"/>
      <c r="Z67"/>
      <c r="AA67"/>
      <c r="AB67"/>
      <c r="AC67"/>
      <c r="AD67"/>
    </row>
    <row r="68" spans="2:30" ht="15">
      <c r="B68" s="7" t="s">
        <v>1358</v>
      </c>
      <c r="C68" s="10">
        <v>40959</v>
      </c>
      <c r="D68" s="10">
        <v>40959</v>
      </c>
      <c r="E68" s="18">
        <v>0</v>
      </c>
      <c r="F68" s="13" t="str">
        <f t="shared" si="0"/>
        <v>On-time</v>
      </c>
      <c r="G68" s="19" t="str">
        <f>_xlfn.XLOOKUP(B68,tblARV[ASN/DN '#],tblARV[Country],"Not found")</f>
        <v>Ethiopia</v>
      </c>
      <c r="H68" s="19" t="str">
        <f>_xlfn.XLOOKUP($B68,tblARV[ASN/DN '#],tblARV[Fulfill Via],"Not found")</f>
        <v>Direct Drop</v>
      </c>
      <c r="I68" s="19" t="str">
        <f>_xlfn.XLOOKUP($B68,tblARV[ASN/DN '#],tblARV[Vendor],"Not found")</f>
        <v>ABBVIE LOGISTICS (FORMERLY ABBOTT LOGISTICS BV)</v>
      </c>
      <c r="Y68"/>
      <c r="Z68"/>
      <c r="AA68"/>
      <c r="AB68"/>
      <c r="AC68"/>
      <c r="AD68"/>
    </row>
    <row r="69" spans="2:30" ht="15">
      <c r="B69" s="7" t="s">
        <v>1278</v>
      </c>
      <c r="C69" s="10">
        <v>40977</v>
      </c>
      <c r="D69" s="10">
        <v>40977</v>
      </c>
      <c r="E69" s="18">
        <v>0</v>
      </c>
      <c r="F69" s="13" t="str">
        <f t="shared" si="0"/>
        <v>On-time</v>
      </c>
      <c r="G69" s="19" t="str">
        <f>_xlfn.XLOOKUP(B69,tblARV[ASN/DN '#],tblARV[Country],"Not found")</f>
        <v>Tanzania</v>
      </c>
      <c r="H69" s="19" t="str">
        <f>_xlfn.XLOOKUP($B69,tblARV[ASN/DN '#],tblARV[Fulfill Via],"Not found")</f>
        <v>Direct Drop</v>
      </c>
      <c r="I69" s="19" t="str">
        <f>_xlfn.XLOOKUP($B69,tblARV[ASN/DN '#],tblARV[Vendor],"Not found")</f>
        <v>ABBVIE LOGISTICS (FORMERLY ABBOTT LOGISTICS BV)</v>
      </c>
      <c r="Y69"/>
      <c r="Z69"/>
      <c r="AA69"/>
      <c r="AB69"/>
      <c r="AC69"/>
      <c r="AD69"/>
    </row>
    <row r="70" spans="2:30" ht="15">
      <c r="B70" s="7" t="s">
        <v>782</v>
      </c>
      <c r="C70" s="10">
        <v>40997</v>
      </c>
      <c r="D70" s="10">
        <v>40997</v>
      </c>
      <c r="E70" s="18">
        <v>0</v>
      </c>
      <c r="F70" s="13" t="str">
        <f t="shared" si="0"/>
        <v>On-time</v>
      </c>
      <c r="G70" s="19" t="str">
        <f>_xlfn.XLOOKUP(B70,tblARV[ASN/DN '#],tblARV[Country],"Not found")</f>
        <v>Tanzania</v>
      </c>
      <c r="H70" s="19" t="str">
        <f>_xlfn.XLOOKUP($B70,tblARV[ASN/DN '#],tblARV[Fulfill Via],"Not found")</f>
        <v>Direct Drop</v>
      </c>
      <c r="I70" s="19" t="str">
        <f>_xlfn.XLOOKUP($B70,tblARV[ASN/DN '#],tblARV[Vendor],"Not found")</f>
        <v>LAWRENCE LABORATORIES (SUBSIDIARY OF BRISTOL MYERS SQUIBB)</v>
      </c>
      <c r="Y70"/>
      <c r="Z70"/>
      <c r="AA70"/>
      <c r="AB70"/>
      <c r="AC70"/>
      <c r="AD70"/>
    </row>
    <row r="71" spans="2:30" ht="15">
      <c r="B71" s="7" t="s">
        <v>861</v>
      </c>
      <c r="C71" s="10">
        <v>40998</v>
      </c>
      <c r="D71" s="10">
        <v>40998</v>
      </c>
      <c r="E71" s="18">
        <v>0</v>
      </c>
      <c r="F71" s="13" t="str">
        <f t="shared" si="0"/>
        <v>On-time</v>
      </c>
      <c r="G71" s="19" t="str">
        <f>_xlfn.XLOOKUP(B71,tblARV[ASN/DN '#],tblARV[Country],"Not found")</f>
        <v>Rwanda</v>
      </c>
      <c r="H71" s="19" t="str">
        <f>_xlfn.XLOOKUP($B71,tblARV[ASN/DN '#],tblARV[Fulfill Via],"Not found")</f>
        <v>Direct Drop</v>
      </c>
      <c r="I71" s="19" t="str">
        <f>_xlfn.XLOOKUP($B71,tblARV[ASN/DN '#],tblARV[Vendor],"Not found")</f>
        <v>Aurobindo Pharma Limited</v>
      </c>
      <c r="Y71"/>
      <c r="Z71"/>
      <c r="AA71"/>
      <c r="AB71"/>
      <c r="AC71"/>
      <c r="AD71"/>
    </row>
    <row r="72" spans="2:30" ht="15">
      <c r="B72" s="7" t="s">
        <v>1201</v>
      </c>
      <c r="C72" s="10">
        <v>41052</v>
      </c>
      <c r="D72" s="10">
        <v>41052</v>
      </c>
      <c r="E72" s="18">
        <v>0</v>
      </c>
      <c r="F72" s="13" t="str">
        <f t="shared" si="0"/>
        <v>On-time</v>
      </c>
      <c r="G72" s="19" t="str">
        <f>_xlfn.XLOOKUP(B72,tblARV[ASN/DN '#],tblARV[Country],"Not found")</f>
        <v>Rwanda</v>
      </c>
      <c r="H72" s="19" t="str">
        <f>_xlfn.XLOOKUP($B72,tblARV[ASN/DN '#],tblARV[Fulfill Via],"Not found")</f>
        <v>Direct Drop</v>
      </c>
      <c r="I72" s="19" t="str">
        <f>_xlfn.XLOOKUP($B72,tblARV[ASN/DN '#],tblARV[Vendor],"Not found")</f>
        <v>CIPLA LIMITED</v>
      </c>
      <c r="Y72"/>
      <c r="Z72"/>
      <c r="AA72"/>
      <c r="AB72"/>
      <c r="AC72"/>
      <c r="AD72"/>
    </row>
    <row r="73" spans="2:30" ht="15">
      <c r="B73" s="7" t="s">
        <v>1169</v>
      </c>
      <c r="C73" s="10">
        <v>41025</v>
      </c>
      <c r="D73" s="10">
        <v>41025</v>
      </c>
      <c r="E73" s="18">
        <v>0</v>
      </c>
      <c r="F73" s="13" t="str">
        <f t="shared" si="0"/>
        <v>On-time</v>
      </c>
      <c r="G73" s="19" t="str">
        <f>_xlfn.XLOOKUP(B73,tblARV[ASN/DN '#],tblARV[Country],"Not found")</f>
        <v>Rwanda</v>
      </c>
      <c r="H73" s="19" t="str">
        <f>_xlfn.XLOOKUP($B73,tblARV[ASN/DN '#],tblARV[Fulfill Via],"Not found")</f>
        <v>Direct Drop</v>
      </c>
      <c r="I73" s="19" t="str">
        <f>_xlfn.XLOOKUP($B73,tblARV[ASN/DN '#],tblARV[Vendor],"Not found")</f>
        <v>MYLAN LABORATORIES LTD (FORMERLY MATRIX LABORATORIES)</v>
      </c>
      <c r="Y73"/>
      <c r="Z73"/>
      <c r="AA73"/>
      <c r="AB73"/>
      <c r="AC73"/>
      <c r="AD73"/>
    </row>
    <row r="74" spans="2:30" ht="15">
      <c r="B74" s="7" t="s">
        <v>1173</v>
      </c>
      <c r="C74" s="10">
        <v>41033</v>
      </c>
      <c r="D74" s="10">
        <v>41033</v>
      </c>
      <c r="E74" s="18">
        <v>0</v>
      </c>
      <c r="F74" s="13" t="str">
        <f t="shared" si="0"/>
        <v>On-time</v>
      </c>
      <c r="G74" s="19" t="str">
        <f>_xlfn.XLOOKUP(B74,tblARV[ASN/DN '#],tblARV[Country],"Not found")</f>
        <v>Uganda</v>
      </c>
      <c r="H74" s="19" t="str">
        <f>_xlfn.XLOOKUP($B74,tblARV[ASN/DN '#],tblARV[Fulfill Via],"Not found")</f>
        <v>Direct Drop</v>
      </c>
      <c r="I74" s="19" t="str">
        <f>_xlfn.XLOOKUP($B74,tblARV[ASN/DN '#],tblARV[Vendor],"Not found")</f>
        <v>ABBVIE LOGISTICS (FORMERLY ABBOTT LOGISTICS BV)</v>
      </c>
      <c r="Y74"/>
      <c r="Z74"/>
      <c r="AA74"/>
      <c r="AB74"/>
      <c r="AC74"/>
      <c r="AD74"/>
    </row>
    <row r="75" spans="2:30" ht="15">
      <c r="B75" s="7" t="s">
        <v>1283</v>
      </c>
      <c r="C75" s="10">
        <v>41033</v>
      </c>
      <c r="D75" s="10">
        <v>41033</v>
      </c>
      <c r="E75" s="18">
        <v>0</v>
      </c>
      <c r="F75" s="13" t="str">
        <f t="shared" si="0"/>
        <v>On-time</v>
      </c>
      <c r="G75" s="19" t="str">
        <f>_xlfn.XLOOKUP(B75,tblARV[ASN/DN '#],tblARV[Country],"Not found")</f>
        <v>Uganda</v>
      </c>
      <c r="H75" s="19" t="str">
        <f>_xlfn.XLOOKUP($B75,tblARV[ASN/DN '#],tblARV[Fulfill Via],"Not found")</f>
        <v>Direct Drop</v>
      </c>
      <c r="I75" s="19" t="str">
        <f>_xlfn.XLOOKUP($B75,tblARV[ASN/DN '#],tblARV[Vendor],"Not found")</f>
        <v>ABBVIE LOGISTICS (FORMERLY ABBOTT LOGISTICS BV)</v>
      </c>
      <c r="Y75"/>
      <c r="Z75"/>
      <c r="AA75"/>
      <c r="AB75"/>
      <c r="AC75"/>
      <c r="AD75"/>
    </row>
    <row r="76" spans="2:30" ht="15">
      <c r="B76" s="7" t="s">
        <v>1119</v>
      </c>
      <c r="C76" s="10">
        <v>41033</v>
      </c>
      <c r="D76" s="10">
        <v>41033</v>
      </c>
      <c r="E76" s="18">
        <v>0</v>
      </c>
      <c r="F76" s="13" t="str">
        <f t="shared" si="0"/>
        <v>On-time</v>
      </c>
      <c r="G76" s="19" t="str">
        <f>_xlfn.XLOOKUP(B76,tblARV[ASN/DN '#],tblARV[Country],"Not found")</f>
        <v>Uganda</v>
      </c>
      <c r="H76" s="19" t="str">
        <f>_xlfn.XLOOKUP($B76,tblARV[ASN/DN '#],tblARV[Fulfill Via],"Not found")</f>
        <v>Direct Drop</v>
      </c>
      <c r="I76" s="19" t="str">
        <f>_xlfn.XLOOKUP($B76,tblARV[ASN/DN '#],tblARV[Vendor],"Not found")</f>
        <v>ABBVIE LOGISTICS (FORMERLY ABBOTT LOGISTICS BV)</v>
      </c>
      <c r="Y76"/>
      <c r="Z76"/>
      <c r="AA76"/>
      <c r="AB76"/>
      <c r="AC76"/>
      <c r="AD76"/>
    </row>
    <row r="77" spans="2:30" ht="15">
      <c r="B77" s="7" t="s">
        <v>1427</v>
      </c>
      <c r="C77" s="10">
        <v>41106</v>
      </c>
      <c r="D77" s="10">
        <v>41106</v>
      </c>
      <c r="E77" s="18">
        <v>0</v>
      </c>
      <c r="F77" s="13" t="str">
        <f t="shared" si="0"/>
        <v>On-time</v>
      </c>
      <c r="G77" s="19" t="str">
        <f>_xlfn.XLOOKUP(B77,tblARV[ASN/DN '#],tblARV[Country],"Not found")</f>
        <v>Rwanda</v>
      </c>
      <c r="H77" s="19" t="str">
        <f>_xlfn.XLOOKUP($B77,tblARV[ASN/DN '#],tblARV[Fulfill Via],"Not found")</f>
        <v>Direct Drop</v>
      </c>
      <c r="I77" s="19" t="str">
        <f>_xlfn.XLOOKUP($B77,tblARV[ASN/DN '#],tblARV[Vendor],"Not found")</f>
        <v>MYLAN LABORATORIES LTD (FORMERLY MATRIX LABORATORIES)</v>
      </c>
      <c r="Y77"/>
      <c r="Z77"/>
      <c r="AA77"/>
      <c r="AB77"/>
      <c r="AC77"/>
      <c r="AD77"/>
    </row>
    <row r="78" spans="2:30" ht="15">
      <c r="B78" s="7" t="s">
        <v>1332</v>
      </c>
      <c r="C78" s="10">
        <v>41039</v>
      </c>
      <c r="D78" s="10">
        <v>41039</v>
      </c>
      <c r="E78" s="18">
        <v>0</v>
      </c>
      <c r="F78" s="13" t="str">
        <f t="shared" si="0"/>
        <v>On-time</v>
      </c>
      <c r="G78" s="19" t="str">
        <f>_xlfn.XLOOKUP(B78,tblARV[ASN/DN '#],tblARV[Country],"Not found")</f>
        <v>Uganda</v>
      </c>
      <c r="H78" s="19" t="str">
        <f>_xlfn.XLOOKUP($B78,tblARV[ASN/DN '#],tblARV[Fulfill Via],"Not found")</f>
        <v>Direct Drop</v>
      </c>
      <c r="I78" s="19" t="str">
        <f>_xlfn.XLOOKUP($B78,tblARV[ASN/DN '#],tblARV[Vendor],"Not found")</f>
        <v>ASPEN PHARMACARE</v>
      </c>
      <c r="Y78"/>
      <c r="Z78"/>
      <c r="AA78"/>
      <c r="AB78"/>
      <c r="AC78"/>
      <c r="AD78"/>
    </row>
    <row r="79" spans="2:30" ht="15">
      <c r="B79" s="7" t="s">
        <v>128</v>
      </c>
      <c r="C79" s="10">
        <v>39538</v>
      </c>
      <c r="D79" s="10">
        <v>39538</v>
      </c>
      <c r="E79" s="18">
        <v>0</v>
      </c>
      <c r="F79" s="13" t="str">
        <f t="shared" si="0"/>
        <v>On-time</v>
      </c>
      <c r="G79" s="19" t="str">
        <f>_xlfn.XLOOKUP(B79,tblARV[ASN/DN '#],tblARV[Country],"Not found")</f>
        <v>Uganda</v>
      </c>
      <c r="H79" s="19" t="str">
        <f>_xlfn.XLOOKUP($B79,tblARV[ASN/DN '#],tblARV[Fulfill Via],"Not found")</f>
        <v>Direct Drop</v>
      </c>
      <c r="I79" s="19" t="str">
        <f>_xlfn.XLOOKUP($B79,tblARV[ASN/DN '#],tblARV[Vendor],"Not found")</f>
        <v>BRISTOL-MYERS SQUIBB</v>
      </c>
      <c r="Y79"/>
      <c r="Z79"/>
      <c r="AA79"/>
      <c r="AB79"/>
      <c r="AC79"/>
      <c r="AD79"/>
    </row>
    <row r="80" spans="2:30" ht="15">
      <c r="B80" s="7" t="s">
        <v>917</v>
      </c>
      <c r="C80" s="10">
        <v>41050</v>
      </c>
      <c r="D80" s="10">
        <v>41050</v>
      </c>
      <c r="E80" s="18">
        <v>0</v>
      </c>
      <c r="F80" s="13" t="str">
        <f t="shared" si="0"/>
        <v>On-time</v>
      </c>
      <c r="G80" s="19" t="str">
        <f>_xlfn.XLOOKUP(B80,tblARV[ASN/DN '#],tblARV[Country],"Not found")</f>
        <v>Uganda</v>
      </c>
      <c r="H80" s="19" t="str">
        <f>_xlfn.XLOOKUP($B80,tblARV[ASN/DN '#],tblARV[Fulfill Via],"Not found")</f>
        <v>Direct Drop</v>
      </c>
      <c r="I80" s="19" t="str">
        <f>_xlfn.XLOOKUP($B80,tblARV[ASN/DN '#],tblARV[Vendor],"Not found")</f>
        <v>MERCK SHARP &amp; DOHME IDEA GMBH (FORMALLY MERCK SHARP &amp; DOHME B.V.)</v>
      </c>
      <c r="Y80"/>
      <c r="Z80"/>
      <c r="AA80"/>
      <c r="AB80"/>
      <c r="AC80"/>
      <c r="AD80"/>
    </row>
    <row r="81" spans="2:30" ht="15">
      <c r="B81" s="7" t="s">
        <v>1462</v>
      </c>
      <c r="C81" s="10">
        <v>41050</v>
      </c>
      <c r="D81" s="10">
        <v>41050</v>
      </c>
      <c r="E81" s="18">
        <v>0</v>
      </c>
      <c r="F81" s="13" t="str">
        <f t="shared" si="0"/>
        <v>On-time</v>
      </c>
      <c r="G81" s="19" t="str">
        <f>_xlfn.XLOOKUP(B81,tblARV[ASN/DN '#],tblARV[Country],"Not found")</f>
        <v>Uganda</v>
      </c>
      <c r="H81" s="19" t="str">
        <f>_xlfn.XLOOKUP($B81,tblARV[ASN/DN '#],tblARV[Fulfill Via],"Not found")</f>
        <v>Direct Drop</v>
      </c>
      <c r="I81" s="19" t="str">
        <f>_xlfn.XLOOKUP($B81,tblARV[ASN/DN '#],tblARV[Vendor],"Not found")</f>
        <v>MERCK SHARP &amp; DOHME IDEA GMBH (FORMALLY MERCK SHARP &amp; DOHME B.V.)</v>
      </c>
      <c r="Y81"/>
      <c r="Z81"/>
      <c r="AA81"/>
      <c r="AB81"/>
      <c r="AC81"/>
      <c r="AD81"/>
    </row>
    <row r="82" spans="2:30" ht="15">
      <c r="B82" s="7" t="s">
        <v>902</v>
      </c>
      <c r="C82" s="10">
        <v>41047</v>
      </c>
      <c r="D82" s="10">
        <v>41047</v>
      </c>
      <c r="E82" s="18">
        <v>0</v>
      </c>
      <c r="F82" s="13" t="str">
        <f t="shared" si="0"/>
        <v>On-time</v>
      </c>
      <c r="G82" s="19" t="str">
        <f>_xlfn.XLOOKUP(B82,tblARV[ASN/DN '#],tblARV[Country],"Not found")</f>
        <v>Uganda</v>
      </c>
      <c r="H82" s="19" t="str">
        <f>_xlfn.XLOOKUP($B82,tblARV[ASN/DN '#],tblARV[Fulfill Via],"Not found")</f>
        <v>Direct Drop</v>
      </c>
      <c r="I82" s="19" t="str">
        <f>_xlfn.XLOOKUP($B82,tblARV[ASN/DN '#],tblARV[Vendor],"Not found")</f>
        <v>ASPEN PHARMACARE</v>
      </c>
      <c r="Y82"/>
      <c r="Z82"/>
      <c r="AA82"/>
      <c r="AB82"/>
      <c r="AC82"/>
      <c r="AD82"/>
    </row>
    <row r="83" spans="2:30" ht="15">
      <c r="B83" s="7" t="s">
        <v>710</v>
      </c>
      <c r="C83" s="10">
        <v>41050</v>
      </c>
      <c r="D83" s="10">
        <v>41050</v>
      </c>
      <c r="E83" s="18">
        <v>0</v>
      </c>
      <c r="F83" s="13" t="str">
        <f t="shared" si="0"/>
        <v>On-time</v>
      </c>
      <c r="G83" s="19" t="str">
        <f>_xlfn.XLOOKUP(B83,tblARV[ASN/DN '#],tblARV[Country],"Not found")</f>
        <v>Uganda</v>
      </c>
      <c r="H83" s="19" t="str">
        <f>_xlfn.XLOOKUP($B83,tblARV[ASN/DN '#],tblARV[Fulfill Via],"Not found")</f>
        <v>Direct Drop</v>
      </c>
      <c r="I83" s="19" t="str">
        <f>_xlfn.XLOOKUP($B83,tblARV[ASN/DN '#],tblARV[Vendor],"Not found")</f>
        <v>ASPEN PHARMACARE</v>
      </c>
      <c r="Y83"/>
      <c r="Z83"/>
      <c r="AA83"/>
      <c r="AB83"/>
      <c r="AC83"/>
      <c r="AD83"/>
    </row>
    <row r="84" spans="2:30" ht="15">
      <c r="B84" s="7" t="s">
        <v>996</v>
      </c>
      <c r="C84" s="10">
        <v>41144</v>
      </c>
      <c r="D84" s="10">
        <v>41144</v>
      </c>
      <c r="E84" s="18">
        <v>0</v>
      </c>
      <c r="F84" s="13" t="str">
        <f t="shared" si="0"/>
        <v>On-time</v>
      </c>
      <c r="G84" s="19" t="str">
        <f>_xlfn.XLOOKUP(B84,tblARV[ASN/DN '#],tblARV[Country],"Not found")</f>
        <v>Rwanda</v>
      </c>
      <c r="H84" s="19" t="str">
        <f>_xlfn.XLOOKUP($B84,tblARV[ASN/DN '#],tblARV[Fulfill Via],"Not found")</f>
        <v>Direct Drop</v>
      </c>
      <c r="I84" s="19" t="str">
        <f>_xlfn.XLOOKUP($B84,tblARV[ASN/DN '#],tblARV[Vendor],"Not found")</f>
        <v>MYLAN LABORATORIES LTD (FORMERLY MATRIX LABORATORIES)</v>
      </c>
      <c r="Y84"/>
      <c r="Z84"/>
      <c r="AA84"/>
      <c r="AB84"/>
      <c r="AC84"/>
      <c r="AD84"/>
    </row>
    <row r="85" spans="2:30" ht="15">
      <c r="B85" s="7" t="s">
        <v>1407</v>
      </c>
      <c r="C85" s="10">
        <v>41089</v>
      </c>
      <c r="D85" s="10">
        <v>41089</v>
      </c>
      <c r="E85" s="18">
        <v>0</v>
      </c>
      <c r="F85" s="13" t="str">
        <f t="shared" ref="F85:F148" si="12">IF($E85&lt;=0,"On-time","Late")</f>
        <v>On-time</v>
      </c>
      <c r="G85" s="19" t="str">
        <f>_xlfn.XLOOKUP(B85,tblARV[ASN/DN '#],tblARV[Country],"Not found")</f>
        <v>Rwanda</v>
      </c>
      <c r="H85" s="19" t="str">
        <f>_xlfn.XLOOKUP($B85,tblARV[ASN/DN '#],tblARV[Fulfill Via],"Not found")</f>
        <v>Direct Drop</v>
      </c>
      <c r="I85" s="19" t="str">
        <f>_xlfn.XLOOKUP($B85,tblARV[ASN/DN '#],tblARV[Vendor],"Not found")</f>
        <v>ABBVIE LOGISTICS (FORMERLY ABBOTT LOGISTICS BV)</v>
      </c>
      <c r="Y85"/>
      <c r="Z85"/>
      <c r="AA85"/>
      <c r="AB85"/>
      <c r="AC85"/>
    </row>
    <row r="86" spans="2:30" ht="15">
      <c r="B86" s="7" t="s">
        <v>810</v>
      </c>
      <c r="C86" s="10">
        <v>41082</v>
      </c>
      <c r="D86" s="10">
        <v>41082</v>
      </c>
      <c r="E86" s="18">
        <v>0</v>
      </c>
      <c r="F86" s="13" t="str">
        <f t="shared" si="12"/>
        <v>On-time</v>
      </c>
      <c r="G86" s="19" t="str">
        <f>_xlfn.XLOOKUP(B86,tblARV[ASN/DN '#],tblARV[Country],"Not found")</f>
        <v>Rwanda</v>
      </c>
      <c r="H86" s="19" t="str">
        <f>_xlfn.XLOOKUP($B86,tblARV[ASN/DN '#],tblARV[Fulfill Via],"Not found")</f>
        <v>Direct Drop</v>
      </c>
      <c r="I86" s="19" t="str">
        <f>_xlfn.XLOOKUP($B86,tblARV[ASN/DN '#],tblARV[Vendor],"Not found")</f>
        <v>CIPLA LIMITED</v>
      </c>
      <c r="Y86"/>
      <c r="Z86"/>
      <c r="AA86"/>
      <c r="AB86"/>
      <c r="AC86"/>
    </row>
    <row r="87" spans="2:30" ht="15">
      <c r="B87" s="7" t="s">
        <v>1135</v>
      </c>
      <c r="C87" s="10">
        <v>41075</v>
      </c>
      <c r="D87" s="10">
        <v>41075</v>
      </c>
      <c r="E87" s="18">
        <v>0</v>
      </c>
      <c r="F87" s="13" t="str">
        <f t="shared" si="12"/>
        <v>On-time</v>
      </c>
      <c r="G87" s="19" t="str">
        <f>_xlfn.XLOOKUP(B87,tblARV[ASN/DN '#],tblARV[Country],"Not found")</f>
        <v>Rwanda</v>
      </c>
      <c r="H87" s="19" t="str">
        <f>_xlfn.XLOOKUP($B87,tblARV[ASN/DN '#],tblARV[Fulfill Via],"Not found")</f>
        <v>Direct Drop</v>
      </c>
      <c r="I87" s="19" t="str">
        <f>_xlfn.XLOOKUP($B87,tblARV[ASN/DN '#],tblARV[Vendor],"Not found")</f>
        <v>CIPLA LIMITED</v>
      </c>
      <c r="Y87"/>
      <c r="Z87"/>
      <c r="AA87"/>
      <c r="AB87"/>
      <c r="AC87"/>
    </row>
    <row r="88" spans="2:30" ht="15">
      <c r="B88" s="7" t="s">
        <v>884</v>
      </c>
      <c r="C88" s="10">
        <v>41087</v>
      </c>
      <c r="D88" s="10">
        <v>41087</v>
      </c>
      <c r="E88" s="18">
        <v>0</v>
      </c>
      <c r="F88" s="13" t="str">
        <f t="shared" si="12"/>
        <v>On-time</v>
      </c>
      <c r="G88" s="19" t="str">
        <f>_xlfn.XLOOKUP(B88,tblARV[ASN/DN '#],tblARV[Country],"Not found")</f>
        <v>Ethiopia</v>
      </c>
      <c r="H88" s="19" t="str">
        <f>_xlfn.XLOOKUP($B88,tblARV[ASN/DN '#],tblARV[Fulfill Via],"Not found")</f>
        <v>Direct Drop</v>
      </c>
      <c r="I88" s="19" t="str">
        <f>_xlfn.XLOOKUP($B88,tblARV[ASN/DN '#],tblARV[Vendor],"Not found")</f>
        <v>ABBVIE LOGISTICS (FORMERLY ABBOTT LOGISTICS BV)</v>
      </c>
      <c r="Y88"/>
      <c r="Z88"/>
      <c r="AA88"/>
      <c r="AB88"/>
      <c r="AC88"/>
    </row>
    <row r="89" spans="2:30" ht="15">
      <c r="B89" s="7" t="s">
        <v>1241</v>
      </c>
      <c r="C89" s="10">
        <v>41148</v>
      </c>
      <c r="D89" s="10">
        <v>41148</v>
      </c>
      <c r="E89" s="18">
        <v>0</v>
      </c>
      <c r="F89" s="13" t="str">
        <f t="shared" si="12"/>
        <v>On-time</v>
      </c>
      <c r="G89" s="19" t="str">
        <f>_xlfn.XLOOKUP(B89,tblARV[ASN/DN '#],tblARV[Country],"Not found")</f>
        <v>Rwanda</v>
      </c>
      <c r="H89" s="19" t="str">
        <f>_xlfn.XLOOKUP($B89,tblARV[ASN/DN '#],tblARV[Fulfill Via],"Not found")</f>
        <v>Direct Drop</v>
      </c>
      <c r="I89" s="19" t="str">
        <f>_xlfn.XLOOKUP($B89,tblARV[ASN/DN '#],tblARV[Vendor],"Not found")</f>
        <v>CIPLA LIMITED</v>
      </c>
      <c r="Y89"/>
      <c r="Z89"/>
      <c r="AA89"/>
      <c r="AB89"/>
      <c r="AC89"/>
    </row>
    <row r="90" spans="2:30" ht="15">
      <c r="B90" s="7" t="s">
        <v>737</v>
      </c>
      <c r="C90" s="10">
        <v>41095</v>
      </c>
      <c r="D90" s="10">
        <v>41095</v>
      </c>
      <c r="E90" s="18">
        <v>0</v>
      </c>
      <c r="F90" s="13" t="str">
        <f t="shared" si="12"/>
        <v>On-time</v>
      </c>
      <c r="G90" s="19" t="str">
        <f>_xlfn.XLOOKUP(B90,tblARV[ASN/DN '#],tblARV[Country],"Not found")</f>
        <v>Rwanda</v>
      </c>
      <c r="H90" s="19" t="str">
        <f>_xlfn.XLOOKUP($B90,tblARV[ASN/DN '#],tblARV[Fulfill Via],"Not found")</f>
        <v>Direct Drop</v>
      </c>
      <c r="I90" s="19" t="str">
        <f>_xlfn.XLOOKUP($B90,tblARV[ASN/DN '#],tblARV[Vendor],"Not found")</f>
        <v>Hoffmann-La Roche ltd Basel</v>
      </c>
      <c r="Y90"/>
      <c r="Z90"/>
      <c r="AA90"/>
      <c r="AB90"/>
      <c r="AC90"/>
    </row>
    <row r="91" spans="2:30" ht="15">
      <c r="B91" s="7" t="s">
        <v>1264</v>
      </c>
      <c r="C91" s="10">
        <v>41081</v>
      </c>
      <c r="D91" s="10">
        <v>41081</v>
      </c>
      <c r="E91" s="18">
        <v>0</v>
      </c>
      <c r="F91" s="13" t="str">
        <f t="shared" si="12"/>
        <v>On-time</v>
      </c>
      <c r="G91" s="19" t="str">
        <f>_xlfn.XLOOKUP(B91,tblARV[ASN/DN '#],tblARV[Country],"Not found")</f>
        <v>Uganda</v>
      </c>
      <c r="H91" s="19" t="str">
        <f>_xlfn.XLOOKUP($B91,tblARV[ASN/DN '#],tblARV[Fulfill Via],"Not found")</f>
        <v>Direct Drop</v>
      </c>
      <c r="I91" s="19" t="str">
        <f>_xlfn.XLOOKUP($B91,tblARV[ASN/DN '#],tblARV[Vendor],"Not found")</f>
        <v>ASPEN PHARMACARE</v>
      </c>
      <c r="Y91"/>
      <c r="Z91"/>
      <c r="AA91"/>
      <c r="AB91"/>
      <c r="AC91"/>
    </row>
    <row r="92" spans="2:30" ht="15">
      <c r="B92" s="7" t="s">
        <v>1218</v>
      </c>
      <c r="C92" s="10">
        <v>41089</v>
      </c>
      <c r="D92" s="10">
        <v>41089</v>
      </c>
      <c r="E92" s="18">
        <v>0</v>
      </c>
      <c r="F92" s="13" t="str">
        <f t="shared" si="12"/>
        <v>On-time</v>
      </c>
      <c r="G92" s="19" t="str">
        <f>_xlfn.XLOOKUP(B92,tblARV[ASN/DN '#],tblARV[Country],"Not found")</f>
        <v>Rwanda</v>
      </c>
      <c r="H92" s="19" t="str">
        <f>_xlfn.XLOOKUP($B92,tblARV[ASN/DN '#],tblARV[Fulfill Via],"Not found")</f>
        <v>Direct Drop</v>
      </c>
      <c r="I92" s="19" t="str">
        <f>_xlfn.XLOOKUP($B92,tblARV[ASN/DN '#],tblARV[Vendor],"Not found")</f>
        <v>Aurobindo Pharma Limited</v>
      </c>
      <c r="Y92"/>
      <c r="Z92"/>
      <c r="AA92"/>
      <c r="AB92"/>
      <c r="AC92"/>
    </row>
    <row r="93" spans="2:30" ht="15">
      <c r="B93" s="7" t="s">
        <v>790</v>
      </c>
      <c r="C93" s="10">
        <v>41089</v>
      </c>
      <c r="D93" s="10">
        <v>41089</v>
      </c>
      <c r="E93" s="18">
        <v>0</v>
      </c>
      <c r="F93" s="13" t="str">
        <f t="shared" si="12"/>
        <v>On-time</v>
      </c>
      <c r="G93" s="19" t="str">
        <f>_xlfn.XLOOKUP(B93,tblARV[ASN/DN '#],tblARV[Country],"Not found")</f>
        <v>Rwanda</v>
      </c>
      <c r="H93" s="19" t="str">
        <f>_xlfn.XLOOKUP($B93,tblARV[ASN/DN '#],tblARV[Fulfill Via],"Not found")</f>
        <v>Direct Drop</v>
      </c>
      <c r="I93" s="19" t="str">
        <f>_xlfn.XLOOKUP($B93,tblARV[ASN/DN '#],tblARV[Vendor],"Not found")</f>
        <v>CIPLA LIMITED</v>
      </c>
      <c r="Y93"/>
      <c r="Z93"/>
      <c r="AA93"/>
      <c r="AB93"/>
      <c r="AC93"/>
    </row>
    <row r="94" spans="2:30" ht="15">
      <c r="B94" s="7" t="s">
        <v>1289</v>
      </c>
      <c r="C94" s="10">
        <v>41089</v>
      </c>
      <c r="D94" s="10">
        <v>41089</v>
      </c>
      <c r="E94" s="18">
        <v>0</v>
      </c>
      <c r="F94" s="13" t="str">
        <f t="shared" si="12"/>
        <v>On-time</v>
      </c>
      <c r="G94" s="19" t="str">
        <f>_xlfn.XLOOKUP(B94,tblARV[ASN/DN '#],tblARV[Country],"Not found")</f>
        <v>Rwanda</v>
      </c>
      <c r="H94" s="19" t="str">
        <f>_xlfn.XLOOKUP($B94,tblARV[ASN/DN '#],tblARV[Fulfill Via],"Not found")</f>
        <v>Direct Drop</v>
      </c>
      <c r="I94" s="19" t="str">
        <f>_xlfn.XLOOKUP($B94,tblARV[ASN/DN '#],tblARV[Vendor],"Not found")</f>
        <v>CIPLA LIMITED</v>
      </c>
      <c r="Y94"/>
      <c r="Z94"/>
      <c r="AA94"/>
      <c r="AB94"/>
      <c r="AC94"/>
    </row>
    <row r="95" spans="2:30" ht="15">
      <c r="B95" s="7" t="s">
        <v>1049</v>
      </c>
      <c r="C95" s="10">
        <v>41089</v>
      </c>
      <c r="D95" s="10">
        <v>41089</v>
      </c>
      <c r="E95" s="18">
        <v>0</v>
      </c>
      <c r="F95" s="13" t="str">
        <f t="shared" si="12"/>
        <v>On-time</v>
      </c>
      <c r="G95" s="19" t="str">
        <f>_xlfn.XLOOKUP(B95,tblARV[ASN/DN '#],tblARV[Country],"Not found")</f>
        <v>Rwanda</v>
      </c>
      <c r="H95" s="19" t="str">
        <f>_xlfn.XLOOKUP($B95,tblARV[ASN/DN '#],tblARV[Fulfill Via],"Not found")</f>
        <v>Direct Drop</v>
      </c>
      <c r="I95" s="19" t="str">
        <f>_xlfn.XLOOKUP($B95,tblARV[ASN/DN '#],tblARV[Vendor],"Not found")</f>
        <v>Aurobindo Pharma Limited</v>
      </c>
      <c r="Y95"/>
      <c r="Z95"/>
      <c r="AA95"/>
      <c r="AB95"/>
      <c r="AC95"/>
    </row>
    <row r="96" spans="2:30" ht="15">
      <c r="B96" s="7" t="s">
        <v>909</v>
      </c>
      <c r="C96" s="10">
        <v>41089</v>
      </c>
      <c r="D96" s="10">
        <v>41089</v>
      </c>
      <c r="E96" s="18">
        <v>0</v>
      </c>
      <c r="F96" s="13" t="str">
        <f t="shared" si="12"/>
        <v>On-time</v>
      </c>
      <c r="G96" s="19" t="str">
        <f>_xlfn.XLOOKUP(B96,tblARV[ASN/DN '#],tblARV[Country],"Not found")</f>
        <v>Rwanda</v>
      </c>
      <c r="H96" s="19" t="str">
        <f>_xlfn.XLOOKUP($B96,tblARV[ASN/DN '#],tblARV[Fulfill Via],"Not found")</f>
        <v>Direct Drop</v>
      </c>
      <c r="I96" s="19" t="str">
        <f>_xlfn.XLOOKUP($B96,tblARV[ASN/DN '#],tblARV[Vendor],"Not found")</f>
        <v>ABBVIE LOGISTICS (FORMERLY ABBOTT LOGISTICS BV)</v>
      </c>
      <c r="Y96"/>
      <c r="Z96"/>
      <c r="AA96"/>
      <c r="AB96"/>
      <c r="AC96"/>
    </row>
    <row r="97" spans="2:29" ht="15">
      <c r="B97" s="7" t="s">
        <v>1126</v>
      </c>
      <c r="C97" s="10">
        <v>41088</v>
      </c>
      <c r="D97" s="10">
        <v>41088</v>
      </c>
      <c r="E97" s="18">
        <v>0</v>
      </c>
      <c r="F97" s="13" t="str">
        <f t="shared" si="12"/>
        <v>On-time</v>
      </c>
      <c r="G97" s="19" t="str">
        <f>_xlfn.XLOOKUP(B97,tblARV[ASN/DN '#],tblARV[Country],"Not found")</f>
        <v>Rwanda</v>
      </c>
      <c r="H97" s="19" t="str">
        <f>_xlfn.XLOOKUP($B97,tblARV[ASN/DN '#],tblARV[Fulfill Via],"Not found")</f>
        <v>Direct Drop</v>
      </c>
      <c r="I97" s="19" t="str">
        <f>_xlfn.XLOOKUP($B97,tblARV[ASN/DN '#],tblARV[Vendor],"Not found")</f>
        <v>CIPLA LIMITED</v>
      </c>
      <c r="Y97"/>
      <c r="Z97"/>
      <c r="AA97"/>
      <c r="AB97"/>
      <c r="AC97"/>
    </row>
    <row r="98" spans="2:29" ht="15">
      <c r="B98" s="7" t="s">
        <v>1402</v>
      </c>
      <c r="C98" s="10">
        <v>41088</v>
      </c>
      <c r="D98" s="10">
        <v>41088</v>
      </c>
      <c r="E98" s="18">
        <v>0</v>
      </c>
      <c r="F98" s="13" t="str">
        <f t="shared" si="12"/>
        <v>On-time</v>
      </c>
      <c r="G98" s="19" t="str">
        <f>_xlfn.XLOOKUP(B98,tblARV[ASN/DN '#],tblARV[Country],"Not found")</f>
        <v>Rwanda</v>
      </c>
      <c r="H98" s="19" t="str">
        <f>_xlfn.XLOOKUP($B98,tblARV[ASN/DN '#],tblARV[Fulfill Via],"Not found")</f>
        <v>Direct Drop</v>
      </c>
      <c r="I98" s="19" t="str">
        <f>_xlfn.XLOOKUP($B98,tblARV[ASN/DN '#],tblARV[Vendor],"Not found")</f>
        <v>CIPLA LIMITED</v>
      </c>
      <c r="Y98"/>
      <c r="Z98"/>
      <c r="AA98"/>
      <c r="AB98"/>
      <c r="AC98"/>
    </row>
    <row r="99" spans="2:29" ht="15">
      <c r="B99" s="7" t="s">
        <v>1326</v>
      </c>
      <c r="C99" s="10">
        <v>41110</v>
      </c>
      <c r="D99" s="10">
        <v>41110</v>
      </c>
      <c r="E99" s="18">
        <v>0</v>
      </c>
      <c r="F99" s="13" t="str">
        <f t="shared" si="12"/>
        <v>On-time</v>
      </c>
      <c r="G99" s="19" t="str">
        <f>_xlfn.XLOOKUP(B99,tblARV[ASN/DN '#],tblARV[Country],"Not found")</f>
        <v>Rwanda</v>
      </c>
      <c r="H99" s="19" t="str">
        <f>_xlfn.XLOOKUP($B99,tblARV[ASN/DN '#],tblARV[Fulfill Via],"Not found")</f>
        <v>Direct Drop</v>
      </c>
      <c r="I99" s="19" t="str">
        <f>_xlfn.XLOOKUP($B99,tblARV[ASN/DN '#],tblARV[Vendor],"Not found")</f>
        <v>HETERO LABS LIMITED</v>
      </c>
      <c r="Y99"/>
      <c r="Z99"/>
      <c r="AA99"/>
      <c r="AB99"/>
      <c r="AC99"/>
    </row>
    <row r="100" spans="2:29" ht="15">
      <c r="B100" s="7" t="s">
        <v>824</v>
      </c>
      <c r="C100" s="10">
        <v>41095</v>
      </c>
      <c r="D100" s="10">
        <v>41095</v>
      </c>
      <c r="E100" s="18">
        <v>0</v>
      </c>
      <c r="F100" s="13" t="str">
        <f t="shared" si="12"/>
        <v>On-time</v>
      </c>
      <c r="G100" s="19" t="str">
        <f>_xlfn.XLOOKUP(B100,tblARV[ASN/DN '#],tblARV[Country],"Not found")</f>
        <v>Uganda</v>
      </c>
      <c r="H100" s="19" t="str">
        <f>_xlfn.XLOOKUP($B100,tblARV[ASN/DN '#],tblARV[Fulfill Via],"Not found")</f>
        <v>Direct Drop</v>
      </c>
      <c r="I100" s="19" t="str">
        <f>_xlfn.XLOOKUP($B100,tblARV[ASN/DN '#],tblARV[Vendor],"Not found")</f>
        <v>ASPEN PHARMACARE</v>
      </c>
      <c r="Y100"/>
      <c r="Z100"/>
      <c r="AA100"/>
      <c r="AB100"/>
      <c r="AC100"/>
    </row>
    <row r="101" spans="2:29" ht="15">
      <c r="B101" s="7" t="s">
        <v>893</v>
      </c>
      <c r="C101" s="10">
        <v>41095</v>
      </c>
      <c r="D101" s="10">
        <v>41095</v>
      </c>
      <c r="E101" s="18">
        <v>0</v>
      </c>
      <c r="F101" s="13" t="str">
        <f t="shared" si="12"/>
        <v>On-time</v>
      </c>
      <c r="G101" s="19" t="str">
        <f>_xlfn.XLOOKUP(B101,tblARV[ASN/DN '#],tblARV[Country],"Not found")</f>
        <v>Uganda</v>
      </c>
      <c r="H101" s="19" t="str">
        <f>_xlfn.XLOOKUP($B101,tblARV[ASN/DN '#],tblARV[Fulfill Via],"Not found")</f>
        <v>Direct Drop</v>
      </c>
      <c r="I101" s="19" t="str">
        <f>_xlfn.XLOOKUP($B101,tblARV[ASN/DN '#],tblARV[Vendor],"Not found")</f>
        <v>ASPEN PHARMACARE</v>
      </c>
      <c r="Y101"/>
      <c r="Z101"/>
      <c r="AA101"/>
      <c r="AB101"/>
      <c r="AC101"/>
    </row>
    <row r="102" spans="2:29" ht="15">
      <c r="B102" s="7" t="s">
        <v>1249</v>
      </c>
      <c r="C102" s="10">
        <v>41113</v>
      </c>
      <c r="D102" s="10">
        <v>41113</v>
      </c>
      <c r="E102" s="18">
        <v>0</v>
      </c>
      <c r="F102" s="13" t="str">
        <f t="shared" si="12"/>
        <v>On-time</v>
      </c>
      <c r="G102" s="19" t="str">
        <f>_xlfn.XLOOKUP(B102,tblARV[ASN/DN '#],tblARV[Country],"Not found")</f>
        <v>Uganda</v>
      </c>
      <c r="H102" s="19" t="str">
        <f>_xlfn.XLOOKUP($B102,tblARV[ASN/DN '#],tblARV[Fulfill Via],"Not found")</f>
        <v>Direct Drop</v>
      </c>
      <c r="I102" s="19" t="str">
        <f>_xlfn.XLOOKUP($B102,tblARV[ASN/DN '#],tblARV[Vendor],"Not found")</f>
        <v>Aurobindo Pharma Limited</v>
      </c>
      <c r="Y102"/>
      <c r="Z102"/>
      <c r="AA102"/>
      <c r="AB102"/>
      <c r="AC102"/>
    </row>
    <row r="103" spans="2:29" ht="15">
      <c r="B103" s="7" t="s">
        <v>1237</v>
      </c>
      <c r="C103" s="10">
        <v>41113</v>
      </c>
      <c r="D103" s="10">
        <v>41108</v>
      </c>
      <c r="E103" s="18">
        <v>-5</v>
      </c>
      <c r="F103" s="13" t="str">
        <f t="shared" si="12"/>
        <v>On-time</v>
      </c>
      <c r="G103" s="19" t="str">
        <f>_xlfn.XLOOKUP(B103,tblARV[ASN/DN '#],tblARV[Country],"Not found")</f>
        <v>Uganda</v>
      </c>
      <c r="H103" s="19" t="str">
        <f>_xlfn.XLOOKUP($B103,tblARV[ASN/DN '#],tblARV[Fulfill Via],"Not found")</f>
        <v>Direct Drop</v>
      </c>
      <c r="I103" s="19" t="str">
        <f>_xlfn.XLOOKUP($B103,tblARV[ASN/DN '#],tblARV[Vendor],"Not found")</f>
        <v>Aurobindo Pharma Limited</v>
      </c>
      <c r="Y103"/>
      <c r="Z103"/>
      <c r="AA103"/>
      <c r="AB103"/>
      <c r="AC103"/>
    </row>
    <row r="104" spans="2:29" ht="15">
      <c r="B104" s="7" t="s">
        <v>1403</v>
      </c>
      <c r="C104" s="10">
        <v>41102</v>
      </c>
      <c r="D104" s="10">
        <v>41102</v>
      </c>
      <c r="E104" s="18">
        <v>0</v>
      </c>
      <c r="F104" s="13" t="str">
        <f t="shared" si="12"/>
        <v>On-time</v>
      </c>
      <c r="G104" s="19" t="str">
        <f>_xlfn.XLOOKUP(B104,tblARV[ASN/DN '#],tblARV[Country],"Not found")</f>
        <v>Uganda</v>
      </c>
      <c r="H104" s="19" t="str">
        <f>_xlfn.XLOOKUP($B104,tblARV[ASN/DN '#],tblARV[Fulfill Via],"Not found")</f>
        <v>Direct Drop</v>
      </c>
      <c r="I104" s="19" t="str">
        <f>_xlfn.XLOOKUP($B104,tblARV[ASN/DN '#],tblARV[Vendor],"Not found")</f>
        <v>Aurobindo Pharma Limited</v>
      </c>
      <c r="Y104"/>
      <c r="Z104"/>
      <c r="AA104"/>
      <c r="AB104"/>
      <c r="AC104"/>
    </row>
    <row r="105" spans="2:29" ht="15">
      <c r="B105" s="7" t="s">
        <v>1076</v>
      </c>
      <c r="C105" s="10">
        <v>41108</v>
      </c>
      <c r="D105" s="10">
        <v>41113</v>
      </c>
      <c r="E105" s="18">
        <v>5</v>
      </c>
      <c r="F105" s="13" t="str">
        <f t="shared" si="12"/>
        <v>Late</v>
      </c>
      <c r="G105" s="19" t="str">
        <f>_xlfn.XLOOKUP(B105,tblARV[ASN/DN '#],tblARV[Country],"Not found")</f>
        <v>Uganda</v>
      </c>
      <c r="H105" s="19" t="str">
        <f>_xlfn.XLOOKUP($B105,tblARV[ASN/DN '#],tblARV[Fulfill Via],"Not found")</f>
        <v>Direct Drop</v>
      </c>
      <c r="I105" s="19" t="str">
        <f>_xlfn.XLOOKUP($B105,tblARV[ASN/DN '#],tblARV[Vendor],"Not found")</f>
        <v>Aurobindo Pharma Limited</v>
      </c>
      <c r="Y105"/>
      <c r="Z105"/>
      <c r="AA105"/>
      <c r="AB105"/>
      <c r="AC105"/>
    </row>
    <row r="106" spans="2:29" ht="15">
      <c r="B106" s="7" t="s">
        <v>1463</v>
      </c>
      <c r="C106" s="10">
        <v>41108</v>
      </c>
      <c r="D106" s="10">
        <v>41108</v>
      </c>
      <c r="E106" s="18">
        <v>0</v>
      </c>
      <c r="F106" s="13" t="str">
        <f t="shared" si="12"/>
        <v>On-time</v>
      </c>
      <c r="G106" s="19" t="str">
        <f>_xlfn.XLOOKUP(B106,tblARV[ASN/DN '#],tblARV[Country],"Not found")</f>
        <v>Uganda</v>
      </c>
      <c r="H106" s="19" t="str">
        <f>_xlfn.XLOOKUP($B106,tblARV[ASN/DN '#],tblARV[Fulfill Via],"Not found")</f>
        <v>Direct Drop</v>
      </c>
      <c r="I106" s="19" t="str">
        <f>_xlfn.XLOOKUP($B106,tblARV[ASN/DN '#],tblARV[Vendor],"Not found")</f>
        <v>Aurobindo Pharma Limited</v>
      </c>
      <c r="Y106"/>
      <c r="Z106"/>
      <c r="AA106"/>
      <c r="AB106"/>
      <c r="AC106"/>
    </row>
    <row r="107" spans="2:29" ht="15">
      <c r="B107" s="7" t="s">
        <v>1353</v>
      </c>
      <c r="C107" s="10">
        <v>41110</v>
      </c>
      <c r="D107" s="10">
        <v>41110</v>
      </c>
      <c r="E107" s="18">
        <v>0</v>
      </c>
      <c r="F107" s="13" t="str">
        <f t="shared" si="12"/>
        <v>On-time</v>
      </c>
      <c r="G107" s="19" t="str">
        <f>_xlfn.XLOOKUP(B107,tblARV[ASN/DN '#],tblARV[Country],"Not found")</f>
        <v>Rwanda</v>
      </c>
      <c r="H107" s="19" t="str">
        <f>_xlfn.XLOOKUP($B107,tblARV[ASN/DN '#],tblARV[Fulfill Via],"Not found")</f>
        <v>Direct Drop</v>
      </c>
      <c r="I107" s="19" t="str">
        <f>_xlfn.XLOOKUP($B107,tblARV[ASN/DN '#],tblARV[Vendor],"Not found")</f>
        <v>HETERO LABS LIMITED</v>
      </c>
      <c r="Y107"/>
      <c r="Z107"/>
      <c r="AA107"/>
      <c r="AB107"/>
      <c r="AC107"/>
    </row>
    <row r="108" spans="2:29" ht="15">
      <c r="B108" s="7" t="s">
        <v>822</v>
      </c>
      <c r="C108" s="10">
        <v>41110</v>
      </c>
      <c r="D108" s="10">
        <v>41110</v>
      </c>
      <c r="E108" s="18">
        <v>0</v>
      </c>
      <c r="F108" s="13" t="str">
        <f t="shared" si="12"/>
        <v>On-time</v>
      </c>
      <c r="G108" s="19" t="str">
        <f>_xlfn.XLOOKUP(B108,tblARV[ASN/DN '#],tblARV[Country],"Not found")</f>
        <v>Rwanda</v>
      </c>
      <c r="H108" s="19" t="str">
        <f>_xlfn.XLOOKUP($B108,tblARV[ASN/DN '#],tblARV[Fulfill Via],"Not found")</f>
        <v>Direct Drop</v>
      </c>
      <c r="I108" s="19" t="str">
        <f>_xlfn.XLOOKUP($B108,tblARV[ASN/DN '#],tblARV[Vendor],"Not found")</f>
        <v>HETERO LABS LIMITED</v>
      </c>
      <c r="Y108"/>
      <c r="Z108"/>
      <c r="AA108"/>
      <c r="AB108"/>
      <c r="AC108"/>
    </row>
    <row r="109" spans="2:29" ht="15">
      <c r="B109" s="7" t="s">
        <v>1086</v>
      </c>
      <c r="C109" s="10">
        <v>41117</v>
      </c>
      <c r="D109" s="10">
        <v>41117</v>
      </c>
      <c r="E109" s="18">
        <v>0</v>
      </c>
      <c r="F109" s="13" t="str">
        <f t="shared" si="12"/>
        <v>On-time</v>
      </c>
      <c r="G109" s="19" t="str">
        <f>_xlfn.XLOOKUP(B109,tblARV[ASN/DN '#],tblARV[Country],"Not found")</f>
        <v>Uganda</v>
      </c>
      <c r="H109" s="19" t="str">
        <f>_xlfn.XLOOKUP($B109,tblARV[ASN/DN '#],tblARV[Fulfill Via],"Not found")</f>
        <v>Direct Drop</v>
      </c>
      <c r="I109" s="19" t="str">
        <f>_xlfn.XLOOKUP($B109,tblARV[ASN/DN '#],tblARV[Vendor],"Not found")</f>
        <v>HETERO LABS LIMITED</v>
      </c>
      <c r="Y109"/>
      <c r="Z109"/>
      <c r="AA109"/>
      <c r="AB109"/>
      <c r="AC109"/>
    </row>
    <row r="110" spans="2:29" ht="15">
      <c r="B110" s="7" t="s">
        <v>1405</v>
      </c>
      <c r="C110" s="10">
        <v>41123</v>
      </c>
      <c r="D110" s="10">
        <v>41123</v>
      </c>
      <c r="E110" s="18">
        <v>0</v>
      </c>
      <c r="F110" s="13" t="str">
        <f t="shared" si="12"/>
        <v>On-time</v>
      </c>
      <c r="G110" s="19" t="str">
        <f>_xlfn.XLOOKUP(B110,tblARV[ASN/DN '#],tblARV[Country],"Not found")</f>
        <v>Rwanda</v>
      </c>
      <c r="H110" s="19" t="str">
        <f>_xlfn.XLOOKUP($B110,tblARV[ASN/DN '#],tblARV[Fulfill Via],"Not found")</f>
        <v>Direct Drop</v>
      </c>
      <c r="I110" s="19" t="str">
        <f>_xlfn.XLOOKUP($B110,tblARV[ASN/DN '#],tblARV[Vendor],"Not found")</f>
        <v>HETERO LABS LIMITED</v>
      </c>
      <c r="Y110"/>
      <c r="Z110"/>
      <c r="AA110"/>
      <c r="AB110"/>
      <c r="AC110"/>
    </row>
    <row r="111" spans="2:29" ht="15">
      <c r="B111" s="7" t="s">
        <v>1259</v>
      </c>
      <c r="C111" s="10">
        <v>41117</v>
      </c>
      <c r="D111" s="10">
        <v>41117</v>
      </c>
      <c r="E111" s="18">
        <v>0</v>
      </c>
      <c r="F111" s="13" t="str">
        <f t="shared" si="12"/>
        <v>On-time</v>
      </c>
      <c r="G111" s="19" t="str">
        <f>_xlfn.XLOOKUP(B111,tblARV[ASN/DN '#],tblARV[Country],"Not found")</f>
        <v>Uganda</v>
      </c>
      <c r="H111" s="19" t="str">
        <f>_xlfn.XLOOKUP($B111,tblARV[ASN/DN '#],tblARV[Fulfill Via],"Not found")</f>
        <v>Direct Drop</v>
      </c>
      <c r="I111" s="19" t="str">
        <f>_xlfn.XLOOKUP($B111,tblARV[ASN/DN '#],tblARV[Vendor],"Not found")</f>
        <v>HETERO LABS LIMITED</v>
      </c>
      <c r="Y111"/>
      <c r="Z111"/>
      <c r="AA111"/>
      <c r="AB111"/>
      <c r="AC111"/>
    </row>
    <row r="112" spans="2:29" ht="15">
      <c r="B112" s="7" t="s">
        <v>1003</v>
      </c>
      <c r="C112" s="10">
        <v>41125</v>
      </c>
      <c r="D112" s="10">
        <v>41125</v>
      </c>
      <c r="E112" s="18">
        <v>0</v>
      </c>
      <c r="F112" s="13" t="str">
        <f t="shared" si="12"/>
        <v>On-time</v>
      </c>
      <c r="G112" s="19" t="str">
        <f>_xlfn.XLOOKUP(B112,tblARV[ASN/DN '#],tblARV[Country],"Not found")</f>
        <v>Rwanda</v>
      </c>
      <c r="H112" s="19" t="str">
        <f>_xlfn.XLOOKUP($B112,tblARV[ASN/DN '#],tblARV[Fulfill Via],"Not found")</f>
        <v>Direct Drop</v>
      </c>
      <c r="I112" s="19" t="str">
        <f>_xlfn.XLOOKUP($B112,tblARV[ASN/DN '#],tblARV[Vendor],"Not found")</f>
        <v>HETERO LABS LIMITED</v>
      </c>
      <c r="Y112"/>
      <c r="Z112"/>
      <c r="AA112"/>
      <c r="AB112"/>
      <c r="AC112"/>
    </row>
    <row r="113" spans="2:29" ht="15">
      <c r="B113" s="7" t="s">
        <v>1396</v>
      </c>
      <c r="C113" s="10">
        <v>41125</v>
      </c>
      <c r="D113" s="10">
        <v>41125</v>
      </c>
      <c r="E113" s="18">
        <v>0</v>
      </c>
      <c r="F113" s="13" t="str">
        <f t="shared" si="12"/>
        <v>On-time</v>
      </c>
      <c r="G113" s="19" t="str">
        <f>_xlfn.XLOOKUP(B113,tblARV[ASN/DN '#],tblARV[Country],"Not found")</f>
        <v>Rwanda</v>
      </c>
      <c r="H113" s="19" t="str">
        <f>_xlfn.XLOOKUP($B113,tblARV[ASN/DN '#],tblARV[Fulfill Via],"Not found")</f>
        <v>Direct Drop</v>
      </c>
      <c r="I113" s="19" t="str">
        <f>_xlfn.XLOOKUP($B113,tblARV[ASN/DN '#],tblARV[Vendor],"Not found")</f>
        <v>HETERO LABS LIMITED</v>
      </c>
      <c r="Y113"/>
      <c r="Z113"/>
      <c r="AA113"/>
      <c r="AB113"/>
      <c r="AC113"/>
    </row>
    <row r="114" spans="2:29" ht="15">
      <c r="B114" s="7" t="s">
        <v>765</v>
      </c>
      <c r="C114" s="10">
        <v>41128</v>
      </c>
      <c r="D114" s="10">
        <v>41128</v>
      </c>
      <c r="E114" s="18">
        <v>0</v>
      </c>
      <c r="F114" s="13" t="str">
        <f t="shared" si="12"/>
        <v>On-time</v>
      </c>
      <c r="G114" s="19" t="str">
        <f>_xlfn.XLOOKUP(B114,tblARV[ASN/DN '#],tblARV[Country],"Not found")</f>
        <v>Rwanda</v>
      </c>
      <c r="H114" s="19" t="str">
        <f>_xlfn.XLOOKUP($B114,tblARV[ASN/DN '#],tblARV[Fulfill Via],"Not found")</f>
        <v>Direct Drop</v>
      </c>
      <c r="I114" s="19" t="str">
        <f>_xlfn.XLOOKUP($B114,tblARV[ASN/DN '#],tblARV[Vendor],"Not found")</f>
        <v>MYLAN LABORATORIES LTD (FORMERLY MATRIX LABORATORIES)</v>
      </c>
      <c r="Y114"/>
      <c r="Z114"/>
      <c r="AA114"/>
      <c r="AB114"/>
      <c r="AC114"/>
    </row>
    <row r="115" spans="2:29" ht="15">
      <c r="B115" s="7" t="s">
        <v>1268</v>
      </c>
      <c r="C115" s="10">
        <v>41127</v>
      </c>
      <c r="D115" s="10">
        <v>41127</v>
      </c>
      <c r="E115" s="18">
        <v>0</v>
      </c>
      <c r="F115" s="13" t="str">
        <f t="shared" si="12"/>
        <v>On-time</v>
      </c>
      <c r="G115" s="19" t="str">
        <f>_xlfn.XLOOKUP(B115,tblARV[ASN/DN '#],tblARV[Country],"Not found")</f>
        <v>Rwanda</v>
      </c>
      <c r="H115" s="19" t="str">
        <f>_xlfn.XLOOKUP($B115,tblARV[ASN/DN '#],tblARV[Fulfill Via],"Not found")</f>
        <v>Direct Drop</v>
      </c>
      <c r="I115" s="19" t="str">
        <f>_xlfn.XLOOKUP($B115,tblARV[ASN/DN '#],tblARV[Vendor],"Not found")</f>
        <v>Aurobindo Pharma Limited</v>
      </c>
      <c r="Y115"/>
      <c r="Z115"/>
      <c r="AA115"/>
      <c r="AB115"/>
      <c r="AC115"/>
    </row>
    <row r="116" spans="2:29" ht="15">
      <c r="B116" s="7" t="s">
        <v>1230</v>
      </c>
      <c r="C116" s="10">
        <v>41137</v>
      </c>
      <c r="D116" s="10">
        <v>41137</v>
      </c>
      <c r="E116" s="18">
        <v>0</v>
      </c>
      <c r="F116" s="13" t="str">
        <f t="shared" si="12"/>
        <v>On-time</v>
      </c>
      <c r="G116" s="19" t="str">
        <f>_xlfn.XLOOKUP(B116,tblARV[ASN/DN '#],tblARV[Country],"Not found")</f>
        <v>Rwanda</v>
      </c>
      <c r="H116" s="19" t="str">
        <f>_xlfn.XLOOKUP($B116,tblARV[ASN/DN '#],tblARV[Fulfill Via],"Not found")</f>
        <v>Direct Drop</v>
      </c>
      <c r="I116" s="19" t="str">
        <f>_xlfn.XLOOKUP($B116,tblARV[ASN/DN '#],tblARV[Vendor],"Not found")</f>
        <v>MYLAN LABORATORIES LTD (FORMERLY MATRIX LABORATORIES)</v>
      </c>
      <c r="Y116"/>
      <c r="Z116"/>
      <c r="AA116"/>
      <c r="AB116"/>
      <c r="AC116"/>
    </row>
    <row r="117" spans="2:29" ht="15">
      <c r="B117" s="7" t="s">
        <v>1094</v>
      </c>
      <c r="C117" s="10">
        <v>41124</v>
      </c>
      <c r="D117" s="10">
        <v>41124</v>
      </c>
      <c r="E117" s="18">
        <v>0</v>
      </c>
      <c r="F117" s="13" t="str">
        <f t="shared" si="12"/>
        <v>On-time</v>
      </c>
      <c r="G117" s="19" t="str">
        <f>_xlfn.XLOOKUP(B117,tblARV[ASN/DN '#],tblARV[Country],"Not found")</f>
        <v>Uganda</v>
      </c>
      <c r="H117" s="19" t="str">
        <f>_xlfn.XLOOKUP($B117,tblARV[ASN/DN '#],tblARV[Fulfill Via],"Not found")</f>
        <v>Direct Drop</v>
      </c>
      <c r="I117" s="19" t="str">
        <f>_xlfn.XLOOKUP($B117,tblARV[ASN/DN '#],tblARV[Vendor],"Not found")</f>
        <v>HETERO LABS LIMITED</v>
      </c>
      <c r="Y117"/>
      <c r="Z117"/>
      <c r="AA117"/>
      <c r="AB117"/>
      <c r="AC117"/>
    </row>
    <row r="118" spans="2:29" ht="15">
      <c r="B118" s="7" t="s">
        <v>1360</v>
      </c>
      <c r="C118" s="10">
        <v>41190</v>
      </c>
      <c r="D118" s="10">
        <v>41190</v>
      </c>
      <c r="E118" s="18">
        <v>0</v>
      </c>
      <c r="F118" s="13" t="str">
        <f t="shared" si="12"/>
        <v>On-time</v>
      </c>
      <c r="G118" s="19" t="str">
        <f>_xlfn.XLOOKUP(B118,tblARV[ASN/DN '#],tblARV[Country],"Not found")</f>
        <v>Rwanda</v>
      </c>
      <c r="H118" s="19" t="str">
        <f>_xlfn.XLOOKUP($B118,tblARV[ASN/DN '#],tblARV[Fulfill Via],"Not found")</f>
        <v>Direct Drop</v>
      </c>
      <c r="I118" s="19" t="str">
        <f>_xlfn.XLOOKUP($B118,tblARV[ASN/DN '#],tblARV[Vendor],"Not found")</f>
        <v>MYLAN LABORATORIES LTD (FORMERLY MATRIX LABORATORIES)</v>
      </c>
      <c r="Y118"/>
      <c r="Z118"/>
      <c r="AA118"/>
      <c r="AB118"/>
      <c r="AC118"/>
    </row>
    <row r="119" spans="2:29" ht="15">
      <c r="B119" s="7" t="s">
        <v>1394</v>
      </c>
      <c r="C119" s="10">
        <v>41161</v>
      </c>
      <c r="D119" s="10">
        <v>41161</v>
      </c>
      <c r="E119" s="18">
        <v>0</v>
      </c>
      <c r="F119" s="13" t="str">
        <f t="shared" si="12"/>
        <v>On-time</v>
      </c>
      <c r="G119" s="19" t="str">
        <f>_xlfn.XLOOKUP(B119,tblARV[ASN/DN '#],tblARV[Country],"Not found")</f>
        <v>Rwanda</v>
      </c>
      <c r="H119" s="19" t="str">
        <f>_xlfn.XLOOKUP($B119,tblARV[ASN/DN '#],tblARV[Fulfill Via],"Not found")</f>
        <v>Direct Drop</v>
      </c>
      <c r="I119" s="19" t="str">
        <f>_xlfn.XLOOKUP($B119,tblARV[ASN/DN '#],tblARV[Vendor],"Not found")</f>
        <v>Aurobindo Pharma Limited</v>
      </c>
      <c r="Y119"/>
      <c r="Z119"/>
      <c r="AA119"/>
      <c r="AB119"/>
      <c r="AC119"/>
    </row>
    <row r="120" spans="2:29" ht="15">
      <c r="B120" s="7" t="s">
        <v>1117</v>
      </c>
      <c r="C120" s="10">
        <v>41161</v>
      </c>
      <c r="D120" s="10">
        <v>41161</v>
      </c>
      <c r="E120" s="18">
        <v>0</v>
      </c>
      <c r="F120" s="13" t="str">
        <f t="shared" si="12"/>
        <v>On-time</v>
      </c>
      <c r="G120" s="19" t="str">
        <f>_xlfn.XLOOKUP(B120,tblARV[ASN/DN '#],tblARV[Country],"Not found")</f>
        <v>Rwanda</v>
      </c>
      <c r="H120" s="19" t="str">
        <f>_xlfn.XLOOKUP($B120,tblARV[ASN/DN '#],tblARV[Fulfill Via],"Not found")</f>
        <v>Direct Drop</v>
      </c>
      <c r="I120" s="19" t="str">
        <f>_xlfn.XLOOKUP($B120,tblARV[ASN/DN '#],tblARV[Vendor],"Not found")</f>
        <v>Aurobindo Pharma Limited</v>
      </c>
      <c r="Y120"/>
      <c r="Z120"/>
      <c r="AA120"/>
      <c r="AB120"/>
      <c r="AC120"/>
    </row>
    <row r="121" spans="2:29" ht="15">
      <c r="B121" s="7" t="s">
        <v>974</v>
      </c>
      <c r="C121" s="10">
        <v>41161</v>
      </c>
      <c r="D121" s="10">
        <v>41161</v>
      </c>
      <c r="E121" s="18">
        <v>0</v>
      </c>
      <c r="F121" s="13" t="str">
        <f t="shared" si="12"/>
        <v>On-time</v>
      </c>
      <c r="G121" s="19" t="str">
        <f>_xlfn.XLOOKUP(B121,tblARV[ASN/DN '#],tblARV[Country],"Not found")</f>
        <v>Rwanda</v>
      </c>
      <c r="H121" s="19" t="str">
        <f>_xlfn.XLOOKUP($B121,tblARV[ASN/DN '#],tblARV[Fulfill Via],"Not found")</f>
        <v>Direct Drop</v>
      </c>
      <c r="I121" s="19" t="str">
        <f>_xlfn.XLOOKUP($B121,tblARV[ASN/DN '#],tblARV[Vendor],"Not found")</f>
        <v>Aurobindo Pharma Limited</v>
      </c>
      <c r="Y121"/>
      <c r="Z121"/>
      <c r="AA121"/>
      <c r="AB121"/>
      <c r="AC121"/>
    </row>
    <row r="122" spans="2:29" ht="15">
      <c r="B122" s="7" t="s">
        <v>913</v>
      </c>
      <c r="C122" s="10">
        <v>41161</v>
      </c>
      <c r="D122" s="10">
        <v>41161</v>
      </c>
      <c r="E122" s="18">
        <v>0</v>
      </c>
      <c r="F122" s="13" t="str">
        <f t="shared" si="12"/>
        <v>On-time</v>
      </c>
      <c r="G122" s="19" t="str">
        <f>_xlfn.XLOOKUP(B122,tblARV[ASN/DN '#],tblARV[Country],"Not found")</f>
        <v>Rwanda</v>
      </c>
      <c r="H122" s="19" t="str">
        <f>_xlfn.XLOOKUP($B122,tblARV[ASN/DN '#],tblARV[Fulfill Via],"Not found")</f>
        <v>Direct Drop</v>
      </c>
      <c r="I122" s="19" t="str">
        <f>_xlfn.XLOOKUP($B122,tblARV[ASN/DN '#],tblARV[Vendor],"Not found")</f>
        <v>Aurobindo Pharma Limited</v>
      </c>
      <c r="Y122"/>
      <c r="Z122"/>
      <c r="AA122"/>
      <c r="AB122"/>
      <c r="AC122"/>
    </row>
    <row r="123" spans="2:29" ht="15">
      <c r="B123" s="7" t="s">
        <v>181</v>
      </c>
      <c r="C123" s="10">
        <v>39566</v>
      </c>
      <c r="D123" s="10">
        <v>39560</v>
      </c>
      <c r="E123" s="18">
        <v>-6</v>
      </c>
      <c r="F123" s="13" t="str">
        <f t="shared" si="12"/>
        <v>On-time</v>
      </c>
      <c r="G123" s="19" t="str">
        <f>_xlfn.XLOOKUP(B123,tblARV[ASN/DN '#],tblARV[Country],"Not found")</f>
        <v>Rwanda</v>
      </c>
      <c r="H123" s="19" t="str">
        <f>_xlfn.XLOOKUP($B123,tblARV[ASN/DN '#],tblARV[Fulfill Via],"Not found")</f>
        <v>Direct Drop</v>
      </c>
      <c r="I123" s="19" t="str">
        <f>_xlfn.XLOOKUP($B123,tblARV[ASN/DN '#],tblARV[Vendor],"Not found")</f>
        <v>CIPLA LIMITED</v>
      </c>
      <c r="Y123"/>
      <c r="Z123"/>
      <c r="AA123"/>
      <c r="AB123"/>
      <c r="AC123"/>
    </row>
    <row r="124" spans="2:29" ht="15">
      <c r="B124" s="7" t="s">
        <v>971</v>
      </c>
      <c r="C124" s="10">
        <v>41143</v>
      </c>
      <c r="D124" s="10">
        <v>41143</v>
      </c>
      <c r="E124" s="18">
        <v>0</v>
      </c>
      <c r="F124" s="13" t="str">
        <f t="shared" si="12"/>
        <v>On-time</v>
      </c>
      <c r="G124" s="19" t="str">
        <f>_xlfn.XLOOKUP(B124,tblARV[ASN/DN '#],tblARV[Country],"Not found")</f>
        <v>Rwanda</v>
      </c>
      <c r="H124" s="19" t="str">
        <f>_xlfn.XLOOKUP($B124,tblARV[ASN/DN '#],tblARV[Fulfill Via],"Not found")</f>
        <v>Direct Drop</v>
      </c>
      <c r="I124" s="19" t="str">
        <f>_xlfn.XLOOKUP($B124,tblARV[ASN/DN '#],tblARV[Vendor],"Not found")</f>
        <v>Aurobindo Pharma Limited</v>
      </c>
      <c r="Y124"/>
      <c r="Z124"/>
      <c r="AA124"/>
      <c r="AB124"/>
      <c r="AC124"/>
    </row>
    <row r="125" spans="2:29" ht="15">
      <c r="B125" s="7" t="s">
        <v>138</v>
      </c>
      <c r="C125" s="10">
        <v>39566</v>
      </c>
      <c r="D125" s="10">
        <v>39560</v>
      </c>
      <c r="E125" s="18">
        <v>-6</v>
      </c>
      <c r="F125" s="13" t="str">
        <f t="shared" si="12"/>
        <v>On-time</v>
      </c>
      <c r="G125" s="19" t="str">
        <f>_xlfn.XLOOKUP(B125,tblARV[ASN/DN '#],tblARV[Country],"Not found")</f>
        <v>Rwanda</v>
      </c>
      <c r="H125" s="19" t="str">
        <f>_xlfn.XLOOKUP($B125,tblARV[ASN/DN '#],tblARV[Fulfill Via],"Not found")</f>
        <v>Direct Drop</v>
      </c>
      <c r="I125" s="19" t="str">
        <f>_xlfn.XLOOKUP($B125,tblARV[ASN/DN '#],tblARV[Vendor],"Not found")</f>
        <v>CIPLA LIMITED</v>
      </c>
      <c r="Y125"/>
      <c r="Z125"/>
      <c r="AA125"/>
      <c r="AB125"/>
      <c r="AC125"/>
    </row>
    <row r="126" spans="2:29" ht="15">
      <c r="B126" s="7" t="s">
        <v>182</v>
      </c>
      <c r="C126" s="10">
        <v>39566</v>
      </c>
      <c r="D126" s="10">
        <v>39566</v>
      </c>
      <c r="E126" s="18">
        <v>0</v>
      </c>
      <c r="F126" s="13" t="str">
        <f t="shared" si="12"/>
        <v>On-time</v>
      </c>
      <c r="G126" s="19" t="str">
        <f>_xlfn.XLOOKUP(B126,tblARV[ASN/DN '#],tblARV[Country],"Not found")</f>
        <v>Rwanda</v>
      </c>
      <c r="H126" s="19" t="str">
        <f>_xlfn.XLOOKUP($B126,tblARV[ASN/DN '#],tblARV[Fulfill Via],"Not found")</f>
        <v>Direct Drop</v>
      </c>
      <c r="I126" s="19" t="str">
        <f>_xlfn.XLOOKUP($B126,tblARV[ASN/DN '#],tblARV[Vendor],"Not found")</f>
        <v>CIPLA LIMITED</v>
      </c>
      <c r="Y126"/>
      <c r="Z126"/>
      <c r="AA126"/>
      <c r="AB126"/>
      <c r="AC126"/>
    </row>
    <row r="127" spans="2:29" ht="15">
      <c r="B127" s="7" t="s">
        <v>1045</v>
      </c>
      <c r="C127" s="10">
        <v>41150</v>
      </c>
      <c r="D127" s="10">
        <v>41150</v>
      </c>
      <c r="E127" s="18">
        <v>0</v>
      </c>
      <c r="F127" s="13" t="str">
        <f t="shared" si="12"/>
        <v>On-time</v>
      </c>
      <c r="G127" s="19" t="str">
        <f>_xlfn.XLOOKUP(B127,tblARV[ASN/DN '#],tblARV[Country],"Not found")</f>
        <v>Uganda</v>
      </c>
      <c r="H127" s="19" t="str">
        <f>_xlfn.XLOOKUP($B127,tblARV[ASN/DN '#],tblARV[Fulfill Via],"Not found")</f>
        <v>Direct Drop</v>
      </c>
      <c r="I127" s="19" t="str">
        <f>_xlfn.XLOOKUP($B127,tblARV[ASN/DN '#],tblARV[Vendor],"Not found")</f>
        <v>MYLAN LABORATORIES LTD (FORMERLY MATRIX LABORATORIES)</v>
      </c>
      <c r="Y127"/>
      <c r="Z127"/>
      <c r="AA127"/>
      <c r="AB127"/>
      <c r="AC127"/>
    </row>
    <row r="128" spans="2:29" ht="15">
      <c r="B128" s="7" t="s">
        <v>1349</v>
      </c>
      <c r="C128" s="10">
        <v>41179</v>
      </c>
      <c r="D128" s="10">
        <v>41179</v>
      </c>
      <c r="E128" s="18">
        <v>0</v>
      </c>
      <c r="F128" s="13" t="str">
        <f t="shared" si="12"/>
        <v>On-time</v>
      </c>
      <c r="G128" s="19" t="str">
        <f>_xlfn.XLOOKUP(B128,tblARV[ASN/DN '#],tblARV[Country],"Not found")</f>
        <v>Tanzania</v>
      </c>
      <c r="H128" s="19" t="str">
        <f>_xlfn.XLOOKUP($B128,tblARV[ASN/DN '#],tblARV[Fulfill Via],"Not found")</f>
        <v>Direct Drop</v>
      </c>
      <c r="I128" s="19" t="str">
        <f>_xlfn.XLOOKUP($B128,tblARV[ASN/DN '#],tblARV[Vendor],"Not found")</f>
        <v>Aurobindo Pharma Limited</v>
      </c>
      <c r="Y128"/>
      <c r="Z128"/>
      <c r="AA128"/>
      <c r="AB128"/>
      <c r="AC128"/>
    </row>
    <row r="129" spans="2:29" ht="15">
      <c r="B129" s="7" t="s">
        <v>1387</v>
      </c>
      <c r="C129" s="10">
        <v>41179</v>
      </c>
      <c r="D129" s="10">
        <v>41186</v>
      </c>
      <c r="E129" s="18">
        <v>7</v>
      </c>
      <c r="F129" s="13" t="str">
        <f t="shared" si="12"/>
        <v>Late</v>
      </c>
      <c r="G129" s="19" t="str">
        <f>_xlfn.XLOOKUP(B129,tblARV[ASN/DN '#],tblARV[Country],"Not found")</f>
        <v>Tanzania</v>
      </c>
      <c r="H129" s="19" t="str">
        <f>_xlfn.XLOOKUP($B129,tblARV[ASN/DN '#],tblARV[Fulfill Via],"Not found")</f>
        <v>Direct Drop</v>
      </c>
      <c r="I129" s="19" t="str">
        <f>_xlfn.XLOOKUP($B129,tblARV[ASN/DN '#],tblARV[Vendor],"Not found")</f>
        <v>Aurobindo Pharma Limited</v>
      </c>
      <c r="Y129"/>
      <c r="Z129"/>
      <c r="AA129"/>
      <c r="AB129"/>
      <c r="AC129"/>
    </row>
    <row r="130" spans="2:29" ht="15">
      <c r="B130" s="7" t="s">
        <v>1411</v>
      </c>
      <c r="C130" s="10">
        <v>41179</v>
      </c>
      <c r="D130" s="10">
        <v>41186</v>
      </c>
      <c r="E130" s="18">
        <v>7</v>
      </c>
      <c r="F130" s="13" t="str">
        <f t="shared" si="12"/>
        <v>Late</v>
      </c>
      <c r="G130" s="19" t="str">
        <f>_xlfn.XLOOKUP(B130,tblARV[ASN/DN '#],tblARV[Country],"Not found")</f>
        <v>Tanzania</v>
      </c>
      <c r="H130" s="19" t="str">
        <f>_xlfn.XLOOKUP($B130,tblARV[ASN/DN '#],tblARV[Fulfill Via],"Not found")</f>
        <v>Direct Drop</v>
      </c>
      <c r="I130" s="19" t="str">
        <f>_xlfn.XLOOKUP($B130,tblARV[ASN/DN '#],tblARV[Vendor],"Not found")</f>
        <v>Aurobindo Pharma Limited</v>
      </c>
      <c r="Y130"/>
      <c r="Z130"/>
      <c r="AA130"/>
      <c r="AB130"/>
      <c r="AC130"/>
    </row>
    <row r="131" spans="2:29" ht="15">
      <c r="B131" s="7" t="s">
        <v>940</v>
      </c>
      <c r="C131" s="10">
        <v>41191</v>
      </c>
      <c r="D131" s="10">
        <v>41191</v>
      </c>
      <c r="E131" s="18">
        <v>0</v>
      </c>
      <c r="F131" s="13" t="str">
        <f t="shared" si="12"/>
        <v>On-time</v>
      </c>
      <c r="G131" s="19" t="str">
        <f>_xlfn.XLOOKUP(B131,tblARV[ASN/DN '#],tblARV[Country],"Not found")</f>
        <v>Tanzania</v>
      </c>
      <c r="H131" s="19" t="str">
        <f>_xlfn.XLOOKUP($B131,tblARV[ASN/DN '#],tblARV[Fulfill Via],"Not found")</f>
        <v>Direct Drop</v>
      </c>
      <c r="I131" s="19" t="str">
        <f>_xlfn.XLOOKUP($B131,tblARV[ASN/DN '#],tblARV[Vendor],"Not found")</f>
        <v>Aurobindo Pharma Limited</v>
      </c>
      <c r="Y131"/>
      <c r="Z131"/>
      <c r="AA131"/>
      <c r="AB131"/>
      <c r="AC131"/>
    </row>
    <row r="132" spans="2:29" ht="15">
      <c r="B132" s="7" t="s">
        <v>1438</v>
      </c>
      <c r="C132" s="10">
        <v>41191</v>
      </c>
      <c r="D132" s="10">
        <v>41191</v>
      </c>
      <c r="E132" s="18">
        <v>0</v>
      </c>
      <c r="F132" s="13" t="str">
        <f t="shared" si="12"/>
        <v>On-time</v>
      </c>
      <c r="G132" s="19" t="str">
        <f>_xlfn.XLOOKUP(B132,tblARV[ASN/DN '#],tblARV[Country],"Not found")</f>
        <v>Tanzania</v>
      </c>
      <c r="H132" s="19" t="str">
        <f>_xlfn.XLOOKUP($B132,tblARV[ASN/DN '#],tblARV[Fulfill Via],"Not found")</f>
        <v>Direct Drop</v>
      </c>
      <c r="I132" s="19" t="str">
        <f>_xlfn.XLOOKUP($B132,tblARV[ASN/DN '#],tblARV[Vendor],"Not found")</f>
        <v>Aurobindo Pharma Limited</v>
      </c>
      <c r="Y132"/>
      <c r="Z132"/>
      <c r="AA132"/>
      <c r="AB132"/>
      <c r="AC132"/>
    </row>
    <row r="133" spans="2:29" ht="15">
      <c r="B133" s="7" t="s">
        <v>943</v>
      </c>
      <c r="C133" s="10">
        <v>41191</v>
      </c>
      <c r="D133" s="10">
        <v>41194</v>
      </c>
      <c r="E133" s="18">
        <v>3</v>
      </c>
      <c r="F133" s="13" t="str">
        <f t="shared" si="12"/>
        <v>Late</v>
      </c>
      <c r="G133" s="19" t="str">
        <f>_xlfn.XLOOKUP(B133,tblARV[ASN/DN '#],tblARV[Country],"Not found")</f>
        <v>Tanzania</v>
      </c>
      <c r="H133" s="19" t="str">
        <f>_xlfn.XLOOKUP($B133,tblARV[ASN/DN '#],tblARV[Fulfill Via],"Not found")</f>
        <v>Direct Drop</v>
      </c>
      <c r="I133" s="19" t="str">
        <f>_xlfn.XLOOKUP($B133,tblARV[ASN/DN '#],tblARV[Vendor],"Not found")</f>
        <v>Aurobindo Pharma Limited</v>
      </c>
      <c r="Y133"/>
      <c r="Z133"/>
      <c r="AA133"/>
      <c r="AB133"/>
      <c r="AC133"/>
    </row>
    <row r="134" spans="2:29" ht="15">
      <c r="B134" s="7" t="s">
        <v>1159</v>
      </c>
      <c r="C134" s="10">
        <v>41173</v>
      </c>
      <c r="D134" s="10">
        <v>41173</v>
      </c>
      <c r="E134" s="18">
        <v>0</v>
      </c>
      <c r="F134" s="13" t="str">
        <f t="shared" si="12"/>
        <v>On-time</v>
      </c>
      <c r="G134" s="19" t="str">
        <f>_xlfn.XLOOKUP(B134,tblARV[ASN/DN '#],tblARV[Country],"Not found")</f>
        <v>Uganda</v>
      </c>
      <c r="H134" s="19" t="str">
        <f>_xlfn.XLOOKUP($B134,tblARV[ASN/DN '#],tblARV[Fulfill Via],"Not found")</f>
        <v>Direct Drop</v>
      </c>
      <c r="I134" s="19" t="str">
        <f>_xlfn.XLOOKUP($B134,tblARV[ASN/DN '#],tblARV[Vendor],"Not found")</f>
        <v>MYLAN LABORATORIES LTD (FORMERLY MATRIX LABORATORIES)</v>
      </c>
      <c r="Y134"/>
      <c r="Z134"/>
      <c r="AA134"/>
      <c r="AB134"/>
      <c r="AC134"/>
    </row>
    <row r="135" spans="2:29" ht="15">
      <c r="B135" s="7" t="s">
        <v>1374</v>
      </c>
      <c r="C135" s="10">
        <v>41173</v>
      </c>
      <c r="D135" s="10">
        <v>41173</v>
      </c>
      <c r="E135" s="18">
        <v>0</v>
      </c>
      <c r="F135" s="13" t="str">
        <f t="shared" si="12"/>
        <v>On-time</v>
      </c>
      <c r="G135" s="19" t="str">
        <f>_xlfn.XLOOKUP(B135,tblARV[ASN/DN '#],tblARV[Country],"Not found")</f>
        <v>Uganda</v>
      </c>
      <c r="H135" s="19" t="str">
        <f>_xlfn.XLOOKUP($B135,tblARV[ASN/DN '#],tblARV[Fulfill Via],"Not found")</f>
        <v>Direct Drop</v>
      </c>
      <c r="I135" s="19" t="str">
        <f>_xlfn.XLOOKUP($B135,tblARV[ASN/DN '#],tblARV[Vendor],"Not found")</f>
        <v>MYLAN LABORATORIES LTD (FORMERLY MATRIX LABORATORIES)</v>
      </c>
      <c r="Y135"/>
      <c r="Z135"/>
      <c r="AA135"/>
      <c r="AB135"/>
      <c r="AC135"/>
    </row>
    <row r="136" spans="2:29" ht="15">
      <c r="B136" s="7" t="s">
        <v>733</v>
      </c>
      <c r="C136" s="10">
        <v>41214</v>
      </c>
      <c r="D136" s="10">
        <v>41214</v>
      </c>
      <c r="E136" s="18">
        <v>0</v>
      </c>
      <c r="F136" s="13" t="str">
        <f t="shared" si="12"/>
        <v>On-time</v>
      </c>
      <c r="G136" s="19" t="str">
        <f>_xlfn.XLOOKUP(B136,tblARV[ASN/DN '#],tblARV[Country],"Not found")</f>
        <v>Tanzania</v>
      </c>
      <c r="H136" s="19" t="str">
        <f>_xlfn.XLOOKUP($B136,tblARV[ASN/DN '#],tblARV[Fulfill Via],"Not found")</f>
        <v>Direct Drop</v>
      </c>
      <c r="I136" s="19" t="str">
        <f>_xlfn.XLOOKUP($B136,tblARV[ASN/DN '#],tblARV[Vendor],"Not found")</f>
        <v>HETERO LABS LIMITED</v>
      </c>
      <c r="Y136"/>
      <c r="Z136"/>
      <c r="AA136"/>
      <c r="AB136"/>
      <c r="AC136"/>
    </row>
    <row r="137" spans="2:29" ht="15">
      <c r="B137" s="7" t="s">
        <v>1175</v>
      </c>
      <c r="C137" s="10">
        <v>41187</v>
      </c>
      <c r="D137" s="10">
        <v>41187</v>
      </c>
      <c r="E137" s="18">
        <v>0</v>
      </c>
      <c r="F137" s="13" t="str">
        <f t="shared" si="12"/>
        <v>On-time</v>
      </c>
      <c r="G137" s="19" t="str">
        <f>_xlfn.XLOOKUP(B137,tblARV[ASN/DN '#],tblARV[Country],"Not found")</f>
        <v>Uganda</v>
      </c>
      <c r="H137" s="19" t="str">
        <f>_xlfn.XLOOKUP($B137,tblARV[ASN/DN '#],tblARV[Fulfill Via],"Not found")</f>
        <v>Direct Drop</v>
      </c>
      <c r="I137" s="19" t="str">
        <f>_xlfn.XLOOKUP($B137,tblARV[ASN/DN '#],tblARV[Vendor],"Not found")</f>
        <v>MERCK SHARP &amp; DOHME IDEA GMBH (FORMALLY MERCK SHARP &amp; DOHME B.V.)</v>
      </c>
      <c r="Y137"/>
      <c r="Z137"/>
      <c r="AA137"/>
      <c r="AB137"/>
      <c r="AC137"/>
    </row>
    <row r="138" spans="2:29" ht="15">
      <c r="B138" s="7" t="s">
        <v>1465</v>
      </c>
      <c r="C138" s="10">
        <v>41204</v>
      </c>
      <c r="D138" s="10">
        <v>41204</v>
      </c>
      <c r="E138" s="18">
        <v>0</v>
      </c>
      <c r="F138" s="13" t="str">
        <f t="shared" si="12"/>
        <v>On-time</v>
      </c>
      <c r="G138" s="19" t="str">
        <f>_xlfn.XLOOKUP(B138,tblARV[ASN/DN '#],tblARV[Country],"Not found")</f>
        <v>Rwanda</v>
      </c>
      <c r="H138" s="19" t="str">
        <f>_xlfn.XLOOKUP($B138,tblARV[ASN/DN '#],tblARV[Fulfill Via],"Not found")</f>
        <v>Direct Drop</v>
      </c>
      <c r="I138" s="19" t="str">
        <f>_xlfn.XLOOKUP($B138,tblARV[ASN/DN '#],tblARV[Vendor],"Not found")</f>
        <v>HETERO LABS LIMITED</v>
      </c>
      <c r="Y138"/>
      <c r="Z138"/>
      <c r="AA138"/>
      <c r="AB138"/>
      <c r="AC138"/>
    </row>
    <row r="139" spans="2:29" ht="15">
      <c r="B139" s="7" t="s">
        <v>1187</v>
      </c>
      <c r="C139" s="10">
        <v>41285</v>
      </c>
      <c r="D139" s="10">
        <v>41285</v>
      </c>
      <c r="E139" s="18">
        <v>0</v>
      </c>
      <c r="F139" s="13" t="str">
        <f t="shared" si="12"/>
        <v>On-time</v>
      </c>
      <c r="G139" s="19" t="str">
        <f>_xlfn.XLOOKUP(B139,tblARV[ASN/DN '#],tblARV[Country],"Not found")</f>
        <v>Rwanda</v>
      </c>
      <c r="H139" s="19" t="str">
        <f>_xlfn.XLOOKUP($B139,tblARV[ASN/DN '#],tblARV[Fulfill Via],"Not found")</f>
        <v>Direct Drop</v>
      </c>
      <c r="I139" s="19" t="str">
        <f>_xlfn.XLOOKUP($B139,tblARV[ASN/DN '#],tblARV[Vendor],"Not found")</f>
        <v>HETERO LABS LIMITED</v>
      </c>
      <c r="Y139"/>
      <c r="Z139"/>
      <c r="AA139"/>
      <c r="AB139"/>
      <c r="AC139"/>
    </row>
    <row r="140" spans="2:29" ht="15">
      <c r="B140" s="7" t="s">
        <v>1298</v>
      </c>
      <c r="C140" s="10">
        <v>41207</v>
      </c>
      <c r="D140" s="10">
        <v>41207</v>
      </c>
      <c r="E140" s="18">
        <v>0</v>
      </c>
      <c r="F140" s="13" t="str">
        <f t="shared" si="12"/>
        <v>On-time</v>
      </c>
      <c r="G140" s="19" t="str">
        <f>_xlfn.XLOOKUP(B140,tblARV[ASN/DN '#],tblARV[Country],"Not found")</f>
        <v>Uganda</v>
      </c>
      <c r="H140" s="19" t="str">
        <f>_xlfn.XLOOKUP($B140,tblARV[ASN/DN '#],tblARV[Fulfill Via],"Not found")</f>
        <v>Direct Drop</v>
      </c>
      <c r="I140" s="19" t="str">
        <f>_xlfn.XLOOKUP($B140,tblARV[ASN/DN '#],tblARV[Vendor],"Not found")</f>
        <v>ASPEN PHARMACARE</v>
      </c>
      <c r="Y140"/>
      <c r="Z140"/>
      <c r="AA140"/>
      <c r="AB140"/>
      <c r="AC140"/>
    </row>
    <row r="141" spans="2:29" ht="15">
      <c r="B141" s="7" t="s">
        <v>964</v>
      </c>
      <c r="C141" s="10">
        <v>41253</v>
      </c>
      <c r="D141" s="10">
        <v>41253</v>
      </c>
      <c r="E141" s="18">
        <v>0</v>
      </c>
      <c r="F141" s="13" t="str">
        <f t="shared" si="12"/>
        <v>On-time</v>
      </c>
      <c r="G141" s="19" t="str">
        <f>_xlfn.XLOOKUP(B141,tblARV[ASN/DN '#],tblARV[Country],"Not found")</f>
        <v>Rwanda</v>
      </c>
      <c r="H141" s="19" t="str">
        <f>_xlfn.XLOOKUP($B141,tblARV[ASN/DN '#],tblARV[Fulfill Via],"Not found")</f>
        <v>Direct Drop</v>
      </c>
      <c r="I141" s="19" t="str">
        <f>_xlfn.XLOOKUP($B141,tblARV[ASN/DN '#],tblARV[Vendor],"Not found")</f>
        <v>MICRO LABS LIMITED</v>
      </c>
      <c r="Y141"/>
      <c r="Z141"/>
      <c r="AA141"/>
      <c r="AB141"/>
      <c r="AC141"/>
    </row>
    <row r="142" spans="2:29" ht="15">
      <c r="B142" s="7" t="s">
        <v>1491</v>
      </c>
      <c r="C142" s="10">
        <v>41222</v>
      </c>
      <c r="D142" s="10">
        <v>41222</v>
      </c>
      <c r="E142" s="18">
        <v>0</v>
      </c>
      <c r="F142" s="13" t="str">
        <f t="shared" si="12"/>
        <v>On-time</v>
      </c>
      <c r="G142" s="19" t="str">
        <f>_xlfn.XLOOKUP(B142,tblARV[ASN/DN '#],tblARV[Country],"Not found")</f>
        <v>Uganda</v>
      </c>
      <c r="H142" s="19" t="str">
        <f>_xlfn.XLOOKUP($B142,tblARV[ASN/DN '#],tblARV[Fulfill Via],"Not found")</f>
        <v>Direct Drop</v>
      </c>
      <c r="I142" s="19" t="str">
        <f>_xlfn.XLOOKUP($B142,tblARV[ASN/DN '#],tblARV[Vendor],"Not found")</f>
        <v>MYLAN LABORATORIES LTD (FORMERLY MATRIX LABORATORIES)</v>
      </c>
      <c r="Y142"/>
      <c r="Z142"/>
      <c r="AA142"/>
      <c r="AB142"/>
      <c r="AC142"/>
    </row>
    <row r="143" spans="2:29" ht="15">
      <c r="B143" s="7" t="s">
        <v>206</v>
      </c>
      <c r="C143" s="10">
        <v>39576</v>
      </c>
      <c r="D143" s="10">
        <v>39576</v>
      </c>
      <c r="E143" s="18">
        <v>0</v>
      </c>
      <c r="F143" s="13" t="str">
        <f t="shared" si="12"/>
        <v>On-time</v>
      </c>
      <c r="G143" s="19" t="str">
        <f>_xlfn.XLOOKUP(B143,tblARV[ASN/DN '#],tblARV[Country],"Not found")</f>
        <v>Tanzania</v>
      </c>
      <c r="H143" s="19" t="str">
        <f>_xlfn.XLOOKUP($B143,tblARV[ASN/DN '#],tblARV[Fulfill Via],"Not found")</f>
        <v>Direct Drop</v>
      </c>
      <c r="I143" s="19" t="str">
        <f>_xlfn.XLOOKUP($B143,tblARV[ASN/DN '#],tblARV[Vendor],"Not found")</f>
        <v>BRISTOL-MYERS SQUIBB</v>
      </c>
      <c r="Y143"/>
      <c r="Z143"/>
      <c r="AA143"/>
      <c r="AB143"/>
      <c r="AC143"/>
    </row>
    <row r="144" spans="2:29" ht="15">
      <c r="B144" s="7" t="s">
        <v>186</v>
      </c>
      <c r="C144" s="10">
        <v>39576</v>
      </c>
      <c r="D144" s="10">
        <v>39576</v>
      </c>
      <c r="E144" s="18">
        <v>0</v>
      </c>
      <c r="F144" s="13" t="str">
        <f t="shared" si="12"/>
        <v>On-time</v>
      </c>
      <c r="G144" s="19" t="str">
        <f>_xlfn.XLOOKUP(B144,tblARV[ASN/DN '#],tblARV[Country],"Not found")</f>
        <v>Tanzania</v>
      </c>
      <c r="H144" s="19" t="str">
        <f>_xlfn.XLOOKUP($B144,tblARV[ASN/DN '#],tblARV[Fulfill Via],"Not found")</f>
        <v>Direct Drop</v>
      </c>
      <c r="I144" s="19" t="str">
        <f>_xlfn.XLOOKUP($B144,tblARV[ASN/DN '#],tblARV[Vendor],"Not found")</f>
        <v>GLAXOSMITHKLINE EXPORT LIMITED</v>
      </c>
      <c r="Y144"/>
      <c r="Z144"/>
      <c r="AA144"/>
      <c r="AB144"/>
      <c r="AC144"/>
    </row>
    <row r="145" spans="2:29" ht="15">
      <c r="B145" s="7" t="s">
        <v>956</v>
      </c>
      <c r="C145" s="10">
        <v>41242</v>
      </c>
      <c r="D145" s="10">
        <v>41242</v>
      </c>
      <c r="E145" s="18">
        <v>0</v>
      </c>
      <c r="F145" s="13" t="str">
        <f t="shared" si="12"/>
        <v>On-time</v>
      </c>
      <c r="G145" s="19" t="str">
        <f>_xlfn.XLOOKUP(B145,tblARV[ASN/DN '#],tblARV[Country],"Not found")</f>
        <v>Rwanda</v>
      </c>
      <c r="H145" s="19" t="str">
        <f>_xlfn.XLOOKUP($B145,tblARV[ASN/DN '#],tblARV[Fulfill Via],"Not found")</f>
        <v>Direct Drop</v>
      </c>
      <c r="I145" s="19" t="str">
        <f>_xlfn.XLOOKUP($B145,tblARV[ASN/DN '#],tblARV[Vendor],"Not found")</f>
        <v>Aurobindo Pharma Limited</v>
      </c>
      <c r="Y145"/>
      <c r="Z145"/>
      <c r="AA145"/>
      <c r="AB145"/>
      <c r="AC145"/>
    </row>
    <row r="146" spans="2:29" ht="15">
      <c r="B146" s="7" t="s">
        <v>1266</v>
      </c>
      <c r="C146" s="10">
        <v>41290</v>
      </c>
      <c r="D146" s="10">
        <v>41290</v>
      </c>
      <c r="E146" s="18">
        <v>0</v>
      </c>
      <c r="F146" s="13" t="str">
        <f t="shared" si="12"/>
        <v>On-time</v>
      </c>
      <c r="G146" s="19" t="str">
        <f>_xlfn.XLOOKUP(B146,tblARV[ASN/DN '#],tblARV[Country],"Not found")</f>
        <v>Tanzania</v>
      </c>
      <c r="H146" s="19" t="str">
        <f>_xlfn.XLOOKUP($B146,tblARV[ASN/DN '#],tblARV[Fulfill Via],"Not found")</f>
        <v>Direct Drop</v>
      </c>
      <c r="I146" s="19" t="str">
        <f>_xlfn.XLOOKUP($B146,tblARV[ASN/DN '#],tblARV[Vendor],"Not found")</f>
        <v>ABBVIE LOGISTICS (FORMERLY ABBOTT LOGISTICS BV)</v>
      </c>
      <c r="Y146"/>
      <c r="Z146"/>
      <c r="AA146"/>
      <c r="AB146"/>
      <c r="AC146"/>
    </row>
    <row r="147" spans="2:29" ht="15">
      <c r="B147" s="7" t="s">
        <v>1381</v>
      </c>
      <c r="C147" s="10">
        <v>41255</v>
      </c>
      <c r="D147" s="10">
        <v>41255</v>
      </c>
      <c r="E147" s="18">
        <v>0</v>
      </c>
      <c r="F147" s="13" t="str">
        <f t="shared" si="12"/>
        <v>On-time</v>
      </c>
      <c r="G147" s="19" t="str">
        <f>_xlfn.XLOOKUP(B147,tblARV[ASN/DN '#],tblARV[Country],"Not found")</f>
        <v>Uganda</v>
      </c>
      <c r="H147" s="19" t="str">
        <f>_xlfn.XLOOKUP($B147,tblARV[ASN/DN '#],tblARV[Fulfill Via],"Not found")</f>
        <v>Direct Drop</v>
      </c>
      <c r="I147" s="19" t="str">
        <f>_xlfn.XLOOKUP($B147,tblARV[ASN/DN '#],tblARV[Vendor],"Not found")</f>
        <v>MERCK SHARP &amp; DOHME IDEA GMBH (FORMALLY MERCK SHARP &amp; DOHME B.V.)</v>
      </c>
      <c r="Y147"/>
      <c r="Z147"/>
      <c r="AA147"/>
      <c r="AB147"/>
      <c r="AC147"/>
    </row>
    <row r="148" spans="2:29" ht="15">
      <c r="B148" s="7" t="s">
        <v>890</v>
      </c>
      <c r="C148" s="10">
        <v>41257</v>
      </c>
      <c r="D148" s="10">
        <v>41257</v>
      </c>
      <c r="E148" s="18">
        <v>0</v>
      </c>
      <c r="F148" s="13" t="str">
        <f t="shared" si="12"/>
        <v>On-time</v>
      </c>
      <c r="G148" s="19" t="str">
        <f>_xlfn.XLOOKUP(B148,tblARV[ASN/DN '#],tblARV[Country],"Not found")</f>
        <v>Uganda</v>
      </c>
      <c r="H148" s="19" t="str">
        <f>_xlfn.XLOOKUP($B148,tblARV[ASN/DN '#],tblARV[Fulfill Via],"Not found")</f>
        <v>Direct Drop</v>
      </c>
      <c r="I148" s="19" t="str">
        <f>_xlfn.XLOOKUP($B148,tblARV[ASN/DN '#],tblARV[Vendor],"Not found")</f>
        <v>ASPEN PHARMACARE</v>
      </c>
      <c r="Y148"/>
      <c r="Z148"/>
      <c r="AA148"/>
      <c r="AB148"/>
      <c r="AC148"/>
    </row>
    <row r="149" spans="2:29" ht="15">
      <c r="B149" s="7" t="s">
        <v>1041</v>
      </c>
      <c r="C149" s="10">
        <v>41304</v>
      </c>
      <c r="D149" s="10">
        <v>41304</v>
      </c>
      <c r="E149" s="18">
        <v>0</v>
      </c>
      <c r="F149" s="13" t="str">
        <f t="shared" ref="F149:F212" si="13">IF($E149&lt;=0,"On-time","Late")</f>
        <v>On-time</v>
      </c>
      <c r="G149" s="19" t="str">
        <f>_xlfn.XLOOKUP(B149,tblARV[ASN/DN '#],tblARV[Country],"Not found")</f>
        <v>Rwanda</v>
      </c>
      <c r="H149" s="19" t="str">
        <f>_xlfn.XLOOKUP($B149,tblARV[ASN/DN '#],tblARV[Fulfill Via],"Not found")</f>
        <v>Direct Drop</v>
      </c>
      <c r="I149" s="19" t="str">
        <f>_xlfn.XLOOKUP($B149,tblARV[ASN/DN '#],tblARV[Vendor],"Not found")</f>
        <v>HETERO LABS LIMITED</v>
      </c>
      <c r="Y149"/>
      <c r="Z149"/>
      <c r="AA149"/>
      <c r="AB149"/>
      <c r="AC149"/>
    </row>
    <row r="150" spans="2:29" ht="15">
      <c r="B150" s="7" t="s">
        <v>1038</v>
      </c>
      <c r="C150" s="10">
        <v>41295</v>
      </c>
      <c r="D150" s="10">
        <v>41295</v>
      </c>
      <c r="E150" s="18">
        <v>0</v>
      </c>
      <c r="F150" s="13" t="str">
        <f t="shared" si="13"/>
        <v>On-time</v>
      </c>
      <c r="G150" s="19" t="str">
        <f>_xlfn.XLOOKUP(B150,tblARV[ASN/DN '#],tblARV[Country],"Not found")</f>
        <v>Uganda</v>
      </c>
      <c r="H150" s="19" t="str">
        <f>_xlfn.XLOOKUP($B150,tblARV[ASN/DN '#],tblARV[Fulfill Via],"Not found")</f>
        <v>Direct Drop</v>
      </c>
      <c r="I150" s="19" t="str">
        <f>_xlfn.XLOOKUP($B150,tblARV[ASN/DN '#],tblARV[Vendor],"Not found")</f>
        <v>MYLAN LABORATORIES LTD (FORMERLY MATRIX LABORATORIES)</v>
      </c>
      <c r="Y150"/>
      <c r="Z150"/>
      <c r="AA150"/>
      <c r="AB150"/>
      <c r="AC150"/>
    </row>
    <row r="151" spans="2:29" ht="15">
      <c r="B151" s="7" t="s">
        <v>1389</v>
      </c>
      <c r="C151" s="10">
        <v>41348</v>
      </c>
      <c r="D151" s="10">
        <v>41348</v>
      </c>
      <c r="E151" s="18">
        <v>0</v>
      </c>
      <c r="F151" s="13" t="str">
        <f t="shared" si="13"/>
        <v>On-time</v>
      </c>
      <c r="G151" s="19" t="str">
        <f>_xlfn.XLOOKUP(B151,tblARV[ASN/DN '#],tblARV[Country],"Not found")</f>
        <v>Tanzania</v>
      </c>
      <c r="H151" s="19" t="str">
        <f>_xlfn.XLOOKUP($B151,tblARV[ASN/DN '#],tblARV[Fulfill Via],"Not found")</f>
        <v>Direct Drop</v>
      </c>
      <c r="I151" s="19" t="str">
        <f>_xlfn.XLOOKUP($B151,tblARV[ASN/DN '#],tblARV[Vendor],"Not found")</f>
        <v>ABBVIE LOGISTICS (FORMERLY ABBOTT LOGISTICS BV)</v>
      </c>
      <c r="Y151"/>
      <c r="Z151"/>
      <c r="AA151"/>
      <c r="AB151"/>
      <c r="AC151"/>
    </row>
    <row r="152" spans="2:29" ht="15">
      <c r="B152" s="7" t="s">
        <v>1376</v>
      </c>
      <c r="C152" s="10">
        <v>41313</v>
      </c>
      <c r="D152" s="10">
        <v>41313</v>
      </c>
      <c r="E152" s="18">
        <v>0</v>
      </c>
      <c r="F152" s="13" t="str">
        <f t="shared" si="13"/>
        <v>On-time</v>
      </c>
      <c r="G152" s="19" t="str">
        <f>_xlfn.XLOOKUP(B152,tblARV[ASN/DN '#],tblARV[Country],"Not found")</f>
        <v>Uganda</v>
      </c>
      <c r="H152" s="19" t="str">
        <f>_xlfn.XLOOKUP($B152,tblARV[ASN/DN '#],tblARV[Fulfill Via],"Not found")</f>
        <v>Direct Drop</v>
      </c>
      <c r="I152" s="19" t="str">
        <f>_xlfn.XLOOKUP($B152,tblARV[ASN/DN '#],tblARV[Vendor],"Not found")</f>
        <v>ABBVIE LOGISTICS (FORMERLY ABBOTT LOGISTICS BV)</v>
      </c>
      <c r="Y152"/>
      <c r="Z152"/>
      <c r="AA152"/>
      <c r="AB152"/>
      <c r="AC152"/>
    </row>
    <row r="153" spans="2:29" ht="15">
      <c r="B153" s="7" t="s">
        <v>1339</v>
      </c>
      <c r="C153" s="10">
        <v>41318</v>
      </c>
      <c r="D153" s="10">
        <v>41318</v>
      </c>
      <c r="E153" s="18">
        <v>0</v>
      </c>
      <c r="F153" s="13" t="str">
        <f t="shared" si="13"/>
        <v>On-time</v>
      </c>
      <c r="G153" s="19" t="str">
        <f>_xlfn.XLOOKUP(B153,tblARV[ASN/DN '#],tblARV[Country],"Not found")</f>
        <v>Uganda</v>
      </c>
      <c r="H153" s="19" t="str">
        <f>_xlfn.XLOOKUP($B153,tblARV[ASN/DN '#],tblARV[Fulfill Via],"Not found")</f>
        <v>Direct Drop</v>
      </c>
      <c r="I153" s="19" t="str">
        <f>_xlfn.XLOOKUP($B153,tblARV[ASN/DN '#],tblARV[Vendor],"Not found")</f>
        <v>ASPEN PHARMACARE</v>
      </c>
      <c r="Y153"/>
      <c r="Z153"/>
      <c r="AA153"/>
      <c r="AB153"/>
      <c r="AC153"/>
    </row>
    <row r="154" spans="2:29" ht="15">
      <c r="B154" s="7" t="s">
        <v>870</v>
      </c>
      <c r="C154" s="10">
        <v>41386</v>
      </c>
      <c r="D154" s="10">
        <v>41386</v>
      </c>
      <c r="E154" s="18">
        <v>0</v>
      </c>
      <c r="F154" s="13" t="str">
        <f t="shared" si="13"/>
        <v>On-time</v>
      </c>
      <c r="G154" s="19" t="str">
        <f>_xlfn.XLOOKUP(B154,tblARV[ASN/DN '#],tblARV[Country],"Not found")</f>
        <v>Rwanda</v>
      </c>
      <c r="H154" s="19" t="str">
        <f>_xlfn.XLOOKUP($B154,tblARV[ASN/DN '#],tblARV[Fulfill Via],"Not found")</f>
        <v>Direct Drop</v>
      </c>
      <c r="I154" s="19" t="str">
        <f>_xlfn.XLOOKUP($B154,tblARV[ASN/DN '#],tblARV[Vendor],"Not found")</f>
        <v>MYLAN LABORATORIES LTD (FORMERLY MATRIX LABORATORIES)</v>
      </c>
      <c r="Y154"/>
      <c r="Z154"/>
      <c r="AA154"/>
      <c r="AB154"/>
      <c r="AC154"/>
    </row>
    <row r="155" spans="2:29" ht="15">
      <c r="B155" s="7" t="s">
        <v>1448</v>
      </c>
      <c r="C155" s="10">
        <v>41338</v>
      </c>
      <c r="D155" s="10">
        <v>41338</v>
      </c>
      <c r="E155" s="18">
        <v>0</v>
      </c>
      <c r="F155" s="13" t="str">
        <f t="shared" si="13"/>
        <v>On-time</v>
      </c>
      <c r="G155" s="19" t="str">
        <f>_xlfn.XLOOKUP(B155,tblARV[ASN/DN '#],tblARV[Country],"Not found")</f>
        <v>Uganda</v>
      </c>
      <c r="H155" s="19" t="str">
        <f>_xlfn.XLOOKUP($B155,tblARV[ASN/DN '#],tblARV[Fulfill Via],"Not found")</f>
        <v>Direct Drop</v>
      </c>
      <c r="I155" s="19" t="str">
        <f>_xlfn.XLOOKUP($B155,tblARV[ASN/DN '#],tblARV[Vendor],"Not found")</f>
        <v>Aurobindo Pharma Limited</v>
      </c>
      <c r="Y155"/>
      <c r="Z155"/>
      <c r="AA155"/>
      <c r="AB155"/>
      <c r="AC155"/>
    </row>
    <row r="156" spans="2:29" ht="15">
      <c r="B156" s="7" t="s">
        <v>724</v>
      </c>
      <c r="C156" s="10">
        <v>41411</v>
      </c>
      <c r="D156" s="10">
        <v>41411</v>
      </c>
      <c r="E156" s="18">
        <v>0</v>
      </c>
      <c r="F156" s="13" t="str">
        <f t="shared" si="13"/>
        <v>On-time</v>
      </c>
      <c r="G156" s="19" t="str">
        <f>_xlfn.XLOOKUP(B156,tblARV[ASN/DN '#],tblARV[Country],"Not found")</f>
        <v>Rwanda</v>
      </c>
      <c r="H156" s="19" t="str">
        <f>_xlfn.XLOOKUP($B156,tblARV[ASN/DN '#],tblARV[Fulfill Via],"Not found")</f>
        <v>Direct Drop</v>
      </c>
      <c r="I156" s="19" t="str">
        <f>_xlfn.XLOOKUP($B156,tblARV[ASN/DN '#],tblARV[Vendor],"Not found")</f>
        <v>ABBVIE LOGISTICS (FORMERLY ABBOTT LOGISTICS BV)</v>
      </c>
      <c r="Y156"/>
      <c r="Z156"/>
      <c r="AA156"/>
      <c r="AB156"/>
      <c r="AC156"/>
    </row>
    <row r="157" spans="2:29" ht="15">
      <c r="B157" s="7" t="s">
        <v>969</v>
      </c>
      <c r="C157" s="10">
        <v>41345</v>
      </c>
      <c r="D157" s="10">
        <v>41345</v>
      </c>
      <c r="E157" s="18">
        <v>0</v>
      </c>
      <c r="F157" s="13" t="str">
        <f t="shared" si="13"/>
        <v>On-time</v>
      </c>
      <c r="G157" s="19" t="str">
        <f>_xlfn.XLOOKUP(B157,tblARV[ASN/DN '#],tblARV[Country],"Not found")</f>
        <v>Uganda</v>
      </c>
      <c r="H157" s="19" t="str">
        <f>_xlfn.XLOOKUP($B157,tblARV[ASN/DN '#],tblARV[Fulfill Via],"Not found")</f>
        <v>Direct Drop</v>
      </c>
      <c r="I157" s="19" t="str">
        <f>_xlfn.XLOOKUP($B157,tblARV[ASN/DN '#],tblARV[Vendor],"Not found")</f>
        <v>ABBVIE LOGISTICS (FORMERLY ABBOTT LOGISTICS BV)</v>
      </c>
      <c r="Y157"/>
      <c r="Z157"/>
      <c r="AA157"/>
      <c r="AB157"/>
      <c r="AC157"/>
    </row>
    <row r="158" spans="2:29" ht="15">
      <c r="B158" s="7" t="s">
        <v>1480</v>
      </c>
      <c r="C158" s="10">
        <v>41387</v>
      </c>
      <c r="D158" s="10">
        <v>41387</v>
      </c>
      <c r="E158" s="18">
        <v>0</v>
      </c>
      <c r="F158" s="13" t="str">
        <f t="shared" si="13"/>
        <v>On-time</v>
      </c>
      <c r="G158" s="19" t="str">
        <f>_xlfn.XLOOKUP(B158,tblARV[ASN/DN '#],tblARV[Country],"Not found")</f>
        <v>Tanzania</v>
      </c>
      <c r="H158" s="19" t="str">
        <f>_xlfn.XLOOKUP($B158,tblARV[ASN/DN '#],tblARV[Fulfill Via],"Not found")</f>
        <v>Direct Drop</v>
      </c>
      <c r="I158" s="19" t="str">
        <f>_xlfn.XLOOKUP($B158,tblARV[ASN/DN '#],tblARV[Vendor],"Not found")</f>
        <v>MYLAN LABORATORIES LTD (FORMERLY MATRIX LABORATORIES)</v>
      </c>
      <c r="Y158"/>
      <c r="Z158"/>
      <c r="AA158"/>
      <c r="AB158"/>
      <c r="AC158"/>
    </row>
    <row r="159" spans="2:29" ht="15">
      <c r="B159" s="7" t="s">
        <v>2816</v>
      </c>
      <c r="C159" s="10">
        <v>41417</v>
      </c>
      <c r="D159" s="10">
        <v>41417</v>
      </c>
      <c r="E159" s="18">
        <v>0</v>
      </c>
      <c r="F159" s="13" t="str">
        <f t="shared" si="13"/>
        <v>On-time</v>
      </c>
      <c r="G159" s="19" t="str">
        <f>_xlfn.XLOOKUP(B159,tblARV[ASN/DN '#],tblARV[Country],"Not found")</f>
        <v>South Sudan</v>
      </c>
      <c r="H159" s="19" t="str">
        <f>_xlfn.XLOOKUP($B159,tblARV[ASN/DN '#],tblARV[Fulfill Via],"Not found")</f>
        <v>Direct Drop</v>
      </c>
      <c r="I159" s="19" t="str">
        <f>_xlfn.XLOOKUP($B159,tblARV[ASN/DN '#],tblARV[Vendor],"Not found")</f>
        <v>Aurobindo Pharma Limited</v>
      </c>
      <c r="Y159"/>
      <c r="Z159"/>
      <c r="AA159"/>
      <c r="AB159"/>
      <c r="AC159"/>
    </row>
    <row r="160" spans="2:29" ht="15">
      <c r="B160" s="7" t="s">
        <v>1034</v>
      </c>
      <c r="C160" s="10">
        <v>41347</v>
      </c>
      <c r="D160" s="10">
        <v>41347</v>
      </c>
      <c r="E160" s="18">
        <v>0</v>
      </c>
      <c r="F160" s="13" t="str">
        <f t="shared" si="13"/>
        <v>On-time</v>
      </c>
      <c r="G160" s="19" t="str">
        <f>_xlfn.XLOOKUP(B160,tblARV[ASN/DN '#],tblARV[Country],"Not found")</f>
        <v>Uganda</v>
      </c>
      <c r="H160" s="19" t="str">
        <f>_xlfn.XLOOKUP($B160,tblARV[ASN/DN '#],tblARV[Fulfill Via],"Not found")</f>
        <v>Direct Drop</v>
      </c>
      <c r="I160" s="19" t="str">
        <f>_xlfn.XLOOKUP($B160,tblARV[ASN/DN '#],tblARV[Vendor],"Not found")</f>
        <v>ASPEN PHARMACARE</v>
      </c>
      <c r="Y160"/>
      <c r="Z160"/>
      <c r="AA160"/>
      <c r="AB160"/>
      <c r="AC160"/>
    </row>
    <row r="161" spans="2:29" ht="15">
      <c r="B161" s="7" t="s">
        <v>967</v>
      </c>
      <c r="C161" s="10">
        <v>41361</v>
      </c>
      <c r="D161" s="10">
        <v>41361</v>
      </c>
      <c r="E161" s="18">
        <v>0</v>
      </c>
      <c r="F161" s="13" t="str">
        <f t="shared" si="13"/>
        <v>On-time</v>
      </c>
      <c r="G161" s="19" t="str">
        <f>_xlfn.XLOOKUP(B161,tblARV[ASN/DN '#],tblARV[Country],"Not found")</f>
        <v>Uganda</v>
      </c>
      <c r="H161" s="19" t="str">
        <f>_xlfn.XLOOKUP($B161,tblARV[ASN/DN '#],tblARV[Fulfill Via],"Not found")</f>
        <v>Direct Drop</v>
      </c>
      <c r="I161" s="19" t="str">
        <f>_xlfn.XLOOKUP($B161,tblARV[ASN/DN '#],tblARV[Vendor],"Not found")</f>
        <v>Aurobindo Pharma Limited</v>
      </c>
      <c r="Y161"/>
      <c r="Z161"/>
      <c r="AA161"/>
      <c r="AB161"/>
      <c r="AC161"/>
    </row>
    <row r="162" spans="2:29" ht="15">
      <c r="B162" s="7" t="s">
        <v>1053</v>
      </c>
      <c r="C162" s="10">
        <v>41375</v>
      </c>
      <c r="D162" s="10">
        <v>41375</v>
      </c>
      <c r="E162" s="18">
        <v>0</v>
      </c>
      <c r="F162" s="13" t="str">
        <f t="shared" si="13"/>
        <v>On-time</v>
      </c>
      <c r="G162" s="19" t="str">
        <f>_xlfn.XLOOKUP(B162,tblARV[ASN/DN '#],tblARV[Country],"Not found")</f>
        <v>Uganda</v>
      </c>
      <c r="H162" s="19" t="str">
        <f>_xlfn.XLOOKUP($B162,tblARV[ASN/DN '#],tblARV[Fulfill Via],"Not found")</f>
        <v>Direct Drop</v>
      </c>
      <c r="I162" s="19" t="str">
        <f>_xlfn.XLOOKUP($B162,tblARV[ASN/DN '#],tblARV[Vendor],"Not found")</f>
        <v>MERCK SHARP &amp; DOHME IDEA GMBH (FORMALLY MERCK SHARP &amp; DOHME B.V.)</v>
      </c>
      <c r="Y162"/>
      <c r="Z162"/>
      <c r="AA162"/>
      <c r="AB162"/>
      <c r="AC162"/>
    </row>
    <row r="163" spans="2:29" ht="15">
      <c r="B163" s="7" t="s">
        <v>992</v>
      </c>
      <c r="C163" s="10">
        <v>41373</v>
      </c>
      <c r="D163" s="10">
        <v>41373</v>
      </c>
      <c r="E163" s="18">
        <v>0</v>
      </c>
      <c r="F163" s="13" t="str">
        <f t="shared" si="13"/>
        <v>On-time</v>
      </c>
      <c r="G163" s="19" t="str">
        <f>_xlfn.XLOOKUP(B163,tblARV[ASN/DN '#],tblARV[Country],"Not found")</f>
        <v>Uganda</v>
      </c>
      <c r="H163" s="19" t="str">
        <f>_xlfn.XLOOKUP($B163,tblARV[ASN/DN '#],tblARV[Fulfill Via],"Not found")</f>
        <v>Direct Drop</v>
      </c>
      <c r="I163" s="19" t="str">
        <f>_xlfn.XLOOKUP($B163,tblARV[ASN/DN '#],tblARV[Vendor],"Not found")</f>
        <v>ABBVIE LOGISTICS (FORMERLY ABBOTT LOGISTICS BV)</v>
      </c>
      <c r="Y163"/>
      <c r="Z163"/>
      <c r="AA163"/>
      <c r="AB163"/>
      <c r="AC163"/>
    </row>
    <row r="164" spans="2:29" ht="15">
      <c r="B164" s="7" t="s">
        <v>1335</v>
      </c>
      <c r="C164" s="10">
        <v>41386</v>
      </c>
      <c r="D164" s="10">
        <v>41386</v>
      </c>
      <c r="E164" s="18">
        <v>0</v>
      </c>
      <c r="F164" s="13" t="str">
        <f t="shared" si="13"/>
        <v>On-time</v>
      </c>
      <c r="G164" s="19" t="str">
        <f>_xlfn.XLOOKUP(B164,tblARV[ASN/DN '#],tblARV[Country],"Not found")</f>
        <v>Uganda</v>
      </c>
      <c r="H164" s="19" t="str">
        <f>_xlfn.XLOOKUP($B164,tblARV[ASN/DN '#],tblARV[Fulfill Via],"Not found")</f>
        <v>Direct Drop</v>
      </c>
      <c r="I164" s="19" t="str">
        <f>_xlfn.XLOOKUP($B164,tblARV[ASN/DN '#],tblARV[Vendor],"Not found")</f>
        <v>Aurobindo Pharma Limited</v>
      </c>
      <c r="Y164"/>
      <c r="Z164"/>
      <c r="AA164"/>
      <c r="AB164"/>
      <c r="AC164"/>
    </row>
    <row r="165" spans="2:29" ht="15">
      <c r="B165" s="7" t="s">
        <v>1179</v>
      </c>
      <c r="C165" s="10">
        <v>41374</v>
      </c>
      <c r="D165" s="10">
        <v>41374</v>
      </c>
      <c r="E165" s="18">
        <v>0</v>
      </c>
      <c r="F165" s="13" t="str">
        <f t="shared" si="13"/>
        <v>On-time</v>
      </c>
      <c r="G165" s="19" t="str">
        <f>_xlfn.XLOOKUP(B165,tblARV[ASN/DN '#],tblARV[Country],"Not found")</f>
        <v>Uganda</v>
      </c>
      <c r="H165" s="19" t="str">
        <f>_xlfn.XLOOKUP($B165,tblARV[ASN/DN '#],tblARV[Fulfill Via],"Not found")</f>
        <v>Direct Drop</v>
      </c>
      <c r="I165" s="19" t="str">
        <f>_xlfn.XLOOKUP($B165,tblARV[ASN/DN '#],tblARV[Vendor],"Not found")</f>
        <v>MICRO LABS LIMITED</v>
      </c>
      <c r="Y165"/>
      <c r="Z165"/>
      <c r="AA165"/>
      <c r="AB165"/>
      <c r="AC165"/>
    </row>
    <row r="166" spans="2:29" ht="15">
      <c r="B166" s="7" t="s">
        <v>1312</v>
      </c>
      <c r="C166" s="10">
        <v>41402</v>
      </c>
      <c r="D166" s="10">
        <v>41402</v>
      </c>
      <c r="E166" s="18">
        <v>0</v>
      </c>
      <c r="F166" s="13" t="str">
        <f t="shared" si="13"/>
        <v>On-time</v>
      </c>
      <c r="G166" s="19" t="str">
        <f>_xlfn.XLOOKUP(B166,tblARV[ASN/DN '#],tblARV[Country],"Not found")</f>
        <v>Uganda</v>
      </c>
      <c r="H166" s="19" t="str">
        <f>_xlfn.XLOOKUP($B166,tblARV[ASN/DN '#],tblARV[Fulfill Via],"Not found")</f>
        <v>Direct Drop</v>
      </c>
      <c r="I166" s="19" t="str">
        <f>_xlfn.XLOOKUP($B166,tblARV[ASN/DN '#],tblARV[Vendor],"Not found")</f>
        <v>MICRO LABS LIMITED</v>
      </c>
      <c r="Y166"/>
      <c r="Z166"/>
      <c r="AA166"/>
      <c r="AB166"/>
      <c r="AC166"/>
    </row>
    <row r="167" spans="2:29" ht="15">
      <c r="B167" s="7" t="s">
        <v>994</v>
      </c>
      <c r="C167" s="10">
        <v>41394</v>
      </c>
      <c r="D167" s="10">
        <v>41394</v>
      </c>
      <c r="E167" s="18">
        <v>0</v>
      </c>
      <c r="F167" s="13" t="str">
        <f t="shared" si="13"/>
        <v>On-time</v>
      </c>
      <c r="G167" s="19" t="str">
        <f>_xlfn.XLOOKUP(B167,tblARV[ASN/DN '#],tblARV[Country],"Not found")</f>
        <v>Uganda</v>
      </c>
      <c r="H167" s="19" t="str">
        <f>_xlfn.XLOOKUP($B167,tblARV[ASN/DN '#],tblARV[Fulfill Via],"Not found")</f>
        <v>Direct Drop</v>
      </c>
      <c r="I167" s="19" t="str">
        <f>_xlfn.XLOOKUP($B167,tblARV[ASN/DN '#],tblARV[Vendor],"Not found")</f>
        <v>ABBVIE LOGISTICS (FORMERLY ABBOTT LOGISTICS BV)</v>
      </c>
      <c r="Y167"/>
      <c r="Z167"/>
      <c r="AA167"/>
      <c r="AB167"/>
      <c r="AC167"/>
    </row>
    <row r="168" spans="2:29" ht="15">
      <c r="B168" s="7" t="s">
        <v>1442</v>
      </c>
      <c r="C168" s="10">
        <v>41431</v>
      </c>
      <c r="D168" s="10">
        <v>41431</v>
      </c>
      <c r="E168" s="18">
        <v>0</v>
      </c>
      <c r="F168" s="13" t="str">
        <f t="shared" si="13"/>
        <v>On-time</v>
      </c>
      <c r="G168" s="19" t="str">
        <f>_xlfn.XLOOKUP(B168,tblARV[ASN/DN '#],tblARV[Country],"Not found")</f>
        <v>Tanzania</v>
      </c>
      <c r="H168" s="19" t="str">
        <f>_xlfn.XLOOKUP($B168,tblARV[ASN/DN '#],tblARV[Fulfill Via],"Not found")</f>
        <v>Direct Drop</v>
      </c>
      <c r="I168" s="19" t="str">
        <f>_xlfn.XLOOKUP($B168,tblARV[ASN/DN '#],tblARV[Vendor],"Not found")</f>
        <v>ABBVIE LOGISTICS (FORMERLY ABBOTT LOGISTICS BV)</v>
      </c>
      <c r="Y168"/>
      <c r="Z168"/>
      <c r="AA168"/>
      <c r="AB168"/>
      <c r="AC168"/>
    </row>
    <row r="169" spans="2:29" ht="15">
      <c r="B169" s="7" t="s">
        <v>1005</v>
      </c>
      <c r="C169" s="10">
        <v>41443</v>
      </c>
      <c r="D169" s="10">
        <v>41443</v>
      </c>
      <c r="E169" s="18">
        <v>0</v>
      </c>
      <c r="F169" s="13" t="str">
        <f t="shared" si="13"/>
        <v>On-time</v>
      </c>
      <c r="G169" s="19" t="str">
        <f>_xlfn.XLOOKUP(B169,tblARV[ASN/DN '#],tblARV[Country],"Not found")</f>
        <v>Tanzania</v>
      </c>
      <c r="H169" s="19" t="str">
        <f>_xlfn.XLOOKUP($B169,tblARV[ASN/DN '#],tblARV[Fulfill Via],"Not found")</f>
        <v>Direct Drop</v>
      </c>
      <c r="I169" s="19" t="str">
        <f>_xlfn.XLOOKUP($B169,tblARV[ASN/DN '#],tblARV[Vendor],"Not found")</f>
        <v>MYLAN LABORATORIES LTD (FORMERLY MATRIX LABORATORIES)</v>
      </c>
      <c r="Y169"/>
      <c r="Z169"/>
      <c r="AA169"/>
      <c r="AB169"/>
      <c r="AC169"/>
    </row>
    <row r="170" spans="2:29" ht="15">
      <c r="B170" s="7" t="s">
        <v>953</v>
      </c>
      <c r="C170" s="10">
        <v>41418</v>
      </c>
      <c r="D170" s="10">
        <v>41418</v>
      </c>
      <c r="E170" s="18">
        <v>0</v>
      </c>
      <c r="F170" s="13" t="str">
        <f t="shared" si="13"/>
        <v>On-time</v>
      </c>
      <c r="G170" s="19" t="str">
        <f>_xlfn.XLOOKUP(B170,tblARV[ASN/DN '#],tblARV[Country],"Not found")</f>
        <v>Uganda</v>
      </c>
      <c r="H170" s="19" t="str">
        <f>_xlfn.XLOOKUP($B170,tblARV[ASN/DN '#],tblARV[Fulfill Via],"Not found")</f>
        <v>Direct Drop</v>
      </c>
      <c r="I170" s="19" t="str">
        <f>_xlfn.XLOOKUP($B170,tblARV[ASN/DN '#],tblARV[Vendor],"Not found")</f>
        <v>EMCURE PHARMACEUTICALS LTD</v>
      </c>
      <c r="Y170"/>
      <c r="Z170"/>
      <c r="AA170"/>
      <c r="AB170"/>
      <c r="AC170"/>
    </row>
    <row r="171" spans="2:29" ht="15">
      <c r="B171" s="7" t="s">
        <v>1493</v>
      </c>
      <c r="C171" s="10">
        <v>41473</v>
      </c>
      <c r="D171" s="10">
        <v>41473</v>
      </c>
      <c r="E171" s="18">
        <v>0</v>
      </c>
      <c r="F171" s="13" t="str">
        <f t="shared" si="13"/>
        <v>On-time</v>
      </c>
      <c r="G171" s="19" t="str">
        <f>_xlfn.XLOOKUP(B171,tblARV[ASN/DN '#],tblARV[Country],"Not found")</f>
        <v>Tanzania</v>
      </c>
      <c r="H171" s="19" t="str">
        <f>_xlfn.XLOOKUP($B171,tblARV[ASN/DN '#],tblARV[Fulfill Via],"Not found")</f>
        <v>Direct Drop</v>
      </c>
      <c r="I171" s="19" t="str">
        <f>_xlfn.XLOOKUP($B171,tblARV[ASN/DN '#],tblARV[Vendor],"Not found")</f>
        <v>ABBVIE LOGISTICS (FORMERLY ABBOTT LOGISTICS BV)</v>
      </c>
      <c r="Y171"/>
      <c r="Z171"/>
      <c r="AA171"/>
      <c r="AB171"/>
      <c r="AC171"/>
    </row>
    <row r="172" spans="2:29" ht="15">
      <c r="B172" s="7" t="s">
        <v>1446</v>
      </c>
      <c r="C172" s="10">
        <v>41487</v>
      </c>
      <c r="D172" s="10">
        <v>41487</v>
      </c>
      <c r="E172" s="18">
        <v>0</v>
      </c>
      <c r="F172" s="13" t="str">
        <f t="shared" si="13"/>
        <v>On-time</v>
      </c>
      <c r="G172" s="19" t="str">
        <f>_xlfn.XLOOKUP(B172,tblARV[ASN/DN '#],tblARV[Country],"Not found")</f>
        <v>Tanzania</v>
      </c>
      <c r="H172" s="19" t="str">
        <f>_xlfn.XLOOKUP($B172,tblARV[ASN/DN '#],tblARV[Fulfill Via],"Not found")</f>
        <v>Direct Drop</v>
      </c>
      <c r="I172" s="19" t="str">
        <f>_xlfn.XLOOKUP($B172,tblARV[ASN/DN '#],tblARV[Vendor],"Not found")</f>
        <v>ABBVIE LOGISTICS (FORMERLY ABBOTT LOGISTICS BV)</v>
      </c>
      <c r="Y172"/>
      <c r="Z172"/>
      <c r="AA172"/>
      <c r="AB172"/>
      <c r="AC172"/>
    </row>
    <row r="173" spans="2:29" ht="15">
      <c r="B173" s="7" t="s">
        <v>1391</v>
      </c>
      <c r="C173" s="10">
        <v>41460</v>
      </c>
      <c r="D173" s="10">
        <v>41460</v>
      </c>
      <c r="E173" s="18">
        <v>0</v>
      </c>
      <c r="F173" s="13" t="str">
        <f t="shared" si="13"/>
        <v>On-time</v>
      </c>
      <c r="G173" s="19" t="str">
        <f>_xlfn.XLOOKUP(B173,tblARV[ASN/DN '#],tblARV[Country],"Not found")</f>
        <v>Uganda</v>
      </c>
      <c r="H173" s="19" t="str">
        <f>_xlfn.XLOOKUP($B173,tblARV[ASN/DN '#],tblARV[Fulfill Via],"Not found")</f>
        <v>Direct Drop</v>
      </c>
      <c r="I173" s="19" t="str">
        <f>_xlfn.XLOOKUP($B173,tblARV[ASN/DN '#],tblARV[Vendor],"Not found")</f>
        <v>ABBVIE LOGISTICS (FORMERLY ABBOTT LOGISTICS BV)</v>
      </c>
      <c r="Y173"/>
      <c r="Z173"/>
      <c r="AA173"/>
      <c r="AB173"/>
      <c r="AC173"/>
    </row>
    <row r="174" spans="2:29" ht="15">
      <c r="B174" s="7" t="s">
        <v>1418</v>
      </c>
      <c r="C174" s="10">
        <v>41510</v>
      </c>
      <c r="D174" s="10">
        <v>41510</v>
      </c>
      <c r="E174" s="18">
        <v>0</v>
      </c>
      <c r="F174" s="13" t="str">
        <f t="shared" si="13"/>
        <v>On-time</v>
      </c>
      <c r="G174" s="19" t="str">
        <f>_xlfn.XLOOKUP(B174,tblARV[ASN/DN '#],tblARV[Country],"Not found")</f>
        <v>Tanzania</v>
      </c>
      <c r="H174" s="19" t="str">
        <f>_xlfn.XLOOKUP($B174,tblARV[ASN/DN '#],tblARV[Fulfill Via],"Not found")</f>
        <v>Direct Drop</v>
      </c>
      <c r="I174" s="19" t="str">
        <f>_xlfn.XLOOKUP($B174,tblARV[ASN/DN '#],tblARV[Vendor],"Not found")</f>
        <v>Aurobindo Pharma Limited</v>
      </c>
      <c r="Y174"/>
      <c r="Z174"/>
      <c r="AA174"/>
      <c r="AB174"/>
      <c r="AC174"/>
    </row>
    <row r="175" spans="2:29" ht="15">
      <c r="B175" s="7" t="s">
        <v>1347</v>
      </c>
      <c r="C175" s="10">
        <v>41510</v>
      </c>
      <c r="D175" s="10">
        <v>41510</v>
      </c>
      <c r="E175" s="18">
        <v>0</v>
      </c>
      <c r="F175" s="13" t="str">
        <f t="shared" si="13"/>
        <v>On-time</v>
      </c>
      <c r="G175" s="19" t="str">
        <f>_xlfn.XLOOKUP(B175,tblARV[ASN/DN '#],tblARV[Country],"Not found")</f>
        <v>Tanzania</v>
      </c>
      <c r="H175" s="19" t="str">
        <f>_xlfn.XLOOKUP($B175,tblARV[ASN/DN '#],tblARV[Fulfill Via],"Not found")</f>
        <v>Direct Drop</v>
      </c>
      <c r="I175" s="19" t="str">
        <f>_xlfn.XLOOKUP($B175,tblARV[ASN/DN '#],tblARV[Vendor],"Not found")</f>
        <v>Aurobindo Pharma Limited</v>
      </c>
      <c r="Y175"/>
      <c r="Z175"/>
      <c r="AA175"/>
      <c r="AB175"/>
      <c r="AC175"/>
    </row>
    <row r="176" spans="2:29" ht="15">
      <c r="B176" s="7" t="s">
        <v>812</v>
      </c>
      <c r="C176" s="10">
        <v>41522</v>
      </c>
      <c r="D176" s="10">
        <v>41522</v>
      </c>
      <c r="E176" s="18">
        <v>0</v>
      </c>
      <c r="F176" s="13" t="str">
        <f t="shared" si="13"/>
        <v>On-time</v>
      </c>
      <c r="G176" s="19" t="str">
        <f>_xlfn.XLOOKUP(B176,tblARV[ASN/DN '#],tblARV[Country],"Not found")</f>
        <v>Tanzania</v>
      </c>
      <c r="H176" s="19" t="str">
        <f>_xlfn.XLOOKUP($B176,tblARV[ASN/DN '#],tblARV[Fulfill Via],"Not found")</f>
        <v>Direct Drop</v>
      </c>
      <c r="I176" s="19" t="str">
        <f>_xlfn.XLOOKUP($B176,tblARV[ASN/DN '#],tblARV[Vendor],"Not found")</f>
        <v>MYLAN LABORATORIES LTD (FORMERLY MATRIX LABORATORIES)</v>
      </c>
      <c r="Y176"/>
      <c r="Z176"/>
      <c r="AA176"/>
      <c r="AB176"/>
      <c r="AC176"/>
    </row>
    <row r="177" spans="2:29" ht="15">
      <c r="B177" s="7" t="s">
        <v>921</v>
      </c>
      <c r="C177" s="10">
        <v>41481</v>
      </c>
      <c r="D177" s="10">
        <v>41481</v>
      </c>
      <c r="E177" s="18">
        <v>0</v>
      </c>
      <c r="F177" s="13" t="str">
        <f t="shared" si="13"/>
        <v>On-time</v>
      </c>
      <c r="G177" s="19" t="str">
        <f>_xlfn.XLOOKUP(B177,tblARV[ASN/DN '#],tblARV[Country],"Not found")</f>
        <v>Uganda</v>
      </c>
      <c r="H177" s="19" t="str">
        <f>_xlfn.XLOOKUP($B177,tblARV[ASN/DN '#],tblARV[Fulfill Via],"Not found")</f>
        <v>Direct Drop</v>
      </c>
      <c r="I177" s="19" t="str">
        <f>_xlfn.XLOOKUP($B177,tblARV[ASN/DN '#],tblARV[Vendor],"Not found")</f>
        <v>ABBVIE LOGISTICS (FORMERLY ABBOTT LOGISTICS BV)</v>
      </c>
      <c r="Y177"/>
      <c r="Z177"/>
      <c r="AA177"/>
      <c r="AB177"/>
      <c r="AC177"/>
    </row>
    <row r="178" spans="2:29" ht="15">
      <c r="B178" s="7" t="s">
        <v>188</v>
      </c>
      <c r="C178" s="10">
        <v>39651</v>
      </c>
      <c r="D178" s="10">
        <v>39651</v>
      </c>
      <c r="E178" s="18">
        <v>0</v>
      </c>
      <c r="F178" s="13" t="str">
        <f t="shared" si="13"/>
        <v>On-time</v>
      </c>
      <c r="G178" s="19" t="str">
        <f>_xlfn.XLOOKUP(B178,tblARV[ASN/DN '#],tblARV[Country],"Not found")</f>
        <v>Rwanda</v>
      </c>
      <c r="H178" s="19" t="str">
        <f>_xlfn.XLOOKUP($B178,tblARV[ASN/DN '#],tblARV[Fulfill Via],"Not found")</f>
        <v>Direct Drop</v>
      </c>
      <c r="I178" s="19" t="str">
        <f>_xlfn.XLOOKUP($B178,tblARV[ASN/DN '#],tblARV[Vendor],"Not found")</f>
        <v>Aurobindo Pharma Limited</v>
      </c>
      <c r="Y178"/>
      <c r="Z178"/>
      <c r="AA178"/>
      <c r="AB178"/>
      <c r="AC178"/>
    </row>
    <row r="179" spans="2:29" ht="15">
      <c r="B179" s="7" t="s">
        <v>111</v>
      </c>
      <c r="C179" s="10">
        <v>39652</v>
      </c>
      <c r="D179" s="10">
        <v>39651</v>
      </c>
      <c r="E179" s="18">
        <v>-1</v>
      </c>
      <c r="F179" s="13" t="str">
        <f t="shared" si="13"/>
        <v>On-time</v>
      </c>
      <c r="G179" s="19" t="str">
        <f>_xlfn.XLOOKUP(B179,tblARV[ASN/DN '#],tblARV[Country],"Not found")</f>
        <v>Rwanda</v>
      </c>
      <c r="H179" s="19" t="str">
        <f>_xlfn.XLOOKUP($B179,tblARV[ASN/DN '#],tblARV[Fulfill Via],"Not found")</f>
        <v>Direct Drop</v>
      </c>
      <c r="I179" s="19" t="str">
        <f>_xlfn.XLOOKUP($B179,tblARV[ASN/DN '#],tblARV[Vendor],"Not found")</f>
        <v>Aurobindo Pharma Limited</v>
      </c>
      <c r="Y179"/>
      <c r="Z179"/>
      <c r="AA179"/>
      <c r="AB179"/>
      <c r="AC179"/>
    </row>
    <row r="180" spans="2:29" ht="15">
      <c r="B180" s="7" t="s">
        <v>115</v>
      </c>
      <c r="C180" s="10">
        <v>39652</v>
      </c>
      <c r="D180" s="10">
        <v>39652</v>
      </c>
      <c r="E180" s="18">
        <v>0</v>
      </c>
      <c r="F180" s="13" t="str">
        <f t="shared" si="13"/>
        <v>On-time</v>
      </c>
      <c r="G180" s="19" t="str">
        <f>_xlfn.XLOOKUP(B180,tblARV[ASN/DN '#],tblARV[Country],"Not found")</f>
        <v>Rwanda</v>
      </c>
      <c r="H180" s="19" t="str">
        <f>_xlfn.XLOOKUP($B180,tblARV[ASN/DN '#],tblARV[Fulfill Via],"Not found")</f>
        <v>Direct Drop</v>
      </c>
      <c r="I180" s="19" t="str">
        <f>_xlfn.XLOOKUP($B180,tblARV[ASN/DN '#],tblARV[Vendor],"Not found")</f>
        <v>Aurobindo Pharma Limited</v>
      </c>
      <c r="Y180"/>
      <c r="Z180"/>
      <c r="AA180"/>
      <c r="AB180"/>
      <c r="AC180"/>
    </row>
    <row r="181" spans="2:29" ht="15">
      <c r="B181" s="7" t="s">
        <v>1333</v>
      </c>
      <c r="C181" s="10">
        <v>41541</v>
      </c>
      <c r="D181" s="10">
        <v>41541</v>
      </c>
      <c r="E181" s="18">
        <v>0</v>
      </c>
      <c r="F181" s="13" t="str">
        <f t="shared" si="13"/>
        <v>On-time</v>
      </c>
      <c r="G181" s="19" t="str">
        <f>_xlfn.XLOOKUP(B181,tblARV[ASN/DN '#],tblARV[Country],"Not found")</f>
        <v>Tanzania</v>
      </c>
      <c r="H181" s="19" t="str">
        <f>_xlfn.XLOOKUP($B181,tblARV[ASN/DN '#],tblARV[Fulfill Via],"Not found")</f>
        <v>Direct Drop</v>
      </c>
      <c r="I181" s="19" t="str">
        <f>_xlfn.XLOOKUP($B181,tblARV[ASN/DN '#],tblARV[Vendor],"Not found")</f>
        <v>Aurobindo Pharma Limited</v>
      </c>
      <c r="Y181"/>
      <c r="Z181"/>
      <c r="AA181"/>
      <c r="AB181"/>
      <c r="AC181"/>
    </row>
    <row r="182" spans="2:29" ht="15">
      <c r="B182" s="7" t="s">
        <v>1270</v>
      </c>
      <c r="C182" s="10">
        <v>41541</v>
      </c>
      <c r="D182" s="10">
        <v>41541</v>
      </c>
      <c r="E182" s="18">
        <v>0</v>
      </c>
      <c r="F182" s="13" t="str">
        <f t="shared" si="13"/>
        <v>On-time</v>
      </c>
      <c r="G182" s="19" t="str">
        <f>_xlfn.XLOOKUP(B182,tblARV[ASN/DN '#],tblARV[Country],"Not found")</f>
        <v>Tanzania</v>
      </c>
      <c r="H182" s="19" t="str">
        <f>_xlfn.XLOOKUP($B182,tblARV[ASN/DN '#],tblARV[Fulfill Via],"Not found")</f>
        <v>Direct Drop</v>
      </c>
      <c r="I182" s="19" t="str">
        <f>_xlfn.XLOOKUP($B182,tblARV[ASN/DN '#],tblARV[Vendor],"Not found")</f>
        <v>Aurobindo Pharma Limited</v>
      </c>
      <c r="Y182"/>
      <c r="Z182"/>
      <c r="AA182"/>
      <c r="AB182"/>
      <c r="AC182"/>
    </row>
    <row r="183" spans="2:29" ht="15">
      <c r="B183" s="7" t="s">
        <v>775</v>
      </c>
      <c r="C183" s="10">
        <v>41541</v>
      </c>
      <c r="D183" s="10">
        <v>41541</v>
      </c>
      <c r="E183" s="18">
        <v>0</v>
      </c>
      <c r="F183" s="13" t="str">
        <f t="shared" si="13"/>
        <v>On-time</v>
      </c>
      <c r="G183" s="19" t="str">
        <f>_xlfn.XLOOKUP(B183,tblARV[ASN/DN '#],tblARV[Country],"Not found")</f>
        <v>Tanzania</v>
      </c>
      <c r="H183" s="19" t="str">
        <f>_xlfn.XLOOKUP($B183,tblARV[ASN/DN '#],tblARV[Fulfill Via],"Not found")</f>
        <v>Direct Drop</v>
      </c>
      <c r="I183" s="19" t="str">
        <f>_xlfn.XLOOKUP($B183,tblARV[ASN/DN '#],tblARV[Vendor],"Not found")</f>
        <v>Aurobindo Pharma Limited</v>
      </c>
      <c r="Y183"/>
      <c r="Z183"/>
      <c r="AA183"/>
      <c r="AB183"/>
      <c r="AC183"/>
    </row>
    <row r="184" spans="2:29" ht="15">
      <c r="B184" s="7" t="s">
        <v>1481</v>
      </c>
      <c r="C184" s="10">
        <v>41541</v>
      </c>
      <c r="D184" s="10">
        <v>41544</v>
      </c>
      <c r="E184" s="18">
        <v>3</v>
      </c>
      <c r="F184" s="13" t="str">
        <f t="shared" si="13"/>
        <v>Late</v>
      </c>
      <c r="G184" s="19" t="str">
        <f>_xlfn.XLOOKUP(B184,tblARV[ASN/DN '#],tblARV[Country],"Not found")</f>
        <v>Tanzania</v>
      </c>
      <c r="H184" s="19" t="str">
        <f>_xlfn.XLOOKUP($B184,tblARV[ASN/DN '#],tblARV[Fulfill Via],"Not found")</f>
        <v>Direct Drop</v>
      </c>
      <c r="I184" s="19" t="str">
        <f>_xlfn.XLOOKUP($B184,tblARV[ASN/DN '#],tblARV[Vendor],"Not found")</f>
        <v>Aurobindo Pharma Limited</v>
      </c>
      <c r="Y184"/>
      <c r="Z184"/>
      <c r="AA184"/>
      <c r="AB184"/>
      <c r="AC184"/>
    </row>
    <row r="185" spans="2:29" ht="15">
      <c r="B185" s="7" t="s">
        <v>1209</v>
      </c>
      <c r="C185" s="10">
        <v>41502</v>
      </c>
      <c r="D185" s="10">
        <v>41502</v>
      </c>
      <c r="E185" s="18">
        <v>0</v>
      </c>
      <c r="F185" s="13" t="str">
        <f t="shared" si="13"/>
        <v>On-time</v>
      </c>
      <c r="G185" s="19" t="str">
        <f>_xlfn.XLOOKUP(B185,tblARV[ASN/DN '#],tblARV[Country],"Not found")</f>
        <v>Uganda</v>
      </c>
      <c r="H185" s="19" t="str">
        <f>_xlfn.XLOOKUP($B185,tblARV[ASN/DN '#],tblARV[Fulfill Via],"Not found")</f>
        <v>Direct Drop</v>
      </c>
      <c r="I185" s="19" t="str">
        <f>_xlfn.XLOOKUP($B185,tblARV[ASN/DN '#],tblARV[Vendor],"Not found")</f>
        <v>MYLAN LABORATORIES LTD (FORMERLY MATRIX LABORATORIES)</v>
      </c>
      <c r="Y185"/>
      <c r="Z185"/>
      <c r="AA185"/>
      <c r="AB185"/>
      <c r="AC185"/>
    </row>
    <row r="186" spans="2:29" ht="15">
      <c r="B186" s="7" t="s">
        <v>1393</v>
      </c>
      <c r="C186" s="10">
        <v>41505</v>
      </c>
      <c r="D186" s="10">
        <v>41505</v>
      </c>
      <c r="E186" s="18">
        <v>0</v>
      </c>
      <c r="F186" s="13" t="str">
        <f t="shared" si="13"/>
        <v>On-time</v>
      </c>
      <c r="G186" s="19" t="str">
        <f>_xlfn.XLOOKUP(B186,tblARV[ASN/DN '#],tblARV[Country],"Not found")</f>
        <v>Uganda</v>
      </c>
      <c r="H186" s="19" t="str">
        <f>_xlfn.XLOOKUP($B186,tblARV[ASN/DN '#],tblARV[Fulfill Via],"Not found")</f>
        <v>Direct Drop</v>
      </c>
      <c r="I186" s="19" t="str">
        <f>_xlfn.XLOOKUP($B186,tblARV[ASN/DN '#],tblARV[Vendor],"Not found")</f>
        <v>MICRO LABS LIMITED</v>
      </c>
      <c r="Y186"/>
      <c r="Z186"/>
      <c r="AA186"/>
      <c r="AB186"/>
      <c r="AC186"/>
    </row>
    <row r="187" spans="2:29" ht="15">
      <c r="B187" s="7" t="s">
        <v>1062</v>
      </c>
      <c r="C187" s="10">
        <v>41515</v>
      </c>
      <c r="D187" s="10">
        <v>41515</v>
      </c>
      <c r="E187" s="18">
        <v>0</v>
      </c>
      <c r="F187" s="13" t="str">
        <f t="shared" si="13"/>
        <v>On-time</v>
      </c>
      <c r="G187" s="19" t="str">
        <f>_xlfn.XLOOKUP(B187,tblARV[ASN/DN '#],tblARV[Country],"Not found")</f>
        <v>Uganda</v>
      </c>
      <c r="H187" s="19" t="str">
        <f>_xlfn.XLOOKUP($B187,tblARV[ASN/DN '#],tblARV[Fulfill Via],"Not found")</f>
        <v>Direct Drop</v>
      </c>
      <c r="I187" s="19" t="str">
        <f>_xlfn.XLOOKUP($B187,tblARV[ASN/DN '#],tblARV[Vendor],"Not found")</f>
        <v>MYLAN LABORATORIES LTD (FORMERLY MATRIX LABORATORIES)</v>
      </c>
      <c r="Y187"/>
      <c r="Z187"/>
      <c r="AA187"/>
      <c r="AB187"/>
      <c r="AC187"/>
    </row>
    <row r="188" spans="2:29" ht="15">
      <c r="B188" s="7" t="s">
        <v>1082</v>
      </c>
      <c r="C188" s="10">
        <v>41551</v>
      </c>
      <c r="D188" s="10">
        <v>41551</v>
      </c>
      <c r="E188" s="18">
        <v>0</v>
      </c>
      <c r="F188" s="13" t="str">
        <f t="shared" si="13"/>
        <v>On-time</v>
      </c>
      <c r="G188" s="19" t="str">
        <f>_xlfn.XLOOKUP(B188,tblARV[ASN/DN '#],tblARV[Country],"Not found")</f>
        <v>Tanzania</v>
      </c>
      <c r="H188" s="19" t="str">
        <f>_xlfn.XLOOKUP($B188,tblARV[ASN/DN '#],tblARV[Fulfill Via],"Not found")</f>
        <v>Direct Drop</v>
      </c>
      <c r="I188" s="19" t="str">
        <f>_xlfn.XLOOKUP($B188,tblARV[ASN/DN '#],tblARV[Vendor],"Not found")</f>
        <v>MYLAN LABORATORIES LTD (FORMERLY MATRIX LABORATORIES)</v>
      </c>
      <c r="Y188"/>
      <c r="Z188"/>
      <c r="AA188"/>
      <c r="AB188"/>
      <c r="AC188"/>
    </row>
    <row r="189" spans="2:29" ht="15">
      <c r="B189" s="7" t="s">
        <v>1236</v>
      </c>
      <c r="C189" s="10">
        <v>41570</v>
      </c>
      <c r="D189" s="10">
        <v>41570</v>
      </c>
      <c r="E189" s="18">
        <v>0</v>
      </c>
      <c r="F189" s="13" t="str">
        <f t="shared" si="13"/>
        <v>On-time</v>
      </c>
      <c r="G189" s="19" t="str">
        <f>_xlfn.XLOOKUP(B189,tblARV[ASN/DN '#],tblARV[Country],"Not found")</f>
        <v>Tanzania</v>
      </c>
      <c r="H189" s="19" t="str">
        <f>_xlfn.XLOOKUP($B189,tblARV[ASN/DN '#],tblARV[Fulfill Via],"Not found")</f>
        <v>Direct Drop</v>
      </c>
      <c r="I189" s="19" t="str">
        <f>_xlfn.XLOOKUP($B189,tblARV[ASN/DN '#],tblARV[Vendor],"Not found")</f>
        <v>MYLAN LABORATORIES LTD (FORMERLY MATRIX LABORATORIES)</v>
      </c>
      <c r="Y189"/>
      <c r="Z189"/>
      <c r="AA189"/>
      <c r="AB189"/>
      <c r="AC189"/>
    </row>
    <row r="190" spans="2:29" ht="15">
      <c r="B190" s="7" t="s">
        <v>1290</v>
      </c>
      <c r="C190" s="10">
        <v>41570</v>
      </c>
      <c r="D190" s="10">
        <v>41570</v>
      </c>
      <c r="E190" s="18">
        <v>0</v>
      </c>
      <c r="F190" s="13" t="str">
        <f t="shared" si="13"/>
        <v>On-time</v>
      </c>
      <c r="G190" s="19" t="str">
        <f>_xlfn.XLOOKUP(B190,tblARV[ASN/DN '#],tblARV[Country],"Not found")</f>
        <v>Tanzania</v>
      </c>
      <c r="H190" s="19" t="str">
        <f>_xlfn.XLOOKUP($B190,tblARV[ASN/DN '#],tblARV[Fulfill Via],"Not found")</f>
        <v>Direct Drop</v>
      </c>
      <c r="I190" s="19" t="str">
        <f>_xlfn.XLOOKUP($B190,tblARV[ASN/DN '#],tblARV[Vendor],"Not found")</f>
        <v>MYLAN LABORATORIES LTD (FORMERLY MATRIX LABORATORIES)</v>
      </c>
      <c r="Y190"/>
      <c r="Z190"/>
      <c r="AA190"/>
      <c r="AB190"/>
      <c r="AC190"/>
    </row>
    <row r="191" spans="2:29" ht="15">
      <c r="B191" s="7" t="s">
        <v>1292</v>
      </c>
      <c r="C191" s="10">
        <v>41531</v>
      </c>
      <c r="D191" s="10">
        <v>41531</v>
      </c>
      <c r="E191" s="18">
        <v>0</v>
      </c>
      <c r="F191" s="13" t="str">
        <f t="shared" si="13"/>
        <v>On-time</v>
      </c>
      <c r="G191" s="19" t="str">
        <f>_xlfn.XLOOKUP(B191,tblARV[ASN/DN '#],tblARV[Country],"Not found")</f>
        <v>Uganda</v>
      </c>
      <c r="H191" s="19" t="str">
        <f>_xlfn.XLOOKUP($B191,tblARV[ASN/DN '#],tblARV[Fulfill Via],"Not found")</f>
        <v>Direct Drop</v>
      </c>
      <c r="I191" s="19" t="str">
        <f>_xlfn.XLOOKUP($B191,tblARV[ASN/DN '#],tblARV[Vendor],"Not found")</f>
        <v>STRIDES ARCOLAB LIMITED</v>
      </c>
      <c r="Y191"/>
      <c r="Z191"/>
      <c r="AA191"/>
      <c r="AB191"/>
      <c r="AC191"/>
    </row>
    <row r="192" spans="2:29" ht="15">
      <c r="B192" s="7" t="s">
        <v>1413</v>
      </c>
      <c r="C192" s="10">
        <v>41540</v>
      </c>
      <c r="D192" s="10">
        <v>41540</v>
      </c>
      <c r="E192" s="18">
        <v>0</v>
      </c>
      <c r="F192" s="13" t="str">
        <f t="shared" si="13"/>
        <v>On-time</v>
      </c>
      <c r="G192" s="19" t="str">
        <f>_xlfn.XLOOKUP(B192,tblARV[ASN/DN '#],tblARV[Country],"Not found")</f>
        <v>Uganda</v>
      </c>
      <c r="H192" s="19" t="str">
        <f>_xlfn.XLOOKUP($B192,tblARV[ASN/DN '#],tblARV[Fulfill Via],"Not found")</f>
        <v>Direct Drop</v>
      </c>
      <c r="I192" s="19" t="str">
        <f>_xlfn.XLOOKUP($B192,tblARV[ASN/DN '#],tblARV[Vendor],"Not found")</f>
        <v>ABBVIE LOGISTICS (FORMERLY ABBOTT LOGISTICS BV)</v>
      </c>
      <c r="Y192"/>
      <c r="Z192"/>
      <c r="AA192"/>
      <c r="AB192"/>
      <c r="AC192"/>
    </row>
    <row r="193" spans="2:29" ht="15">
      <c r="B193" s="7" t="s">
        <v>962</v>
      </c>
      <c r="C193" s="10">
        <v>41531</v>
      </c>
      <c r="D193" s="10">
        <v>41531</v>
      </c>
      <c r="E193" s="18">
        <v>0</v>
      </c>
      <c r="F193" s="13" t="str">
        <f t="shared" si="13"/>
        <v>On-time</v>
      </c>
      <c r="G193" s="19" t="str">
        <f>_xlfn.XLOOKUP(B193,tblARV[ASN/DN '#],tblARV[Country],"Not found")</f>
        <v>Uganda</v>
      </c>
      <c r="H193" s="19" t="str">
        <f>_xlfn.XLOOKUP($B193,tblARV[ASN/DN '#],tblARV[Fulfill Via],"Not found")</f>
        <v>Direct Drop</v>
      </c>
      <c r="I193" s="19" t="str">
        <f>_xlfn.XLOOKUP($B193,tblARV[ASN/DN '#],tblARV[Vendor],"Not found")</f>
        <v>HETERO LABS LIMITED</v>
      </c>
      <c r="Y193"/>
      <c r="Z193"/>
      <c r="AA193"/>
      <c r="AB193"/>
      <c r="AC193"/>
    </row>
    <row r="194" spans="2:29" ht="15">
      <c r="B194" s="7" t="s">
        <v>942</v>
      </c>
      <c r="C194" s="10">
        <v>41551</v>
      </c>
      <c r="D194" s="10">
        <v>41551</v>
      </c>
      <c r="E194" s="18">
        <v>0</v>
      </c>
      <c r="F194" s="13" t="str">
        <f t="shared" si="13"/>
        <v>On-time</v>
      </c>
      <c r="G194" s="19" t="str">
        <f>_xlfn.XLOOKUP(B194,tblARV[ASN/DN '#],tblARV[Country],"Not found")</f>
        <v>Tanzania</v>
      </c>
      <c r="H194" s="19" t="str">
        <f>_xlfn.XLOOKUP($B194,tblARV[ASN/DN '#],tblARV[Fulfill Via],"Not found")</f>
        <v>Direct Drop</v>
      </c>
      <c r="I194" s="19" t="str">
        <f>_xlfn.XLOOKUP($B194,tblARV[ASN/DN '#],tblARV[Vendor],"Not found")</f>
        <v>CIPLA LIMITED</v>
      </c>
      <c r="Y194"/>
      <c r="Z194"/>
      <c r="AA194"/>
      <c r="AB194"/>
      <c r="AC194"/>
    </row>
    <row r="195" spans="2:29" ht="15">
      <c r="B195" s="7" t="s">
        <v>1163</v>
      </c>
      <c r="C195" s="10">
        <v>41584</v>
      </c>
      <c r="D195" s="10">
        <v>41584</v>
      </c>
      <c r="E195" s="18">
        <v>0</v>
      </c>
      <c r="F195" s="13" t="str">
        <f t="shared" si="13"/>
        <v>On-time</v>
      </c>
      <c r="G195" s="19" t="str">
        <f>_xlfn.XLOOKUP(B195,tblARV[ASN/DN '#],tblARV[Country],"Not found")</f>
        <v>Uganda</v>
      </c>
      <c r="H195" s="19" t="str">
        <f>_xlfn.XLOOKUP($B195,tblARV[ASN/DN '#],tblARV[Fulfill Via],"Not found")</f>
        <v>Direct Drop</v>
      </c>
      <c r="I195" s="19" t="str">
        <f>_xlfn.XLOOKUP($B195,tblARV[ASN/DN '#],tblARV[Vendor],"Not found")</f>
        <v>MYLAN LABORATORIES LTD (FORMERLY MATRIX LABORATORIES)</v>
      </c>
      <c r="Y195"/>
      <c r="Z195"/>
      <c r="AA195"/>
      <c r="AB195"/>
      <c r="AC195"/>
    </row>
    <row r="196" spans="2:29" ht="15">
      <c r="B196" s="7" t="s">
        <v>66</v>
      </c>
      <c r="C196" s="10">
        <v>39693</v>
      </c>
      <c r="D196" s="10">
        <v>39693</v>
      </c>
      <c r="E196" s="18">
        <v>0</v>
      </c>
      <c r="F196" s="13" t="str">
        <f t="shared" si="13"/>
        <v>On-time</v>
      </c>
      <c r="G196" s="19" t="str">
        <f>_xlfn.XLOOKUP(B196,tblARV[ASN/DN '#],tblARV[Country],"Not found")</f>
        <v>Tanzania</v>
      </c>
      <c r="H196" s="19" t="str">
        <f>_xlfn.XLOOKUP($B196,tblARV[ASN/DN '#],tblARV[Fulfill Via],"Not found")</f>
        <v>Direct Drop</v>
      </c>
      <c r="I196" s="19" t="str">
        <f>_xlfn.XLOOKUP($B196,tblARV[ASN/DN '#],tblARV[Vendor],"Not found")</f>
        <v>BRISTOL-MYERS SQUIBB</v>
      </c>
      <c r="Y196"/>
      <c r="Z196"/>
      <c r="AA196"/>
      <c r="AB196"/>
      <c r="AC196"/>
    </row>
    <row r="197" spans="2:29" ht="15">
      <c r="B197" s="7" t="s">
        <v>1032</v>
      </c>
      <c r="C197" s="10">
        <v>41550</v>
      </c>
      <c r="D197" s="10">
        <v>41550</v>
      </c>
      <c r="E197" s="18">
        <v>0</v>
      </c>
      <c r="F197" s="13" t="str">
        <f t="shared" si="13"/>
        <v>On-time</v>
      </c>
      <c r="G197" s="19" t="str">
        <f>_xlfn.XLOOKUP(B197,tblARV[ASN/DN '#],tblARV[Country],"Not found")</f>
        <v>Uganda</v>
      </c>
      <c r="H197" s="19" t="str">
        <f>_xlfn.XLOOKUP($B197,tblARV[ASN/DN '#],tblARV[Fulfill Via],"Not found")</f>
        <v>Direct Drop</v>
      </c>
      <c r="I197" s="19" t="str">
        <f>_xlfn.XLOOKUP($B197,tblARV[ASN/DN '#],tblARV[Vendor],"Not found")</f>
        <v>CIPLA LIMITED</v>
      </c>
      <c r="Y197"/>
      <c r="Z197"/>
      <c r="AA197"/>
      <c r="AB197"/>
      <c r="AC197"/>
    </row>
    <row r="198" spans="2:29" ht="15">
      <c r="B198" s="7" t="s">
        <v>1269</v>
      </c>
      <c r="C198" s="10">
        <v>41550</v>
      </c>
      <c r="D198" s="10">
        <v>41550</v>
      </c>
      <c r="E198" s="18">
        <v>0</v>
      </c>
      <c r="F198" s="13" t="str">
        <f t="shared" si="13"/>
        <v>On-time</v>
      </c>
      <c r="G198" s="19" t="str">
        <f>_xlfn.XLOOKUP(B198,tblARV[ASN/DN '#],tblARV[Country],"Not found")</f>
        <v>Uganda</v>
      </c>
      <c r="H198" s="19" t="str">
        <f>_xlfn.XLOOKUP($B198,tblARV[ASN/DN '#],tblARV[Fulfill Via],"Not found")</f>
        <v>Direct Drop</v>
      </c>
      <c r="I198" s="19" t="str">
        <f>_xlfn.XLOOKUP($B198,tblARV[ASN/DN '#],tblARV[Vendor],"Not found")</f>
        <v>CIPLA LIMITED</v>
      </c>
      <c r="Y198"/>
      <c r="Z198"/>
      <c r="AA198"/>
      <c r="AB198"/>
      <c r="AC198"/>
    </row>
    <row r="199" spans="2:29" ht="15">
      <c r="B199" s="7" t="s">
        <v>1205</v>
      </c>
      <c r="C199" s="10">
        <v>41586</v>
      </c>
      <c r="D199" s="10">
        <v>41586</v>
      </c>
      <c r="E199" s="18">
        <v>0</v>
      </c>
      <c r="F199" s="13" t="str">
        <f t="shared" si="13"/>
        <v>On-time</v>
      </c>
      <c r="G199" s="19" t="str">
        <f>_xlfn.XLOOKUP(B199,tblARV[ASN/DN '#],tblARV[Country],"Not found")</f>
        <v>Uganda</v>
      </c>
      <c r="H199" s="19" t="str">
        <f>_xlfn.XLOOKUP($B199,tblARV[ASN/DN '#],tblARV[Fulfill Via],"Not found")</f>
        <v>Direct Drop</v>
      </c>
      <c r="I199" s="19" t="str">
        <f>_xlfn.XLOOKUP($B199,tblARV[ASN/DN '#],tblARV[Vendor],"Not found")</f>
        <v>STRIDES ARCOLAB LIMITED</v>
      </c>
      <c r="Y199"/>
      <c r="Z199"/>
      <c r="AA199"/>
      <c r="AB199"/>
      <c r="AC199"/>
    </row>
    <row r="200" spans="2:29" ht="15">
      <c r="B200" s="7" t="s">
        <v>1386</v>
      </c>
      <c r="C200" s="10">
        <v>41586</v>
      </c>
      <c r="D200" s="10">
        <v>41586</v>
      </c>
      <c r="E200" s="18">
        <v>0</v>
      </c>
      <c r="F200" s="13" t="str">
        <f t="shared" si="13"/>
        <v>On-time</v>
      </c>
      <c r="G200" s="19" t="str">
        <f>_xlfn.XLOOKUP(B200,tblARV[ASN/DN '#],tblARV[Country],"Not found")</f>
        <v>Uganda</v>
      </c>
      <c r="H200" s="19" t="str">
        <f>_xlfn.XLOOKUP($B200,tblARV[ASN/DN '#],tblARV[Fulfill Via],"Not found")</f>
        <v>Direct Drop</v>
      </c>
      <c r="I200" s="19" t="str">
        <f>_xlfn.XLOOKUP($B200,tblARV[ASN/DN '#],tblARV[Vendor],"Not found")</f>
        <v>STRIDES ARCOLAB LIMITED</v>
      </c>
      <c r="Y200"/>
      <c r="Z200"/>
      <c r="AA200"/>
      <c r="AB200"/>
      <c r="AC200"/>
    </row>
    <row r="201" spans="2:29" ht="15">
      <c r="B201" s="7" t="s">
        <v>1497</v>
      </c>
      <c r="C201" s="10">
        <v>41585</v>
      </c>
      <c r="D201" s="10">
        <v>41585</v>
      </c>
      <c r="E201" s="18">
        <v>0</v>
      </c>
      <c r="F201" s="13" t="str">
        <f t="shared" si="13"/>
        <v>On-time</v>
      </c>
      <c r="G201" s="19" t="str">
        <f>_xlfn.XLOOKUP(B201,tblARV[ASN/DN '#],tblARV[Country],"Not found")</f>
        <v>Uganda</v>
      </c>
      <c r="H201" s="19" t="str">
        <f>_xlfn.XLOOKUP($B201,tblARV[ASN/DN '#],tblARV[Fulfill Via],"Not found")</f>
        <v>Direct Drop</v>
      </c>
      <c r="I201" s="19" t="str">
        <f>_xlfn.XLOOKUP($B201,tblARV[ASN/DN '#],tblARV[Vendor],"Not found")</f>
        <v>STRIDES ARCOLAB LIMITED</v>
      </c>
      <c r="Y201"/>
      <c r="Z201"/>
      <c r="AA201"/>
      <c r="AB201"/>
      <c r="AC201"/>
    </row>
    <row r="202" spans="2:29" ht="15">
      <c r="B202" s="7" t="s">
        <v>845</v>
      </c>
      <c r="C202" s="10">
        <v>41599</v>
      </c>
      <c r="D202" s="10">
        <v>41599</v>
      </c>
      <c r="E202" s="18">
        <v>0</v>
      </c>
      <c r="F202" s="13" t="str">
        <f t="shared" si="13"/>
        <v>On-time</v>
      </c>
      <c r="G202" s="19" t="str">
        <f>_xlfn.XLOOKUP(B202,tblARV[ASN/DN '#],tblARV[Country],"Not found")</f>
        <v>Tanzania</v>
      </c>
      <c r="H202" s="19" t="str">
        <f>_xlfn.XLOOKUP($B202,tblARV[ASN/DN '#],tblARV[Fulfill Via],"Not found")</f>
        <v>Direct Drop</v>
      </c>
      <c r="I202" s="19" t="str">
        <f>_xlfn.XLOOKUP($B202,tblARV[ASN/DN '#],tblARV[Vendor],"Not found")</f>
        <v>HETERO LABS LIMITED</v>
      </c>
      <c r="Y202"/>
      <c r="Z202"/>
      <c r="AA202"/>
      <c r="AB202"/>
      <c r="AC202"/>
    </row>
    <row r="203" spans="2:29" ht="15">
      <c r="B203" s="7" t="s">
        <v>1454</v>
      </c>
      <c r="C203" s="10">
        <v>41626</v>
      </c>
      <c r="D203" s="10">
        <v>41626</v>
      </c>
      <c r="E203" s="18">
        <v>0</v>
      </c>
      <c r="F203" s="13" t="str">
        <f t="shared" si="13"/>
        <v>On-time</v>
      </c>
      <c r="G203" s="19" t="str">
        <f>_xlfn.XLOOKUP(B203,tblARV[ASN/DN '#],tblARV[Country],"Not found")</f>
        <v>Uganda</v>
      </c>
      <c r="H203" s="19" t="str">
        <f>_xlfn.XLOOKUP($B203,tblARV[ASN/DN '#],tblARV[Fulfill Via],"Not found")</f>
        <v>Direct Drop</v>
      </c>
      <c r="I203" s="19" t="str">
        <f>_xlfn.XLOOKUP($B203,tblARV[ASN/DN '#],tblARV[Vendor],"Not found")</f>
        <v>MYLAN LABORATORIES LTD (FORMERLY MATRIX LABORATORIES)</v>
      </c>
      <c r="Y203"/>
      <c r="Z203"/>
      <c r="AA203"/>
      <c r="AB203"/>
      <c r="AC203"/>
    </row>
    <row r="204" spans="2:29" ht="15">
      <c r="B204" s="7" t="s">
        <v>1234</v>
      </c>
      <c r="C204" s="10">
        <v>41599</v>
      </c>
      <c r="D204" s="10">
        <v>41599</v>
      </c>
      <c r="E204" s="18">
        <v>0</v>
      </c>
      <c r="F204" s="13" t="str">
        <f t="shared" si="13"/>
        <v>On-time</v>
      </c>
      <c r="G204" s="19" t="str">
        <f>_xlfn.XLOOKUP(B204,tblARV[ASN/DN '#],tblARV[Country],"Not found")</f>
        <v>Tanzania</v>
      </c>
      <c r="H204" s="19" t="str">
        <f>_xlfn.XLOOKUP($B204,tblARV[ASN/DN '#],tblARV[Fulfill Via],"Not found")</f>
        <v>Direct Drop</v>
      </c>
      <c r="I204" s="19" t="str">
        <f>_xlfn.XLOOKUP($B204,tblARV[ASN/DN '#],tblARV[Vendor],"Not found")</f>
        <v>ABBVIE LOGISTICS (FORMERLY ABBOTT LOGISTICS BV)</v>
      </c>
      <c r="Y204"/>
      <c r="Z204"/>
      <c r="AA204"/>
      <c r="AB204"/>
      <c r="AC204"/>
    </row>
    <row r="205" spans="2:29" ht="15">
      <c r="B205" s="7" t="s">
        <v>1422</v>
      </c>
      <c r="C205" s="10">
        <v>41575</v>
      </c>
      <c r="D205" s="10">
        <v>41575</v>
      </c>
      <c r="E205" s="18">
        <v>0</v>
      </c>
      <c r="F205" s="13" t="str">
        <f t="shared" si="13"/>
        <v>On-time</v>
      </c>
      <c r="G205" s="19" t="str">
        <f>_xlfn.XLOOKUP(B205,tblARV[ASN/DN '#],tblARV[Country],"Not found")</f>
        <v>Uganda</v>
      </c>
      <c r="H205" s="19" t="str">
        <f>_xlfn.XLOOKUP($B205,tblARV[ASN/DN '#],tblARV[Fulfill Via],"Not found")</f>
        <v>Direct Drop</v>
      </c>
      <c r="I205" s="19" t="str">
        <f>_xlfn.XLOOKUP($B205,tblARV[ASN/DN '#],tblARV[Vendor],"Not found")</f>
        <v>MYLAN LABORATORIES LTD (FORMERLY MATRIX LABORATORIES)</v>
      </c>
      <c r="Y205"/>
      <c r="Z205"/>
      <c r="AA205"/>
      <c r="AB205"/>
      <c r="AC205"/>
    </row>
    <row r="206" spans="2:29" ht="15">
      <c r="B206" s="7" t="s">
        <v>1255</v>
      </c>
      <c r="C206" s="10">
        <v>41577</v>
      </c>
      <c r="D206" s="10">
        <v>41577</v>
      </c>
      <c r="E206" s="18">
        <v>0</v>
      </c>
      <c r="F206" s="13" t="str">
        <f t="shared" si="13"/>
        <v>On-time</v>
      </c>
      <c r="G206" s="19" t="str">
        <f>_xlfn.XLOOKUP(B206,tblARV[ASN/DN '#],tblARV[Country],"Not found")</f>
        <v>Uganda</v>
      </c>
      <c r="H206" s="19" t="str">
        <f>_xlfn.XLOOKUP($B206,tblARV[ASN/DN '#],tblARV[Fulfill Via],"Not found")</f>
        <v>Direct Drop</v>
      </c>
      <c r="I206" s="19" t="str">
        <f>_xlfn.XLOOKUP($B206,tblARV[ASN/DN '#],tblARV[Vendor],"Not found")</f>
        <v>CIPLA LIMITED</v>
      </c>
      <c r="Y206"/>
      <c r="Z206"/>
      <c r="AA206"/>
      <c r="AB206"/>
      <c r="AC206"/>
    </row>
    <row r="207" spans="2:29" ht="15">
      <c r="B207" s="7" t="s">
        <v>1222</v>
      </c>
      <c r="C207" s="10">
        <v>41599</v>
      </c>
      <c r="D207" s="10">
        <v>41599</v>
      </c>
      <c r="E207" s="18">
        <v>0</v>
      </c>
      <c r="F207" s="13" t="str">
        <f t="shared" si="13"/>
        <v>On-time</v>
      </c>
      <c r="G207" s="19" t="str">
        <f>_xlfn.XLOOKUP(B207,tblARV[ASN/DN '#],tblARV[Country],"Not found")</f>
        <v>Tanzania</v>
      </c>
      <c r="H207" s="19" t="str">
        <f>_xlfn.XLOOKUP($B207,tblARV[ASN/DN '#],tblARV[Fulfill Via],"Not found")</f>
        <v>Direct Drop</v>
      </c>
      <c r="I207" s="19" t="str">
        <f>_xlfn.XLOOKUP($B207,tblARV[ASN/DN '#],tblARV[Vendor],"Not found")</f>
        <v>Aurobindo Pharma Limited</v>
      </c>
      <c r="Y207"/>
      <c r="Z207"/>
      <c r="AA207"/>
      <c r="AB207"/>
      <c r="AC207"/>
    </row>
    <row r="208" spans="2:29" ht="15">
      <c r="B208" s="7" t="s">
        <v>1355</v>
      </c>
      <c r="C208" s="10">
        <v>41591</v>
      </c>
      <c r="D208" s="10">
        <v>41591</v>
      </c>
      <c r="E208" s="18">
        <v>0</v>
      </c>
      <c r="F208" s="13" t="str">
        <f t="shared" si="13"/>
        <v>On-time</v>
      </c>
      <c r="G208" s="19" t="str">
        <f>_xlfn.XLOOKUP(B208,tblARV[ASN/DN '#],tblARV[Country],"Not found")</f>
        <v>Tanzania</v>
      </c>
      <c r="H208" s="19" t="str">
        <f>_xlfn.XLOOKUP($B208,tblARV[ASN/DN '#],tblARV[Fulfill Via],"Not found")</f>
        <v>Direct Drop</v>
      </c>
      <c r="I208" s="19" t="str">
        <f>_xlfn.XLOOKUP($B208,tblARV[ASN/DN '#],tblARV[Vendor],"Not found")</f>
        <v>Aurobindo Pharma Limited</v>
      </c>
      <c r="Y208"/>
      <c r="Z208"/>
      <c r="AA208"/>
      <c r="AB208"/>
      <c r="AC208"/>
    </row>
    <row r="209" spans="2:29" ht="15">
      <c r="B209" s="7" t="s">
        <v>1245</v>
      </c>
      <c r="C209" s="10">
        <v>41599</v>
      </c>
      <c r="D209" s="10">
        <v>41599</v>
      </c>
      <c r="E209" s="18">
        <v>0</v>
      </c>
      <c r="F209" s="13" t="str">
        <f t="shared" si="13"/>
        <v>On-time</v>
      </c>
      <c r="G209" s="19" t="str">
        <f>_xlfn.XLOOKUP(B209,tblARV[ASN/DN '#],tblARV[Country],"Not found")</f>
        <v>Tanzania</v>
      </c>
      <c r="H209" s="19" t="str">
        <f>_xlfn.XLOOKUP($B209,tblARV[ASN/DN '#],tblARV[Fulfill Via],"Not found")</f>
        <v>Direct Drop</v>
      </c>
      <c r="I209" s="19" t="str">
        <f>_xlfn.XLOOKUP($B209,tblARV[ASN/DN '#],tblARV[Vendor],"Not found")</f>
        <v>ABBVIE LOGISTICS (FORMERLY ABBOTT LOGISTICS BV)</v>
      </c>
      <c r="Y209"/>
      <c r="Z209"/>
      <c r="AA209"/>
      <c r="AB209"/>
      <c r="AC209"/>
    </row>
    <row r="210" spans="2:29" ht="15">
      <c r="B210" s="7" t="s">
        <v>1199</v>
      </c>
      <c r="C210" s="10">
        <v>41566</v>
      </c>
      <c r="D210" s="10">
        <v>41566</v>
      </c>
      <c r="E210" s="18">
        <v>0</v>
      </c>
      <c r="F210" s="13" t="str">
        <f t="shared" si="13"/>
        <v>On-time</v>
      </c>
      <c r="G210" s="19" t="str">
        <f>_xlfn.XLOOKUP(B210,tblARV[ASN/DN '#],tblARV[Country],"Not found")</f>
        <v>Rwanda</v>
      </c>
      <c r="H210" s="19" t="str">
        <f>_xlfn.XLOOKUP($B210,tblARV[ASN/DN '#],tblARV[Fulfill Via],"Not found")</f>
        <v>Direct Drop</v>
      </c>
      <c r="I210" s="19" t="str">
        <f>_xlfn.XLOOKUP($B210,tblARV[ASN/DN '#],tblARV[Vendor],"Not found")</f>
        <v>MERCK SHARP &amp; DOHME IDEA GMBH (FORMALLY MERCK SHARP &amp; DOHME B.V.)</v>
      </c>
      <c r="Y210"/>
      <c r="Z210"/>
      <c r="AA210"/>
      <c r="AB210"/>
      <c r="AC210"/>
    </row>
    <row r="211" spans="2:29" ht="15">
      <c r="B211" s="7" t="s">
        <v>1310</v>
      </c>
      <c r="C211" s="10">
        <v>41594</v>
      </c>
      <c r="D211" s="10">
        <v>41594</v>
      </c>
      <c r="E211" s="18">
        <v>0</v>
      </c>
      <c r="F211" s="13" t="str">
        <f t="shared" si="13"/>
        <v>On-time</v>
      </c>
      <c r="G211" s="19" t="str">
        <f>_xlfn.XLOOKUP(B211,tblARV[ASN/DN '#],tblARV[Country],"Not found")</f>
        <v>Uganda</v>
      </c>
      <c r="H211" s="19" t="str">
        <f>_xlfn.XLOOKUP($B211,tblARV[ASN/DN '#],tblARV[Fulfill Via],"Not found")</f>
        <v>Direct Drop</v>
      </c>
      <c r="I211" s="19" t="str">
        <f>_xlfn.XLOOKUP($B211,tblARV[ASN/DN '#],tblARV[Vendor],"Not found")</f>
        <v>CIPLA LIMITED</v>
      </c>
      <c r="Y211"/>
      <c r="Z211"/>
      <c r="AA211"/>
      <c r="AB211"/>
      <c r="AC211"/>
    </row>
    <row r="212" spans="2:29" ht="15">
      <c r="B212" s="7" t="s">
        <v>850</v>
      </c>
      <c r="C212" s="10">
        <v>41594</v>
      </c>
      <c r="D212" s="10">
        <v>41594</v>
      </c>
      <c r="E212" s="18">
        <v>0</v>
      </c>
      <c r="F212" s="13" t="str">
        <f t="shared" si="13"/>
        <v>On-time</v>
      </c>
      <c r="G212" s="19" t="str">
        <f>_xlfn.XLOOKUP(B212,tblARV[ASN/DN '#],tblARV[Country],"Not found")</f>
        <v>Uganda</v>
      </c>
      <c r="H212" s="19" t="str">
        <f>_xlfn.XLOOKUP($B212,tblARV[ASN/DN '#],tblARV[Fulfill Via],"Not found")</f>
        <v>Direct Drop</v>
      </c>
      <c r="I212" s="19" t="str">
        <f>_xlfn.XLOOKUP($B212,tblARV[ASN/DN '#],tblARV[Vendor],"Not found")</f>
        <v>CIPLA LIMITED</v>
      </c>
      <c r="Y212"/>
      <c r="Z212"/>
      <c r="AA212"/>
      <c r="AB212"/>
      <c r="AC212"/>
    </row>
    <row r="213" spans="2:29" ht="15">
      <c r="B213" s="7" t="s">
        <v>1260</v>
      </c>
      <c r="C213" s="10">
        <v>41594</v>
      </c>
      <c r="D213" s="10">
        <v>41594</v>
      </c>
      <c r="E213" s="18">
        <v>0</v>
      </c>
      <c r="F213" s="13" t="str">
        <f t="shared" ref="F213:F276" si="14">IF($E213&lt;=0,"On-time","Late")</f>
        <v>On-time</v>
      </c>
      <c r="G213" s="19" t="str">
        <f>_xlfn.XLOOKUP(B213,tblARV[ASN/DN '#],tblARV[Country],"Not found")</f>
        <v>Uganda</v>
      </c>
      <c r="H213" s="19" t="str">
        <f>_xlfn.XLOOKUP($B213,tblARV[ASN/DN '#],tblARV[Fulfill Via],"Not found")</f>
        <v>Direct Drop</v>
      </c>
      <c r="I213" s="19" t="str">
        <f>_xlfn.XLOOKUP($B213,tblARV[ASN/DN '#],tblARV[Vendor],"Not found")</f>
        <v>CIPLA LIMITED</v>
      </c>
      <c r="Y213"/>
      <c r="Z213"/>
      <c r="AA213"/>
      <c r="AB213"/>
      <c r="AC213"/>
    </row>
    <row r="214" spans="2:29" ht="15">
      <c r="B214" s="7" t="s">
        <v>858</v>
      </c>
      <c r="C214" s="10">
        <v>41594</v>
      </c>
      <c r="D214" s="10">
        <v>41594</v>
      </c>
      <c r="E214" s="18">
        <v>0</v>
      </c>
      <c r="F214" s="13" t="str">
        <f t="shared" si="14"/>
        <v>On-time</v>
      </c>
      <c r="G214" s="19" t="str">
        <f>_xlfn.XLOOKUP(B214,tblARV[ASN/DN '#],tblARV[Country],"Not found")</f>
        <v>Uganda</v>
      </c>
      <c r="H214" s="19" t="str">
        <f>_xlfn.XLOOKUP($B214,tblARV[ASN/DN '#],tblARV[Fulfill Via],"Not found")</f>
        <v>Direct Drop</v>
      </c>
      <c r="I214" s="19" t="str">
        <f>_xlfn.XLOOKUP($B214,tblARV[ASN/DN '#],tblARV[Vendor],"Not found")</f>
        <v>CIPLA LIMITED</v>
      </c>
      <c r="Y214"/>
      <c r="Z214"/>
      <c r="AA214"/>
      <c r="AB214"/>
      <c r="AC214"/>
    </row>
    <row r="215" spans="2:29" ht="15">
      <c r="B215" s="7" t="s">
        <v>854</v>
      </c>
      <c r="C215" s="10">
        <v>41593</v>
      </c>
      <c r="D215" s="10">
        <v>41593</v>
      </c>
      <c r="E215" s="18">
        <v>0</v>
      </c>
      <c r="F215" s="13" t="str">
        <f t="shared" si="14"/>
        <v>On-time</v>
      </c>
      <c r="G215" s="19" t="str">
        <f>_xlfn.XLOOKUP(B215,tblARV[ASN/DN '#],tblARV[Country],"Not found")</f>
        <v>Uganda</v>
      </c>
      <c r="H215" s="19" t="str">
        <f>_xlfn.XLOOKUP($B215,tblARV[ASN/DN '#],tblARV[Fulfill Via],"Not found")</f>
        <v>Direct Drop</v>
      </c>
      <c r="I215" s="19" t="str">
        <f>_xlfn.XLOOKUP($B215,tblARV[ASN/DN '#],tblARV[Vendor],"Not found")</f>
        <v>ABBVIE LOGISTICS (FORMERLY ABBOTT LOGISTICS BV)</v>
      </c>
      <c r="Y215"/>
      <c r="Z215"/>
      <c r="AA215"/>
      <c r="AB215"/>
      <c r="AC215"/>
    </row>
    <row r="216" spans="2:29" ht="15">
      <c r="B216" s="7" t="s">
        <v>1262</v>
      </c>
      <c r="C216" s="10">
        <v>41599</v>
      </c>
      <c r="D216" s="10">
        <v>41599</v>
      </c>
      <c r="E216" s="18">
        <v>0</v>
      </c>
      <c r="F216" s="13" t="str">
        <f t="shared" si="14"/>
        <v>On-time</v>
      </c>
      <c r="G216" s="19" t="str">
        <f>_xlfn.XLOOKUP(B216,tblARV[ASN/DN '#],tblARV[Country],"Not found")</f>
        <v>Uganda</v>
      </c>
      <c r="H216" s="19" t="str">
        <f>_xlfn.XLOOKUP($B216,tblARV[ASN/DN '#],tblARV[Fulfill Via],"Not found")</f>
        <v>Direct Drop</v>
      </c>
      <c r="I216" s="19" t="str">
        <f>_xlfn.XLOOKUP($B216,tblARV[ASN/DN '#],tblARV[Vendor],"Not found")</f>
        <v>MYLAN LABORATORIES LTD (FORMERLY MATRIX LABORATORIES)</v>
      </c>
      <c r="Y216"/>
      <c r="Z216"/>
      <c r="AA216"/>
      <c r="AB216"/>
      <c r="AC216"/>
    </row>
    <row r="217" spans="2:29" ht="15">
      <c r="B217" s="7" t="s">
        <v>1253</v>
      </c>
      <c r="C217" s="10">
        <v>41599</v>
      </c>
      <c r="D217" s="10">
        <v>41599</v>
      </c>
      <c r="E217" s="18">
        <v>0</v>
      </c>
      <c r="F217" s="13" t="str">
        <f t="shared" si="14"/>
        <v>On-time</v>
      </c>
      <c r="G217" s="19" t="str">
        <f>_xlfn.XLOOKUP(B217,tblARV[ASN/DN '#],tblARV[Country],"Not found")</f>
        <v>Uganda</v>
      </c>
      <c r="H217" s="19" t="str">
        <f>_xlfn.XLOOKUP($B217,tblARV[ASN/DN '#],tblARV[Fulfill Via],"Not found")</f>
        <v>Direct Drop</v>
      </c>
      <c r="I217" s="19" t="str">
        <f>_xlfn.XLOOKUP($B217,tblARV[ASN/DN '#],tblARV[Vendor],"Not found")</f>
        <v>MYLAN LABORATORIES LTD (FORMERLY MATRIX LABORATORIES)</v>
      </c>
      <c r="Y217"/>
      <c r="Z217"/>
      <c r="AA217"/>
      <c r="AB217"/>
      <c r="AC217"/>
    </row>
    <row r="218" spans="2:29" ht="15">
      <c r="B218" s="7" t="s">
        <v>719</v>
      </c>
      <c r="C218" s="10">
        <v>41598</v>
      </c>
      <c r="D218" s="10">
        <v>41598</v>
      </c>
      <c r="E218" s="18">
        <v>0</v>
      </c>
      <c r="F218" s="13" t="str">
        <f t="shared" si="14"/>
        <v>On-time</v>
      </c>
      <c r="G218" s="19" t="str">
        <f>_xlfn.XLOOKUP(B218,tblARV[ASN/DN '#],tblARV[Country],"Not found")</f>
        <v>Uganda</v>
      </c>
      <c r="H218" s="19" t="str">
        <f>_xlfn.XLOOKUP($B218,tblARV[ASN/DN '#],tblARV[Fulfill Via],"Not found")</f>
        <v>Direct Drop</v>
      </c>
      <c r="I218" s="19" t="str">
        <f>_xlfn.XLOOKUP($B218,tblARV[ASN/DN '#],tblARV[Vendor],"Not found")</f>
        <v>ASPEN PHARMACARE</v>
      </c>
      <c r="Y218"/>
      <c r="Z218"/>
      <c r="AA218"/>
      <c r="AB218"/>
      <c r="AC218"/>
    </row>
    <row r="219" spans="2:29" ht="15">
      <c r="B219" s="7" t="s">
        <v>1024</v>
      </c>
      <c r="C219" s="10">
        <v>41598</v>
      </c>
      <c r="D219" s="10">
        <v>41598</v>
      </c>
      <c r="E219" s="18">
        <v>0</v>
      </c>
      <c r="F219" s="13" t="str">
        <f t="shared" si="14"/>
        <v>On-time</v>
      </c>
      <c r="G219" s="19" t="str">
        <f>_xlfn.XLOOKUP(B219,tblARV[ASN/DN '#],tblARV[Country],"Not found")</f>
        <v>Uganda</v>
      </c>
      <c r="H219" s="19" t="str">
        <f>_xlfn.XLOOKUP($B219,tblARV[ASN/DN '#],tblARV[Fulfill Via],"Not found")</f>
        <v>Direct Drop</v>
      </c>
      <c r="I219" s="19" t="str">
        <f>_xlfn.XLOOKUP($B219,tblARV[ASN/DN '#],tblARV[Vendor],"Not found")</f>
        <v>ASPEN PHARMACARE</v>
      </c>
      <c r="Y219"/>
      <c r="Z219"/>
      <c r="AA219"/>
      <c r="AB219"/>
      <c r="AC219"/>
    </row>
    <row r="220" spans="2:29" ht="15">
      <c r="B220" s="7" t="s">
        <v>1131</v>
      </c>
      <c r="C220" s="10">
        <v>41598</v>
      </c>
      <c r="D220" s="10">
        <v>41598</v>
      </c>
      <c r="E220" s="18">
        <v>0</v>
      </c>
      <c r="F220" s="13" t="str">
        <f t="shared" si="14"/>
        <v>On-time</v>
      </c>
      <c r="G220" s="19" t="str">
        <f>_xlfn.XLOOKUP(B220,tblARV[ASN/DN '#],tblARV[Country],"Not found")</f>
        <v>Uganda</v>
      </c>
      <c r="H220" s="19" t="str">
        <f>_xlfn.XLOOKUP($B220,tblARV[ASN/DN '#],tblARV[Fulfill Via],"Not found")</f>
        <v>Direct Drop</v>
      </c>
      <c r="I220" s="19" t="str">
        <f>_xlfn.XLOOKUP($B220,tblARV[ASN/DN '#],tblARV[Vendor],"Not found")</f>
        <v>ASPEN PHARMACARE</v>
      </c>
      <c r="Y220"/>
      <c r="Z220"/>
      <c r="AA220"/>
      <c r="AB220"/>
      <c r="AC220"/>
    </row>
    <row r="221" spans="2:29" ht="15">
      <c r="B221" s="7" t="s">
        <v>1317</v>
      </c>
      <c r="C221" s="10">
        <v>41635</v>
      </c>
      <c r="D221" s="10">
        <v>41635</v>
      </c>
      <c r="E221" s="18">
        <v>0</v>
      </c>
      <c r="F221" s="13" t="str">
        <f t="shared" si="14"/>
        <v>On-time</v>
      </c>
      <c r="G221" s="19" t="str">
        <f>_xlfn.XLOOKUP(B221,tblARV[ASN/DN '#],tblARV[Country],"Not found")</f>
        <v>Tanzania</v>
      </c>
      <c r="H221" s="19" t="str">
        <f>_xlfn.XLOOKUP($B221,tblARV[ASN/DN '#],tblARV[Fulfill Via],"Not found")</f>
        <v>Direct Drop</v>
      </c>
      <c r="I221" s="19" t="str">
        <f>_xlfn.XLOOKUP($B221,tblARV[ASN/DN '#],tblARV[Vendor],"Not found")</f>
        <v>CIPLA LIMITED</v>
      </c>
      <c r="Y221"/>
      <c r="Z221"/>
      <c r="AA221"/>
      <c r="AB221"/>
      <c r="AC221"/>
    </row>
    <row r="222" spans="2:29" ht="15">
      <c r="B222" s="7" t="s">
        <v>1307</v>
      </c>
      <c r="C222" s="10">
        <v>41635</v>
      </c>
      <c r="D222" s="10">
        <v>41635</v>
      </c>
      <c r="E222" s="18">
        <v>0</v>
      </c>
      <c r="F222" s="13" t="str">
        <f t="shared" si="14"/>
        <v>On-time</v>
      </c>
      <c r="G222" s="19" t="str">
        <f>_xlfn.XLOOKUP(B222,tblARV[ASN/DN '#],tblARV[Country],"Not found")</f>
        <v>Tanzania</v>
      </c>
      <c r="H222" s="19" t="str">
        <f>_xlfn.XLOOKUP($B222,tblARV[ASN/DN '#],tblARV[Fulfill Via],"Not found")</f>
        <v>Direct Drop</v>
      </c>
      <c r="I222" s="19" t="str">
        <f>_xlfn.XLOOKUP($B222,tblARV[ASN/DN '#],tblARV[Vendor],"Not found")</f>
        <v>CIPLA LIMITED</v>
      </c>
      <c r="Y222"/>
      <c r="Z222"/>
      <c r="AA222"/>
      <c r="AB222"/>
      <c r="AC222"/>
    </row>
    <row r="223" spans="2:29" ht="15">
      <c r="B223" s="7" t="s">
        <v>872</v>
      </c>
      <c r="C223" s="10">
        <v>41635</v>
      </c>
      <c r="D223" s="10">
        <v>41635</v>
      </c>
      <c r="E223" s="18">
        <v>0</v>
      </c>
      <c r="F223" s="13" t="str">
        <f t="shared" si="14"/>
        <v>On-time</v>
      </c>
      <c r="G223" s="19" t="str">
        <f>_xlfn.XLOOKUP(B223,tblARV[ASN/DN '#],tblARV[Country],"Not found")</f>
        <v>Tanzania</v>
      </c>
      <c r="H223" s="19" t="str">
        <f>_xlfn.XLOOKUP($B223,tblARV[ASN/DN '#],tblARV[Fulfill Via],"Not found")</f>
        <v>Direct Drop</v>
      </c>
      <c r="I223" s="19" t="str">
        <f>_xlfn.XLOOKUP($B223,tblARV[ASN/DN '#],tblARV[Vendor],"Not found")</f>
        <v>CIPLA LIMITED</v>
      </c>
      <c r="Y223"/>
      <c r="Z223"/>
      <c r="AA223"/>
      <c r="AB223"/>
      <c r="AC223"/>
    </row>
    <row r="224" spans="2:29" ht="15">
      <c r="B224" s="7" t="s">
        <v>1185</v>
      </c>
      <c r="C224" s="10">
        <v>41639</v>
      </c>
      <c r="D224" s="10">
        <v>41639</v>
      </c>
      <c r="E224" s="18">
        <v>0</v>
      </c>
      <c r="F224" s="13" t="str">
        <f t="shared" si="14"/>
        <v>On-time</v>
      </c>
      <c r="G224" s="19" t="str">
        <f>_xlfn.XLOOKUP(B224,tblARV[ASN/DN '#],tblARV[Country],"Not found")</f>
        <v>Tanzania</v>
      </c>
      <c r="H224" s="19" t="str">
        <f>_xlfn.XLOOKUP($B224,tblARV[ASN/DN '#],tblARV[Fulfill Via],"Not found")</f>
        <v>Direct Drop</v>
      </c>
      <c r="I224" s="19" t="str">
        <f>_xlfn.XLOOKUP($B224,tblARV[ASN/DN '#],tblARV[Vendor],"Not found")</f>
        <v>Aurobindo Pharma Limited</v>
      </c>
      <c r="Y224"/>
      <c r="Z224"/>
      <c r="AA224"/>
      <c r="AB224"/>
      <c r="AC224"/>
    </row>
    <row r="225" spans="2:29" ht="15">
      <c r="B225" s="7" t="s">
        <v>1309</v>
      </c>
      <c r="C225" s="10">
        <v>41621</v>
      </c>
      <c r="D225" s="10">
        <v>41621</v>
      </c>
      <c r="E225" s="18">
        <v>0</v>
      </c>
      <c r="F225" s="13" t="str">
        <f t="shared" si="14"/>
        <v>On-time</v>
      </c>
      <c r="G225" s="19" t="str">
        <f>_xlfn.XLOOKUP(B225,tblARV[ASN/DN '#],tblARV[Country],"Not found")</f>
        <v>Rwanda</v>
      </c>
      <c r="H225" s="19" t="str">
        <f>_xlfn.XLOOKUP($B225,tblARV[ASN/DN '#],tblARV[Fulfill Via],"Not found")</f>
        <v>Direct Drop</v>
      </c>
      <c r="I225" s="19" t="str">
        <f>_xlfn.XLOOKUP($B225,tblARV[ASN/DN '#],tblARV[Vendor],"Not found")</f>
        <v>Aurobindo Pharma Limited</v>
      </c>
      <c r="Y225"/>
      <c r="Z225"/>
      <c r="AA225"/>
      <c r="AB225"/>
      <c r="AC225"/>
    </row>
    <row r="226" spans="2:29" ht="15">
      <c r="B226" s="7" t="s">
        <v>1026</v>
      </c>
      <c r="C226" s="10">
        <v>41639</v>
      </c>
      <c r="D226" s="10">
        <v>41639</v>
      </c>
      <c r="E226" s="18">
        <v>0</v>
      </c>
      <c r="F226" s="13" t="str">
        <f t="shared" si="14"/>
        <v>On-time</v>
      </c>
      <c r="G226" s="19" t="str">
        <f>_xlfn.XLOOKUP(B226,tblARV[ASN/DN '#],tblARV[Country],"Not found")</f>
        <v>Tanzania</v>
      </c>
      <c r="H226" s="19" t="str">
        <f>_xlfn.XLOOKUP($B226,tblARV[ASN/DN '#],tblARV[Fulfill Via],"Not found")</f>
        <v>Direct Drop</v>
      </c>
      <c r="I226" s="19" t="str">
        <f>_xlfn.XLOOKUP($B226,tblARV[ASN/DN '#],tblARV[Vendor],"Not found")</f>
        <v>ABBVIE LOGISTICS (FORMERLY ABBOTT LOGISTICS BV)</v>
      </c>
      <c r="Y226"/>
      <c r="Z226"/>
      <c r="AA226"/>
      <c r="AB226"/>
      <c r="AC226"/>
    </row>
    <row r="227" spans="2:29" ht="15">
      <c r="B227" s="7" t="s">
        <v>894</v>
      </c>
      <c r="C227" s="10">
        <v>41618</v>
      </c>
      <c r="D227" s="10">
        <v>41618</v>
      </c>
      <c r="E227" s="18">
        <v>0</v>
      </c>
      <c r="F227" s="13" t="str">
        <f t="shared" si="14"/>
        <v>On-time</v>
      </c>
      <c r="G227" s="19" t="str">
        <f>_xlfn.XLOOKUP(B227,tblARV[ASN/DN '#],tblARV[Country],"Not found")</f>
        <v>Uganda</v>
      </c>
      <c r="H227" s="19" t="str">
        <f>_xlfn.XLOOKUP($B227,tblARV[ASN/DN '#],tblARV[Fulfill Via],"Not found")</f>
        <v>Direct Drop</v>
      </c>
      <c r="I227" s="19" t="str">
        <f>_xlfn.XLOOKUP($B227,tblARV[ASN/DN '#],tblARV[Vendor],"Not found")</f>
        <v>Aurobindo Pharma Limited</v>
      </c>
      <c r="Y227"/>
      <c r="Z227"/>
      <c r="AA227"/>
      <c r="AB227"/>
      <c r="AC227"/>
    </row>
    <row r="228" spans="2:29" ht="15">
      <c r="B228" s="7" t="s">
        <v>1282</v>
      </c>
      <c r="C228" s="10">
        <v>41618</v>
      </c>
      <c r="D228" s="10">
        <v>41620</v>
      </c>
      <c r="E228" s="18">
        <v>2</v>
      </c>
      <c r="F228" s="13" t="str">
        <f t="shared" si="14"/>
        <v>Late</v>
      </c>
      <c r="G228" s="19" t="str">
        <f>_xlfn.XLOOKUP(B228,tblARV[ASN/DN '#],tblARV[Country],"Not found")</f>
        <v>Uganda</v>
      </c>
      <c r="H228" s="19" t="str">
        <f>_xlfn.XLOOKUP($B228,tblARV[ASN/DN '#],tblARV[Fulfill Via],"Not found")</f>
        <v>Direct Drop</v>
      </c>
      <c r="I228" s="19" t="str">
        <f>_xlfn.XLOOKUP($B228,tblARV[ASN/DN '#],tblARV[Vendor],"Not found")</f>
        <v>Aurobindo Pharma Limited</v>
      </c>
      <c r="Y228"/>
      <c r="Z228"/>
      <c r="AA228"/>
      <c r="AB228"/>
      <c r="AC228"/>
    </row>
    <row r="229" spans="2:29" ht="15">
      <c r="B229" s="7" t="s">
        <v>817</v>
      </c>
      <c r="C229" s="10">
        <v>41618</v>
      </c>
      <c r="D229" s="10">
        <v>41620</v>
      </c>
      <c r="E229" s="18">
        <v>2</v>
      </c>
      <c r="F229" s="13" t="str">
        <f t="shared" si="14"/>
        <v>Late</v>
      </c>
      <c r="G229" s="19" t="str">
        <f>_xlfn.XLOOKUP(B229,tblARV[ASN/DN '#],tblARV[Country],"Not found")</f>
        <v>Uganda</v>
      </c>
      <c r="H229" s="19" t="str">
        <f>_xlfn.XLOOKUP($B229,tblARV[ASN/DN '#],tblARV[Fulfill Via],"Not found")</f>
        <v>Direct Drop</v>
      </c>
      <c r="I229" s="19" t="str">
        <f>_xlfn.XLOOKUP($B229,tblARV[ASN/DN '#],tblARV[Vendor],"Not found")</f>
        <v>Aurobindo Pharma Limited</v>
      </c>
      <c r="Y229"/>
      <c r="Z229"/>
      <c r="AA229"/>
      <c r="AB229"/>
      <c r="AC229"/>
    </row>
    <row r="230" spans="2:29" ht="15">
      <c r="B230" s="7" t="s">
        <v>848</v>
      </c>
      <c r="C230" s="10">
        <v>41618</v>
      </c>
      <c r="D230" s="10">
        <v>41620</v>
      </c>
      <c r="E230" s="18">
        <v>2</v>
      </c>
      <c r="F230" s="13" t="str">
        <f t="shared" si="14"/>
        <v>Late</v>
      </c>
      <c r="G230" s="19" t="str">
        <f>_xlfn.XLOOKUP(B230,tblARV[ASN/DN '#],tblARV[Country],"Not found")</f>
        <v>Uganda</v>
      </c>
      <c r="H230" s="19" t="str">
        <f>_xlfn.XLOOKUP($B230,tblARV[ASN/DN '#],tblARV[Fulfill Via],"Not found")</f>
        <v>Direct Drop</v>
      </c>
      <c r="I230" s="19" t="str">
        <f>_xlfn.XLOOKUP($B230,tblARV[ASN/DN '#],tblARV[Vendor],"Not found")</f>
        <v>Aurobindo Pharma Limited</v>
      </c>
      <c r="Y230"/>
      <c r="Z230"/>
      <c r="AA230"/>
      <c r="AB230"/>
      <c r="AC230"/>
    </row>
    <row r="231" spans="2:29" ht="15">
      <c r="B231" s="7" t="s">
        <v>828</v>
      </c>
      <c r="C231" s="10">
        <v>41618</v>
      </c>
      <c r="D231" s="10">
        <v>41620</v>
      </c>
      <c r="E231" s="18">
        <v>2</v>
      </c>
      <c r="F231" s="13" t="str">
        <f t="shared" si="14"/>
        <v>Late</v>
      </c>
      <c r="G231" s="19" t="str">
        <f>_xlfn.XLOOKUP(B231,tblARV[ASN/DN '#],tblARV[Country],"Not found")</f>
        <v>Uganda</v>
      </c>
      <c r="H231" s="19" t="str">
        <f>_xlfn.XLOOKUP($B231,tblARV[ASN/DN '#],tblARV[Fulfill Via],"Not found")</f>
        <v>Direct Drop</v>
      </c>
      <c r="I231" s="19" t="str">
        <f>_xlfn.XLOOKUP($B231,tblARV[ASN/DN '#],tblARV[Vendor],"Not found")</f>
        <v>Aurobindo Pharma Limited</v>
      </c>
      <c r="Y231"/>
      <c r="Z231"/>
      <c r="AA231"/>
      <c r="AB231"/>
      <c r="AC231"/>
    </row>
    <row r="232" spans="2:29" ht="15">
      <c r="B232" s="7" t="s">
        <v>1144</v>
      </c>
      <c r="C232" s="10">
        <v>41620</v>
      </c>
      <c r="D232" s="10">
        <v>41620</v>
      </c>
      <c r="E232" s="18">
        <v>0</v>
      </c>
      <c r="F232" s="13" t="str">
        <f t="shared" si="14"/>
        <v>On-time</v>
      </c>
      <c r="G232" s="19" t="str">
        <f>_xlfn.XLOOKUP(B232,tblARV[ASN/DN '#],tblARV[Country],"Not found")</f>
        <v>Uganda</v>
      </c>
      <c r="H232" s="19" t="str">
        <f>_xlfn.XLOOKUP($B232,tblARV[ASN/DN '#],tblARV[Fulfill Via],"Not found")</f>
        <v>Direct Drop</v>
      </c>
      <c r="I232" s="19" t="str">
        <f>_xlfn.XLOOKUP($B232,tblARV[ASN/DN '#],tblARV[Vendor],"Not found")</f>
        <v>Aurobindo Pharma Limited</v>
      </c>
      <c r="Y232"/>
      <c r="Z232"/>
      <c r="AA232"/>
      <c r="AB232"/>
      <c r="AC232"/>
    </row>
    <row r="233" spans="2:29" ht="15">
      <c r="B233" s="7" t="s">
        <v>951</v>
      </c>
      <c r="C233" s="10">
        <v>41654</v>
      </c>
      <c r="D233" s="10">
        <v>41654</v>
      </c>
      <c r="E233" s="18">
        <v>0</v>
      </c>
      <c r="F233" s="13" t="str">
        <f t="shared" si="14"/>
        <v>On-time</v>
      </c>
      <c r="G233" s="19" t="str">
        <f>_xlfn.XLOOKUP(B233,tblARV[ASN/DN '#],tblARV[Country],"Not found")</f>
        <v>Uganda</v>
      </c>
      <c r="H233" s="19" t="str">
        <f>_xlfn.XLOOKUP($B233,tblARV[ASN/DN '#],tblARV[Fulfill Via],"Not found")</f>
        <v>Direct Drop</v>
      </c>
      <c r="I233" s="19" t="str">
        <f>_xlfn.XLOOKUP($B233,tblARV[ASN/DN '#],tblARV[Vendor],"Not found")</f>
        <v>MYLAN LABORATORIES LTD (FORMERLY MATRIX LABORATORIES)</v>
      </c>
      <c r="Y233"/>
      <c r="Z233"/>
      <c r="AA233"/>
      <c r="AB233"/>
      <c r="AC233"/>
    </row>
    <row r="234" spans="2:29" ht="15">
      <c r="B234" s="7" t="s">
        <v>1274</v>
      </c>
      <c r="C234" s="10">
        <v>41667</v>
      </c>
      <c r="D234" s="10">
        <v>41667</v>
      </c>
      <c r="E234" s="18">
        <v>0</v>
      </c>
      <c r="F234" s="13" t="str">
        <f t="shared" si="14"/>
        <v>On-time</v>
      </c>
      <c r="G234" s="19" t="str">
        <f>_xlfn.XLOOKUP(B234,tblARV[ASN/DN '#],tblARV[Country],"Not found")</f>
        <v>Tanzania</v>
      </c>
      <c r="H234" s="19" t="str">
        <f>_xlfn.XLOOKUP($B234,tblARV[ASN/DN '#],tblARV[Fulfill Via],"Not found")</f>
        <v>Direct Drop</v>
      </c>
      <c r="I234" s="19" t="str">
        <f>_xlfn.XLOOKUP($B234,tblARV[ASN/DN '#],tblARV[Vendor],"Not found")</f>
        <v>MYLAN LABORATORIES LTD (FORMERLY MATRIX LABORATORIES)</v>
      </c>
      <c r="Y234"/>
      <c r="Z234"/>
      <c r="AA234"/>
      <c r="AB234"/>
      <c r="AC234"/>
    </row>
    <row r="235" spans="2:29" ht="15">
      <c r="B235" s="7" t="s">
        <v>1214</v>
      </c>
      <c r="C235" s="10">
        <v>41702</v>
      </c>
      <c r="D235" s="10">
        <v>41702</v>
      </c>
      <c r="E235" s="18">
        <v>0</v>
      </c>
      <c r="F235" s="13" t="str">
        <f t="shared" si="14"/>
        <v>On-time</v>
      </c>
      <c r="G235" s="19" t="str">
        <f>_xlfn.XLOOKUP(B235,tblARV[ASN/DN '#],tblARV[Country],"Not found")</f>
        <v>Uganda</v>
      </c>
      <c r="H235" s="19" t="str">
        <f>_xlfn.XLOOKUP($B235,tblARV[ASN/DN '#],tblARV[Fulfill Via],"Not found")</f>
        <v>Direct Drop</v>
      </c>
      <c r="I235" s="19" t="str">
        <f>_xlfn.XLOOKUP($B235,tblARV[ASN/DN '#],tblARV[Vendor],"Not found")</f>
        <v>ABBVIE LOGISTICS (FORMERLY ABBOTT LOGISTICS BV)</v>
      </c>
      <c r="Y235"/>
      <c r="Z235"/>
      <c r="AA235"/>
      <c r="AB235"/>
      <c r="AC235"/>
    </row>
    <row r="236" spans="2:29" ht="15">
      <c r="B236" s="7" t="s">
        <v>1483</v>
      </c>
      <c r="C236" s="10">
        <v>41656</v>
      </c>
      <c r="D236" s="10">
        <v>41656</v>
      </c>
      <c r="E236" s="18">
        <v>0</v>
      </c>
      <c r="F236" s="13" t="str">
        <f t="shared" si="14"/>
        <v>On-time</v>
      </c>
      <c r="G236" s="19" t="str">
        <f>_xlfn.XLOOKUP(B236,tblARV[ASN/DN '#],tblARV[Country],"Not found")</f>
        <v>Uganda</v>
      </c>
      <c r="H236" s="19" t="str">
        <f>_xlfn.XLOOKUP($B236,tblARV[ASN/DN '#],tblARV[Fulfill Via],"Not found")</f>
        <v>Direct Drop</v>
      </c>
      <c r="I236" s="19" t="str">
        <f>_xlfn.XLOOKUP($B236,tblARV[ASN/DN '#],tblARV[Vendor],"Not found")</f>
        <v>CIPLA LIMITED</v>
      </c>
      <c r="Y236"/>
      <c r="Z236"/>
      <c r="AA236"/>
      <c r="AB236"/>
      <c r="AC236"/>
    </row>
    <row r="237" spans="2:29" ht="15">
      <c r="B237" s="7" t="s">
        <v>1362</v>
      </c>
      <c r="C237" s="10">
        <v>41656</v>
      </c>
      <c r="D237" s="10">
        <v>41656</v>
      </c>
      <c r="E237" s="18">
        <v>0</v>
      </c>
      <c r="F237" s="13" t="str">
        <f t="shared" si="14"/>
        <v>On-time</v>
      </c>
      <c r="G237" s="19" t="str">
        <f>_xlfn.XLOOKUP(B237,tblARV[ASN/DN '#],tblARV[Country],"Not found")</f>
        <v>Uganda</v>
      </c>
      <c r="H237" s="19" t="str">
        <f>_xlfn.XLOOKUP($B237,tblARV[ASN/DN '#],tblARV[Fulfill Via],"Not found")</f>
        <v>Direct Drop</v>
      </c>
      <c r="I237" s="19" t="str">
        <f>_xlfn.XLOOKUP($B237,tblARV[ASN/DN '#],tblARV[Vendor],"Not found")</f>
        <v>Aurobindo Pharma Limited</v>
      </c>
      <c r="Y237"/>
      <c r="Z237"/>
      <c r="AA237"/>
      <c r="AB237"/>
      <c r="AC237"/>
    </row>
    <row r="238" spans="2:29" ht="15">
      <c r="B238" s="7" t="s">
        <v>1435</v>
      </c>
      <c r="C238" s="10">
        <v>41667</v>
      </c>
      <c r="D238" s="10">
        <v>41667</v>
      </c>
      <c r="E238" s="18">
        <v>0</v>
      </c>
      <c r="F238" s="13" t="str">
        <f t="shared" si="14"/>
        <v>On-time</v>
      </c>
      <c r="G238" s="19" t="str">
        <f>_xlfn.XLOOKUP(B238,tblARV[ASN/DN '#],tblARV[Country],"Not found")</f>
        <v>Tanzania</v>
      </c>
      <c r="H238" s="19" t="str">
        <f>_xlfn.XLOOKUP($B238,tblARV[ASN/DN '#],tblARV[Fulfill Via],"Not found")</f>
        <v>Direct Drop</v>
      </c>
      <c r="I238" s="19" t="str">
        <f>_xlfn.XLOOKUP($B238,tblARV[ASN/DN '#],tblARV[Vendor],"Not found")</f>
        <v>Aurobindo Pharma Limited</v>
      </c>
      <c r="Y238"/>
      <c r="Z238"/>
      <c r="AA238"/>
      <c r="AB238"/>
      <c r="AC238"/>
    </row>
    <row r="239" spans="2:29" ht="15">
      <c r="B239" s="7" t="s">
        <v>1068</v>
      </c>
      <c r="C239" s="10">
        <v>41661</v>
      </c>
      <c r="D239" s="10">
        <v>41661</v>
      </c>
      <c r="E239" s="18">
        <v>0</v>
      </c>
      <c r="F239" s="13" t="str">
        <f t="shared" si="14"/>
        <v>On-time</v>
      </c>
      <c r="G239" s="19" t="str">
        <f>_xlfn.XLOOKUP(B239,tblARV[ASN/DN '#],tblARV[Country],"Not found")</f>
        <v>Rwanda</v>
      </c>
      <c r="H239" s="19" t="str">
        <f>_xlfn.XLOOKUP($B239,tblARV[ASN/DN '#],tblARV[Fulfill Via],"Not found")</f>
        <v>Direct Drop</v>
      </c>
      <c r="I239" s="19" t="str">
        <f>_xlfn.XLOOKUP($B239,tblARV[ASN/DN '#],tblARV[Vendor],"Not found")</f>
        <v>ABBVIE LOGISTICS (FORMERLY ABBOTT LOGISTICS BV)</v>
      </c>
      <c r="Y239"/>
      <c r="Z239"/>
      <c r="AA239"/>
      <c r="AB239"/>
      <c r="AC239"/>
    </row>
    <row r="240" spans="2:29" ht="15">
      <c r="B240" s="7" t="s">
        <v>998</v>
      </c>
      <c r="C240" s="10">
        <v>41670</v>
      </c>
      <c r="D240" s="10">
        <v>41670</v>
      </c>
      <c r="E240" s="18">
        <v>0</v>
      </c>
      <c r="F240" s="13" t="str">
        <f t="shared" si="14"/>
        <v>On-time</v>
      </c>
      <c r="G240" s="19" t="str">
        <f>_xlfn.XLOOKUP(B240,tblARV[ASN/DN '#],tblARV[Country],"Not found")</f>
        <v>Rwanda</v>
      </c>
      <c r="H240" s="19" t="str">
        <f>_xlfn.XLOOKUP($B240,tblARV[ASN/DN '#],tblARV[Fulfill Via],"Not found")</f>
        <v>Direct Drop</v>
      </c>
      <c r="I240" s="19" t="str">
        <f>_xlfn.XLOOKUP($B240,tblARV[ASN/DN '#],tblARV[Vendor],"Not found")</f>
        <v>MYLAN LABORATORIES LTD (FORMERLY MATRIX LABORATORIES)</v>
      </c>
      <c r="Y240"/>
      <c r="Z240"/>
      <c r="AA240"/>
      <c r="AB240"/>
      <c r="AC240"/>
    </row>
    <row r="241" spans="2:29" ht="15">
      <c r="B241" s="7" t="s">
        <v>1272</v>
      </c>
      <c r="C241" s="10">
        <v>41692</v>
      </c>
      <c r="D241" s="10">
        <v>41692</v>
      </c>
      <c r="E241" s="18">
        <v>0</v>
      </c>
      <c r="F241" s="13" t="str">
        <f t="shared" si="14"/>
        <v>On-time</v>
      </c>
      <c r="G241" s="19" t="str">
        <f>_xlfn.XLOOKUP(B241,tblARV[ASN/DN '#],tblARV[Country],"Not found")</f>
        <v>Uganda</v>
      </c>
      <c r="H241" s="19" t="str">
        <f>_xlfn.XLOOKUP($B241,tblARV[ASN/DN '#],tblARV[Fulfill Via],"Not found")</f>
        <v>Direct Drop</v>
      </c>
      <c r="I241" s="19" t="str">
        <f>_xlfn.XLOOKUP($B241,tblARV[ASN/DN '#],tblARV[Vendor],"Not found")</f>
        <v>Aurobindo Pharma Limited</v>
      </c>
      <c r="Y241"/>
      <c r="Z241"/>
      <c r="AA241"/>
      <c r="AB241"/>
      <c r="AC241"/>
    </row>
    <row r="242" spans="2:29" ht="15">
      <c r="B242" s="7" t="s">
        <v>213</v>
      </c>
      <c r="C242" s="10">
        <v>39714</v>
      </c>
      <c r="D242" s="10">
        <v>39714</v>
      </c>
      <c r="E242" s="18">
        <v>0</v>
      </c>
      <c r="F242" s="13" t="str">
        <f t="shared" si="14"/>
        <v>On-time</v>
      </c>
      <c r="G242" s="19" t="str">
        <f>_xlfn.XLOOKUP(B242,tblARV[ASN/DN '#],tblARV[Country],"Not found")</f>
        <v>Rwanda</v>
      </c>
      <c r="H242" s="19" t="str">
        <f>_xlfn.XLOOKUP($B242,tblARV[ASN/DN '#],tblARV[Fulfill Via],"Not found")</f>
        <v>Direct Drop</v>
      </c>
      <c r="I242" s="19" t="str">
        <f>_xlfn.XLOOKUP($B242,tblARV[ASN/DN '#],tblARV[Vendor],"Not found")</f>
        <v>HETERO LABS LIMITED</v>
      </c>
      <c r="Y242"/>
      <c r="Z242"/>
      <c r="AA242"/>
      <c r="AB242"/>
      <c r="AC242"/>
    </row>
    <row r="243" spans="2:29" ht="15">
      <c r="B243" s="7" t="s">
        <v>130</v>
      </c>
      <c r="C243" s="10">
        <v>39700</v>
      </c>
      <c r="D243" s="10">
        <v>39700</v>
      </c>
      <c r="E243" s="18">
        <v>0</v>
      </c>
      <c r="F243" s="13" t="str">
        <f t="shared" si="14"/>
        <v>On-time</v>
      </c>
      <c r="G243" s="19" t="str">
        <f>_xlfn.XLOOKUP(B243,tblARV[ASN/DN '#],tblARV[Country],"Not found")</f>
        <v>Uganda</v>
      </c>
      <c r="H243" s="19" t="str">
        <f>_xlfn.XLOOKUP($B243,tblARV[ASN/DN '#],tblARV[Fulfill Via],"Not found")</f>
        <v>Direct Drop</v>
      </c>
      <c r="I243" s="19" t="str">
        <f>_xlfn.XLOOKUP($B243,tblARV[ASN/DN '#],tblARV[Vendor],"Not found")</f>
        <v>BRISTOL-MYERS SQUIBB</v>
      </c>
      <c r="Y243"/>
      <c r="Z243"/>
      <c r="AA243"/>
      <c r="AB243"/>
      <c r="AC243"/>
    </row>
    <row r="244" spans="2:29" ht="15">
      <c r="B244" s="7" t="s">
        <v>1124</v>
      </c>
      <c r="C244" s="10">
        <v>41705</v>
      </c>
      <c r="D244" s="10">
        <v>41705</v>
      </c>
      <c r="E244" s="18">
        <v>0</v>
      </c>
      <c r="F244" s="13" t="str">
        <f t="shared" si="14"/>
        <v>On-time</v>
      </c>
      <c r="G244" s="19" t="str">
        <f>_xlfn.XLOOKUP(B244,tblARV[ASN/DN '#],tblARV[Country],"Not found")</f>
        <v>Tanzania</v>
      </c>
      <c r="H244" s="19" t="str">
        <f>_xlfn.XLOOKUP($B244,tblARV[ASN/DN '#],tblARV[Fulfill Via],"Not found")</f>
        <v>Direct Drop</v>
      </c>
      <c r="I244" s="19" t="str">
        <f>_xlfn.XLOOKUP($B244,tblARV[ASN/DN '#],tblARV[Vendor],"Not found")</f>
        <v>Aurobindo Pharma Limited</v>
      </c>
      <c r="Y244"/>
      <c r="Z244"/>
      <c r="AA244"/>
      <c r="AB244"/>
      <c r="AC244"/>
    </row>
    <row r="245" spans="2:29" ht="15">
      <c r="B245" s="7" t="s">
        <v>1014</v>
      </c>
      <c r="C245" s="10">
        <v>41705</v>
      </c>
      <c r="D245" s="10">
        <v>41705</v>
      </c>
      <c r="E245" s="18">
        <v>0</v>
      </c>
      <c r="F245" s="13" t="str">
        <f t="shared" si="14"/>
        <v>On-time</v>
      </c>
      <c r="G245" s="19" t="str">
        <f>_xlfn.XLOOKUP(B245,tblARV[ASN/DN '#],tblARV[Country],"Not found")</f>
        <v>Tanzania</v>
      </c>
      <c r="H245" s="19" t="str">
        <f>_xlfn.XLOOKUP($B245,tblARV[ASN/DN '#],tblARV[Fulfill Via],"Not found")</f>
        <v>Direct Drop</v>
      </c>
      <c r="I245" s="19" t="str">
        <f>_xlfn.XLOOKUP($B245,tblARV[ASN/DN '#],tblARV[Vendor],"Not found")</f>
        <v>ABBVIE LOGISTICS (FORMERLY ABBOTT LOGISTICS BV)</v>
      </c>
      <c r="Y245"/>
      <c r="Z245"/>
      <c r="AA245"/>
      <c r="AB245"/>
      <c r="AC245"/>
    </row>
    <row r="246" spans="2:29" ht="15">
      <c r="B246" s="7" t="s">
        <v>1228</v>
      </c>
      <c r="C246" s="10">
        <v>41661</v>
      </c>
      <c r="D246" s="10">
        <v>41661</v>
      </c>
      <c r="E246" s="18">
        <v>0</v>
      </c>
      <c r="F246" s="13" t="str">
        <f t="shared" si="14"/>
        <v>On-time</v>
      </c>
      <c r="G246" s="19" t="str">
        <f>_xlfn.XLOOKUP(B246,tblARV[ASN/DN '#],tblARV[Country],"Not found")</f>
        <v>Uganda</v>
      </c>
      <c r="H246" s="19" t="str">
        <f>_xlfn.XLOOKUP($B246,tblARV[ASN/DN '#],tblARV[Fulfill Via],"Not found")</f>
        <v>Direct Drop</v>
      </c>
      <c r="I246" s="19" t="str">
        <f>_xlfn.XLOOKUP($B246,tblARV[ASN/DN '#],tblARV[Vendor],"Not found")</f>
        <v>MYLAN LABORATORIES LTD (FORMERLY MATRIX LABORATORIES)</v>
      </c>
      <c r="Y246"/>
      <c r="Z246"/>
      <c r="AA246"/>
      <c r="AB246"/>
      <c r="AC246"/>
    </row>
    <row r="247" spans="2:29" ht="15">
      <c r="B247" s="7" t="s">
        <v>168</v>
      </c>
      <c r="C247" s="10">
        <v>39699</v>
      </c>
      <c r="D247" s="10">
        <v>39699</v>
      </c>
      <c r="E247" s="18">
        <v>0</v>
      </c>
      <c r="F247" s="13" t="str">
        <f t="shared" si="14"/>
        <v>On-time</v>
      </c>
      <c r="G247" s="19" t="str">
        <f>_xlfn.XLOOKUP(B247,tblARV[ASN/DN '#],tblARV[Country],"Not found")</f>
        <v>Tanzania</v>
      </c>
      <c r="H247" s="19" t="str">
        <f>_xlfn.XLOOKUP($B247,tblARV[ASN/DN '#],tblARV[Fulfill Via],"Not found")</f>
        <v>Direct Drop</v>
      </c>
      <c r="I247" s="19" t="str">
        <f>_xlfn.XLOOKUP($B247,tblARV[ASN/DN '#],tblARV[Vendor],"Not found")</f>
        <v>GLAXOSMITHKLINE EXPORT LIMITED</v>
      </c>
      <c r="Y247"/>
      <c r="Z247"/>
      <c r="AA247"/>
      <c r="AB247"/>
      <c r="AC247"/>
    </row>
    <row r="248" spans="2:29" ht="15">
      <c r="B248" s="7" t="s">
        <v>41</v>
      </c>
      <c r="C248" s="10">
        <v>39140</v>
      </c>
      <c r="D248" s="10">
        <v>39140</v>
      </c>
      <c r="E248" s="18">
        <v>0</v>
      </c>
      <c r="F248" s="13" t="str">
        <f t="shared" si="14"/>
        <v>On-time</v>
      </c>
      <c r="G248" s="19" t="str">
        <f>_xlfn.XLOOKUP(B248,tblARV[ASN/DN '#],tblARV[Country],"Not found")</f>
        <v>Rwanda</v>
      </c>
      <c r="H248" s="19" t="str">
        <f>_xlfn.XLOOKUP($B248,tblARV[ASN/DN '#],tblARV[Fulfill Via],"Not found")</f>
        <v>Direct Drop</v>
      </c>
      <c r="I248" s="19" t="str">
        <f>_xlfn.XLOOKUP($B248,tblARV[ASN/DN '#],tblARV[Vendor],"Not found")</f>
        <v>CIPLA LIMITED</v>
      </c>
      <c r="Y248"/>
      <c r="Z248"/>
      <c r="AA248"/>
      <c r="AB248"/>
      <c r="AC248"/>
    </row>
    <row r="249" spans="2:29" ht="15">
      <c r="B249" s="7" t="s">
        <v>1306</v>
      </c>
      <c r="C249" s="10">
        <v>41684</v>
      </c>
      <c r="D249" s="10">
        <v>41684</v>
      </c>
      <c r="E249" s="18">
        <v>0</v>
      </c>
      <c r="F249" s="13" t="str">
        <f t="shared" si="14"/>
        <v>On-time</v>
      </c>
      <c r="G249" s="19" t="str">
        <f>_xlfn.XLOOKUP(B249,tblARV[ASN/DN '#],tblARV[Country],"Not found")</f>
        <v>Uganda</v>
      </c>
      <c r="H249" s="19" t="str">
        <f>_xlfn.XLOOKUP($B249,tblARV[ASN/DN '#],tblARV[Fulfill Via],"Not found")</f>
        <v>Direct Drop</v>
      </c>
      <c r="I249" s="19" t="str">
        <f>_xlfn.XLOOKUP($B249,tblARV[ASN/DN '#],tblARV[Vendor],"Not found")</f>
        <v>ASPEN PHARMACARE</v>
      </c>
      <c r="Y249"/>
      <c r="Z249"/>
      <c r="AA249"/>
      <c r="AB249"/>
      <c r="AC249"/>
    </row>
    <row r="250" spans="2:29" ht="15">
      <c r="B250" s="7" t="s">
        <v>721</v>
      </c>
      <c r="C250" s="10">
        <v>41720</v>
      </c>
      <c r="D250" s="10">
        <v>41720</v>
      </c>
      <c r="E250" s="18">
        <v>0</v>
      </c>
      <c r="F250" s="13" t="str">
        <f t="shared" si="14"/>
        <v>On-time</v>
      </c>
      <c r="G250" s="19" t="str">
        <f>_xlfn.XLOOKUP(B250,tblARV[ASN/DN '#],tblARV[Country],"Not found")</f>
        <v>Tanzania</v>
      </c>
      <c r="H250" s="19" t="str">
        <f>_xlfn.XLOOKUP($B250,tblARV[ASN/DN '#],tblARV[Fulfill Via],"Not found")</f>
        <v>Direct Drop</v>
      </c>
      <c r="I250" s="19" t="str">
        <f>_xlfn.XLOOKUP($B250,tblARV[ASN/DN '#],tblARV[Vendor],"Not found")</f>
        <v>Aurobindo Pharma Limited</v>
      </c>
      <c r="Y250"/>
      <c r="Z250"/>
      <c r="AA250"/>
      <c r="AB250"/>
      <c r="AC250"/>
    </row>
    <row r="251" spans="2:29" ht="15">
      <c r="B251" s="7" t="s">
        <v>735</v>
      </c>
      <c r="C251" s="10">
        <v>41720</v>
      </c>
      <c r="D251" s="10">
        <v>41720</v>
      </c>
      <c r="E251" s="18">
        <v>0</v>
      </c>
      <c r="F251" s="13" t="str">
        <f t="shared" si="14"/>
        <v>On-time</v>
      </c>
      <c r="G251" s="19" t="str">
        <f>_xlfn.XLOOKUP(B251,tblARV[ASN/DN '#],tblARV[Country],"Not found")</f>
        <v>Tanzania</v>
      </c>
      <c r="H251" s="19" t="str">
        <f>_xlfn.XLOOKUP($B251,tblARV[ASN/DN '#],tblARV[Fulfill Via],"Not found")</f>
        <v>Direct Drop</v>
      </c>
      <c r="I251" s="19" t="str">
        <f>_xlfn.XLOOKUP($B251,tblARV[ASN/DN '#],tblARV[Vendor],"Not found")</f>
        <v>Aurobindo Pharma Limited</v>
      </c>
      <c r="Y251"/>
      <c r="Z251"/>
      <c r="AA251"/>
      <c r="AB251"/>
      <c r="AC251"/>
    </row>
    <row r="252" spans="2:29" ht="15">
      <c r="B252" s="7" t="s">
        <v>1485</v>
      </c>
      <c r="C252" s="10">
        <v>41697</v>
      </c>
      <c r="D252" s="10">
        <v>41697</v>
      </c>
      <c r="E252" s="18">
        <v>0</v>
      </c>
      <c r="F252" s="13" t="str">
        <f t="shared" si="14"/>
        <v>On-time</v>
      </c>
      <c r="G252" s="19" t="str">
        <f>_xlfn.XLOOKUP(B252,tblARV[ASN/DN '#],tblARV[Country],"Not found")</f>
        <v>Uganda</v>
      </c>
      <c r="H252" s="19" t="str">
        <f>_xlfn.XLOOKUP($B252,tblARV[ASN/DN '#],tblARV[Fulfill Via],"Not found")</f>
        <v>Direct Drop</v>
      </c>
      <c r="I252" s="19" t="str">
        <f>_xlfn.XLOOKUP($B252,tblARV[ASN/DN '#],tblARV[Vendor],"Not found")</f>
        <v>Aurobindo Pharma Limited</v>
      </c>
      <c r="Y252"/>
      <c r="Z252"/>
      <c r="AA252"/>
      <c r="AB252"/>
      <c r="AC252"/>
    </row>
    <row r="253" spans="2:29" ht="15">
      <c r="B253" s="7" t="s">
        <v>905</v>
      </c>
      <c r="C253" s="10">
        <v>41719</v>
      </c>
      <c r="D253" s="10">
        <v>41719</v>
      </c>
      <c r="E253" s="18">
        <v>0</v>
      </c>
      <c r="F253" s="13" t="str">
        <f t="shared" si="14"/>
        <v>On-time</v>
      </c>
      <c r="G253" s="19" t="str">
        <f>_xlfn.XLOOKUP(B253,tblARV[ASN/DN '#],tblARV[Country],"Not found")</f>
        <v>Uganda</v>
      </c>
      <c r="H253" s="19" t="str">
        <f>_xlfn.XLOOKUP($B253,tblARV[ASN/DN '#],tblARV[Fulfill Via],"Not found")</f>
        <v>Direct Drop</v>
      </c>
      <c r="I253" s="19" t="str">
        <f>_xlfn.XLOOKUP($B253,tblARV[ASN/DN '#],tblARV[Vendor],"Not found")</f>
        <v>CIPLA LIMITED</v>
      </c>
      <c r="Y253"/>
      <c r="Z253"/>
      <c r="AA253"/>
      <c r="AB253"/>
      <c r="AC253"/>
    </row>
    <row r="254" spans="2:29" ht="15">
      <c r="B254" s="7" t="s">
        <v>726</v>
      </c>
      <c r="C254" s="10">
        <v>41719</v>
      </c>
      <c r="D254" s="10">
        <v>41719</v>
      </c>
      <c r="E254" s="18">
        <v>0</v>
      </c>
      <c r="F254" s="13" t="str">
        <f t="shared" si="14"/>
        <v>On-time</v>
      </c>
      <c r="G254" s="19" t="str">
        <f>_xlfn.XLOOKUP(B254,tblARV[ASN/DN '#],tblARV[Country],"Not found")</f>
        <v>Uganda</v>
      </c>
      <c r="H254" s="19" t="str">
        <f>_xlfn.XLOOKUP($B254,tblARV[ASN/DN '#],tblARV[Fulfill Via],"Not found")</f>
        <v>Direct Drop</v>
      </c>
      <c r="I254" s="19" t="str">
        <f>_xlfn.XLOOKUP($B254,tblARV[ASN/DN '#],tblARV[Vendor],"Not found")</f>
        <v>CIPLA LIMITED</v>
      </c>
      <c r="Y254"/>
      <c r="Z254"/>
      <c r="AA254"/>
      <c r="AB254"/>
      <c r="AC254"/>
    </row>
    <row r="255" spans="2:29" ht="15">
      <c r="B255" s="7" t="s">
        <v>1114</v>
      </c>
      <c r="C255" s="10">
        <v>41740</v>
      </c>
      <c r="D255" s="10">
        <v>41740</v>
      </c>
      <c r="E255" s="18">
        <v>0</v>
      </c>
      <c r="F255" s="13" t="str">
        <f t="shared" si="14"/>
        <v>On-time</v>
      </c>
      <c r="G255" s="19" t="str">
        <f>_xlfn.XLOOKUP(B255,tblARV[ASN/DN '#],tblARV[Country],"Not found")</f>
        <v>Tanzania</v>
      </c>
      <c r="H255" s="19" t="str">
        <f>_xlfn.XLOOKUP($B255,tblARV[ASN/DN '#],tblARV[Fulfill Via],"Not found")</f>
        <v>Direct Drop</v>
      </c>
      <c r="I255" s="19" t="str">
        <f>_xlfn.XLOOKUP($B255,tblARV[ASN/DN '#],tblARV[Vendor],"Not found")</f>
        <v>Aurobindo Pharma Limited</v>
      </c>
      <c r="Y255"/>
      <c r="Z255"/>
      <c r="AA255"/>
      <c r="AB255"/>
      <c r="AC255"/>
    </row>
    <row r="256" spans="2:29" ht="15">
      <c r="B256" s="7" t="s">
        <v>788</v>
      </c>
      <c r="C256" s="10">
        <v>41754</v>
      </c>
      <c r="D256" s="10">
        <v>41754</v>
      </c>
      <c r="E256" s="18">
        <v>0</v>
      </c>
      <c r="F256" s="13" t="str">
        <f t="shared" si="14"/>
        <v>On-time</v>
      </c>
      <c r="G256" s="19" t="str">
        <f>_xlfn.XLOOKUP(B256,tblARV[ASN/DN '#],tblARV[Country],"Not found")</f>
        <v>Tanzania</v>
      </c>
      <c r="H256" s="19" t="str">
        <f>_xlfn.XLOOKUP($B256,tblARV[ASN/DN '#],tblARV[Fulfill Via],"Not found")</f>
        <v>Direct Drop</v>
      </c>
      <c r="I256" s="19" t="str">
        <f>_xlfn.XLOOKUP($B256,tblARV[ASN/DN '#],tblARV[Vendor],"Not found")</f>
        <v>HETERO LABS LIMITED</v>
      </c>
      <c r="Y256"/>
      <c r="Z256"/>
      <c r="AA256"/>
      <c r="AB256"/>
      <c r="AC256"/>
    </row>
    <row r="257" spans="2:29" ht="15">
      <c r="B257" s="7" t="s">
        <v>1220</v>
      </c>
      <c r="C257" s="10">
        <v>41733</v>
      </c>
      <c r="D257" s="10">
        <v>41733</v>
      </c>
      <c r="E257" s="18">
        <v>0</v>
      </c>
      <c r="F257" s="13" t="str">
        <f t="shared" si="14"/>
        <v>On-time</v>
      </c>
      <c r="G257" s="19" t="str">
        <f>_xlfn.XLOOKUP(B257,tblARV[ASN/DN '#],tblARV[Country],"Not found")</f>
        <v>Rwanda</v>
      </c>
      <c r="H257" s="19" t="str">
        <f>_xlfn.XLOOKUP($B257,tblARV[ASN/DN '#],tblARV[Fulfill Via],"Not found")</f>
        <v>Direct Drop</v>
      </c>
      <c r="I257" s="19" t="str">
        <f>_xlfn.XLOOKUP($B257,tblARV[ASN/DN '#],tblARV[Vendor],"Not found")</f>
        <v>MICRO LABS LIMITED</v>
      </c>
      <c r="Y257"/>
      <c r="Z257"/>
      <c r="AA257"/>
      <c r="AB257"/>
      <c r="AC257"/>
    </row>
    <row r="258" spans="2:29" ht="15">
      <c r="B258" s="7" t="s">
        <v>1098</v>
      </c>
      <c r="C258" s="10">
        <v>41778</v>
      </c>
      <c r="D258" s="10">
        <v>41778</v>
      </c>
      <c r="E258" s="18">
        <v>0</v>
      </c>
      <c r="F258" s="13" t="str">
        <f t="shared" si="14"/>
        <v>On-time</v>
      </c>
      <c r="G258" s="19" t="str">
        <f>_xlfn.XLOOKUP(B258,tblARV[ASN/DN '#],tblARV[Country],"Not found")</f>
        <v>Tanzania</v>
      </c>
      <c r="H258" s="19" t="str">
        <f>_xlfn.XLOOKUP($B258,tblARV[ASN/DN '#],tblARV[Fulfill Via],"Not found")</f>
        <v>Direct Drop</v>
      </c>
      <c r="I258" s="19" t="str">
        <f>_xlfn.XLOOKUP($B258,tblARV[ASN/DN '#],tblARV[Vendor],"Not found")</f>
        <v>HETERO LABS LIMITED</v>
      </c>
      <c r="Y258"/>
      <c r="Z258"/>
      <c r="AA258"/>
      <c r="AB258"/>
      <c r="AC258"/>
    </row>
    <row r="259" spans="2:29" ht="15">
      <c r="B259" s="7" t="s">
        <v>793</v>
      </c>
      <c r="C259" s="10">
        <v>41765</v>
      </c>
      <c r="D259" s="10">
        <v>41765</v>
      </c>
      <c r="E259" s="18">
        <v>0</v>
      </c>
      <c r="F259" s="13" t="str">
        <f t="shared" si="14"/>
        <v>On-time</v>
      </c>
      <c r="G259" s="19" t="str">
        <f>_xlfn.XLOOKUP(B259,tblARV[ASN/DN '#],tblARV[Country],"Not found")</f>
        <v>Rwanda</v>
      </c>
      <c r="H259" s="19" t="str">
        <f>_xlfn.XLOOKUP($B259,tblARV[ASN/DN '#],tblARV[Fulfill Via],"Not found")</f>
        <v>Direct Drop</v>
      </c>
      <c r="I259" s="19" t="str">
        <f>_xlfn.XLOOKUP($B259,tblARV[ASN/DN '#],tblARV[Vendor],"Not found")</f>
        <v>Aurobindo Pharma Limited</v>
      </c>
      <c r="Y259"/>
      <c r="Z259"/>
      <c r="AA259"/>
      <c r="AB259"/>
      <c r="AC259"/>
    </row>
    <row r="260" spans="2:29" ht="15">
      <c r="B260" s="7" t="s">
        <v>1122</v>
      </c>
      <c r="C260" s="10">
        <v>41765</v>
      </c>
      <c r="D260" s="10">
        <v>41765</v>
      </c>
      <c r="E260" s="18">
        <v>0</v>
      </c>
      <c r="F260" s="13" t="str">
        <f t="shared" si="14"/>
        <v>On-time</v>
      </c>
      <c r="G260" s="19" t="str">
        <f>_xlfn.XLOOKUP(B260,tblARV[ASN/DN '#],tblARV[Country],"Not found")</f>
        <v>Rwanda</v>
      </c>
      <c r="H260" s="19" t="str">
        <f>_xlfn.XLOOKUP($B260,tblARV[ASN/DN '#],tblARV[Fulfill Via],"Not found")</f>
        <v>Direct Drop</v>
      </c>
      <c r="I260" s="19" t="str">
        <f>_xlfn.XLOOKUP($B260,tblARV[ASN/DN '#],tblARV[Vendor],"Not found")</f>
        <v>Aurobindo Pharma Limited</v>
      </c>
      <c r="Y260"/>
      <c r="Z260"/>
      <c r="AA260"/>
      <c r="AB260"/>
      <c r="AC260"/>
    </row>
    <row r="261" spans="2:29" ht="15">
      <c r="B261" s="7" t="s">
        <v>739</v>
      </c>
      <c r="C261" s="10">
        <v>41765</v>
      </c>
      <c r="D261" s="10">
        <v>41765</v>
      </c>
      <c r="E261" s="18">
        <v>0</v>
      </c>
      <c r="F261" s="13" t="str">
        <f t="shared" si="14"/>
        <v>On-time</v>
      </c>
      <c r="G261" s="19" t="str">
        <f>_xlfn.XLOOKUP(B261,tblARV[ASN/DN '#],tblARV[Country],"Not found")</f>
        <v>Rwanda</v>
      </c>
      <c r="H261" s="19" t="str">
        <f>_xlfn.XLOOKUP($B261,tblARV[ASN/DN '#],tblARV[Fulfill Via],"Not found")</f>
        <v>Direct Drop</v>
      </c>
      <c r="I261" s="19" t="str">
        <f>_xlfn.XLOOKUP($B261,tblARV[ASN/DN '#],tblARV[Vendor],"Not found")</f>
        <v>Aurobindo Pharma Limited</v>
      </c>
      <c r="Y261"/>
      <c r="Z261"/>
      <c r="AA261"/>
      <c r="AB261"/>
      <c r="AC261"/>
    </row>
    <row r="262" spans="2:29" ht="15">
      <c r="B262" s="7" t="s">
        <v>1322</v>
      </c>
      <c r="C262" s="10">
        <v>41814</v>
      </c>
      <c r="D262" s="10">
        <v>41814</v>
      </c>
      <c r="E262" s="18">
        <v>0</v>
      </c>
      <c r="F262" s="13" t="str">
        <f t="shared" si="14"/>
        <v>On-time</v>
      </c>
      <c r="G262" s="19" t="str">
        <f>_xlfn.XLOOKUP(B262,tblARV[ASN/DN '#],tblARV[Country],"Not found")</f>
        <v>Tanzania</v>
      </c>
      <c r="H262" s="19" t="str">
        <f>_xlfn.XLOOKUP($B262,tblARV[ASN/DN '#],tblARV[Fulfill Via],"Not found")</f>
        <v>Direct Drop</v>
      </c>
      <c r="I262" s="19" t="str">
        <f>_xlfn.XLOOKUP($B262,tblARV[ASN/DN '#],tblARV[Vendor],"Not found")</f>
        <v>MYLAN LABORATORIES LTD (FORMERLY MATRIX LABORATORIES)</v>
      </c>
      <c r="Y262"/>
      <c r="Z262"/>
      <c r="AA262"/>
      <c r="AB262"/>
      <c r="AC262"/>
    </row>
    <row r="263" spans="2:29" ht="15">
      <c r="B263" s="7" t="s">
        <v>1456</v>
      </c>
      <c r="C263" s="10">
        <v>41814</v>
      </c>
      <c r="D263" s="10">
        <v>41814</v>
      </c>
      <c r="E263" s="18">
        <v>0</v>
      </c>
      <c r="F263" s="13" t="str">
        <f t="shared" si="14"/>
        <v>On-time</v>
      </c>
      <c r="G263" s="19" t="str">
        <f>_xlfn.XLOOKUP(B263,tblARV[ASN/DN '#],tblARV[Country],"Not found")</f>
        <v>Tanzania</v>
      </c>
      <c r="H263" s="19" t="str">
        <f>_xlfn.XLOOKUP($B263,tblARV[ASN/DN '#],tblARV[Fulfill Via],"Not found")</f>
        <v>Direct Drop</v>
      </c>
      <c r="I263" s="19" t="str">
        <f>_xlfn.XLOOKUP($B263,tblARV[ASN/DN '#],tblARV[Vendor],"Not found")</f>
        <v>MYLAN LABORATORIES LTD (FORMERLY MATRIX LABORATORIES)</v>
      </c>
      <c r="Y263"/>
      <c r="Z263"/>
      <c r="AA263"/>
      <c r="AB263"/>
      <c r="AC263"/>
    </row>
    <row r="264" spans="2:29" ht="15">
      <c r="B264" s="7" t="s">
        <v>841</v>
      </c>
      <c r="C264" s="10">
        <v>41814</v>
      </c>
      <c r="D264" s="10">
        <v>41814</v>
      </c>
      <c r="E264" s="18">
        <v>0</v>
      </c>
      <c r="F264" s="13" t="str">
        <f t="shared" si="14"/>
        <v>On-time</v>
      </c>
      <c r="G264" s="19" t="str">
        <f>_xlfn.XLOOKUP(B264,tblARV[ASN/DN '#],tblARV[Country],"Not found")</f>
        <v>Tanzania</v>
      </c>
      <c r="H264" s="19" t="str">
        <f>_xlfn.XLOOKUP($B264,tblARV[ASN/DN '#],tblARV[Fulfill Via],"Not found")</f>
        <v>Direct Drop</v>
      </c>
      <c r="I264" s="19" t="str">
        <f>_xlfn.XLOOKUP($B264,tblARV[ASN/DN '#],tblARV[Vendor],"Not found")</f>
        <v>MYLAN LABORATORIES LTD (FORMERLY MATRIX LABORATORIES)</v>
      </c>
      <c r="Y264"/>
      <c r="Z264"/>
      <c r="AA264"/>
      <c r="AB264"/>
      <c r="AC264"/>
    </row>
    <row r="265" spans="2:29" ht="15">
      <c r="B265" s="7" t="s">
        <v>852</v>
      </c>
      <c r="C265" s="10">
        <v>41786</v>
      </c>
      <c r="D265" s="10">
        <v>41786</v>
      </c>
      <c r="E265" s="18">
        <v>0</v>
      </c>
      <c r="F265" s="13" t="str">
        <f t="shared" si="14"/>
        <v>On-time</v>
      </c>
      <c r="G265" s="19" t="str">
        <f>_xlfn.XLOOKUP(B265,tblARV[ASN/DN '#],tblARV[Country],"Not found")</f>
        <v>Tanzania</v>
      </c>
      <c r="H265" s="19" t="str">
        <f>_xlfn.XLOOKUP($B265,tblARV[ASN/DN '#],tblARV[Fulfill Via],"Not found")</f>
        <v>Direct Drop</v>
      </c>
      <c r="I265" s="19" t="str">
        <f>_xlfn.XLOOKUP($B265,tblARV[ASN/DN '#],tblARV[Vendor],"Not found")</f>
        <v>MYLAN LABORATORIES LTD (FORMERLY MATRIX LABORATORIES)</v>
      </c>
      <c r="Y265"/>
      <c r="Z265"/>
      <c r="AA265"/>
      <c r="AB265"/>
      <c r="AC265"/>
    </row>
    <row r="266" spans="2:29" ht="15">
      <c r="B266" s="7" t="s">
        <v>1368</v>
      </c>
      <c r="C266" s="10">
        <v>41786</v>
      </c>
      <c r="D266" s="10">
        <v>41786</v>
      </c>
      <c r="E266" s="18">
        <v>0</v>
      </c>
      <c r="F266" s="13" t="str">
        <f t="shared" si="14"/>
        <v>On-time</v>
      </c>
      <c r="G266" s="19" t="str">
        <f>_xlfn.XLOOKUP(B266,tblARV[ASN/DN '#],tblARV[Country],"Not found")</f>
        <v>Tanzania</v>
      </c>
      <c r="H266" s="19" t="str">
        <f>_xlfn.XLOOKUP($B266,tblARV[ASN/DN '#],tblARV[Fulfill Via],"Not found")</f>
        <v>Direct Drop</v>
      </c>
      <c r="I266" s="19" t="str">
        <f>_xlfn.XLOOKUP($B266,tblARV[ASN/DN '#],tblARV[Vendor],"Not found")</f>
        <v>MYLAN LABORATORIES LTD (FORMERLY MATRIX LABORATORIES)</v>
      </c>
      <c r="Y266"/>
      <c r="Z266"/>
      <c r="AA266"/>
      <c r="AB266"/>
      <c r="AC266"/>
    </row>
    <row r="267" spans="2:29" ht="15">
      <c r="B267" s="7" t="s">
        <v>1084</v>
      </c>
      <c r="C267" s="10">
        <v>41754</v>
      </c>
      <c r="D267" s="10">
        <v>41754</v>
      </c>
      <c r="E267" s="18">
        <v>0</v>
      </c>
      <c r="F267" s="13" t="str">
        <f t="shared" si="14"/>
        <v>On-time</v>
      </c>
      <c r="G267" s="19" t="str">
        <f>_xlfn.XLOOKUP(B267,tblARV[ASN/DN '#],tblARV[Country],"Not found")</f>
        <v>Uganda</v>
      </c>
      <c r="H267" s="19" t="str">
        <f>_xlfn.XLOOKUP($B267,tblARV[ASN/DN '#],tblARV[Fulfill Via],"Not found")</f>
        <v>Direct Drop</v>
      </c>
      <c r="I267" s="19" t="str">
        <f>_xlfn.XLOOKUP($B267,tblARV[ASN/DN '#],tblARV[Vendor],"Not found")</f>
        <v>ABBVIE LOGISTICS (FORMERLY ABBOTT LOGISTICS BV)</v>
      </c>
      <c r="Y267"/>
      <c r="Z267"/>
      <c r="AA267"/>
      <c r="AB267"/>
      <c r="AC267"/>
    </row>
    <row r="268" spans="2:29" ht="15">
      <c r="B268" s="7" t="s">
        <v>1398</v>
      </c>
      <c r="C268" s="10">
        <v>41814</v>
      </c>
      <c r="D268" s="10">
        <v>41814</v>
      </c>
      <c r="E268" s="18">
        <v>0</v>
      </c>
      <c r="F268" s="13" t="str">
        <f t="shared" si="14"/>
        <v>On-time</v>
      </c>
      <c r="G268" s="19" t="str">
        <f>_xlfn.XLOOKUP(B268,tblARV[ASN/DN '#],tblARV[Country],"Not found")</f>
        <v>Tanzania</v>
      </c>
      <c r="H268" s="19" t="str">
        <f>_xlfn.XLOOKUP($B268,tblARV[ASN/DN '#],tblARV[Fulfill Via],"Not found")</f>
        <v>Direct Drop</v>
      </c>
      <c r="I268" s="19" t="str">
        <f>_xlfn.XLOOKUP($B268,tblARV[ASN/DN '#],tblARV[Vendor],"Not found")</f>
        <v>ABBVIE LOGISTICS (FORMERLY ABBOTT LOGISTICS BV)</v>
      </c>
      <c r="Y268"/>
      <c r="Z268"/>
      <c r="AA268"/>
      <c r="AB268"/>
      <c r="AC268"/>
    </row>
    <row r="269" spans="2:29" ht="15">
      <c r="B269" s="7" t="s">
        <v>857</v>
      </c>
      <c r="C269" s="10">
        <v>41814</v>
      </c>
      <c r="D269" s="10">
        <v>41814</v>
      </c>
      <c r="E269" s="18">
        <v>0</v>
      </c>
      <c r="F269" s="13" t="str">
        <f t="shared" si="14"/>
        <v>On-time</v>
      </c>
      <c r="G269" s="19" t="str">
        <f>_xlfn.XLOOKUP(B269,tblARV[ASN/DN '#],tblARV[Country],"Not found")</f>
        <v>Tanzania</v>
      </c>
      <c r="H269" s="19" t="str">
        <f>_xlfn.XLOOKUP($B269,tblARV[ASN/DN '#],tblARV[Fulfill Via],"Not found")</f>
        <v>Direct Drop</v>
      </c>
      <c r="I269" s="19" t="str">
        <f>_xlfn.XLOOKUP($B269,tblARV[ASN/DN '#],tblARV[Vendor],"Not found")</f>
        <v>STRIDES ARCOLAB LIMITED</v>
      </c>
      <c r="Y269"/>
      <c r="Z269"/>
      <c r="AA269"/>
      <c r="AB269"/>
      <c r="AC269"/>
    </row>
    <row r="270" spans="2:29" ht="15">
      <c r="B270" s="7" t="s">
        <v>801</v>
      </c>
      <c r="C270" s="10">
        <v>41814</v>
      </c>
      <c r="D270" s="10">
        <v>41814</v>
      </c>
      <c r="E270" s="18">
        <v>0</v>
      </c>
      <c r="F270" s="13" t="str">
        <f t="shared" si="14"/>
        <v>On-time</v>
      </c>
      <c r="G270" s="19" t="str">
        <f>_xlfn.XLOOKUP(B270,tblARV[ASN/DN '#],tblARV[Country],"Not found")</f>
        <v>Tanzania</v>
      </c>
      <c r="H270" s="19" t="str">
        <f>_xlfn.XLOOKUP($B270,tblARV[ASN/DN '#],tblARV[Fulfill Via],"Not found")</f>
        <v>Direct Drop</v>
      </c>
      <c r="I270" s="19" t="str">
        <f>_xlfn.XLOOKUP($B270,tblARV[ASN/DN '#],tblARV[Vendor],"Not found")</f>
        <v>STRIDES ARCOLAB LIMITED</v>
      </c>
      <c r="Y270"/>
      <c r="Z270"/>
      <c r="AA270"/>
      <c r="AB270"/>
      <c r="AC270"/>
    </row>
    <row r="271" spans="2:29" ht="15">
      <c r="B271" s="7" t="s">
        <v>1070</v>
      </c>
      <c r="C271" s="10">
        <v>41912</v>
      </c>
      <c r="D271" s="10">
        <v>41912</v>
      </c>
      <c r="E271" s="18">
        <v>0</v>
      </c>
      <c r="F271" s="13" t="str">
        <f t="shared" si="14"/>
        <v>On-time</v>
      </c>
      <c r="G271" s="19" t="str">
        <f>_xlfn.XLOOKUP(B271,tblARV[ASN/DN '#],tblARV[Country],"Not found")</f>
        <v>Tanzania</v>
      </c>
      <c r="H271" s="19" t="str">
        <f>_xlfn.XLOOKUP($B271,tblARV[ASN/DN '#],tblARV[Fulfill Via],"Not found")</f>
        <v>Direct Drop</v>
      </c>
      <c r="I271" s="19" t="str">
        <f>_xlfn.XLOOKUP($B271,tblARV[ASN/DN '#],tblARV[Vendor],"Not found")</f>
        <v>ABBVIE LOGISTICS (FORMERLY ABBOTT LOGISTICS BV)</v>
      </c>
      <c r="Y271"/>
      <c r="Z271"/>
      <c r="AA271"/>
      <c r="AB271"/>
      <c r="AC271"/>
    </row>
    <row r="272" spans="2:29" ht="15">
      <c r="B272" s="7" t="s">
        <v>1007</v>
      </c>
      <c r="C272" s="10">
        <v>41816</v>
      </c>
      <c r="D272" s="10">
        <v>41816</v>
      </c>
      <c r="E272" s="18">
        <v>0</v>
      </c>
      <c r="F272" s="13" t="str">
        <f t="shared" si="14"/>
        <v>On-time</v>
      </c>
      <c r="G272" s="19" t="str">
        <f>_xlfn.XLOOKUP(B272,tblARV[ASN/DN '#],tblARV[Country],"Not found")</f>
        <v>Uganda</v>
      </c>
      <c r="H272" s="19" t="str">
        <f>_xlfn.XLOOKUP($B272,tblARV[ASN/DN '#],tblARV[Fulfill Via],"Not found")</f>
        <v>Direct Drop</v>
      </c>
      <c r="I272" s="19" t="str">
        <f>_xlfn.XLOOKUP($B272,tblARV[ASN/DN '#],tblARV[Vendor],"Not found")</f>
        <v>MYLAN LABORATORIES LTD (FORMERLY MATRIX LABORATORIES)</v>
      </c>
      <c r="Y272"/>
      <c r="Z272"/>
      <c r="AA272"/>
      <c r="AB272"/>
      <c r="AC272"/>
    </row>
    <row r="273" spans="2:29" ht="15">
      <c r="B273" s="7" t="s">
        <v>1437</v>
      </c>
      <c r="C273" s="10">
        <v>41844</v>
      </c>
      <c r="D273" s="10">
        <v>41844</v>
      </c>
      <c r="E273" s="18">
        <v>0</v>
      </c>
      <c r="F273" s="13" t="str">
        <f t="shared" si="14"/>
        <v>On-time</v>
      </c>
      <c r="G273" s="19" t="str">
        <f>_xlfn.XLOOKUP(B273,tblARV[ASN/DN '#],tblARV[Country],"Not found")</f>
        <v>Rwanda</v>
      </c>
      <c r="H273" s="19" t="str">
        <f>_xlfn.XLOOKUP($B273,tblARV[ASN/DN '#],tblARV[Fulfill Via],"Not found")</f>
        <v>Direct Drop</v>
      </c>
      <c r="I273" s="19" t="str">
        <f>_xlfn.XLOOKUP($B273,tblARV[ASN/DN '#],tblARV[Vendor],"Not found")</f>
        <v>MYLAN LABORATORIES LTD (FORMERLY MATRIX LABORATORIES)</v>
      </c>
      <c r="Y273"/>
      <c r="Z273"/>
      <c r="AA273"/>
      <c r="AB273"/>
      <c r="AC273"/>
    </row>
    <row r="274" spans="2:29" ht="15">
      <c r="B274" s="7" t="s">
        <v>1167</v>
      </c>
      <c r="C274" s="10">
        <v>41877</v>
      </c>
      <c r="D274" s="10">
        <v>41877</v>
      </c>
      <c r="E274" s="18">
        <v>0</v>
      </c>
      <c r="F274" s="13" t="str">
        <f t="shared" si="14"/>
        <v>On-time</v>
      </c>
      <c r="G274" s="19" t="str">
        <f>_xlfn.XLOOKUP(B274,tblARV[ASN/DN '#],tblARV[Country],"Not found")</f>
        <v>Tanzania</v>
      </c>
      <c r="H274" s="19" t="str">
        <f>_xlfn.XLOOKUP($B274,tblARV[ASN/DN '#],tblARV[Fulfill Via],"Not found")</f>
        <v>Direct Drop</v>
      </c>
      <c r="I274" s="19" t="str">
        <f>_xlfn.XLOOKUP($B274,tblARV[ASN/DN '#],tblARV[Vendor],"Not found")</f>
        <v>ABBVIE LOGISTICS (FORMERLY ABBOTT LOGISTICS BV)</v>
      </c>
      <c r="Y274"/>
      <c r="Z274"/>
      <c r="AA274"/>
      <c r="AB274"/>
      <c r="AC274"/>
    </row>
    <row r="275" spans="2:29" ht="15">
      <c r="B275" s="7" t="s">
        <v>1280</v>
      </c>
      <c r="C275" s="10">
        <v>41836</v>
      </c>
      <c r="D275" s="10">
        <v>41836</v>
      </c>
      <c r="E275" s="18">
        <v>0</v>
      </c>
      <c r="F275" s="13" t="str">
        <f t="shared" si="14"/>
        <v>On-time</v>
      </c>
      <c r="G275" s="19" t="str">
        <f>_xlfn.XLOOKUP(B275,tblARV[ASN/DN '#],tblARV[Country],"Not found")</f>
        <v>Uganda</v>
      </c>
      <c r="H275" s="19" t="str">
        <f>_xlfn.XLOOKUP($B275,tblARV[ASN/DN '#],tblARV[Fulfill Via],"Not found")</f>
        <v>Direct Drop</v>
      </c>
      <c r="I275" s="19" t="str">
        <f>_xlfn.XLOOKUP($B275,tblARV[ASN/DN '#],tblARV[Vendor],"Not found")</f>
        <v>B&amp;C GROUP S.A.</v>
      </c>
      <c r="Y275"/>
      <c r="Z275"/>
      <c r="AA275"/>
      <c r="AB275"/>
      <c r="AC275"/>
    </row>
    <row r="276" spans="2:29" ht="15">
      <c r="B276" s="7" t="s">
        <v>1328</v>
      </c>
      <c r="C276" s="10">
        <v>41836</v>
      </c>
      <c r="D276" s="10">
        <v>41836</v>
      </c>
      <c r="E276" s="18">
        <v>0</v>
      </c>
      <c r="F276" s="13" t="str">
        <f t="shared" si="14"/>
        <v>On-time</v>
      </c>
      <c r="G276" s="19" t="str">
        <f>_xlfn.XLOOKUP(B276,tblARV[ASN/DN '#],tblARV[Country],"Not found")</f>
        <v>Rwanda</v>
      </c>
      <c r="H276" s="19" t="str">
        <f>_xlfn.XLOOKUP($B276,tblARV[ASN/DN '#],tblARV[Fulfill Via],"Not found")</f>
        <v>Direct Drop</v>
      </c>
      <c r="I276" s="19" t="str">
        <f>_xlfn.XLOOKUP($B276,tblARV[ASN/DN '#],tblARV[Vendor],"Not found")</f>
        <v>ABBVIE LOGISTICS (FORMERLY ABBOTT LOGISTICS BV)</v>
      </c>
      <c r="Y276"/>
      <c r="Z276"/>
      <c r="AA276"/>
      <c r="AB276"/>
      <c r="AC276"/>
    </row>
    <row r="277" spans="2:29" ht="15">
      <c r="B277" s="7" t="s">
        <v>2821</v>
      </c>
      <c r="C277" s="10">
        <v>41911</v>
      </c>
      <c r="D277" s="10">
        <v>41911</v>
      </c>
      <c r="E277" s="18">
        <v>0</v>
      </c>
      <c r="F277" s="13" t="str">
        <f t="shared" ref="F277:F340" si="15">IF($E277&lt;=0,"On-time","Late")</f>
        <v>On-time</v>
      </c>
      <c r="G277" s="19" t="str">
        <f>_xlfn.XLOOKUP(B277,tblARV[ASN/DN '#],tblARV[Country],"Not found")</f>
        <v>South Sudan</v>
      </c>
      <c r="H277" s="19" t="str">
        <f>_xlfn.XLOOKUP($B277,tblARV[ASN/DN '#],tblARV[Fulfill Via],"Not found")</f>
        <v>Direct Drop</v>
      </c>
      <c r="I277" s="19" t="str">
        <f>_xlfn.XLOOKUP($B277,tblARV[ASN/DN '#],tblARV[Vendor],"Not found")</f>
        <v>Aurobindo Pharma Limited</v>
      </c>
      <c r="Y277"/>
      <c r="Z277"/>
      <c r="AA277"/>
      <c r="AB277"/>
      <c r="AC277"/>
    </row>
    <row r="278" spans="2:29" ht="15">
      <c r="B278" s="7" t="s">
        <v>1489</v>
      </c>
      <c r="C278" s="10">
        <v>41836</v>
      </c>
      <c r="D278" s="10">
        <v>41836</v>
      </c>
      <c r="E278" s="18">
        <v>0</v>
      </c>
      <c r="F278" s="13" t="str">
        <f t="shared" si="15"/>
        <v>On-time</v>
      </c>
      <c r="G278" s="19" t="str">
        <f>_xlfn.XLOOKUP(B278,tblARV[ASN/DN '#],tblARV[Country],"Not found")</f>
        <v>Rwanda</v>
      </c>
      <c r="H278" s="19" t="str">
        <f>_xlfn.XLOOKUP($B278,tblARV[ASN/DN '#],tblARV[Fulfill Via],"Not found")</f>
        <v>Direct Drop</v>
      </c>
      <c r="I278" s="19" t="str">
        <f>_xlfn.XLOOKUP($B278,tblARV[ASN/DN '#],tblARV[Vendor],"Not found")</f>
        <v>LAWRENCE LABORATORIES (SUBSIDIARY OF BRISTOL MYERS SQUIBB)</v>
      </c>
      <c r="Y278"/>
      <c r="Z278"/>
      <c r="AA278"/>
      <c r="AB278"/>
      <c r="AC278"/>
    </row>
    <row r="279" spans="2:29" ht="15">
      <c r="B279" s="7" t="s">
        <v>932</v>
      </c>
      <c r="C279" s="10">
        <v>41852</v>
      </c>
      <c r="D279" s="10">
        <v>41852</v>
      </c>
      <c r="E279" s="18">
        <v>0</v>
      </c>
      <c r="F279" s="13" t="str">
        <f t="shared" si="15"/>
        <v>On-time</v>
      </c>
      <c r="G279" s="19" t="str">
        <f>_xlfn.XLOOKUP(B279,tblARV[ASN/DN '#],tblARV[Country],"Not found")</f>
        <v>Uganda</v>
      </c>
      <c r="H279" s="19" t="str">
        <f>_xlfn.XLOOKUP($B279,tblARV[ASN/DN '#],tblARV[Fulfill Via],"Not found")</f>
        <v>Direct Drop</v>
      </c>
      <c r="I279" s="19" t="str">
        <f>_xlfn.XLOOKUP($B279,tblARV[ASN/DN '#],tblARV[Vendor],"Not found")</f>
        <v>STRIDES ARCOLAB LIMITED</v>
      </c>
      <c r="Y279"/>
      <c r="Z279"/>
      <c r="AA279"/>
      <c r="AB279"/>
      <c r="AC279"/>
    </row>
    <row r="280" spans="2:29" ht="15">
      <c r="B280" s="7" t="s">
        <v>1090</v>
      </c>
      <c r="C280" s="10">
        <v>41850</v>
      </c>
      <c r="D280" s="10">
        <v>41850</v>
      </c>
      <c r="E280" s="18">
        <v>0</v>
      </c>
      <c r="F280" s="13" t="str">
        <f t="shared" si="15"/>
        <v>On-time</v>
      </c>
      <c r="G280" s="19" t="str">
        <f>_xlfn.XLOOKUP(B280,tblARV[ASN/DN '#],tblARV[Country],"Not found")</f>
        <v>Uganda</v>
      </c>
      <c r="H280" s="19" t="str">
        <f>_xlfn.XLOOKUP($B280,tblARV[ASN/DN '#],tblARV[Fulfill Via],"Not found")</f>
        <v>Direct Drop</v>
      </c>
      <c r="I280" s="19" t="str">
        <f>_xlfn.XLOOKUP($B280,tblARV[ASN/DN '#],tblARV[Vendor],"Not found")</f>
        <v>MERCK SHARP &amp; DOHME IDEA GMBH (FORMALLY MERCK SHARP &amp; DOHME B.V.)</v>
      </c>
      <c r="Y280"/>
      <c r="Z280"/>
      <c r="AA280"/>
      <c r="AB280"/>
      <c r="AC280"/>
    </row>
    <row r="281" spans="2:29" ht="15">
      <c r="B281" s="7" t="s">
        <v>143</v>
      </c>
      <c r="C281" s="10">
        <v>39755</v>
      </c>
      <c r="D281" s="10">
        <v>39755</v>
      </c>
      <c r="E281" s="18">
        <v>0</v>
      </c>
      <c r="F281" s="13" t="str">
        <f t="shared" si="15"/>
        <v>On-time</v>
      </c>
      <c r="G281" s="19" t="str">
        <f>_xlfn.XLOOKUP(B281,tblARV[ASN/DN '#],tblARV[Country],"Not found")</f>
        <v>Tanzania</v>
      </c>
      <c r="H281" s="19" t="str">
        <f>_xlfn.XLOOKUP($B281,tblARV[ASN/DN '#],tblARV[Fulfill Via],"Not found")</f>
        <v>Direct Drop</v>
      </c>
      <c r="I281" s="19" t="str">
        <f>_xlfn.XLOOKUP($B281,tblARV[ASN/DN '#],tblARV[Vendor],"Not found")</f>
        <v>BRISTOL-MYERS SQUIBB</v>
      </c>
      <c r="Y281"/>
      <c r="Z281"/>
      <c r="AA281"/>
      <c r="AB281"/>
      <c r="AC281"/>
    </row>
    <row r="282" spans="2:29" ht="15">
      <c r="B282" s="7" t="s">
        <v>930</v>
      </c>
      <c r="C282" s="10">
        <v>41873</v>
      </c>
      <c r="D282" s="10">
        <v>41873</v>
      </c>
      <c r="E282" s="18">
        <v>0</v>
      </c>
      <c r="F282" s="13" t="str">
        <f t="shared" si="15"/>
        <v>On-time</v>
      </c>
      <c r="G282" s="19" t="str">
        <f>_xlfn.XLOOKUP(B282,tblARV[ASN/DN '#],tblARV[Country],"Not found")</f>
        <v>Rwanda</v>
      </c>
      <c r="H282" s="19" t="str">
        <f>_xlfn.XLOOKUP($B282,tblARV[ASN/DN '#],tblARV[Fulfill Via],"Not found")</f>
        <v>Direct Drop</v>
      </c>
      <c r="I282" s="19" t="str">
        <f>_xlfn.XLOOKUP($B282,tblARV[ASN/DN '#],tblARV[Vendor],"Not found")</f>
        <v>MYLAN LABORATORIES LTD (FORMERLY MATRIX LABORATORIES)</v>
      </c>
      <c r="Y282"/>
      <c r="Z282"/>
      <c r="AA282"/>
      <c r="AB282"/>
      <c r="AC282"/>
    </row>
    <row r="283" spans="2:29" ht="15">
      <c r="B283" s="7" t="s">
        <v>1314</v>
      </c>
      <c r="C283" s="10">
        <v>41877</v>
      </c>
      <c r="D283" s="10">
        <v>41877</v>
      </c>
      <c r="E283" s="18">
        <v>0</v>
      </c>
      <c r="F283" s="13" t="str">
        <f t="shared" si="15"/>
        <v>On-time</v>
      </c>
      <c r="G283" s="19" t="str">
        <f>_xlfn.XLOOKUP(B283,tblARV[ASN/DN '#],tblARV[Country],"Not found")</f>
        <v>Uganda</v>
      </c>
      <c r="H283" s="19" t="str">
        <f>_xlfn.XLOOKUP($B283,tblARV[ASN/DN '#],tblARV[Fulfill Via],"Not found")</f>
        <v>Direct Drop</v>
      </c>
      <c r="I283" s="19" t="str">
        <f>_xlfn.XLOOKUP($B283,tblARV[ASN/DN '#],tblARV[Vendor],"Not found")</f>
        <v>ABBVIE LOGISTICS (FORMERLY ABBOTT LOGISTICS BV)</v>
      </c>
      <c r="Y283"/>
      <c r="Z283"/>
      <c r="AA283"/>
      <c r="AB283"/>
      <c r="AC283"/>
    </row>
    <row r="284" spans="2:29" ht="15">
      <c r="B284" s="7" t="s">
        <v>826</v>
      </c>
      <c r="C284" s="10">
        <v>41873</v>
      </c>
      <c r="D284" s="10">
        <v>41873</v>
      </c>
      <c r="E284" s="18">
        <v>0</v>
      </c>
      <c r="F284" s="13" t="str">
        <f t="shared" si="15"/>
        <v>On-time</v>
      </c>
      <c r="G284" s="19" t="str">
        <f>_xlfn.XLOOKUP(B284,tblARV[ASN/DN '#],tblARV[Country],"Not found")</f>
        <v>Rwanda</v>
      </c>
      <c r="H284" s="19" t="str">
        <f>_xlfn.XLOOKUP($B284,tblARV[ASN/DN '#],tblARV[Fulfill Via],"Not found")</f>
        <v>Direct Drop</v>
      </c>
      <c r="I284" s="19" t="str">
        <f>_xlfn.XLOOKUP($B284,tblARV[ASN/DN '#],tblARV[Vendor],"Not found")</f>
        <v>EMCURE PHARMACEUTICALS LTD</v>
      </c>
      <c r="Y284"/>
      <c r="Z284"/>
      <c r="AA284"/>
      <c r="AB284"/>
      <c r="AC284"/>
    </row>
    <row r="285" spans="2:29" ht="15">
      <c r="B285" s="7" t="s">
        <v>978</v>
      </c>
      <c r="C285" s="10">
        <v>41873</v>
      </c>
      <c r="D285" s="10">
        <v>41873</v>
      </c>
      <c r="E285" s="18">
        <v>0</v>
      </c>
      <c r="F285" s="13" t="str">
        <f t="shared" si="15"/>
        <v>On-time</v>
      </c>
      <c r="G285" s="19" t="str">
        <f>_xlfn.XLOOKUP(B285,tblARV[ASN/DN '#],tblARV[Country],"Not found")</f>
        <v>Rwanda</v>
      </c>
      <c r="H285" s="19" t="str">
        <f>_xlfn.XLOOKUP($B285,tblARV[ASN/DN '#],tblARV[Fulfill Via],"Not found")</f>
        <v>Direct Drop</v>
      </c>
      <c r="I285" s="19" t="str">
        <f>_xlfn.XLOOKUP($B285,tblARV[ASN/DN '#],tblARV[Vendor],"Not found")</f>
        <v>ABBVIE LOGISTICS (FORMERLY ABBOTT LOGISTICS BV)</v>
      </c>
      <c r="Y285"/>
      <c r="Z285"/>
      <c r="AA285"/>
      <c r="AB285"/>
      <c r="AC285"/>
    </row>
    <row r="286" spans="2:29" ht="15">
      <c r="B286" s="7" t="s">
        <v>1400</v>
      </c>
      <c r="C286" s="10">
        <v>41873</v>
      </c>
      <c r="D286" s="10">
        <v>41873</v>
      </c>
      <c r="E286" s="18">
        <v>0</v>
      </c>
      <c r="F286" s="13" t="str">
        <f t="shared" si="15"/>
        <v>On-time</v>
      </c>
      <c r="G286" s="19" t="str">
        <f>_xlfn.XLOOKUP(B286,tblARV[ASN/DN '#],tblARV[Country],"Not found")</f>
        <v>Rwanda</v>
      </c>
      <c r="H286" s="19" t="str">
        <f>_xlfn.XLOOKUP($B286,tblARV[ASN/DN '#],tblARV[Fulfill Via],"Not found")</f>
        <v>Direct Drop</v>
      </c>
      <c r="I286" s="19" t="str">
        <f>_xlfn.XLOOKUP($B286,tblARV[ASN/DN '#],tblARV[Vendor],"Not found")</f>
        <v>LAWRENCE LABORATORIES (SUBSIDIARY OF BRISTOL MYERS SQUIBB)</v>
      </c>
      <c r="Y286"/>
      <c r="Z286"/>
      <c r="AA286"/>
      <c r="AB286"/>
      <c r="AC286"/>
    </row>
    <row r="287" spans="2:29" ht="15">
      <c r="B287" s="7" t="s">
        <v>886</v>
      </c>
      <c r="C287" s="10">
        <v>41914</v>
      </c>
      <c r="D287" s="10">
        <v>41914</v>
      </c>
      <c r="E287" s="18">
        <v>0</v>
      </c>
      <c r="F287" s="13" t="str">
        <f t="shared" si="15"/>
        <v>On-time</v>
      </c>
      <c r="G287" s="19" t="str">
        <f>_xlfn.XLOOKUP(B287,tblARV[ASN/DN '#],tblARV[Country],"Not found")</f>
        <v>Tanzania</v>
      </c>
      <c r="H287" s="19" t="str">
        <f>_xlfn.XLOOKUP($B287,tblARV[ASN/DN '#],tblARV[Fulfill Via],"Not found")</f>
        <v>Direct Drop</v>
      </c>
      <c r="I287" s="19" t="str">
        <f>_xlfn.XLOOKUP($B287,tblARV[ASN/DN '#],tblARV[Vendor],"Not found")</f>
        <v>ABBVIE LOGISTICS (FORMERLY ABBOTT LOGISTICS BV)</v>
      </c>
      <c r="Y287"/>
      <c r="Z287"/>
      <c r="AA287"/>
      <c r="AB287"/>
      <c r="AC287"/>
    </row>
    <row r="288" spans="2:29" ht="15">
      <c r="B288" s="7" t="s">
        <v>1058</v>
      </c>
      <c r="C288" s="10">
        <v>41905</v>
      </c>
      <c r="D288" s="10">
        <v>41905</v>
      </c>
      <c r="E288" s="18">
        <v>0</v>
      </c>
      <c r="F288" s="13" t="str">
        <f t="shared" si="15"/>
        <v>On-time</v>
      </c>
      <c r="G288" s="19" t="str">
        <f>_xlfn.XLOOKUP(B288,tblARV[ASN/DN '#],tblARV[Country],"Not found")</f>
        <v>Uganda</v>
      </c>
      <c r="H288" s="19" t="str">
        <f>_xlfn.XLOOKUP($B288,tblARV[ASN/DN '#],tblARV[Fulfill Via],"Not found")</f>
        <v>Direct Drop</v>
      </c>
      <c r="I288" s="19" t="str">
        <f>_xlfn.XLOOKUP($B288,tblARV[ASN/DN '#],tblARV[Vendor],"Not found")</f>
        <v>ABBVIE LOGISTICS (FORMERLY ABBOTT LOGISTICS BV)</v>
      </c>
      <c r="Y288"/>
      <c r="Z288"/>
      <c r="AA288"/>
      <c r="AB288"/>
      <c r="AC288"/>
    </row>
    <row r="289" spans="2:29" ht="15">
      <c r="B289" s="7" t="s">
        <v>1060</v>
      </c>
      <c r="C289" s="10">
        <v>41955</v>
      </c>
      <c r="D289" s="10">
        <v>41955</v>
      </c>
      <c r="E289" s="18">
        <v>0</v>
      </c>
      <c r="F289" s="13" t="str">
        <f t="shared" si="15"/>
        <v>On-time</v>
      </c>
      <c r="G289" s="19" t="str">
        <f>_xlfn.XLOOKUP(B289,tblARV[ASN/DN '#],tblARV[Country],"Not found")</f>
        <v>Rwanda</v>
      </c>
      <c r="H289" s="19" t="str">
        <f>_xlfn.XLOOKUP($B289,tblARV[ASN/DN '#],tblARV[Fulfill Via],"Not found")</f>
        <v>Direct Drop</v>
      </c>
      <c r="I289" s="19" t="str">
        <f>_xlfn.XLOOKUP($B289,tblARV[ASN/DN '#],tblARV[Vendor],"Not found")</f>
        <v>Aurobindo Pharma Limited</v>
      </c>
      <c r="Y289"/>
      <c r="Z289"/>
      <c r="AA289"/>
      <c r="AB289"/>
      <c r="AC289"/>
    </row>
    <row r="290" spans="2:29" ht="15">
      <c r="B290" s="7" t="s">
        <v>926</v>
      </c>
      <c r="C290" s="10">
        <v>41898</v>
      </c>
      <c r="D290" s="10">
        <v>41898</v>
      </c>
      <c r="E290" s="18">
        <v>0</v>
      </c>
      <c r="F290" s="13" t="str">
        <f t="shared" si="15"/>
        <v>On-time</v>
      </c>
      <c r="G290" s="19" t="str">
        <f>_xlfn.XLOOKUP(B290,tblARV[ASN/DN '#],tblARV[Country],"Not found")</f>
        <v>Rwanda</v>
      </c>
      <c r="H290" s="19" t="str">
        <f>_xlfn.XLOOKUP($B290,tblARV[ASN/DN '#],tblARV[Fulfill Via],"Not found")</f>
        <v>Direct Drop</v>
      </c>
      <c r="I290" s="19" t="str">
        <f>_xlfn.XLOOKUP($B290,tblARV[ASN/DN '#],tblARV[Vendor],"Not found")</f>
        <v>ABBVIE LOGISTICS (FORMERLY ABBOTT LOGISTICS BV)</v>
      </c>
      <c r="Y290"/>
      <c r="Z290"/>
      <c r="AA290"/>
      <c r="AB290"/>
      <c r="AC290"/>
    </row>
    <row r="291" spans="2:29" ht="15">
      <c r="B291" s="7" t="s">
        <v>986</v>
      </c>
      <c r="C291" s="10">
        <v>41894</v>
      </c>
      <c r="D291" s="10">
        <v>41894</v>
      </c>
      <c r="E291" s="18">
        <v>0</v>
      </c>
      <c r="F291" s="13" t="str">
        <f t="shared" si="15"/>
        <v>On-time</v>
      </c>
      <c r="G291" s="19" t="str">
        <f>_xlfn.XLOOKUP(B291,tblARV[ASN/DN '#],tblARV[Country],"Not found")</f>
        <v>Uganda</v>
      </c>
      <c r="H291" s="19" t="str">
        <f>_xlfn.XLOOKUP($B291,tblARV[ASN/DN '#],tblARV[Fulfill Via],"Not found")</f>
        <v>Direct Drop</v>
      </c>
      <c r="I291" s="19" t="str">
        <f>_xlfn.XLOOKUP($B291,tblARV[ASN/DN '#],tblARV[Vendor],"Not found")</f>
        <v>ASPEN PHARMACARE</v>
      </c>
      <c r="Y291"/>
      <c r="Z291"/>
      <c r="AA291"/>
      <c r="AB291"/>
      <c r="AC291"/>
    </row>
    <row r="292" spans="2:29" ht="15">
      <c r="B292" s="7" t="s">
        <v>1257</v>
      </c>
      <c r="C292" s="10">
        <v>41940</v>
      </c>
      <c r="D292" s="10">
        <v>41940</v>
      </c>
      <c r="E292" s="18">
        <v>0</v>
      </c>
      <c r="F292" s="13" t="str">
        <f t="shared" si="15"/>
        <v>On-time</v>
      </c>
      <c r="G292" s="19" t="str">
        <f>_xlfn.XLOOKUP(B292,tblARV[ASN/DN '#],tblARV[Country],"Not found")</f>
        <v>Uganda</v>
      </c>
      <c r="H292" s="19" t="str">
        <f>_xlfn.XLOOKUP($B292,tblARV[ASN/DN '#],tblARV[Fulfill Via],"Not found")</f>
        <v>Direct Drop</v>
      </c>
      <c r="I292" s="19" t="str">
        <f>_xlfn.XLOOKUP($B292,tblARV[ASN/DN '#],tblARV[Vendor],"Not found")</f>
        <v>MYLAN LABORATORIES LTD (FORMERLY MATRIX LABORATORIES)</v>
      </c>
      <c r="Y292"/>
      <c r="Z292"/>
      <c r="AA292"/>
      <c r="AB292"/>
      <c r="AC292"/>
    </row>
    <row r="293" spans="2:29" ht="15">
      <c r="B293" s="7" t="s">
        <v>832</v>
      </c>
      <c r="C293" s="10">
        <v>41940</v>
      </c>
      <c r="D293" s="10">
        <v>41940</v>
      </c>
      <c r="E293" s="18">
        <v>0</v>
      </c>
      <c r="F293" s="13" t="str">
        <f t="shared" si="15"/>
        <v>On-time</v>
      </c>
      <c r="G293" s="19" t="str">
        <f>_xlfn.XLOOKUP(B293,tblARV[ASN/DN '#],tblARV[Country],"Not found")</f>
        <v>Uganda</v>
      </c>
      <c r="H293" s="19" t="str">
        <f>_xlfn.XLOOKUP($B293,tblARV[ASN/DN '#],tblARV[Fulfill Via],"Not found")</f>
        <v>Direct Drop</v>
      </c>
      <c r="I293" s="19" t="str">
        <f>_xlfn.XLOOKUP($B293,tblARV[ASN/DN '#],tblARV[Vendor],"Not found")</f>
        <v>MERCK SHARP &amp; DOHME IDEA GMBH (FORMALLY MERCK SHARP &amp; DOHME B.V.)</v>
      </c>
      <c r="Y293"/>
      <c r="Z293"/>
      <c r="AA293"/>
      <c r="AB293"/>
      <c r="AC293"/>
    </row>
    <row r="294" spans="2:29" ht="15">
      <c r="B294" s="7" t="s">
        <v>1203</v>
      </c>
      <c r="C294" s="10">
        <v>41949</v>
      </c>
      <c r="D294" s="10">
        <v>41949</v>
      </c>
      <c r="E294" s="18">
        <v>0</v>
      </c>
      <c r="F294" s="13" t="str">
        <f t="shared" si="15"/>
        <v>On-time</v>
      </c>
      <c r="G294" s="19" t="str">
        <f>_xlfn.XLOOKUP(B294,tblARV[ASN/DN '#],tblARV[Country],"Not found")</f>
        <v>Uganda</v>
      </c>
      <c r="H294" s="19" t="str">
        <f>_xlfn.XLOOKUP($B294,tblARV[ASN/DN '#],tblARV[Fulfill Via],"Not found")</f>
        <v>Direct Drop</v>
      </c>
      <c r="I294" s="19" t="str">
        <f>_xlfn.XLOOKUP($B294,tblARV[ASN/DN '#],tblARV[Vendor],"Not found")</f>
        <v>ABBVIE LOGISTICS (FORMERLY ABBOTT LOGISTICS BV)</v>
      </c>
      <c r="Y294"/>
      <c r="Z294"/>
      <c r="AA294"/>
      <c r="AB294"/>
      <c r="AC294"/>
    </row>
    <row r="295" spans="2:29" ht="15">
      <c r="B295" s="7" t="s">
        <v>1066</v>
      </c>
      <c r="C295" s="10">
        <v>41992</v>
      </c>
      <c r="D295" s="10">
        <v>41992</v>
      </c>
      <c r="E295" s="18">
        <v>0</v>
      </c>
      <c r="F295" s="13" t="str">
        <f t="shared" si="15"/>
        <v>On-time</v>
      </c>
      <c r="G295" s="19" t="str">
        <f>_xlfn.XLOOKUP(B295,tblARV[ASN/DN '#],tblARV[Country],"Not found")</f>
        <v>Rwanda</v>
      </c>
      <c r="H295" s="19" t="str">
        <f>_xlfn.XLOOKUP($B295,tblARV[ASN/DN '#],tblARV[Fulfill Via],"Not found")</f>
        <v>Direct Drop</v>
      </c>
      <c r="I295" s="19" t="str">
        <f>_xlfn.XLOOKUP($B295,tblARV[ASN/DN '#],tblARV[Vendor],"Not found")</f>
        <v>MYLAN LABORATORIES LTD (FORMERLY MATRIX LABORATORIES)</v>
      </c>
      <c r="Y295"/>
      <c r="Z295"/>
      <c r="AA295"/>
      <c r="AB295"/>
      <c r="AC295"/>
    </row>
    <row r="296" spans="2:29" ht="15">
      <c r="B296" s="7" t="s">
        <v>919</v>
      </c>
      <c r="C296" s="10">
        <v>41951</v>
      </c>
      <c r="D296" s="10">
        <v>41951</v>
      </c>
      <c r="E296" s="18">
        <v>0</v>
      </c>
      <c r="F296" s="13" t="str">
        <f t="shared" si="15"/>
        <v>On-time</v>
      </c>
      <c r="G296" s="19" t="str">
        <f>_xlfn.XLOOKUP(B296,tblARV[ASN/DN '#],tblARV[Country],"Not found")</f>
        <v>Uganda</v>
      </c>
      <c r="H296" s="19" t="str">
        <f>_xlfn.XLOOKUP($B296,tblARV[ASN/DN '#],tblARV[Fulfill Via],"Not found")</f>
        <v>Direct Drop</v>
      </c>
      <c r="I296" s="19" t="str">
        <f>_xlfn.XLOOKUP($B296,tblARV[ASN/DN '#],tblARV[Vendor],"Not found")</f>
        <v>ABBVIE LOGISTICS (FORMERLY ABBOTT LOGISTICS BV)</v>
      </c>
      <c r="Y296"/>
      <c r="Z296"/>
      <c r="AA296"/>
      <c r="AB296"/>
      <c r="AC296"/>
    </row>
    <row r="297" spans="2:29" ht="15">
      <c r="B297" s="7" t="s">
        <v>1011</v>
      </c>
      <c r="C297" s="10">
        <v>41944</v>
      </c>
      <c r="D297" s="10">
        <v>41944</v>
      </c>
      <c r="E297" s="18">
        <v>0</v>
      </c>
      <c r="F297" s="13" t="str">
        <f t="shared" si="15"/>
        <v>On-time</v>
      </c>
      <c r="G297" s="19" t="str">
        <f>_xlfn.XLOOKUP(B297,tblARV[ASN/DN '#],tblARV[Country],"Not found")</f>
        <v>Uganda</v>
      </c>
      <c r="H297" s="19" t="str">
        <f>_xlfn.XLOOKUP($B297,tblARV[ASN/DN '#],tblARV[Fulfill Via],"Not found")</f>
        <v>Direct Drop</v>
      </c>
      <c r="I297" s="19" t="str">
        <f>_xlfn.XLOOKUP($B297,tblARV[ASN/DN '#],tblARV[Vendor],"Not found")</f>
        <v>JANSSEN SCIENCES IRELAND UC (FORMERLY JANSSEN R&amp;D IRELAND)</v>
      </c>
      <c r="Y297"/>
      <c r="Z297"/>
      <c r="AA297"/>
      <c r="AB297"/>
      <c r="AC297"/>
    </row>
    <row r="298" spans="2:29" ht="15">
      <c r="B298" s="7" t="s">
        <v>2819</v>
      </c>
      <c r="C298" s="10">
        <v>41984</v>
      </c>
      <c r="D298" s="10">
        <v>41984</v>
      </c>
      <c r="E298" s="18">
        <v>0</v>
      </c>
      <c r="F298" s="13" t="str">
        <f t="shared" si="15"/>
        <v>On-time</v>
      </c>
      <c r="G298" s="19" t="str">
        <f>_xlfn.XLOOKUP(B298,tblARV[ASN/DN '#],tblARV[Country],"Not found")</f>
        <v>South Sudan</v>
      </c>
      <c r="H298" s="19" t="str">
        <f>_xlfn.XLOOKUP($B298,tblARV[ASN/DN '#],tblARV[Fulfill Via],"Not found")</f>
        <v>Direct Drop</v>
      </c>
      <c r="I298" s="19" t="str">
        <f>_xlfn.XLOOKUP($B298,tblARV[ASN/DN '#],tblARV[Vendor],"Not found")</f>
        <v>CIPLA LIMITED</v>
      </c>
      <c r="Y298"/>
      <c r="Z298"/>
      <c r="AA298"/>
      <c r="AB298"/>
      <c r="AC298"/>
    </row>
    <row r="299" spans="2:29" ht="15">
      <c r="B299" s="7" t="s">
        <v>1142</v>
      </c>
      <c r="C299" s="10">
        <v>41957</v>
      </c>
      <c r="D299" s="10">
        <v>41957</v>
      </c>
      <c r="E299" s="18">
        <v>0</v>
      </c>
      <c r="F299" s="13" t="str">
        <f t="shared" si="15"/>
        <v>On-time</v>
      </c>
      <c r="G299" s="19" t="str">
        <f>_xlfn.XLOOKUP(B299,tblARV[ASN/DN '#],tblARV[Country],"Not found")</f>
        <v>Uganda</v>
      </c>
      <c r="H299" s="19" t="str">
        <f>_xlfn.XLOOKUP($B299,tblARV[ASN/DN '#],tblARV[Fulfill Via],"Not found")</f>
        <v>Direct Drop</v>
      </c>
      <c r="I299" s="19" t="str">
        <f>_xlfn.XLOOKUP($B299,tblARV[ASN/DN '#],tblARV[Vendor],"Not found")</f>
        <v>ABBVIE LOGISTICS (FORMERLY ABBOTT LOGISTICS BV)</v>
      </c>
      <c r="Y299"/>
      <c r="Z299"/>
      <c r="AA299"/>
      <c r="AB299"/>
      <c r="AC299"/>
    </row>
    <row r="300" spans="2:29" ht="15">
      <c r="B300" s="7" t="s">
        <v>1151</v>
      </c>
      <c r="C300" s="10">
        <v>42019</v>
      </c>
      <c r="D300" s="10">
        <v>42019</v>
      </c>
      <c r="E300" s="18">
        <v>0</v>
      </c>
      <c r="F300" s="13" t="str">
        <f t="shared" si="15"/>
        <v>On-time</v>
      </c>
      <c r="G300" s="19" t="str">
        <f>_xlfn.XLOOKUP(B300,tblARV[ASN/DN '#],tblARV[Country],"Not found")</f>
        <v>Rwanda</v>
      </c>
      <c r="H300" s="19" t="str">
        <f>_xlfn.XLOOKUP($B300,tblARV[ASN/DN '#],tblARV[Fulfill Via],"Not found")</f>
        <v>Direct Drop</v>
      </c>
      <c r="I300" s="19" t="str">
        <f>_xlfn.XLOOKUP($B300,tblARV[ASN/DN '#],tblARV[Vendor],"Not found")</f>
        <v>Aurobindo Pharma Limited</v>
      </c>
      <c r="Y300"/>
      <c r="Z300"/>
      <c r="AA300"/>
      <c r="AB300"/>
    </row>
    <row r="301" spans="2:29" ht="15">
      <c r="B301" s="7" t="s">
        <v>923</v>
      </c>
      <c r="C301" s="10">
        <v>42019</v>
      </c>
      <c r="D301" s="10">
        <v>42019</v>
      </c>
      <c r="E301" s="18">
        <v>0</v>
      </c>
      <c r="F301" s="13" t="str">
        <f t="shared" si="15"/>
        <v>On-time</v>
      </c>
      <c r="G301" s="19" t="str">
        <f>_xlfn.XLOOKUP(B301,tblARV[ASN/DN '#],tblARV[Country],"Not found")</f>
        <v>Rwanda</v>
      </c>
      <c r="H301" s="19" t="str">
        <f>_xlfn.XLOOKUP($B301,tblARV[ASN/DN '#],tblARV[Fulfill Via],"Not found")</f>
        <v>Direct Drop</v>
      </c>
      <c r="I301" s="19" t="str">
        <f>_xlfn.XLOOKUP($B301,tblARV[ASN/DN '#],tblARV[Vendor],"Not found")</f>
        <v>Aurobindo Pharma Limited</v>
      </c>
      <c r="Y301"/>
      <c r="Z301"/>
      <c r="AA301"/>
      <c r="AB301"/>
    </row>
    <row r="302" spans="2:29" ht="15">
      <c r="B302" s="7" t="s">
        <v>132</v>
      </c>
      <c r="C302" s="10">
        <v>39791</v>
      </c>
      <c r="D302" s="10">
        <v>39791</v>
      </c>
      <c r="E302" s="18">
        <v>0</v>
      </c>
      <c r="F302" s="13" t="str">
        <f t="shared" si="15"/>
        <v>On-time</v>
      </c>
      <c r="G302" s="19" t="str">
        <f>_xlfn.XLOOKUP(B302,tblARV[ASN/DN '#],tblARV[Country],"Not found")</f>
        <v>Uganda</v>
      </c>
      <c r="H302" s="19" t="str">
        <f>_xlfn.XLOOKUP($B302,tblARV[ASN/DN '#],tblARV[Fulfill Via],"Not found")</f>
        <v>Direct Drop</v>
      </c>
      <c r="I302" s="19" t="str">
        <f>_xlfn.XLOOKUP($B302,tblARV[ASN/DN '#],tblARV[Vendor],"Not found")</f>
        <v>BRISTOL-MYERS SQUIBB</v>
      </c>
      <c r="Y302"/>
      <c r="Z302"/>
      <c r="AA302"/>
      <c r="AB302"/>
    </row>
    <row r="303" spans="2:29" ht="15">
      <c r="B303" s="7" t="s">
        <v>874</v>
      </c>
      <c r="C303" s="10">
        <v>42052</v>
      </c>
      <c r="D303" s="10">
        <v>42052</v>
      </c>
      <c r="E303" s="18">
        <v>0</v>
      </c>
      <c r="F303" s="13" t="str">
        <f t="shared" si="15"/>
        <v>On-time</v>
      </c>
      <c r="G303" s="19" t="str">
        <f>_xlfn.XLOOKUP(B303,tblARV[ASN/DN '#],tblARV[Country],"Not found")</f>
        <v>Rwanda</v>
      </c>
      <c r="H303" s="19" t="str">
        <f>_xlfn.XLOOKUP($B303,tblARV[ASN/DN '#],tblARV[Fulfill Via],"Not found")</f>
        <v>Direct Drop</v>
      </c>
      <c r="I303" s="19" t="str">
        <f>_xlfn.XLOOKUP($B303,tblARV[ASN/DN '#],tblARV[Vendor],"Not found")</f>
        <v>EMCURE PHARMACEUTICALS LTD</v>
      </c>
      <c r="Y303"/>
      <c r="Z303"/>
      <c r="AA303"/>
      <c r="AB303"/>
    </row>
    <row r="304" spans="2:29" ht="15">
      <c r="B304" s="7" t="s">
        <v>1300</v>
      </c>
      <c r="C304" s="10">
        <v>42083</v>
      </c>
      <c r="D304" s="10">
        <v>42083</v>
      </c>
      <c r="E304" s="18">
        <v>0</v>
      </c>
      <c r="F304" s="13" t="str">
        <f t="shared" si="15"/>
        <v>On-time</v>
      </c>
      <c r="G304" s="19" t="str">
        <f>_xlfn.XLOOKUP(B304,tblARV[ASN/DN '#],tblARV[Country],"Not found")</f>
        <v>Uganda</v>
      </c>
      <c r="H304" s="19" t="str">
        <f>_xlfn.XLOOKUP($B304,tblARV[ASN/DN '#],tblARV[Fulfill Via],"Not found")</f>
        <v>Direct Drop</v>
      </c>
      <c r="I304" s="19" t="str">
        <f>_xlfn.XLOOKUP($B304,tblARV[ASN/DN '#],tblARV[Vendor],"Not found")</f>
        <v>ABBVIE LOGISTICS (FORMERLY ABBOTT LOGISTICS BV)</v>
      </c>
      <c r="Y304"/>
      <c r="Z304"/>
      <c r="AA304"/>
      <c r="AB304"/>
    </row>
    <row r="305" spans="2:28" ht="15">
      <c r="B305" s="7" t="s">
        <v>1302</v>
      </c>
      <c r="C305" s="10">
        <v>42096</v>
      </c>
      <c r="D305" s="10">
        <v>42096</v>
      </c>
      <c r="E305" s="18">
        <v>0</v>
      </c>
      <c r="F305" s="13" t="str">
        <f t="shared" si="15"/>
        <v>On-time</v>
      </c>
      <c r="G305" s="19" t="str">
        <f>_xlfn.XLOOKUP(B305,tblARV[ASN/DN '#],tblARV[Country],"Not found")</f>
        <v>Rwanda</v>
      </c>
      <c r="H305" s="19" t="str">
        <f>_xlfn.XLOOKUP($B305,tblARV[ASN/DN '#],tblARV[Fulfill Via],"Not found")</f>
        <v>Direct Drop</v>
      </c>
      <c r="I305" s="19" t="str">
        <f>_xlfn.XLOOKUP($B305,tblARV[ASN/DN '#],tblARV[Vendor],"Not found")</f>
        <v>ABBVIE LOGISTICS (FORMERLY ABBOTT LOGISTICS BV)</v>
      </c>
      <c r="Y305"/>
      <c r="Z305"/>
      <c r="AA305"/>
      <c r="AB305"/>
    </row>
    <row r="306" spans="2:28" ht="15">
      <c r="B306" s="7" t="s">
        <v>1088</v>
      </c>
      <c r="C306" s="10">
        <v>42102</v>
      </c>
      <c r="D306" s="10">
        <v>42102</v>
      </c>
      <c r="E306" s="18">
        <v>0</v>
      </c>
      <c r="F306" s="13" t="str">
        <f t="shared" si="15"/>
        <v>On-time</v>
      </c>
      <c r="G306" s="19" t="str">
        <f>_xlfn.XLOOKUP(B306,tblARV[ASN/DN '#],tblARV[Country],"Not found")</f>
        <v>Uganda</v>
      </c>
      <c r="H306" s="19" t="str">
        <f>_xlfn.XLOOKUP($B306,tblARV[ASN/DN '#],tblARV[Fulfill Via],"Not found")</f>
        <v>Direct Drop</v>
      </c>
      <c r="I306" s="19" t="str">
        <f>_xlfn.XLOOKUP($B306,tblARV[ASN/DN '#],tblARV[Vendor],"Not found")</f>
        <v>Aurobindo Pharma Limited</v>
      </c>
      <c r="Y306"/>
      <c r="Z306"/>
      <c r="AA306"/>
      <c r="AB306"/>
    </row>
    <row r="307" spans="2:28" ht="15">
      <c r="B307" s="7" t="s">
        <v>1064</v>
      </c>
      <c r="C307" s="10">
        <v>42102</v>
      </c>
      <c r="D307" s="10">
        <v>42102</v>
      </c>
      <c r="E307" s="18">
        <v>0</v>
      </c>
      <c r="F307" s="13" t="str">
        <f t="shared" si="15"/>
        <v>On-time</v>
      </c>
      <c r="G307" s="19" t="str">
        <f>_xlfn.XLOOKUP(B307,tblARV[ASN/DN '#],tblARV[Country],"Not found")</f>
        <v>Uganda</v>
      </c>
      <c r="H307" s="19" t="str">
        <f>_xlfn.XLOOKUP($B307,tblARV[ASN/DN '#],tblARV[Fulfill Via],"Not found")</f>
        <v>Direct Drop</v>
      </c>
      <c r="I307" s="19" t="str">
        <f>_xlfn.XLOOKUP($B307,tblARV[ASN/DN '#],tblARV[Vendor],"Not found")</f>
        <v>Aurobindo Pharma Limited</v>
      </c>
      <c r="Y307"/>
      <c r="Z307"/>
      <c r="AA307"/>
      <c r="AB307"/>
    </row>
    <row r="308" spans="2:28" ht="15">
      <c r="B308" s="7" t="s">
        <v>1133</v>
      </c>
      <c r="C308" s="10">
        <v>42102</v>
      </c>
      <c r="D308" s="10">
        <v>42102</v>
      </c>
      <c r="E308" s="18">
        <v>0</v>
      </c>
      <c r="F308" s="13" t="str">
        <f t="shared" si="15"/>
        <v>On-time</v>
      </c>
      <c r="G308" s="19" t="str">
        <f>_xlfn.XLOOKUP(B308,tblARV[ASN/DN '#],tblARV[Country],"Not found")</f>
        <v>Uganda</v>
      </c>
      <c r="H308" s="19" t="str">
        <f>_xlfn.XLOOKUP($B308,tblARV[ASN/DN '#],tblARV[Fulfill Via],"Not found")</f>
        <v>Direct Drop</v>
      </c>
      <c r="I308" s="19" t="str">
        <f>_xlfn.XLOOKUP($B308,tblARV[ASN/DN '#],tblARV[Vendor],"Not found")</f>
        <v>Aurobindo Pharma Limited</v>
      </c>
      <c r="Y308"/>
      <c r="Z308"/>
      <c r="AA308"/>
      <c r="AB308"/>
    </row>
    <row r="309" spans="2:28" ht="15">
      <c r="B309" s="7" t="s">
        <v>1417</v>
      </c>
      <c r="C309" s="10">
        <v>42102</v>
      </c>
      <c r="D309" s="10">
        <v>42102</v>
      </c>
      <c r="E309" s="18">
        <v>0</v>
      </c>
      <c r="F309" s="13" t="str">
        <f t="shared" si="15"/>
        <v>On-time</v>
      </c>
      <c r="G309" s="19" t="str">
        <f>_xlfn.XLOOKUP(B309,tblARV[ASN/DN '#],tblARV[Country],"Not found")</f>
        <v>Uganda</v>
      </c>
      <c r="H309" s="19" t="str">
        <f>_xlfn.XLOOKUP($B309,tblARV[ASN/DN '#],tblARV[Fulfill Via],"Not found")</f>
        <v>Direct Drop</v>
      </c>
      <c r="I309" s="19" t="str">
        <f>_xlfn.XLOOKUP($B309,tblARV[ASN/DN '#],tblARV[Vendor],"Not found")</f>
        <v>EMCURE PHARMACEUTICALS LTD</v>
      </c>
      <c r="Y309"/>
      <c r="Z309"/>
      <c r="AA309"/>
      <c r="AB309"/>
    </row>
    <row r="310" spans="2:28" ht="15">
      <c r="B310" s="7" t="s">
        <v>1495</v>
      </c>
      <c r="C310" s="10">
        <v>42089</v>
      </c>
      <c r="D310" s="10">
        <v>42089</v>
      </c>
      <c r="E310" s="18">
        <v>0</v>
      </c>
      <c r="F310" s="13" t="str">
        <f t="shared" si="15"/>
        <v>On-time</v>
      </c>
      <c r="G310" s="19" t="str">
        <f>_xlfn.XLOOKUP(B310,tblARV[ASN/DN '#],tblARV[Country],"Not found")</f>
        <v>Rwanda</v>
      </c>
      <c r="H310" s="19" t="str">
        <f>_xlfn.XLOOKUP($B310,tblARV[ASN/DN '#],tblARV[Fulfill Via],"Not found")</f>
        <v>Direct Drop</v>
      </c>
      <c r="I310" s="19" t="str">
        <f>_xlfn.XLOOKUP($B310,tblARV[ASN/DN '#],tblARV[Vendor],"Not found")</f>
        <v>ABBVIE LOGISTICS (FORMERLY ABBOTT LOGISTICS BV)</v>
      </c>
      <c r="Y310"/>
      <c r="Z310"/>
      <c r="AA310"/>
      <c r="AB310"/>
    </row>
    <row r="311" spans="2:28" ht="15">
      <c r="B311" s="7" t="s">
        <v>1433</v>
      </c>
      <c r="C311" s="10">
        <v>42121</v>
      </c>
      <c r="D311" s="10">
        <v>42121</v>
      </c>
      <c r="E311" s="18">
        <v>0</v>
      </c>
      <c r="F311" s="13" t="str">
        <f t="shared" si="15"/>
        <v>On-time</v>
      </c>
      <c r="G311" s="19" t="str">
        <f>_xlfn.XLOOKUP(B311,tblARV[ASN/DN '#],tblARV[Country],"Not found")</f>
        <v>Rwanda</v>
      </c>
      <c r="H311" s="19" t="str">
        <f>_xlfn.XLOOKUP($B311,tblARV[ASN/DN '#],tblARV[Fulfill Via],"Not found")</f>
        <v>Direct Drop</v>
      </c>
      <c r="I311" s="19" t="str">
        <f>_xlfn.XLOOKUP($B311,tblARV[ASN/DN '#],tblARV[Vendor],"Not found")</f>
        <v>SWORDS LABORATORIES</v>
      </c>
      <c r="Y311"/>
      <c r="Z311"/>
      <c r="AA311"/>
      <c r="AB311"/>
    </row>
    <row r="312" spans="2:28" ht="15">
      <c r="B312" s="7" t="s">
        <v>1028</v>
      </c>
      <c r="C312" s="10">
        <v>42128</v>
      </c>
      <c r="D312" s="10">
        <v>42128</v>
      </c>
      <c r="E312" s="18">
        <v>0</v>
      </c>
      <c r="F312" s="13" t="str">
        <f t="shared" si="15"/>
        <v>On-time</v>
      </c>
      <c r="G312" s="19" t="str">
        <f>_xlfn.XLOOKUP(B312,tblARV[ASN/DN '#],tblARV[Country],"Not found")</f>
        <v>Rwanda</v>
      </c>
      <c r="H312" s="19" t="str">
        <f>_xlfn.XLOOKUP($B312,tblARV[ASN/DN '#],tblARV[Fulfill Via],"Not found")</f>
        <v>Direct Drop</v>
      </c>
      <c r="I312" s="19" t="str">
        <f>_xlfn.XLOOKUP($B312,tblARV[ASN/DN '#],tblARV[Vendor],"Not found")</f>
        <v>EMCURE PHARMACEUTICALS LTD</v>
      </c>
      <c r="Y312"/>
      <c r="Z312"/>
      <c r="AA312"/>
      <c r="AB312"/>
    </row>
    <row r="313" spans="2:28" ht="15">
      <c r="B313" s="7" t="s">
        <v>742</v>
      </c>
      <c r="C313" s="10">
        <v>42136</v>
      </c>
      <c r="D313" s="10">
        <v>42136</v>
      </c>
      <c r="E313" s="18">
        <v>0</v>
      </c>
      <c r="F313" s="13" t="str">
        <f t="shared" si="15"/>
        <v>On-time</v>
      </c>
      <c r="G313" s="19" t="str">
        <f>_xlfn.XLOOKUP(B313,tblARV[ASN/DN '#],tblARV[Country],"Not found")</f>
        <v>Rwanda</v>
      </c>
      <c r="H313" s="19" t="str">
        <f>_xlfn.XLOOKUP($B313,tblARV[ASN/DN '#],tblARV[Fulfill Via],"Not found")</f>
        <v>Direct Drop</v>
      </c>
      <c r="I313" s="19" t="str">
        <f>_xlfn.XLOOKUP($B313,tblARV[ASN/DN '#],tblARV[Vendor],"Not found")</f>
        <v>SWORDS LABORATORIES</v>
      </c>
      <c r="Y313"/>
      <c r="Z313"/>
      <c r="AA313"/>
      <c r="AB313"/>
    </row>
    <row r="314" spans="2:28" ht="15">
      <c r="B314" s="7" t="s">
        <v>208</v>
      </c>
      <c r="C314" s="10">
        <v>39867</v>
      </c>
      <c r="D314" s="10">
        <v>39867</v>
      </c>
      <c r="E314" s="18">
        <v>0</v>
      </c>
      <c r="F314" s="13" t="str">
        <f t="shared" si="15"/>
        <v>On-time</v>
      </c>
      <c r="G314" s="19" t="str">
        <f>_xlfn.XLOOKUP(B314,tblARV[ASN/DN '#],tblARV[Country],"Not found")</f>
        <v>Tanzania</v>
      </c>
      <c r="H314" s="19" t="str">
        <f>_xlfn.XLOOKUP($B314,tblARV[ASN/DN '#],tblARV[Fulfill Via],"Not found")</f>
        <v>Direct Drop</v>
      </c>
      <c r="I314" s="19" t="str">
        <f>_xlfn.XLOOKUP($B314,tblARV[ASN/DN '#],tblARV[Vendor],"Not found")</f>
        <v>ABBVIE LOGISTICS (FORMERLY ABBOTT LOGISTICS BV)</v>
      </c>
      <c r="Y314"/>
      <c r="Z314"/>
      <c r="AA314"/>
      <c r="AB314"/>
    </row>
    <row r="315" spans="2:28" ht="15">
      <c r="B315" s="7" t="s">
        <v>1030</v>
      </c>
      <c r="C315" s="10">
        <v>42132</v>
      </c>
      <c r="D315" s="10">
        <v>42132</v>
      </c>
      <c r="E315" s="18">
        <v>0</v>
      </c>
      <c r="F315" s="13" t="str">
        <f t="shared" si="15"/>
        <v>On-time</v>
      </c>
      <c r="G315" s="19" t="str">
        <f>_xlfn.XLOOKUP(B315,tblARV[ASN/DN '#],tblARV[Country],"Not found")</f>
        <v>Rwanda</v>
      </c>
      <c r="H315" s="19" t="str">
        <f>_xlfn.XLOOKUP($B315,tblARV[ASN/DN '#],tblARV[Fulfill Via],"Not found")</f>
        <v>Direct Drop</v>
      </c>
      <c r="I315" s="19" t="str">
        <f>_xlfn.XLOOKUP($B315,tblARV[ASN/DN '#],tblARV[Vendor],"Not found")</f>
        <v>SWORDS LABORATORIES</v>
      </c>
      <c r="Y315"/>
      <c r="Z315"/>
      <c r="AA315"/>
      <c r="AB315"/>
    </row>
    <row r="316" spans="2:28" ht="15">
      <c r="B316" s="7" t="s">
        <v>1343</v>
      </c>
      <c r="C316" s="10">
        <v>42135</v>
      </c>
      <c r="D316" s="10">
        <v>42135</v>
      </c>
      <c r="E316" s="18">
        <v>0</v>
      </c>
      <c r="F316" s="13" t="str">
        <f t="shared" si="15"/>
        <v>On-time</v>
      </c>
      <c r="G316" s="19" t="str">
        <f>_xlfn.XLOOKUP(B316,tblARV[ASN/DN '#],tblARV[Country],"Not found")</f>
        <v>Rwanda</v>
      </c>
      <c r="H316" s="19" t="str">
        <f>_xlfn.XLOOKUP($B316,tblARV[ASN/DN '#],tblARV[Fulfill Via],"Not found")</f>
        <v>Direct Drop</v>
      </c>
      <c r="I316" s="19" t="str">
        <f>_xlfn.XLOOKUP($B316,tblARV[ASN/DN '#],tblARV[Vendor],"Not found")</f>
        <v>ABBVIE LOGISTICS (FORMERLY ABBOTT LOGISTICS BV)</v>
      </c>
      <c r="Y316"/>
      <c r="Z316"/>
      <c r="AA316"/>
      <c r="AB316"/>
    </row>
    <row r="317" spans="2:28" ht="15">
      <c r="B317" s="7" t="s">
        <v>1018</v>
      </c>
      <c r="C317" s="10">
        <v>42150</v>
      </c>
      <c r="D317" s="10">
        <v>42150</v>
      </c>
      <c r="E317" s="18">
        <v>0</v>
      </c>
      <c r="F317" s="13" t="str">
        <f t="shared" si="15"/>
        <v>On-time</v>
      </c>
      <c r="G317" s="19" t="str">
        <f>_xlfn.XLOOKUP(B317,tblARV[ASN/DN '#],tblARV[Country],"Not found")</f>
        <v>Uganda</v>
      </c>
      <c r="H317" s="19" t="str">
        <f>_xlfn.XLOOKUP($B317,tblARV[ASN/DN '#],tblARV[Fulfill Via],"Not found")</f>
        <v>Direct Drop</v>
      </c>
      <c r="I317" s="19" t="str">
        <f>_xlfn.XLOOKUP($B317,tblARV[ASN/DN '#],tblARV[Vendor],"Not found")</f>
        <v>EMCURE PHARMACEUTICALS LTD</v>
      </c>
      <c r="Y317"/>
      <c r="Z317"/>
      <c r="AA317"/>
      <c r="AB317"/>
    </row>
    <row r="318" spans="2:28" ht="15">
      <c r="B318" s="7" t="s">
        <v>1383</v>
      </c>
      <c r="C318" s="10">
        <v>42151</v>
      </c>
      <c r="D318" s="10">
        <v>42151</v>
      </c>
      <c r="E318" s="18">
        <v>0</v>
      </c>
      <c r="F318" s="13" t="str">
        <f t="shared" si="15"/>
        <v>On-time</v>
      </c>
      <c r="G318" s="19" t="str">
        <f>_xlfn.XLOOKUP(B318,tblARV[ASN/DN '#],tblARV[Country],"Not found")</f>
        <v>Rwanda</v>
      </c>
      <c r="H318" s="19" t="str">
        <f>_xlfn.XLOOKUP($B318,tblARV[ASN/DN '#],tblARV[Fulfill Via],"Not found")</f>
        <v>Direct Drop</v>
      </c>
      <c r="I318" s="19" t="str">
        <f>_xlfn.XLOOKUP($B318,tblARV[ASN/DN '#],tblARV[Vendor],"Not found")</f>
        <v>EMCURE PHARMACEUTICALS LTD</v>
      </c>
      <c r="Y318"/>
      <c r="Z318"/>
      <c r="AA318"/>
      <c r="AB318"/>
    </row>
    <row r="319" spans="2:28" ht="15">
      <c r="B319" s="7" t="s">
        <v>1047</v>
      </c>
      <c r="C319" s="10">
        <v>42175</v>
      </c>
      <c r="D319" s="10">
        <v>42175</v>
      </c>
      <c r="E319" s="18">
        <v>0</v>
      </c>
      <c r="F319" s="13" t="str">
        <f t="shared" si="15"/>
        <v>On-time</v>
      </c>
      <c r="G319" s="19" t="str">
        <f>_xlfn.XLOOKUP(B319,tblARV[ASN/DN '#],tblARV[Country],"Not found")</f>
        <v>Uganda</v>
      </c>
      <c r="H319" s="19" t="str">
        <f>_xlfn.XLOOKUP($B319,tblARV[ASN/DN '#],tblARV[Fulfill Via],"Not found")</f>
        <v>Direct Drop</v>
      </c>
      <c r="I319" s="19" t="str">
        <f>_xlfn.XLOOKUP($B319,tblARV[ASN/DN '#],tblARV[Vendor],"Not found")</f>
        <v>MYLAN LABORATORIES LTD (FORMERLY MATRIX LABORATORIES)</v>
      </c>
      <c r="Y319"/>
      <c r="Z319"/>
      <c r="AA319"/>
      <c r="AB319"/>
    </row>
    <row r="320" spans="2:28" ht="15">
      <c r="B320" s="7" t="s">
        <v>1140</v>
      </c>
      <c r="C320" s="10">
        <v>42170</v>
      </c>
      <c r="D320" s="10">
        <v>42170</v>
      </c>
      <c r="E320" s="18">
        <v>0</v>
      </c>
      <c r="F320" s="13" t="str">
        <f t="shared" si="15"/>
        <v>On-time</v>
      </c>
      <c r="G320" s="19" t="str">
        <f>_xlfn.XLOOKUP(B320,tblARV[ASN/DN '#],tblARV[Country],"Not found")</f>
        <v>Uganda</v>
      </c>
      <c r="H320" s="19" t="str">
        <f>_xlfn.XLOOKUP($B320,tblARV[ASN/DN '#],tblARV[Fulfill Via],"Not found")</f>
        <v>Direct Drop</v>
      </c>
      <c r="I320" s="19" t="str">
        <f>_xlfn.XLOOKUP($B320,tblARV[ASN/DN '#],tblARV[Vendor],"Not found")</f>
        <v>EMCURE PHARMACEUTICALS LTD</v>
      </c>
      <c r="Y320"/>
      <c r="Z320"/>
      <c r="AA320"/>
      <c r="AB320"/>
    </row>
    <row r="321" spans="2:28" ht="15">
      <c r="B321" s="7" t="s">
        <v>1121</v>
      </c>
      <c r="C321" s="10">
        <v>42212</v>
      </c>
      <c r="D321" s="10">
        <v>42212</v>
      </c>
      <c r="E321" s="18">
        <v>0</v>
      </c>
      <c r="F321" s="13" t="str">
        <f t="shared" si="15"/>
        <v>On-time</v>
      </c>
      <c r="G321" s="19" t="str">
        <f>_xlfn.XLOOKUP(B321,tblARV[ASN/DN '#],tblARV[Country],"Not found")</f>
        <v>Uganda</v>
      </c>
      <c r="H321" s="19" t="str">
        <f>_xlfn.XLOOKUP($B321,tblARV[ASN/DN '#],tblARV[Fulfill Via],"Not found")</f>
        <v>Direct Drop</v>
      </c>
      <c r="I321" s="19" t="str">
        <f>_xlfn.XLOOKUP($B321,tblARV[ASN/DN '#],tblARV[Vendor],"Not found")</f>
        <v>EMCURE PHARMACEUTICALS LTD</v>
      </c>
      <c r="Y321"/>
      <c r="Z321"/>
      <c r="AA321"/>
      <c r="AB321"/>
    </row>
    <row r="322" spans="2:28" ht="15">
      <c r="B322" s="7" t="s">
        <v>73</v>
      </c>
      <c r="C322" s="10">
        <v>39924</v>
      </c>
      <c r="D322" s="10">
        <v>39924</v>
      </c>
      <c r="E322" s="18">
        <v>0</v>
      </c>
      <c r="F322" s="13" t="str">
        <f t="shared" si="15"/>
        <v>On-time</v>
      </c>
      <c r="G322" s="19" t="str">
        <f>_xlfn.XLOOKUP(B322,tblARV[ASN/DN '#],tblARV[Country],"Not found")</f>
        <v>Tanzania</v>
      </c>
      <c r="H322" s="19" t="str">
        <f>_xlfn.XLOOKUP($B322,tblARV[ASN/DN '#],tblARV[Fulfill Via],"Not found")</f>
        <v>Direct Drop</v>
      </c>
      <c r="I322" s="19" t="str">
        <f>_xlfn.XLOOKUP($B322,tblARV[ASN/DN '#],tblARV[Vendor],"Not found")</f>
        <v>MERCK SHARP &amp; DOHME IDEA GMBH (FORMALLY MERCK SHARP &amp; DOHME B.V.)</v>
      </c>
      <c r="Y322"/>
      <c r="Z322"/>
      <c r="AA322"/>
      <c r="AB322"/>
    </row>
    <row r="323" spans="2:28" ht="15">
      <c r="B323" s="7" t="s">
        <v>976</v>
      </c>
      <c r="C323" s="10">
        <v>42244</v>
      </c>
      <c r="D323" s="10">
        <v>42244</v>
      </c>
      <c r="E323" s="18">
        <v>0</v>
      </c>
      <c r="F323" s="13" t="str">
        <f t="shared" si="15"/>
        <v>On-time</v>
      </c>
      <c r="G323" s="19" t="str">
        <f>_xlfn.XLOOKUP(B323,tblARV[ASN/DN '#],tblARV[Country],"Not found")</f>
        <v>Rwanda</v>
      </c>
      <c r="H323" s="19" t="str">
        <f>_xlfn.XLOOKUP($B323,tblARV[ASN/DN '#],tblARV[Fulfill Via],"Not found")</f>
        <v>Direct Drop</v>
      </c>
      <c r="I323" s="19" t="str">
        <f>_xlfn.XLOOKUP($B323,tblARV[ASN/DN '#],tblARV[Vendor],"Not found")</f>
        <v>EMCURE PHARMACEUTICALS LTD</v>
      </c>
      <c r="Y323"/>
      <c r="Z323"/>
      <c r="AA323"/>
      <c r="AB323"/>
    </row>
    <row r="324" spans="2:28" ht="15">
      <c r="B324" s="7" t="s">
        <v>1153</v>
      </c>
      <c r="C324" s="10">
        <v>42237</v>
      </c>
      <c r="D324" s="10">
        <v>42237</v>
      </c>
      <c r="E324" s="18">
        <v>0</v>
      </c>
      <c r="F324" s="13" t="str">
        <f t="shared" si="15"/>
        <v>On-time</v>
      </c>
      <c r="G324" s="19" t="str">
        <f>_xlfn.XLOOKUP(B324,tblARV[ASN/DN '#],tblARV[Country],"Not found")</f>
        <v>Rwanda</v>
      </c>
      <c r="H324" s="19" t="str">
        <f>_xlfn.XLOOKUP($B324,tblARV[ASN/DN '#],tblARV[Fulfill Via],"Not found")</f>
        <v>Direct Drop</v>
      </c>
      <c r="I324" s="19" t="str">
        <f>_xlfn.XLOOKUP($B324,tblARV[ASN/DN '#],tblARV[Vendor],"Not found")</f>
        <v>ABBVIE LOGISTICS (FORMERLY ABBOTT LOGISTICS BV)</v>
      </c>
      <c r="Y324"/>
      <c r="Z324"/>
      <c r="AA324"/>
      <c r="AB324"/>
    </row>
    <row r="325" spans="2:28" ht="15">
      <c r="B325" s="7" t="s">
        <v>1036</v>
      </c>
      <c r="C325" s="10">
        <v>42243</v>
      </c>
      <c r="D325" s="10">
        <v>42243</v>
      </c>
      <c r="E325" s="18">
        <v>0</v>
      </c>
      <c r="F325" s="13" t="str">
        <f t="shared" si="15"/>
        <v>On-time</v>
      </c>
      <c r="G325" s="19" t="str">
        <f>_xlfn.XLOOKUP(B325,tblARV[ASN/DN '#],tblARV[Country],"Not found")</f>
        <v>Rwanda</v>
      </c>
      <c r="H325" s="19" t="str">
        <f>_xlfn.XLOOKUP($B325,tblARV[ASN/DN '#],tblARV[Fulfill Via],"Not found")</f>
        <v>Direct Drop</v>
      </c>
      <c r="I325" s="19" t="str">
        <f>_xlfn.XLOOKUP($B325,tblARV[ASN/DN '#],tblARV[Vendor],"Not found")</f>
        <v>EMCURE PHARMACEUTICALS LTD</v>
      </c>
      <c r="Y325"/>
      <c r="Z325"/>
      <c r="AA325"/>
      <c r="AB325"/>
    </row>
    <row r="326" spans="2:28" ht="15">
      <c r="B326" s="7" t="s">
        <v>1285</v>
      </c>
      <c r="C326" s="10">
        <v>42244</v>
      </c>
      <c r="D326" s="10">
        <v>42244</v>
      </c>
      <c r="E326" s="18">
        <v>0</v>
      </c>
      <c r="F326" s="13" t="str">
        <f t="shared" si="15"/>
        <v>On-time</v>
      </c>
      <c r="G326" s="19" t="str">
        <f>_xlfn.XLOOKUP(B326,tblARV[ASN/DN '#],tblARV[Country],"Not found")</f>
        <v>Uganda</v>
      </c>
      <c r="H326" s="19" t="str">
        <f>_xlfn.XLOOKUP($B326,tblARV[ASN/DN '#],tblARV[Fulfill Via],"Not found")</f>
        <v>Direct Drop</v>
      </c>
      <c r="I326" s="19" t="str">
        <f>_xlfn.XLOOKUP($B326,tblARV[ASN/DN '#],tblARV[Vendor],"Not found")</f>
        <v>STRIDES ARCOLAB LIMITED</v>
      </c>
      <c r="Y326"/>
      <c r="Z326"/>
      <c r="AA326"/>
      <c r="AB326"/>
    </row>
    <row r="327" spans="2:28" ht="15">
      <c r="B327" s="7" t="s">
        <v>145</v>
      </c>
      <c r="C327" s="10">
        <v>39882</v>
      </c>
      <c r="D327" s="10">
        <v>39882</v>
      </c>
      <c r="E327" s="18">
        <v>0</v>
      </c>
      <c r="F327" s="13" t="str">
        <f t="shared" si="15"/>
        <v>On-time</v>
      </c>
      <c r="G327" s="19" t="str">
        <f>_xlfn.XLOOKUP(B327,tblARV[ASN/DN '#],tblARV[Country],"Not found")</f>
        <v>Rwanda</v>
      </c>
      <c r="H327" s="19" t="str">
        <f>_xlfn.XLOOKUP($B327,tblARV[ASN/DN '#],tblARV[Fulfill Via],"Not found")</f>
        <v>Direct Drop</v>
      </c>
      <c r="I327" s="19" t="str">
        <f>_xlfn.XLOOKUP($B327,tblARV[ASN/DN '#],tblARV[Vendor],"Not found")</f>
        <v>CIPLA LIMITED</v>
      </c>
      <c r="Y327"/>
      <c r="Z327"/>
      <c r="AA327"/>
      <c r="AB327"/>
    </row>
    <row r="328" spans="2:28" ht="15">
      <c r="B328" s="7" t="s">
        <v>89</v>
      </c>
      <c r="C328" s="10">
        <v>39937</v>
      </c>
      <c r="D328" s="10">
        <v>39937</v>
      </c>
      <c r="E328" s="18">
        <v>0</v>
      </c>
      <c r="F328" s="13" t="str">
        <f t="shared" si="15"/>
        <v>On-time</v>
      </c>
      <c r="G328" s="19" t="str">
        <f>_xlfn.XLOOKUP(B328,tblARV[ASN/DN '#],tblARV[Country],"Not found")</f>
        <v>Tanzania</v>
      </c>
      <c r="H328" s="19" t="str">
        <f>_xlfn.XLOOKUP($B328,tblARV[ASN/DN '#],tblARV[Fulfill Via],"Not found")</f>
        <v>Direct Drop</v>
      </c>
      <c r="I328" s="19" t="str">
        <f>_xlfn.XLOOKUP($B328,tblARV[ASN/DN '#],tblARV[Vendor],"Not found")</f>
        <v>ABBVIE LOGISTICS (FORMERLY ABBOTT LOGISTICS BV)</v>
      </c>
      <c r="Y328"/>
      <c r="Z328"/>
      <c r="AA328"/>
      <c r="AB328"/>
    </row>
    <row r="329" spans="2:28" ht="15">
      <c r="B329" s="7" t="s">
        <v>190</v>
      </c>
      <c r="C329" s="10">
        <v>39960</v>
      </c>
      <c r="D329" s="10">
        <v>39960</v>
      </c>
      <c r="E329" s="18">
        <v>0</v>
      </c>
      <c r="F329" s="13" t="str">
        <f t="shared" si="15"/>
        <v>On-time</v>
      </c>
      <c r="G329" s="19" t="str">
        <f>_xlfn.XLOOKUP(B329,tblARV[ASN/DN '#],tblARV[Country],"Not found")</f>
        <v>Tanzania</v>
      </c>
      <c r="H329" s="19" t="str">
        <f>_xlfn.XLOOKUP($B329,tblARV[ASN/DN '#],tblARV[Fulfill Via],"Not found")</f>
        <v>Direct Drop</v>
      </c>
      <c r="I329" s="19" t="str">
        <f>_xlfn.XLOOKUP($B329,tblARV[ASN/DN '#],tblARV[Vendor],"Not found")</f>
        <v>ABBVIE LOGISTICS (FORMERLY ABBOTT LOGISTICS BV)</v>
      </c>
      <c r="Y329"/>
      <c r="Z329"/>
      <c r="AA329"/>
      <c r="AB329"/>
    </row>
    <row r="330" spans="2:28" ht="15">
      <c r="B330" s="7" t="s">
        <v>80</v>
      </c>
      <c r="C330" s="10">
        <v>39961</v>
      </c>
      <c r="D330" s="10">
        <v>39961</v>
      </c>
      <c r="E330" s="18">
        <v>0</v>
      </c>
      <c r="F330" s="13" t="str">
        <f t="shared" si="15"/>
        <v>On-time</v>
      </c>
      <c r="G330" s="19" t="str">
        <f>_xlfn.XLOOKUP(B330,tblARV[ASN/DN '#],tblARV[Country],"Not found")</f>
        <v>Tanzania</v>
      </c>
      <c r="H330" s="19" t="str">
        <f>_xlfn.XLOOKUP($B330,tblARV[ASN/DN '#],tblARV[Fulfill Via],"Not found")</f>
        <v>Direct Drop</v>
      </c>
      <c r="I330" s="19" t="str">
        <f>_xlfn.XLOOKUP($B330,tblARV[ASN/DN '#],tblARV[Vendor],"Not found")</f>
        <v>ABBVIE LOGISTICS (FORMERLY ABBOTT LOGISTICS BV)</v>
      </c>
      <c r="Y330"/>
      <c r="Z330"/>
      <c r="AA330"/>
      <c r="AB330"/>
    </row>
    <row r="331" spans="2:28" ht="15">
      <c r="B331" s="7" t="s">
        <v>122</v>
      </c>
      <c r="C331" s="10">
        <v>39923</v>
      </c>
      <c r="D331" s="10">
        <v>39923</v>
      </c>
      <c r="E331" s="18">
        <v>0</v>
      </c>
      <c r="F331" s="13" t="str">
        <f t="shared" si="15"/>
        <v>On-time</v>
      </c>
      <c r="G331" s="19" t="str">
        <f>_xlfn.XLOOKUP(B331,tblARV[ASN/DN '#],tblARV[Country],"Not found")</f>
        <v>Rwanda</v>
      </c>
      <c r="H331" s="19" t="str">
        <f>_xlfn.XLOOKUP($B331,tblARV[ASN/DN '#],tblARV[Fulfill Via],"Not found")</f>
        <v>Direct Drop</v>
      </c>
      <c r="I331" s="19" t="str">
        <f>_xlfn.XLOOKUP($B331,tblARV[ASN/DN '#],tblARV[Vendor],"Not found")</f>
        <v>CIPLA LIMITED</v>
      </c>
      <c r="Y331"/>
      <c r="Z331"/>
      <c r="AA331"/>
      <c r="AB331"/>
    </row>
    <row r="332" spans="2:28" ht="15">
      <c r="B332" s="7" t="s">
        <v>210</v>
      </c>
      <c r="C332" s="10">
        <v>39924</v>
      </c>
      <c r="D332" s="10">
        <v>39924</v>
      </c>
      <c r="E332" s="18">
        <v>0</v>
      </c>
      <c r="F332" s="13" t="str">
        <f t="shared" si="15"/>
        <v>On-time</v>
      </c>
      <c r="G332" s="19" t="str">
        <f>_xlfn.XLOOKUP(B332,tblARV[ASN/DN '#],tblARV[Country],"Not found")</f>
        <v>Rwanda</v>
      </c>
      <c r="H332" s="19" t="str">
        <f>_xlfn.XLOOKUP($B332,tblARV[ASN/DN '#],tblARV[Fulfill Via],"Not found")</f>
        <v>Direct Drop</v>
      </c>
      <c r="I332" s="19" t="str">
        <f>_xlfn.XLOOKUP($B332,tblARV[ASN/DN '#],tblARV[Vendor],"Not found")</f>
        <v>CIPLA LIMITED</v>
      </c>
      <c r="Y332"/>
      <c r="Z332"/>
      <c r="AA332"/>
      <c r="AB332"/>
    </row>
    <row r="333" spans="2:28" ht="15">
      <c r="B333" s="7" t="s">
        <v>147</v>
      </c>
      <c r="C333" s="10">
        <v>39979</v>
      </c>
      <c r="D333" s="10">
        <v>39979</v>
      </c>
      <c r="E333" s="18">
        <v>0</v>
      </c>
      <c r="F333" s="13" t="str">
        <f t="shared" si="15"/>
        <v>On-time</v>
      </c>
      <c r="G333" s="19" t="str">
        <f>_xlfn.XLOOKUP(B333,tblARV[ASN/DN '#],tblARV[Country],"Not found")</f>
        <v>Tanzania</v>
      </c>
      <c r="H333" s="19" t="str">
        <f>_xlfn.XLOOKUP($B333,tblARV[ASN/DN '#],tblARV[Fulfill Via],"Not found")</f>
        <v>Direct Drop</v>
      </c>
      <c r="I333" s="19" t="str">
        <f>_xlfn.XLOOKUP($B333,tblARV[ASN/DN '#],tblARV[Vendor],"Not found")</f>
        <v>MERCK SHARP &amp; DOHME IDEA GMBH (FORMALLY MERCK SHARP &amp; DOHME B.V.)</v>
      </c>
      <c r="Y333"/>
      <c r="Z333"/>
      <c r="AA333"/>
      <c r="AB333"/>
    </row>
    <row r="334" spans="2:28" ht="15">
      <c r="B334" s="7" t="s">
        <v>117</v>
      </c>
      <c r="C334" s="10">
        <v>39937</v>
      </c>
      <c r="D334" s="10">
        <v>39937</v>
      </c>
      <c r="E334" s="18">
        <v>0</v>
      </c>
      <c r="F334" s="13" t="str">
        <f t="shared" si="15"/>
        <v>On-time</v>
      </c>
      <c r="G334" s="19" t="str">
        <f>_xlfn.XLOOKUP(B334,tblARV[ASN/DN '#],tblARV[Country],"Not found")</f>
        <v>Uganda</v>
      </c>
      <c r="H334" s="19" t="str">
        <f>_xlfn.XLOOKUP($B334,tblARV[ASN/DN '#],tblARV[Fulfill Via],"Not found")</f>
        <v>Direct Drop</v>
      </c>
      <c r="I334" s="19" t="str">
        <f>_xlfn.XLOOKUP($B334,tblARV[ASN/DN '#],tblARV[Vendor],"Not found")</f>
        <v>BRISTOL-MYERS SQUIBB</v>
      </c>
      <c r="Y334"/>
      <c r="Z334"/>
      <c r="AA334"/>
      <c r="AB334"/>
    </row>
    <row r="335" spans="2:28" ht="15">
      <c r="B335" s="7" t="s">
        <v>49</v>
      </c>
      <c r="C335" s="10">
        <v>39239</v>
      </c>
      <c r="D335" s="10">
        <v>39239</v>
      </c>
      <c r="E335" s="18">
        <v>0</v>
      </c>
      <c r="F335" s="13" t="str">
        <f t="shared" si="15"/>
        <v>On-time</v>
      </c>
      <c r="G335" s="19" t="str">
        <f>_xlfn.XLOOKUP(B335,tblARV[ASN/DN '#],tblARV[Country],"Not found")</f>
        <v>Tanzania</v>
      </c>
      <c r="H335" s="19" t="str">
        <f>_xlfn.XLOOKUP($B335,tblARV[ASN/DN '#],tblARV[Fulfill Via],"Not found")</f>
        <v>Direct Drop</v>
      </c>
      <c r="I335" s="19" t="str">
        <f>_xlfn.XLOOKUP($B335,tblARV[ASN/DN '#],tblARV[Vendor],"Not found")</f>
        <v>BRISTOL-MYERS SQUIBB</v>
      </c>
      <c r="Y335"/>
      <c r="Z335"/>
      <c r="AA335"/>
      <c r="AB335"/>
    </row>
    <row r="336" spans="2:28" ht="15">
      <c r="B336" s="7" t="s">
        <v>156</v>
      </c>
      <c r="C336" s="10">
        <v>40024</v>
      </c>
      <c r="D336" s="10">
        <v>40024</v>
      </c>
      <c r="E336" s="18">
        <v>0</v>
      </c>
      <c r="F336" s="13" t="str">
        <f t="shared" si="15"/>
        <v>On-time</v>
      </c>
      <c r="G336" s="19" t="str">
        <f>_xlfn.XLOOKUP(B336,tblARV[ASN/DN '#],tblARV[Country],"Not found")</f>
        <v>Tanzania</v>
      </c>
      <c r="H336" s="19" t="str">
        <f>_xlfn.XLOOKUP($B336,tblARV[ASN/DN '#],tblARV[Fulfill Via],"Not found")</f>
        <v>Direct Drop</v>
      </c>
      <c r="I336" s="19" t="str">
        <f>_xlfn.XLOOKUP($B336,tblARV[ASN/DN '#],tblARV[Vendor],"Not found")</f>
        <v>Hoffmann-La Roche ltd Basel</v>
      </c>
      <c r="Y336"/>
      <c r="Z336"/>
      <c r="AA336"/>
      <c r="AB336"/>
    </row>
    <row r="337" spans="2:28" ht="15">
      <c r="B337" s="7" t="s">
        <v>192</v>
      </c>
      <c r="C337" s="10">
        <v>40000</v>
      </c>
      <c r="D337" s="10">
        <v>40000</v>
      </c>
      <c r="E337" s="18">
        <v>0</v>
      </c>
      <c r="F337" s="13" t="str">
        <f t="shared" si="15"/>
        <v>On-time</v>
      </c>
      <c r="G337" s="19" t="str">
        <f>_xlfn.XLOOKUP(B337,tblARV[ASN/DN '#],tblARV[Country],"Not found")</f>
        <v>Uganda</v>
      </c>
      <c r="H337" s="19" t="str">
        <f>_xlfn.XLOOKUP($B337,tblARV[ASN/DN '#],tblARV[Fulfill Via],"Not found")</f>
        <v>Direct Drop</v>
      </c>
      <c r="I337" s="19" t="str">
        <f>_xlfn.XLOOKUP($B337,tblARV[ASN/DN '#],tblARV[Vendor],"Not found")</f>
        <v>BRISTOL-MYERS SQUIBB</v>
      </c>
      <c r="Y337"/>
      <c r="Z337"/>
      <c r="AA337"/>
      <c r="AB337"/>
    </row>
    <row r="338" spans="2:28" ht="15">
      <c r="B338" s="7" t="s">
        <v>149</v>
      </c>
      <c r="C338" s="10">
        <v>40036</v>
      </c>
      <c r="D338" s="10">
        <v>40036</v>
      </c>
      <c r="E338" s="18">
        <v>0</v>
      </c>
      <c r="F338" s="13" t="str">
        <f t="shared" si="15"/>
        <v>On-time</v>
      </c>
      <c r="G338" s="19" t="str">
        <f>_xlfn.XLOOKUP(B338,tblARV[ASN/DN '#],tblARV[Country],"Not found")</f>
        <v>Tanzania</v>
      </c>
      <c r="H338" s="19" t="str">
        <f>_xlfn.XLOOKUP($B338,tblARV[ASN/DN '#],tblARV[Fulfill Via],"Not found")</f>
        <v>Direct Drop</v>
      </c>
      <c r="I338" s="19" t="str">
        <f>_xlfn.XLOOKUP($B338,tblARV[ASN/DN '#],tblARV[Vendor],"Not found")</f>
        <v>ABBVIE LOGISTICS (FORMERLY ABBOTT LOGISTICS BV)</v>
      </c>
      <c r="Y338"/>
      <c r="Z338"/>
      <c r="AA338"/>
      <c r="AB338"/>
    </row>
    <row r="339" spans="2:28" ht="15">
      <c r="B339" s="7" t="s">
        <v>215</v>
      </c>
      <c r="C339" s="10">
        <v>40070</v>
      </c>
      <c r="D339" s="10">
        <v>40070</v>
      </c>
      <c r="E339" s="18">
        <v>0</v>
      </c>
      <c r="F339" s="13" t="str">
        <f t="shared" si="15"/>
        <v>On-time</v>
      </c>
      <c r="G339" s="19" t="str">
        <f>_xlfn.XLOOKUP(B339,tblARV[ASN/DN '#],tblARV[Country],"Not found")</f>
        <v>Rwanda</v>
      </c>
      <c r="H339" s="19" t="str">
        <f>_xlfn.XLOOKUP($B339,tblARV[ASN/DN '#],tblARV[Fulfill Via],"Not found")</f>
        <v>Direct Drop</v>
      </c>
      <c r="I339" s="19" t="str">
        <f>_xlfn.XLOOKUP($B339,tblARV[ASN/DN '#],tblARV[Vendor],"Not found")</f>
        <v>MYLAN LABORATORIES LTD (FORMERLY MATRIX LABORATORIES)</v>
      </c>
      <c r="Y339"/>
      <c r="Z339"/>
      <c r="AA339"/>
      <c r="AB339"/>
    </row>
    <row r="340" spans="2:28" ht="15">
      <c r="B340" s="7" t="s">
        <v>124</v>
      </c>
      <c r="C340" s="10">
        <v>40014</v>
      </c>
      <c r="D340" s="10">
        <v>40014</v>
      </c>
      <c r="E340" s="18">
        <v>0</v>
      </c>
      <c r="F340" s="13" t="str">
        <f t="shared" si="15"/>
        <v>On-time</v>
      </c>
      <c r="G340" s="19" t="str">
        <f>_xlfn.XLOOKUP(B340,tblARV[ASN/DN '#],tblARV[Country],"Not found")</f>
        <v>Rwanda</v>
      </c>
      <c r="H340" s="19" t="str">
        <f>_xlfn.XLOOKUP($B340,tblARV[ASN/DN '#],tblARV[Fulfill Via],"Not found")</f>
        <v>Direct Drop</v>
      </c>
      <c r="I340" s="19" t="str">
        <f>_xlfn.XLOOKUP($B340,tblARV[ASN/DN '#],tblARV[Vendor],"Not found")</f>
        <v>MYLAN LABORATORIES LTD (FORMERLY MATRIX LABORATORIES)</v>
      </c>
      <c r="Y340"/>
      <c r="Z340"/>
      <c r="AA340"/>
      <c r="AB340"/>
    </row>
    <row r="341" spans="2:28" ht="15">
      <c r="B341" s="7" t="s">
        <v>1110</v>
      </c>
      <c r="C341" s="10">
        <v>40036</v>
      </c>
      <c r="D341" s="10">
        <v>40036</v>
      </c>
      <c r="E341" s="18">
        <v>0</v>
      </c>
      <c r="F341" s="13" t="str">
        <f t="shared" ref="F341:F404" si="16">IF($E341&lt;=0,"On-time","Late")</f>
        <v>On-time</v>
      </c>
      <c r="G341" s="19" t="str">
        <f>_xlfn.XLOOKUP(B341,tblARV[ASN/DN '#],tblARV[Country],"Not found")</f>
        <v>Tanzania</v>
      </c>
      <c r="H341" s="19" t="str">
        <f>_xlfn.XLOOKUP($B341,tblARV[ASN/DN '#],tblARV[Fulfill Via],"Not found")</f>
        <v>Direct Drop</v>
      </c>
      <c r="I341" s="19" t="str">
        <f>_xlfn.XLOOKUP($B341,tblARV[ASN/DN '#],tblARV[Vendor],"Not found")</f>
        <v>BRISTOL-MYERS SQUIBB</v>
      </c>
      <c r="Y341"/>
      <c r="Z341"/>
      <c r="AA341"/>
      <c r="AB341"/>
    </row>
    <row r="342" spans="2:28" ht="15">
      <c r="B342" s="7" t="s">
        <v>93</v>
      </c>
      <c r="C342" s="10">
        <v>40019</v>
      </c>
      <c r="D342" s="10">
        <v>40019</v>
      </c>
      <c r="E342" s="18">
        <v>0</v>
      </c>
      <c r="F342" s="13" t="str">
        <f t="shared" si="16"/>
        <v>On-time</v>
      </c>
      <c r="G342" s="19" t="str">
        <f>_xlfn.XLOOKUP(B342,tblARV[ASN/DN '#],tblARV[Country],"Not found")</f>
        <v>Rwanda</v>
      </c>
      <c r="H342" s="19" t="str">
        <f>_xlfn.XLOOKUP($B342,tblARV[ASN/DN '#],tblARV[Fulfill Via],"Not found")</f>
        <v>Direct Drop</v>
      </c>
      <c r="I342" s="19" t="str">
        <f>_xlfn.XLOOKUP($B342,tblARV[ASN/DN '#],tblARV[Vendor],"Not found")</f>
        <v>HETERO LABS LIMITED</v>
      </c>
      <c r="Y342"/>
      <c r="Z342"/>
      <c r="AA342"/>
      <c r="AB342"/>
    </row>
    <row r="343" spans="2:28" ht="15">
      <c r="B343" s="7" t="s">
        <v>154</v>
      </c>
      <c r="C343" s="10">
        <v>40037</v>
      </c>
      <c r="D343" s="10">
        <v>40037</v>
      </c>
      <c r="E343" s="18">
        <v>0</v>
      </c>
      <c r="F343" s="13" t="str">
        <f t="shared" si="16"/>
        <v>On-time</v>
      </c>
      <c r="G343" s="19" t="str">
        <f>_xlfn.XLOOKUP(B343,tblARV[ASN/DN '#],tblARV[Country],"Not found")</f>
        <v>Rwanda</v>
      </c>
      <c r="H343" s="19" t="str">
        <f>_xlfn.XLOOKUP($B343,tblARV[ASN/DN '#],tblARV[Fulfill Via],"Not found")</f>
        <v>Direct Drop</v>
      </c>
      <c r="I343" s="19" t="str">
        <f>_xlfn.XLOOKUP($B343,tblARV[ASN/DN '#],tblARV[Vendor],"Not found")</f>
        <v>HETERO LABS LIMITED</v>
      </c>
      <c r="Y343"/>
      <c r="Z343"/>
      <c r="AA343"/>
      <c r="AB343"/>
    </row>
    <row r="344" spans="2:28" ht="15">
      <c r="B344" s="7" t="s">
        <v>1324</v>
      </c>
      <c r="C344" s="10">
        <v>40065</v>
      </c>
      <c r="D344" s="10">
        <v>40065</v>
      </c>
      <c r="E344" s="18">
        <v>0</v>
      </c>
      <c r="F344" s="13" t="str">
        <f t="shared" si="16"/>
        <v>On-time</v>
      </c>
      <c r="G344" s="19" t="str">
        <f>_xlfn.XLOOKUP(B344,tblARV[ASN/DN '#],tblARV[Country],"Not found")</f>
        <v>Tanzania</v>
      </c>
      <c r="H344" s="19" t="str">
        <f>_xlfn.XLOOKUP($B344,tblARV[ASN/DN '#],tblARV[Fulfill Via],"Not found")</f>
        <v>Direct Drop</v>
      </c>
      <c r="I344" s="19" t="str">
        <f>_xlfn.XLOOKUP($B344,tblARV[ASN/DN '#],tblARV[Vendor],"Not found")</f>
        <v>ABBVIE LOGISTICS (FORMERLY ABBOTT LOGISTICS BV)</v>
      </c>
      <c r="Y344"/>
      <c r="Z344"/>
      <c r="AA344"/>
      <c r="AB344"/>
    </row>
    <row r="345" spans="2:28" ht="15">
      <c r="B345" s="7" t="s">
        <v>1148</v>
      </c>
      <c r="C345" s="10">
        <v>40035</v>
      </c>
      <c r="D345" s="10">
        <v>40035</v>
      </c>
      <c r="E345" s="18">
        <v>0</v>
      </c>
      <c r="F345" s="13" t="str">
        <f t="shared" si="16"/>
        <v>On-time</v>
      </c>
      <c r="G345" s="19" t="str">
        <f>_xlfn.XLOOKUP(B345,tblARV[ASN/DN '#],tblARV[Country],"Not found")</f>
        <v>Rwanda</v>
      </c>
      <c r="H345" s="19" t="str">
        <f>_xlfn.XLOOKUP($B345,tblARV[ASN/DN '#],tblARV[Fulfill Via],"Not found")</f>
        <v>Direct Drop</v>
      </c>
      <c r="I345" s="19" t="str">
        <f>_xlfn.XLOOKUP($B345,tblARV[ASN/DN '#],tblARV[Vendor],"Not found")</f>
        <v>HETERO LABS LIMITED</v>
      </c>
      <c r="Y345"/>
      <c r="Z345"/>
      <c r="AA345"/>
      <c r="AB345"/>
    </row>
    <row r="346" spans="2:28" ht="15">
      <c r="B346" s="7" t="s">
        <v>134</v>
      </c>
      <c r="C346" s="10">
        <v>40077</v>
      </c>
      <c r="D346" s="10">
        <v>40077</v>
      </c>
      <c r="E346" s="18">
        <v>0</v>
      </c>
      <c r="F346" s="13" t="str">
        <f t="shared" si="16"/>
        <v>On-time</v>
      </c>
      <c r="G346" s="19" t="str">
        <f>_xlfn.XLOOKUP(B346,tblARV[ASN/DN '#],tblARV[Country],"Not found")</f>
        <v>Rwanda</v>
      </c>
      <c r="H346" s="19" t="str">
        <f>_xlfn.XLOOKUP($B346,tblARV[ASN/DN '#],tblARV[Fulfill Via],"Not found")</f>
        <v>Direct Drop</v>
      </c>
      <c r="I346" s="19" t="str">
        <f>_xlfn.XLOOKUP($B346,tblARV[ASN/DN '#],tblARV[Vendor],"Not found")</f>
        <v>MYLAN LABORATORIES LTD (FORMERLY MATRIX LABORATORIES)</v>
      </c>
      <c r="Y346"/>
      <c r="Z346"/>
      <c r="AA346"/>
      <c r="AB346"/>
    </row>
    <row r="347" spans="2:28" ht="15">
      <c r="B347" s="7" t="s">
        <v>194</v>
      </c>
      <c r="C347" s="10">
        <v>40081</v>
      </c>
      <c r="D347" s="10">
        <v>40081</v>
      </c>
      <c r="E347" s="18">
        <v>0</v>
      </c>
      <c r="F347" s="13" t="str">
        <f t="shared" si="16"/>
        <v>On-time</v>
      </c>
      <c r="G347" s="19" t="str">
        <f>_xlfn.XLOOKUP(B347,tblARV[ASN/DN '#],tblARV[Country],"Not found")</f>
        <v>Tanzania</v>
      </c>
      <c r="H347" s="19" t="str">
        <f>_xlfn.XLOOKUP($B347,tblARV[ASN/DN '#],tblARV[Fulfill Via],"Not found")</f>
        <v>Direct Drop</v>
      </c>
      <c r="I347" s="19" t="str">
        <f>_xlfn.XLOOKUP($B347,tblARV[ASN/DN '#],tblARV[Vendor],"Not found")</f>
        <v>Hoffmann-La Roche ltd Basel</v>
      </c>
      <c r="Y347"/>
      <c r="Z347"/>
      <c r="AA347"/>
      <c r="AB347"/>
    </row>
    <row r="348" spans="2:28" ht="15">
      <c r="B348" s="7" t="s">
        <v>949</v>
      </c>
      <c r="C348" s="10">
        <v>40064</v>
      </c>
      <c r="D348" s="10">
        <v>40064</v>
      </c>
      <c r="E348" s="18">
        <v>0</v>
      </c>
      <c r="F348" s="13" t="str">
        <f t="shared" si="16"/>
        <v>On-time</v>
      </c>
      <c r="G348" s="19" t="str">
        <f>_xlfn.XLOOKUP(B348,tblARV[ASN/DN '#],tblARV[Country],"Not found")</f>
        <v>Rwanda</v>
      </c>
      <c r="H348" s="19" t="str">
        <f>_xlfn.XLOOKUP($B348,tblARV[ASN/DN '#],tblARV[Fulfill Via],"Not found")</f>
        <v>Direct Drop</v>
      </c>
      <c r="I348" s="19" t="str">
        <f>_xlfn.XLOOKUP($B348,tblARV[ASN/DN '#],tblARV[Vendor],"Not found")</f>
        <v>HETERO LABS LIMITED</v>
      </c>
      <c r="Y348"/>
      <c r="Z348"/>
      <c r="AA348"/>
      <c r="AB348"/>
    </row>
    <row r="349" spans="2:28" ht="15">
      <c r="B349" s="7" t="s">
        <v>804</v>
      </c>
      <c r="C349" s="10">
        <v>40107</v>
      </c>
      <c r="D349" s="10">
        <v>40107</v>
      </c>
      <c r="E349" s="18">
        <v>0</v>
      </c>
      <c r="F349" s="13" t="str">
        <f t="shared" si="16"/>
        <v>On-time</v>
      </c>
      <c r="G349" s="19" t="str">
        <f>_xlfn.XLOOKUP(B349,tblARV[ASN/DN '#],tblARV[Country],"Not found")</f>
        <v>Tanzania</v>
      </c>
      <c r="H349" s="19" t="str">
        <f>_xlfn.XLOOKUP($B349,tblARV[ASN/DN '#],tblARV[Fulfill Via],"Not found")</f>
        <v>Direct Drop</v>
      </c>
      <c r="I349" s="19" t="str">
        <f>_xlfn.XLOOKUP($B349,tblARV[ASN/DN '#],tblARV[Vendor],"Not found")</f>
        <v>BRISTOL-MYERS SQUIBB</v>
      </c>
      <c r="Y349"/>
      <c r="Z349"/>
      <c r="AA349"/>
      <c r="AB349"/>
    </row>
    <row r="350" spans="2:28" ht="15">
      <c r="B350" s="7" t="s">
        <v>1146</v>
      </c>
      <c r="C350" s="10">
        <v>40106</v>
      </c>
      <c r="D350" s="10">
        <v>40106</v>
      </c>
      <c r="E350" s="18">
        <v>0</v>
      </c>
      <c r="F350" s="13" t="str">
        <f t="shared" si="16"/>
        <v>On-time</v>
      </c>
      <c r="G350" s="19" t="str">
        <f>_xlfn.XLOOKUP(B350,tblARV[ASN/DN '#],tblARV[Country],"Not found")</f>
        <v>Uganda</v>
      </c>
      <c r="H350" s="19" t="str">
        <f>_xlfn.XLOOKUP($B350,tblARV[ASN/DN '#],tblARV[Fulfill Via],"Not found")</f>
        <v>Direct Drop</v>
      </c>
      <c r="I350" s="19" t="str">
        <f>_xlfn.XLOOKUP($B350,tblARV[ASN/DN '#],tblARV[Vendor],"Not found")</f>
        <v>ABBVIE LOGISTICS (FORMERLY ABBOTT LOGISTICS BV)</v>
      </c>
      <c r="Y350"/>
      <c r="Z350"/>
      <c r="AA350"/>
      <c r="AB350"/>
    </row>
    <row r="351" spans="2:28" ht="15">
      <c r="B351" s="7" t="s">
        <v>1420</v>
      </c>
      <c r="C351" s="10">
        <v>40106</v>
      </c>
      <c r="D351" s="10">
        <v>40106</v>
      </c>
      <c r="E351" s="18">
        <v>0</v>
      </c>
      <c r="F351" s="13" t="str">
        <f t="shared" si="16"/>
        <v>On-time</v>
      </c>
      <c r="G351" s="19" t="str">
        <f>_xlfn.XLOOKUP(B351,tblARV[ASN/DN '#],tblARV[Country],"Not found")</f>
        <v>Uganda</v>
      </c>
      <c r="H351" s="19" t="str">
        <f>_xlfn.XLOOKUP($B351,tblARV[ASN/DN '#],tblARV[Fulfill Via],"Not found")</f>
        <v>Direct Drop</v>
      </c>
      <c r="I351" s="19" t="str">
        <f>_xlfn.XLOOKUP($B351,tblARV[ASN/DN '#],tblARV[Vendor],"Not found")</f>
        <v>ABBVIE LOGISTICS (FORMERLY ABBOTT LOGISTICS BV)</v>
      </c>
      <c r="Y351"/>
      <c r="Z351"/>
      <c r="AA351"/>
      <c r="AB351"/>
    </row>
    <row r="352" spans="2:28" ht="15">
      <c r="B352" s="7" t="s">
        <v>1251</v>
      </c>
      <c r="C352" s="10">
        <v>40134</v>
      </c>
      <c r="D352" s="10">
        <v>40134</v>
      </c>
      <c r="E352" s="18">
        <v>0</v>
      </c>
      <c r="F352" s="13" t="str">
        <f t="shared" si="16"/>
        <v>On-time</v>
      </c>
      <c r="G352" s="19" t="str">
        <f>_xlfn.XLOOKUP(B352,tblARV[ASN/DN '#],tblARV[Country],"Not found")</f>
        <v>Tanzania</v>
      </c>
      <c r="H352" s="19" t="str">
        <f>_xlfn.XLOOKUP($B352,tblARV[ASN/DN '#],tblARV[Fulfill Via],"Not found")</f>
        <v>Direct Drop</v>
      </c>
      <c r="I352" s="19" t="str">
        <f>_xlfn.XLOOKUP($B352,tblARV[ASN/DN '#],tblARV[Vendor],"Not found")</f>
        <v>ABBVIE LOGISTICS (FORMERLY ABBOTT LOGISTICS BV)</v>
      </c>
      <c r="Y352"/>
      <c r="Z352"/>
      <c r="AA352"/>
      <c r="AB352"/>
    </row>
    <row r="353" spans="2:28" ht="15">
      <c r="B353" s="7" t="s">
        <v>1112</v>
      </c>
      <c r="C353" s="10">
        <v>40128</v>
      </c>
      <c r="D353" s="10">
        <v>40128</v>
      </c>
      <c r="E353" s="18">
        <v>0</v>
      </c>
      <c r="F353" s="13" t="str">
        <f t="shared" si="16"/>
        <v>On-time</v>
      </c>
      <c r="G353" s="19" t="str">
        <f>_xlfn.XLOOKUP(B353,tblARV[ASN/DN '#],tblARV[Country],"Not found")</f>
        <v>Uganda</v>
      </c>
      <c r="H353" s="19" t="str">
        <f>_xlfn.XLOOKUP($B353,tblARV[ASN/DN '#],tblARV[Fulfill Via],"Not found")</f>
        <v>Direct Drop</v>
      </c>
      <c r="I353" s="19" t="str">
        <f>_xlfn.XLOOKUP($B353,tblARV[ASN/DN '#],tblARV[Vendor],"Not found")</f>
        <v>EMCURE PHARMACEUTICALS LTD</v>
      </c>
      <c r="Y353"/>
      <c r="Z353"/>
      <c r="AA353"/>
      <c r="AB353"/>
    </row>
    <row r="354" spans="2:28" ht="15">
      <c r="B354" s="7" t="s">
        <v>1372</v>
      </c>
      <c r="C354" s="10">
        <v>40112</v>
      </c>
      <c r="D354" s="10">
        <v>40112</v>
      </c>
      <c r="E354" s="18">
        <v>0</v>
      </c>
      <c r="F354" s="13" t="str">
        <f t="shared" si="16"/>
        <v>On-time</v>
      </c>
      <c r="G354" s="19" t="str">
        <f>_xlfn.XLOOKUP(B354,tblARV[ASN/DN '#],tblARV[Country],"Not found")</f>
        <v>Uganda</v>
      </c>
      <c r="H354" s="19" t="str">
        <f>_xlfn.XLOOKUP($B354,tblARV[ASN/DN '#],tblARV[Fulfill Via],"Not found")</f>
        <v>Direct Drop</v>
      </c>
      <c r="I354" s="19" t="str">
        <f>_xlfn.XLOOKUP($B354,tblARV[ASN/DN '#],tblARV[Vendor],"Not found")</f>
        <v>ASPEN PHARMACARE</v>
      </c>
      <c r="Y354"/>
      <c r="Z354"/>
      <c r="AA354"/>
      <c r="AB354"/>
    </row>
    <row r="355" spans="2:28" ht="15">
      <c r="B355" s="7" t="s">
        <v>1304</v>
      </c>
      <c r="C355" s="10">
        <v>40105</v>
      </c>
      <c r="D355" s="10">
        <v>40105</v>
      </c>
      <c r="E355" s="18">
        <v>0</v>
      </c>
      <c r="F355" s="13" t="str">
        <f t="shared" si="16"/>
        <v>On-time</v>
      </c>
      <c r="G355" s="19" t="str">
        <f>_xlfn.XLOOKUP(B355,tblARV[ASN/DN '#],tblARV[Country],"Not found")</f>
        <v>Rwanda</v>
      </c>
      <c r="H355" s="19" t="str">
        <f>_xlfn.XLOOKUP($B355,tblARV[ASN/DN '#],tblARV[Fulfill Via],"Not found")</f>
        <v>Direct Drop</v>
      </c>
      <c r="I355" s="19" t="str">
        <f>_xlfn.XLOOKUP($B355,tblARV[ASN/DN '#],tblARV[Vendor],"Not found")</f>
        <v>Aurobindo Pharma Limited</v>
      </c>
      <c r="Y355"/>
      <c r="Z355"/>
      <c r="AA355"/>
      <c r="AB355"/>
    </row>
    <row r="356" spans="2:28" ht="15">
      <c r="B356" s="7" t="s">
        <v>880</v>
      </c>
      <c r="C356" s="10">
        <v>40134</v>
      </c>
      <c r="D356" s="10">
        <v>40134</v>
      </c>
      <c r="E356" s="18">
        <v>0</v>
      </c>
      <c r="F356" s="13" t="str">
        <f t="shared" si="16"/>
        <v>On-time</v>
      </c>
      <c r="G356" s="19" t="str">
        <f>_xlfn.XLOOKUP(B356,tblARV[ASN/DN '#],tblARV[Country],"Not found")</f>
        <v>Uganda</v>
      </c>
      <c r="H356" s="19" t="str">
        <f>_xlfn.XLOOKUP($B356,tblARV[ASN/DN '#],tblARV[Fulfill Via],"Not found")</f>
        <v>Direct Drop</v>
      </c>
      <c r="I356" s="19" t="str">
        <f>_xlfn.XLOOKUP($B356,tblARV[ASN/DN '#],tblARV[Vendor],"Not found")</f>
        <v>MERCK SHARP &amp; DOHME IDEA GMBH (FORMALLY MERCK SHARP &amp; DOHME B.V.)</v>
      </c>
      <c r="Y356"/>
      <c r="Z356"/>
      <c r="AA356"/>
      <c r="AB356"/>
    </row>
    <row r="357" spans="2:28" ht="15">
      <c r="B357" s="7" t="s">
        <v>820</v>
      </c>
      <c r="C357" s="10">
        <v>40121</v>
      </c>
      <c r="D357" s="10">
        <v>40121</v>
      </c>
      <c r="E357" s="18">
        <v>0</v>
      </c>
      <c r="F357" s="13" t="str">
        <f t="shared" si="16"/>
        <v>On-time</v>
      </c>
      <c r="G357" s="19" t="str">
        <f>_xlfn.XLOOKUP(B357,tblARV[ASN/DN '#],tblARV[Country],"Not found")</f>
        <v>Uganda</v>
      </c>
      <c r="H357" s="19" t="str">
        <f>_xlfn.XLOOKUP($B357,tblARV[ASN/DN '#],tblARV[Fulfill Via],"Not found")</f>
        <v>Direct Drop</v>
      </c>
      <c r="I357" s="19" t="str">
        <f>_xlfn.XLOOKUP($B357,tblARV[ASN/DN '#],tblARV[Vendor],"Not found")</f>
        <v>ABBVIE LOGISTICS (FORMERLY ABBOTT LOGISTICS BV)</v>
      </c>
      <c r="Y357"/>
      <c r="Z357"/>
      <c r="AA357"/>
      <c r="AB357"/>
    </row>
    <row r="358" spans="2:28" ht="15">
      <c r="B358" s="7" t="s">
        <v>777</v>
      </c>
      <c r="C358" s="10">
        <v>40144</v>
      </c>
      <c r="D358" s="10">
        <v>40144</v>
      </c>
      <c r="E358" s="18">
        <v>0</v>
      </c>
      <c r="F358" s="13" t="str">
        <f t="shared" si="16"/>
        <v>On-time</v>
      </c>
      <c r="G358" s="19" t="str">
        <f>_xlfn.XLOOKUP(B358,tblARV[ASN/DN '#],tblARV[Country],"Not found")</f>
        <v>Tanzania</v>
      </c>
      <c r="H358" s="19" t="str">
        <f>_xlfn.XLOOKUP($B358,tblARV[ASN/DN '#],tblARV[Fulfill Via],"Not found")</f>
        <v>Direct Drop</v>
      </c>
      <c r="I358" s="19" t="str">
        <f>_xlfn.XLOOKUP($B358,tblARV[ASN/DN '#],tblARV[Vendor],"Not found")</f>
        <v>BRISTOL-MYERS SQUIBB</v>
      </c>
      <c r="Y358"/>
      <c r="Z358"/>
      <c r="AA358"/>
      <c r="AB358"/>
    </row>
    <row r="359" spans="2:28" ht="15">
      <c r="B359" s="7" t="s">
        <v>1183</v>
      </c>
      <c r="C359" s="10">
        <v>40136</v>
      </c>
      <c r="D359" s="10">
        <v>40136</v>
      </c>
      <c r="E359" s="18">
        <v>0</v>
      </c>
      <c r="F359" s="13" t="str">
        <f t="shared" si="16"/>
        <v>On-time</v>
      </c>
      <c r="G359" s="19" t="str">
        <f>_xlfn.XLOOKUP(B359,tblARV[ASN/DN '#],tblARV[Country],"Not found")</f>
        <v>Rwanda</v>
      </c>
      <c r="H359" s="19" t="str">
        <f>_xlfn.XLOOKUP($B359,tblARV[ASN/DN '#],tblARV[Fulfill Via],"Not found")</f>
        <v>Direct Drop</v>
      </c>
      <c r="I359" s="19" t="str">
        <f>_xlfn.XLOOKUP($B359,tblARV[ASN/DN '#],tblARV[Vendor],"Not found")</f>
        <v>Aurobindo Pharma Limited</v>
      </c>
      <c r="Y359"/>
      <c r="Z359"/>
      <c r="AA359"/>
      <c r="AB359"/>
    </row>
    <row r="360" spans="2:28" ht="15">
      <c r="B360" s="7" t="s">
        <v>792</v>
      </c>
      <c r="C360" s="10">
        <v>40140</v>
      </c>
      <c r="D360" s="10">
        <v>40140</v>
      </c>
      <c r="E360" s="18">
        <v>0</v>
      </c>
      <c r="F360" s="13" t="str">
        <f t="shared" si="16"/>
        <v>On-time</v>
      </c>
      <c r="G360" s="19" t="str">
        <f>_xlfn.XLOOKUP(B360,tblARV[ASN/DN '#],tblARV[Country],"Not found")</f>
        <v>Rwanda</v>
      </c>
      <c r="H360" s="19" t="str">
        <f>_xlfn.XLOOKUP($B360,tblARV[ASN/DN '#],tblARV[Fulfill Via],"Not found")</f>
        <v>Direct Drop</v>
      </c>
      <c r="I360" s="19" t="str">
        <f>_xlfn.XLOOKUP($B360,tblARV[ASN/DN '#],tblARV[Vendor],"Not found")</f>
        <v>HETERO LABS LIMITED</v>
      </c>
      <c r="Y360"/>
      <c r="Z360"/>
      <c r="AA360"/>
      <c r="AB360"/>
    </row>
    <row r="361" spans="2:28" ht="15">
      <c r="B361" s="7" t="s">
        <v>882</v>
      </c>
      <c r="C361" s="10">
        <v>40140</v>
      </c>
      <c r="D361" s="10">
        <v>40140</v>
      </c>
      <c r="E361" s="18">
        <v>0</v>
      </c>
      <c r="F361" s="13" t="str">
        <f t="shared" si="16"/>
        <v>On-time</v>
      </c>
      <c r="G361" s="19" t="str">
        <f>_xlfn.XLOOKUP(B361,tblARV[ASN/DN '#],tblARV[Country],"Not found")</f>
        <v>Rwanda</v>
      </c>
      <c r="H361" s="19" t="str">
        <f>_xlfn.XLOOKUP($B361,tblARV[ASN/DN '#],tblARV[Fulfill Via],"Not found")</f>
        <v>Direct Drop</v>
      </c>
      <c r="I361" s="19" t="str">
        <f>_xlfn.XLOOKUP($B361,tblARV[ASN/DN '#],tblARV[Vendor],"Not found")</f>
        <v>HETERO LABS LIMITED</v>
      </c>
      <c r="Y361"/>
      <c r="Z361"/>
      <c r="AA361"/>
      <c r="AB361"/>
    </row>
    <row r="362" spans="2:28" ht="15">
      <c r="B362" s="7" t="s">
        <v>1337</v>
      </c>
      <c r="C362" s="10">
        <v>40150</v>
      </c>
      <c r="D362" s="10">
        <v>40150</v>
      </c>
      <c r="E362" s="18">
        <v>0</v>
      </c>
      <c r="F362" s="13" t="str">
        <f t="shared" si="16"/>
        <v>On-time</v>
      </c>
      <c r="G362" s="19" t="str">
        <f>_xlfn.XLOOKUP(B362,tblARV[ASN/DN '#],tblARV[Country],"Not found")</f>
        <v>Uganda</v>
      </c>
      <c r="H362" s="19" t="str">
        <f>_xlfn.XLOOKUP($B362,tblARV[ASN/DN '#],tblARV[Fulfill Via],"Not found")</f>
        <v>Direct Drop</v>
      </c>
      <c r="I362" s="19" t="str">
        <f>_xlfn.XLOOKUP($B362,tblARV[ASN/DN '#],tblARV[Vendor],"Not found")</f>
        <v>Hoffmann-La Roche ltd Basel</v>
      </c>
      <c r="Y362"/>
      <c r="Z362"/>
      <c r="AA362"/>
      <c r="AB362"/>
    </row>
    <row r="363" spans="2:28" ht="15">
      <c r="B363" s="7" t="s">
        <v>1080</v>
      </c>
      <c r="C363" s="10">
        <v>40162</v>
      </c>
      <c r="D363" s="10">
        <v>40162</v>
      </c>
      <c r="E363" s="18">
        <v>0</v>
      </c>
      <c r="F363" s="13" t="str">
        <f t="shared" si="16"/>
        <v>On-time</v>
      </c>
      <c r="G363" s="19" t="str">
        <f>_xlfn.XLOOKUP(B363,tblARV[ASN/DN '#],tblARV[Country],"Not found")</f>
        <v>Rwanda</v>
      </c>
      <c r="H363" s="19" t="str">
        <f>_xlfn.XLOOKUP($B363,tblARV[ASN/DN '#],tblARV[Fulfill Via],"Not found")</f>
        <v>Direct Drop</v>
      </c>
      <c r="I363" s="19" t="str">
        <f>_xlfn.XLOOKUP($B363,tblARV[ASN/DN '#],tblARV[Vendor],"Not found")</f>
        <v>HETERO LABS LIMITED</v>
      </c>
      <c r="Y363"/>
      <c r="Z363"/>
      <c r="AA363"/>
      <c r="AB363"/>
    </row>
    <row r="364" spans="2:28" ht="15">
      <c r="B364" s="7" t="s">
        <v>1444</v>
      </c>
      <c r="C364" s="10">
        <v>40166</v>
      </c>
      <c r="D364" s="10">
        <v>40166</v>
      </c>
      <c r="E364" s="18">
        <v>0</v>
      </c>
      <c r="F364" s="13" t="str">
        <f t="shared" si="16"/>
        <v>On-time</v>
      </c>
      <c r="G364" s="19" t="str">
        <f>_xlfn.XLOOKUP(B364,tblARV[ASN/DN '#],tblARV[Country],"Not found")</f>
        <v>Uganda</v>
      </c>
      <c r="H364" s="19" t="str">
        <f>_xlfn.XLOOKUP($B364,tblARV[ASN/DN '#],tblARV[Fulfill Via],"Not found")</f>
        <v>Direct Drop</v>
      </c>
      <c r="I364" s="19" t="str">
        <f>_xlfn.XLOOKUP($B364,tblARV[ASN/DN '#],tblARV[Vendor],"Not found")</f>
        <v>ABBVIE LOGISTICS (FORMERLY ABBOTT LOGISTICS BV)</v>
      </c>
      <c r="Y364"/>
      <c r="Z364"/>
      <c r="AA364"/>
      <c r="AB364"/>
    </row>
    <row r="365" spans="2:28" ht="15">
      <c r="B365" s="7" t="s">
        <v>947</v>
      </c>
      <c r="C365" s="10">
        <v>40171</v>
      </c>
      <c r="D365" s="10">
        <v>40171</v>
      </c>
      <c r="E365" s="18">
        <v>0</v>
      </c>
      <c r="F365" s="13" t="str">
        <f t="shared" si="16"/>
        <v>On-time</v>
      </c>
      <c r="G365" s="19" t="str">
        <f>_xlfn.XLOOKUP(B365,tblARV[ASN/DN '#],tblARV[Country],"Not found")</f>
        <v>Ethiopia</v>
      </c>
      <c r="H365" s="19" t="str">
        <f>_xlfn.XLOOKUP($B365,tblARV[ASN/DN '#],tblARV[Fulfill Via],"Not found")</f>
        <v>Direct Drop</v>
      </c>
      <c r="I365" s="19" t="str">
        <f>_xlfn.XLOOKUP($B365,tblARV[ASN/DN '#],tblARV[Vendor],"Not found")</f>
        <v>Aurobindo Pharma Limited</v>
      </c>
      <c r="Y365"/>
      <c r="Z365"/>
      <c r="AA365"/>
      <c r="AB365"/>
    </row>
    <row r="366" spans="2:28" ht="15">
      <c r="B366" s="7" t="s">
        <v>1074</v>
      </c>
      <c r="C366" s="10">
        <v>40197</v>
      </c>
      <c r="D366" s="10">
        <v>40197</v>
      </c>
      <c r="E366" s="18">
        <v>0</v>
      </c>
      <c r="F366" s="13" t="str">
        <f t="shared" si="16"/>
        <v>On-time</v>
      </c>
      <c r="G366" s="19" t="str">
        <f>_xlfn.XLOOKUP(B366,tblARV[ASN/DN '#],tblARV[Country],"Not found")</f>
        <v>Uganda</v>
      </c>
      <c r="H366" s="19" t="str">
        <f>_xlfn.XLOOKUP($B366,tblARV[ASN/DN '#],tblARV[Fulfill Via],"Not found")</f>
        <v>Direct Drop</v>
      </c>
      <c r="I366" s="19" t="str">
        <f>_xlfn.XLOOKUP($B366,tblARV[ASN/DN '#],tblARV[Vendor],"Not found")</f>
        <v>ASPEN PHARMACARE</v>
      </c>
      <c r="Y366"/>
      <c r="Z366"/>
      <c r="AA366"/>
      <c r="AB366"/>
    </row>
    <row r="367" spans="2:28" ht="15">
      <c r="B367" s="7" t="s">
        <v>1452</v>
      </c>
      <c r="C367" s="10">
        <v>40182</v>
      </c>
      <c r="D367" s="10">
        <v>40182</v>
      </c>
      <c r="E367" s="18">
        <v>0</v>
      </c>
      <c r="F367" s="13" t="str">
        <f t="shared" si="16"/>
        <v>On-time</v>
      </c>
      <c r="G367" s="19" t="str">
        <f>_xlfn.XLOOKUP(B367,tblARV[ASN/DN '#],tblARV[Country],"Not found")</f>
        <v>Rwanda</v>
      </c>
      <c r="H367" s="19" t="str">
        <f>_xlfn.XLOOKUP($B367,tblARV[ASN/DN '#],tblARV[Fulfill Via],"Not found")</f>
        <v>Direct Drop</v>
      </c>
      <c r="I367" s="19" t="str">
        <f>_xlfn.XLOOKUP($B367,tblARV[ASN/DN '#],tblARV[Vendor],"Not found")</f>
        <v>HETERO LABS LIMITED</v>
      </c>
      <c r="Y367"/>
      <c r="Z367"/>
      <c r="AA367"/>
      <c r="AB367"/>
    </row>
    <row r="368" spans="2:28" ht="15">
      <c r="B368" s="7" t="s">
        <v>1193</v>
      </c>
      <c r="C368" s="10">
        <v>40177</v>
      </c>
      <c r="D368" s="10">
        <v>40177</v>
      </c>
      <c r="E368" s="18">
        <v>0</v>
      </c>
      <c r="F368" s="13" t="str">
        <f t="shared" si="16"/>
        <v>On-time</v>
      </c>
      <c r="G368" s="19" t="str">
        <f>_xlfn.XLOOKUP(B368,tblARV[ASN/DN '#],tblARV[Country],"Not found")</f>
        <v>Ethiopia</v>
      </c>
      <c r="H368" s="19" t="str">
        <f>_xlfn.XLOOKUP($B368,tblARV[ASN/DN '#],tblARV[Fulfill Via],"Not found")</f>
        <v>Direct Drop</v>
      </c>
      <c r="I368" s="19" t="str">
        <f>_xlfn.XLOOKUP($B368,tblARV[ASN/DN '#],tblARV[Vendor],"Not found")</f>
        <v>MYLAN LABORATORIES LTD (FORMERLY MATRIX LABORATORIES)</v>
      </c>
      <c r="Y368"/>
      <c r="Z368"/>
      <c r="AA368"/>
      <c r="AB368"/>
    </row>
    <row r="369" spans="2:28" ht="15">
      <c r="B369" s="7" t="s">
        <v>898</v>
      </c>
      <c r="C369" s="10">
        <v>40205</v>
      </c>
      <c r="D369" s="10">
        <v>40205</v>
      </c>
      <c r="E369" s="18">
        <v>0</v>
      </c>
      <c r="F369" s="13" t="str">
        <f t="shared" si="16"/>
        <v>On-time</v>
      </c>
      <c r="G369" s="19" t="str">
        <f>_xlfn.XLOOKUP(B369,tblARV[ASN/DN '#],tblARV[Country],"Not found")</f>
        <v>Rwanda</v>
      </c>
      <c r="H369" s="19" t="str">
        <f>_xlfn.XLOOKUP($B369,tblARV[ASN/DN '#],tblARV[Fulfill Via],"Not found")</f>
        <v>Direct Drop</v>
      </c>
      <c r="I369" s="19" t="str">
        <f>_xlfn.XLOOKUP($B369,tblARV[ASN/DN '#],tblARV[Vendor],"Not found")</f>
        <v>Aurobindo Pharma Limited</v>
      </c>
      <c r="Y369"/>
      <c r="Z369"/>
      <c r="AA369"/>
      <c r="AB369"/>
    </row>
    <row r="370" spans="2:28" ht="15">
      <c r="B370" s="7" t="s">
        <v>915</v>
      </c>
      <c r="C370" s="10">
        <v>40205</v>
      </c>
      <c r="D370" s="10">
        <v>40205</v>
      </c>
      <c r="E370" s="18">
        <v>0</v>
      </c>
      <c r="F370" s="13" t="str">
        <f t="shared" si="16"/>
        <v>On-time</v>
      </c>
      <c r="G370" s="19" t="str">
        <f>_xlfn.XLOOKUP(B370,tblARV[ASN/DN '#],tblARV[Country],"Not found")</f>
        <v>Rwanda</v>
      </c>
      <c r="H370" s="19" t="str">
        <f>_xlfn.XLOOKUP($B370,tblARV[ASN/DN '#],tblARV[Fulfill Via],"Not found")</f>
        <v>Direct Drop</v>
      </c>
      <c r="I370" s="19" t="str">
        <f>_xlfn.XLOOKUP($B370,tblARV[ASN/DN '#],tblARV[Vendor],"Not found")</f>
        <v>Aurobindo Pharma Limited</v>
      </c>
      <c r="Y370"/>
      <c r="Z370"/>
      <c r="AA370"/>
      <c r="AB370"/>
    </row>
    <row r="371" spans="2:28" ht="15">
      <c r="B371" s="7" t="s">
        <v>900</v>
      </c>
      <c r="C371" s="10">
        <v>40212</v>
      </c>
      <c r="D371" s="10">
        <v>40212</v>
      </c>
      <c r="E371" s="18">
        <v>0</v>
      </c>
      <c r="F371" s="13" t="str">
        <f t="shared" si="16"/>
        <v>On-time</v>
      </c>
      <c r="G371" s="19" t="str">
        <f>_xlfn.XLOOKUP(B371,tblARV[ASN/DN '#],tblARV[Country],"Not found")</f>
        <v>Rwanda</v>
      </c>
      <c r="H371" s="19" t="str">
        <f>_xlfn.XLOOKUP($B371,tblARV[ASN/DN '#],tblARV[Fulfill Via],"Not found")</f>
        <v>Direct Drop</v>
      </c>
      <c r="I371" s="19" t="str">
        <f>_xlfn.XLOOKUP($B371,tblARV[ASN/DN '#],tblARV[Vendor],"Not found")</f>
        <v>MYLAN LABORATORIES LTD (FORMERLY MATRIX LABORATORIES)</v>
      </c>
      <c r="Y371"/>
      <c r="Z371"/>
      <c r="AA371"/>
      <c r="AB371"/>
    </row>
    <row r="372" spans="2:28" ht="15">
      <c r="B372" s="7" t="s">
        <v>888</v>
      </c>
      <c r="C372" s="10">
        <v>40205</v>
      </c>
      <c r="D372" s="10">
        <v>40205</v>
      </c>
      <c r="E372" s="18">
        <v>0</v>
      </c>
      <c r="F372" s="13" t="str">
        <f t="shared" si="16"/>
        <v>On-time</v>
      </c>
      <c r="G372" s="19" t="str">
        <f>_xlfn.XLOOKUP(B372,tblARV[ASN/DN '#],tblARV[Country],"Not found")</f>
        <v>Rwanda</v>
      </c>
      <c r="H372" s="19" t="str">
        <f>_xlfn.XLOOKUP($B372,tblARV[ASN/DN '#],tblARV[Fulfill Via],"Not found")</f>
        <v>Direct Drop</v>
      </c>
      <c r="I372" s="19" t="str">
        <f>_xlfn.XLOOKUP($B372,tblARV[ASN/DN '#],tblARV[Vendor],"Not found")</f>
        <v>Aurobindo Pharma Limited</v>
      </c>
      <c r="Y372"/>
      <c r="Z372"/>
      <c r="AA372"/>
      <c r="AB372"/>
    </row>
    <row r="373" spans="2:28" ht="15">
      <c r="B373" s="7" t="s">
        <v>988</v>
      </c>
      <c r="C373" s="10">
        <v>40200</v>
      </c>
      <c r="D373" s="10">
        <v>40200</v>
      </c>
      <c r="E373" s="18">
        <v>0</v>
      </c>
      <c r="F373" s="13" t="str">
        <f t="shared" si="16"/>
        <v>On-time</v>
      </c>
      <c r="G373" s="19" t="str">
        <f>_xlfn.XLOOKUP(B373,tblARV[ASN/DN '#],tblARV[Country],"Not found")</f>
        <v>Ethiopia</v>
      </c>
      <c r="H373" s="19" t="str">
        <f>_xlfn.XLOOKUP($B373,tblARV[ASN/DN '#],tblARV[Fulfill Via],"Not found")</f>
        <v>Direct Drop</v>
      </c>
      <c r="I373" s="19" t="str">
        <f>_xlfn.XLOOKUP($B373,tblARV[ASN/DN '#],tblARV[Vendor],"Not found")</f>
        <v>STRIDES ARCOLAB LIMITED</v>
      </c>
      <c r="Y373"/>
      <c r="Z373"/>
      <c r="AA373"/>
      <c r="AB373"/>
    </row>
    <row r="374" spans="2:28" ht="15">
      <c r="B374" s="7" t="s">
        <v>1248</v>
      </c>
      <c r="C374" s="10">
        <v>40205</v>
      </c>
      <c r="D374" s="10">
        <v>40205</v>
      </c>
      <c r="E374" s="18">
        <v>0</v>
      </c>
      <c r="F374" s="13" t="str">
        <f t="shared" si="16"/>
        <v>On-time</v>
      </c>
      <c r="G374" s="19" t="str">
        <f>_xlfn.XLOOKUP(B374,tblARV[ASN/DN '#],tblARV[Country],"Not found")</f>
        <v>Rwanda</v>
      </c>
      <c r="H374" s="19" t="str">
        <f>_xlfn.XLOOKUP($B374,tblARV[ASN/DN '#],tblARV[Fulfill Via],"Not found")</f>
        <v>Direct Drop</v>
      </c>
      <c r="I374" s="19" t="str">
        <f>_xlfn.XLOOKUP($B374,tblARV[ASN/DN '#],tblARV[Vendor],"Not found")</f>
        <v>Aurobindo Pharma Limited</v>
      </c>
      <c r="Y374"/>
      <c r="Z374"/>
      <c r="AA374"/>
      <c r="AB374"/>
    </row>
    <row r="375" spans="2:28" ht="15">
      <c r="B375" s="7" t="s">
        <v>1043</v>
      </c>
      <c r="C375" s="10">
        <v>40211</v>
      </c>
      <c r="D375" s="10">
        <v>40211</v>
      </c>
      <c r="E375" s="18">
        <v>0</v>
      </c>
      <c r="F375" s="13" t="str">
        <f t="shared" si="16"/>
        <v>On-time</v>
      </c>
      <c r="G375" s="19" t="str">
        <f>_xlfn.XLOOKUP(B375,tblARV[ASN/DN '#],tblARV[Country],"Not found")</f>
        <v>Uganda</v>
      </c>
      <c r="H375" s="19" t="str">
        <f>_xlfn.XLOOKUP($B375,tblARV[ASN/DN '#],tblARV[Fulfill Via],"Not found")</f>
        <v>Direct Drop</v>
      </c>
      <c r="I375" s="19" t="str">
        <f>_xlfn.XLOOKUP($B375,tblARV[ASN/DN '#],tblARV[Vendor],"Not found")</f>
        <v>EMCURE PHARMACEUTICALS LTD</v>
      </c>
      <c r="Y375"/>
      <c r="Z375"/>
      <c r="AA375"/>
      <c r="AB375"/>
    </row>
    <row r="376" spans="2:28" ht="15">
      <c r="B376" s="7" t="s">
        <v>1364</v>
      </c>
      <c r="C376" s="10">
        <v>40227</v>
      </c>
      <c r="D376" s="10">
        <v>40227</v>
      </c>
      <c r="E376" s="18">
        <v>0</v>
      </c>
      <c r="F376" s="13" t="str">
        <f t="shared" si="16"/>
        <v>On-time</v>
      </c>
      <c r="G376" s="19" t="str">
        <f>_xlfn.XLOOKUP(B376,tblARV[ASN/DN '#],tblARV[Country],"Not found")</f>
        <v>Uganda</v>
      </c>
      <c r="H376" s="19" t="str">
        <f>_xlfn.XLOOKUP($B376,tblARV[ASN/DN '#],tblARV[Fulfill Via],"Not found")</f>
        <v>Direct Drop</v>
      </c>
      <c r="I376" s="19" t="str">
        <f>_xlfn.XLOOKUP($B376,tblARV[ASN/DN '#],tblARV[Vendor],"Not found")</f>
        <v>MERCK SHARP &amp; DOHME IDEA GMBH (FORMALLY MERCK SHARP &amp; DOHME B.V.)</v>
      </c>
      <c r="Y376"/>
      <c r="Z376"/>
      <c r="AA376"/>
      <c r="AB376"/>
    </row>
    <row r="377" spans="2:28" ht="15">
      <c r="B377" s="7" t="s">
        <v>763</v>
      </c>
      <c r="C377" s="10">
        <v>40218</v>
      </c>
      <c r="D377" s="10">
        <v>40218</v>
      </c>
      <c r="E377" s="18">
        <v>0</v>
      </c>
      <c r="F377" s="13" t="str">
        <f t="shared" si="16"/>
        <v>On-time</v>
      </c>
      <c r="G377" s="19" t="str">
        <f>_xlfn.XLOOKUP(B377,tblARV[ASN/DN '#],tblARV[Country],"Not found")</f>
        <v>Ethiopia</v>
      </c>
      <c r="H377" s="19" t="str">
        <f>_xlfn.XLOOKUP($B377,tblARV[ASN/DN '#],tblARV[Fulfill Via],"Not found")</f>
        <v>Direct Drop</v>
      </c>
      <c r="I377" s="19" t="str">
        <f>_xlfn.XLOOKUP($B377,tblARV[ASN/DN '#],tblARV[Vendor],"Not found")</f>
        <v>STRIDES ARCOLAB LIMITED</v>
      </c>
      <c r="Y377"/>
      <c r="Z377"/>
      <c r="AA377"/>
      <c r="AB377"/>
    </row>
    <row r="378" spans="2:28" ht="15">
      <c r="B378" s="7" t="s">
        <v>934</v>
      </c>
      <c r="C378" s="10">
        <v>40224</v>
      </c>
      <c r="D378" s="10">
        <v>40224</v>
      </c>
      <c r="E378" s="18">
        <v>0</v>
      </c>
      <c r="F378" s="13" t="str">
        <f t="shared" si="16"/>
        <v>On-time</v>
      </c>
      <c r="G378" s="19" t="str">
        <f>_xlfn.XLOOKUP(B378,tblARV[ASN/DN '#],tblARV[Country],"Not found")</f>
        <v>Ethiopia</v>
      </c>
      <c r="H378" s="19" t="str">
        <f>_xlfn.XLOOKUP($B378,tblARV[ASN/DN '#],tblARV[Fulfill Via],"Not found")</f>
        <v>Direct Drop</v>
      </c>
      <c r="I378" s="19" t="str">
        <f>_xlfn.XLOOKUP($B378,tblARV[ASN/DN '#],tblARV[Vendor],"Not found")</f>
        <v>MYLAN LABORATORIES LTD (FORMERLY MATRIX LABORATORIES)</v>
      </c>
      <c r="Y378"/>
      <c r="Z378"/>
      <c r="AA378"/>
      <c r="AB378"/>
    </row>
    <row r="379" spans="2:28" ht="15">
      <c r="B379" s="7" t="s">
        <v>1366</v>
      </c>
      <c r="C379" s="10">
        <v>40240</v>
      </c>
      <c r="D379" s="10">
        <v>40240</v>
      </c>
      <c r="E379" s="18">
        <v>0</v>
      </c>
      <c r="F379" s="13" t="str">
        <f t="shared" si="16"/>
        <v>On-time</v>
      </c>
      <c r="G379" s="19" t="str">
        <f>_xlfn.XLOOKUP(B379,tblARV[ASN/DN '#],tblARV[Country],"Not found")</f>
        <v>Rwanda</v>
      </c>
      <c r="H379" s="19" t="str">
        <f>_xlfn.XLOOKUP($B379,tblARV[ASN/DN '#],tblARV[Fulfill Via],"Not found")</f>
        <v>Direct Drop</v>
      </c>
      <c r="I379" s="19" t="str">
        <f>_xlfn.XLOOKUP($B379,tblARV[ASN/DN '#],tblARV[Vendor],"Not found")</f>
        <v>ABBVIE LOGISTICS (FORMERLY ABBOTT LOGISTICS BV)</v>
      </c>
      <c r="Y379"/>
      <c r="Z379"/>
      <c r="AA379"/>
      <c r="AB379"/>
    </row>
    <row r="380" spans="2:28" ht="15">
      <c r="B380" s="7" t="s">
        <v>751</v>
      </c>
      <c r="C380" s="10">
        <v>40241</v>
      </c>
      <c r="D380" s="10">
        <v>40241</v>
      </c>
      <c r="E380" s="18">
        <v>0</v>
      </c>
      <c r="F380" s="13" t="str">
        <f t="shared" si="16"/>
        <v>On-time</v>
      </c>
      <c r="G380" s="19" t="str">
        <f>_xlfn.XLOOKUP(B380,tblARV[ASN/DN '#],tblARV[Country],"Not found")</f>
        <v>Uganda</v>
      </c>
      <c r="H380" s="19" t="str">
        <f>_xlfn.XLOOKUP($B380,tblARV[ASN/DN '#],tblARV[Fulfill Via],"Not found")</f>
        <v>Direct Drop</v>
      </c>
      <c r="I380" s="19" t="str">
        <f>_xlfn.XLOOKUP($B380,tblARV[ASN/DN '#],tblARV[Vendor],"Not found")</f>
        <v>MERCK SHARP &amp; DOHME IDEA GMBH (FORMALLY MERCK SHARP &amp; DOHME B.V.)</v>
      </c>
      <c r="Y380"/>
      <c r="Z380"/>
      <c r="AA380"/>
      <c r="AB380"/>
    </row>
    <row r="381" spans="2:28" ht="15">
      <c r="B381" s="7" t="s">
        <v>1216</v>
      </c>
      <c r="C381" s="10">
        <v>40246</v>
      </c>
      <c r="D381" s="10">
        <v>40246</v>
      </c>
      <c r="E381" s="18">
        <v>0</v>
      </c>
      <c r="F381" s="13" t="str">
        <f t="shared" si="16"/>
        <v>On-time</v>
      </c>
      <c r="G381" s="19" t="str">
        <f>_xlfn.XLOOKUP(B381,tblARV[ASN/DN '#],tblARV[Country],"Not found")</f>
        <v>Uganda</v>
      </c>
      <c r="H381" s="19" t="str">
        <f>_xlfn.XLOOKUP($B381,tblARV[ASN/DN '#],tblARV[Fulfill Via],"Not found")</f>
        <v>Direct Drop</v>
      </c>
      <c r="I381" s="19" t="str">
        <f>_xlfn.XLOOKUP($B381,tblARV[ASN/DN '#],tblARV[Vendor],"Not found")</f>
        <v>EMCURE PHARMACEUTICALS LTD</v>
      </c>
      <c r="Y381"/>
      <c r="Z381"/>
      <c r="AA381"/>
      <c r="AB381"/>
    </row>
    <row r="382" spans="2:28" ht="15">
      <c r="B382" s="7" t="s">
        <v>1341</v>
      </c>
      <c r="C382" s="10">
        <v>40247</v>
      </c>
      <c r="D382" s="10">
        <v>40247</v>
      </c>
      <c r="E382" s="18">
        <v>0</v>
      </c>
      <c r="F382" s="13" t="str">
        <f t="shared" si="16"/>
        <v>On-time</v>
      </c>
      <c r="G382" s="19" t="str">
        <f>_xlfn.XLOOKUP(B382,tblARV[ASN/DN '#],tblARV[Country],"Not found")</f>
        <v>Uganda</v>
      </c>
      <c r="H382" s="19" t="str">
        <f>_xlfn.XLOOKUP($B382,tblARV[ASN/DN '#],tblARV[Fulfill Via],"Not found")</f>
        <v>Direct Drop</v>
      </c>
      <c r="I382" s="19" t="str">
        <f>_xlfn.XLOOKUP($B382,tblARV[ASN/DN '#],tblARV[Vendor],"Not found")</f>
        <v>ABBVIE LOGISTICS (FORMERLY ABBOTT LOGISTICS BV)</v>
      </c>
    </row>
    <row r="383" spans="2:28" ht="15">
      <c r="B383" s="7" t="s">
        <v>1051</v>
      </c>
      <c r="C383" s="10">
        <v>40247</v>
      </c>
      <c r="D383" s="10">
        <v>40247</v>
      </c>
      <c r="E383" s="18">
        <v>0</v>
      </c>
      <c r="F383" s="13" t="str">
        <f t="shared" si="16"/>
        <v>On-time</v>
      </c>
      <c r="G383" s="19" t="str">
        <f>_xlfn.XLOOKUP(B383,tblARV[ASN/DN '#],tblARV[Country],"Not found")</f>
        <v>Uganda</v>
      </c>
      <c r="H383" s="19" t="str">
        <f>_xlfn.XLOOKUP($B383,tblARV[ASN/DN '#],tblARV[Fulfill Via],"Not found")</f>
        <v>Direct Drop</v>
      </c>
      <c r="I383" s="19" t="str">
        <f>_xlfn.XLOOKUP($B383,tblARV[ASN/DN '#],tblARV[Vendor],"Not found")</f>
        <v>ABBVIE LOGISTICS (FORMERLY ABBOTT LOGISTICS BV)</v>
      </c>
    </row>
    <row r="384" spans="2:28" ht="15">
      <c r="B384" s="7" t="s">
        <v>868</v>
      </c>
      <c r="C384" s="10">
        <v>40240</v>
      </c>
      <c r="D384" s="10">
        <v>40240</v>
      </c>
      <c r="E384" s="18">
        <v>0</v>
      </c>
      <c r="F384" s="13" t="str">
        <f t="shared" si="16"/>
        <v>On-time</v>
      </c>
      <c r="G384" s="19" t="str">
        <f>_xlfn.XLOOKUP(B384,tblARV[ASN/DN '#],tblARV[Country],"Not found")</f>
        <v>Rwanda</v>
      </c>
      <c r="H384" s="19" t="str">
        <f>_xlfn.XLOOKUP($B384,tblARV[ASN/DN '#],tblARV[Fulfill Via],"Not found")</f>
        <v>Direct Drop</v>
      </c>
      <c r="I384" s="19" t="str">
        <f>_xlfn.XLOOKUP($B384,tblARV[ASN/DN '#],tblARV[Vendor],"Not found")</f>
        <v>Hoffmann-La Roche ltd Basel</v>
      </c>
    </row>
    <row r="385" spans="2:9" ht="15">
      <c r="B385" s="7" t="s">
        <v>731</v>
      </c>
      <c r="C385" s="10">
        <v>40241</v>
      </c>
      <c r="D385" s="10">
        <v>40241</v>
      </c>
      <c r="E385" s="18">
        <v>0</v>
      </c>
      <c r="F385" s="13" t="str">
        <f t="shared" si="16"/>
        <v>On-time</v>
      </c>
      <c r="G385" s="19" t="str">
        <f>_xlfn.XLOOKUP(B385,tblARV[ASN/DN '#],tblARV[Country],"Not found")</f>
        <v>Ethiopia</v>
      </c>
      <c r="H385" s="19" t="str">
        <f>_xlfn.XLOOKUP($B385,tblARV[ASN/DN '#],tblARV[Fulfill Via],"Not found")</f>
        <v>Direct Drop</v>
      </c>
      <c r="I385" s="19" t="str">
        <f>_xlfn.XLOOKUP($B385,tblARV[ASN/DN '#],tblARV[Vendor],"Not found")</f>
        <v>Aurobindo Pharma Limited</v>
      </c>
    </row>
    <row r="386" spans="2:9" ht="15">
      <c r="B386" s="7" t="s">
        <v>716</v>
      </c>
      <c r="C386" s="10">
        <v>40284</v>
      </c>
      <c r="D386" s="10">
        <v>40284</v>
      </c>
      <c r="E386" s="18">
        <v>0</v>
      </c>
      <c r="F386" s="13" t="str">
        <f t="shared" si="16"/>
        <v>On-time</v>
      </c>
      <c r="G386" s="19" t="str">
        <f>_xlfn.XLOOKUP(B386,tblARV[ASN/DN '#],tblARV[Country],"Not found")</f>
        <v>Rwanda</v>
      </c>
      <c r="H386" s="19" t="str">
        <f>_xlfn.XLOOKUP($B386,tblARV[ASN/DN '#],tblARV[Fulfill Via],"Not found")</f>
        <v>Direct Drop</v>
      </c>
      <c r="I386" s="19" t="str">
        <f>_xlfn.XLOOKUP($B386,tblARV[ASN/DN '#],tblARV[Vendor],"Not found")</f>
        <v>MYLAN LABORATORIES LTD (FORMERLY MATRIX LABORATORIES)</v>
      </c>
    </row>
    <row r="387" spans="2:9" ht="15">
      <c r="B387" s="7" t="s">
        <v>1294</v>
      </c>
      <c r="C387" s="10">
        <v>40261</v>
      </c>
      <c r="D387" s="10">
        <v>40261</v>
      </c>
      <c r="E387" s="18">
        <v>0</v>
      </c>
      <c r="F387" s="13" t="str">
        <f t="shared" si="16"/>
        <v>On-time</v>
      </c>
      <c r="G387" s="19" t="str">
        <f>_xlfn.XLOOKUP(B387,tblARV[ASN/DN '#],tblARV[Country],"Not found")</f>
        <v>Uganda</v>
      </c>
      <c r="H387" s="19" t="str">
        <f>_xlfn.XLOOKUP($B387,tblARV[ASN/DN '#],tblARV[Fulfill Via],"Not found")</f>
        <v>Direct Drop</v>
      </c>
      <c r="I387" s="19" t="str">
        <f>_xlfn.XLOOKUP($B387,tblARV[ASN/DN '#],tblARV[Vendor],"Not found")</f>
        <v>ABBVIE LOGISTICS (FORMERLY ABBOTT LOGISTICS BV)</v>
      </c>
    </row>
    <row r="388" spans="2:9" ht="15">
      <c r="B388" s="7" t="s">
        <v>876</v>
      </c>
      <c r="C388" s="10">
        <v>40283</v>
      </c>
      <c r="D388" s="10">
        <v>40283</v>
      </c>
      <c r="E388" s="18">
        <v>0</v>
      </c>
      <c r="F388" s="13" t="str">
        <f t="shared" si="16"/>
        <v>On-time</v>
      </c>
      <c r="G388" s="19" t="str">
        <f>_xlfn.XLOOKUP(B388,tblARV[ASN/DN '#],tblARV[Country],"Not found")</f>
        <v>Rwanda</v>
      </c>
      <c r="H388" s="19" t="str">
        <f>_xlfn.XLOOKUP($B388,tblARV[ASN/DN '#],tblARV[Fulfill Via],"Not found")</f>
        <v>Direct Drop</v>
      </c>
      <c r="I388" s="19" t="str">
        <f>_xlfn.XLOOKUP($B388,tblARV[ASN/DN '#],tblARV[Vendor],"Not found")</f>
        <v>Aurobindo Pharma Limited</v>
      </c>
    </row>
    <row r="389" spans="2:9" ht="15">
      <c r="B389" s="7" t="s">
        <v>1078</v>
      </c>
      <c r="C389" s="10">
        <v>40297</v>
      </c>
      <c r="D389" s="10">
        <v>40297</v>
      </c>
      <c r="E389" s="18">
        <v>0</v>
      </c>
      <c r="F389" s="13" t="str">
        <f t="shared" si="16"/>
        <v>On-time</v>
      </c>
      <c r="G389" s="19" t="str">
        <f>_xlfn.XLOOKUP(B389,tblARV[ASN/DN '#],tblARV[Country],"Not found")</f>
        <v>Rwanda</v>
      </c>
      <c r="H389" s="19" t="str">
        <f>_xlfn.XLOOKUP($B389,tblARV[ASN/DN '#],tblARV[Fulfill Via],"Not found")</f>
        <v>Direct Drop</v>
      </c>
      <c r="I389" s="19" t="str">
        <f>_xlfn.XLOOKUP($B389,tblARV[ASN/DN '#],tblARV[Vendor],"Not found")</f>
        <v>EMCURE PHARMACEUTICALS LTD</v>
      </c>
    </row>
    <row r="390" spans="2:9" ht="15">
      <c r="B390" s="7" t="s">
        <v>1171</v>
      </c>
      <c r="C390" s="10">
        <v>40277</v>
      </c>
      <c r="D390" s="10">
        <v>40277</v>
      </c>
      <c r="E390" s="18">
        <v>0</v>
      </c>
      <c r="F390" s="13" t="str">
        <f t="shared" si="16"/>
        <v>On-time</v>
      </c>
      <c r="G390" s="19" t="str">
        <f>_xlfn.XLOOKUP(B390,tblARV[ASN/DN '#],tblARV[Country],"Not found")</f>
        <v>Rwanda</v>
      </c>
      <c r="H390" s="19" t="str">
        <f>_xlfn.XLOOKUP($B390,tblARV[ASN/DN '#],tblARV[Fulfill Via],"Not found")</f>
        <v>Direct Drop</v>
      </c>
      <c r="I390" s="19" t="str">
        <f>_xlfn.XLOOKUP($B390,tblARV[ASN/DN '#],tblARV[Vendor],"Not found")</f>
        <v>HETERO LABS LIMITED</v>
      </c>
    </row>
    <row r="391" spans="2:9" ht="15">
      <c r="B391" s="7" t="s">
        <v>1330</v>
      </c>
      <c r="C391" s="10">
        <v>40289</v>
      </c>
      <c r="D391" s="10">
        <v>40289</v>
      </c>
      <c r="E391" s="18">
        <v>0</v>
      </c>
      <c r="F391" s="13" t="str">
        <f t="shared" si="16"/>
        <v>On-time</v>
      </c>
      <c r="G391" s="19" t="str">
        <f>_xlfn.XLOOKUP(B391,tblARV[ASN/DN '#],tblARV[Country],"Not found")</f>
        <v>Uganda</v>
      </c>
      <c r="H391" s="19" t="str">
        <f>_xlfn.XLOOKUP($B391,tblARV[ASN/DN '#],tblARV[Fulfill Via],"Not found")</f>
        <v>Direct Drop</v>
      </c>
      <c r="I391" s="19" t="str">
        <f>_xlfn.XLOOKUP($B391,tblARV[ASN/DN '#],tblARV[Vendor],"Not found")</f>
        <v>ASPEN PHARMACARE</v>
      </c>
    </row>
    <row r="392" spans="2:9" ht="15">
      <c r="B392" s="7" t="s">
        <v>1102</v>
      </c>
      <c r="C392" s="10">
        <v>40281</v>
      </c>
      <c r="D392" s="10">
        <v>40281</v>
      </c>
      <c r="E392" s="18">
        <v>0</v>
      </c>
      <c r="F392" s="13" t="str">
        <f t="shared" si="16"/>
        <v>On-time</v>
      </c>
      <c r="G392" s="19" t="str">
        <f>_xlfn.XLOOKUP(B392,tblARV[ASN/DN '#],tblARV[Country],"Not found")</f>
        <v>Rwanda</v>
      </c>
      <c r="H392" s="19" t="str">
        <f>_xlfn.XLOOKUP($B392,tblARV[ASN/DN '#],tblARV[Fulfill Via],"Not found")</f>
        <v>Direct Drop</v>
      </c>
      <c r="I392" s="19" t="str">
        <f>_xlfn.XLOOKUP($B392,tblARV[ASN/DN '#],tblARV[Vendor],"Not found")</f>
        <v>Aurobindo Pharma Limited</v>
      </c>
    </row>
    <row r="393" spans="2:9" ht="15">
      <c r="B393" s="7" t="s">
        <v>1100</v>
      </c>
      <c r="C393" s="10">
        <v>40296</v>
      </c>
      <c r="D393" s="10">
        <v>40296</v>
      </c>
      <c r="E393" s="18">
        <v>0</v>
      </c>
      <c r="F393" s="13" t="str">
        <f t="shared" si="16"/>
        <v>On-time</v>
      </c>
      <c r="G393" s="19" t="str">
        <f>_xlfn.XLOOKUP(B393,tblARV[ASN/DN '#],tblARV[Country],"Not found")</f>
        <v>Uganda</v>
      </c>
      <c r="H393" s="19" t="str">
        <f>_xlfn.XLOOKUP($B393,tblARV[ASN/DN '#],tblARV[Fulfill Via],"Not found")</f>
        <v>Direct Drop</v>
      </c>
      <c r="I393" s="19" t="str">
        <f>_xlfn.XLOOKUP($B393,tblARV[ASN/DN '#],tblARV[Vendor],"Not found")</f>
        <v>Aurobindo Pharma Limited</v>
      </c>
    </row>
    <row r="394" spans="2:9" ht="15">
      <c r="B394" s="7" t="s">
        <v>1408</v>
      </c>
      <c r="C394" s="10">
        <v>40340</v>
      </c>
      <c r="D394" s="10">
        <v>40340</v>
      </c>
      <c r="E394" s="18">
        <v>0</v>
      </c>
      <c r="F394" s="13" t="str">
        <f t="shared" si="16"/>
        <v>On-time</v>
      </c>
      <c r="G394" s="19" t="str">
        <f>_xlfn.XLOOKUP(B394,tblARV[ASN/DN '#],tblARV[Country],"Not found")</f>
        <v>Tanzania</v>
      </c>
      <c r="H394" s="19" t="str">
        <f>_xlfn.XLOOKUP($B394,tblARV[ASN/DN '#],tblARV[Fulfill Via],"Not found")</f>
        <v>Direct Drop</v>
      </c>
      <c r="I394" s="19" t="str">
        <f>_xlfn.XLOOKUP($B394,tblARV[ASN/DN '#],tblARV[Vendor],"Not found")</f>
        <v>ABBVIE LOGISTICS (FORMERLY ABBOTT LOGISTICS BV)</v>
      </c>
    </row>
    <row r="395" spans="2:9" ht="15">
      <c r="B395" s="7" t="s">
        <v>1072</v>
      </c>
      <c r="C395" s="10">
        <v>40340</v>
      </c>
      <c r="D395" s="10">
        <v>40333</v>
      </c>
      <c r="E395" s="18">
        <v>-7</v>
      </c>
      <c r="F395" s="13" t="str">
        <f t="shared" si="16"/>
        <v>On-time</v>
      </c>
      <c r="G395" s="19" t="str">
        <f>_xlfn.XLOOKUP(B395,tblARV[ASN/DN '#],tblARV[Country],"Not found")</f>
        <v>Tanzania</v>
      </c>
      <c r="H395" s="19" t="str">
        <f>_xlfn.XLOOKUP($B395,tblARV[ASN/DN '#],tblARV[Fulfill Via],"Not found")</f>
        <v>Direct Drop</v>
      </c>
      <c r="I395" s="19" t="str">
        <f>_xlfn.XLOOKUP($B395,tblARV[ASN/DN '#],tblARV[Vendor],"Not found")</f>
        <v>ABBVIE LOGISTICS (FORMERLY ABBOTT LOGISTICS BV)</v>
      </c>
    </row>
    <row r="396" spans="2:9" ht="15">
      <c r="B396" s="7" t="s">
        <v>878</v>
      </c>
      <c r="C396" s="10">
        <v>40294</v>
      </c>
      <c r="D396" s="10">
        <v>40294</v>
      </c>
      <c r="E396" s="18">
        <v>0</v>
      </c>
      <c r="F396" s="13" t="str">
        <f t="shared" si="16"/>
        <v>On-time</v>
      </c>
      <c r="G396" s="19" t="str">
        <f>_xlfn.XLOOKUP(B396,tblARV[ASN/DN '#],tblARV[Country],"Not found")</f>
        <v>Rwanda</v>
      </c>
      <c r="H396" s="19" t="str">
        <f>_xlfn.XLOOKUP($B396,tblARV[ASN/DN '#],tblARV[Fulfill Via],"Not found")</f>
        <v>Direct Drop</v>
      </c>
      <c r="I396" s="19" t="str">
        <f>_xlfn.XLOOKUP($B396,tblARV[ASN/DN '#],tblARV[Vendor],"Not found")</f>
        <v>Aurobindo Pharma Limited</v>
      </c>
    </row>
    <row r="397" spans="2:9" ht="15">
      <c r="B397" s="7" t="s">
        <v>1243</v>
      </c>
      <c r="C397" s="10">
        <v>40302</v>
      </c>
      <c r="D397" s="10">
        <v>40302</v>
      </c>
      <c r="E397" s="18">
        <v>0</v>
      </c>
      <c r="F397" s="13" t="str">
        <f t="shared" si="16"/>
        <v>On-time</v>
      </c>
      <c r="G397" s="19" t="str">
        <f>_xlfn.XLOOKUP(B397,tblARV[ASN/DN '#],tblARV[Country],"Not found")</f>
        <v>Uganda</v>
      </c>
      <c r="H397" s="19" t="str">
        <f>_xlfn.XLOOKUP($B397,tblARV[ASN/DN '#],tblARV[Fulfill Via],"Not found")</f>
        <v>Direct Drop</v>
      </c>
      <c r="I397" s="19" t="str">
        <f>_xlfn.XLOOKUP($B397,tblARV[ASN/DN '#],tblARV[Vendor],"Not found")</f>
        <v>ABBVIE LOGISTICS (FORMERLY ABBOTT LOGISTICS BV)</v>
      </c>
    </row>
    <row r="398" spans="2:9" ht="15">
      <c r="B398" s="7" t="s">
        <v>1470</v>
      </c>
      <c r="C398" s="10">
        <v>40298</v>
      </c>
      <c r="D398" s="10">
        <v>40298</v>
      </c>
      <c r="E398" s="18">
        <v>0</v>
      </c>
      <c r="F398" s="13" t="str">
        <f t="shared" si="16"/>
        <v>On-time</v>
      </c>
      <c r="G398" s="19" t="str">
        <f>_xlfn.XLOOKUP(B398,tblARV[ASN/DN '#],tblARV[Country],"Not found")</f>
        <v>Rwanda</v>
      </c>
      <c r="H398" s="19" t="str">
        <f>_xlfn.XLOOKUP($B398,tblARV[ASN/DN '#],tblARV[Fulfill Via],"Not found")</f>
        <v>Direct Drop</v>
      </c>
      <c r="I398" s="19" t="str">
        <f>_xlfn.XLOOKUP($B398,tblARV[ASN/DN '#],tblARV[Vendor],"Not found")</f>
        <v>Hoffmann-La Roche ltd Basel</v>
      </c>
    </row>
    <row r="399" spans="2:9" ht="15">
      <c r="B399" s="7" t="s">
        <v>1450</v>
      </c>
      <c r="C399" s="10">
        <v>40297</v>
      </c>
      <c r="D399" s="10">
        <v>40297</v>
      </c>
      <c r="E399" s="18">
        <v>0</v>
      </c>
      <c r="F399" s="13" t="str">
        <f t="shared" si="16"/>
        <v>On-time</v>
      </c>
      <c r="G399" s="19" t="str">
        <f>_xlfn.XLOOKUP(B399,tblARV[ASN/DN '#],tblARV[Country],"Not found")</f>
        <v>Rwanda</v>
      </c>
      <c r="H399" s="19" t="str">
        <f>_xlfn.XLOOKUP($B399,tblARV[ASN/DN '#],tblARV[Fulfill Via],"Not found")</f>
        <v>Direct Drop</v>
      </c>
      <c r="I399" s="19" t="str">
        <f>_xlfn.XLOOKUP($B399,tblARV[ASN/DN '#],tblARV[Vendor],"Not found")</f>
        <v>Aurobindo Pharma Limited</v>
      </c>
    </row>
    <row r="400" spans="2:9" ht="15">
      <c r="B400" s="7" t="s">
        <v>1460</v>
      </c>
      <c r="C400" s="10">
        <v>40310</v>
      </c>
      <c r="D400" s="10">
        <v>40310</v>
      </c>
      <c r="E400" s="18">
        <v>0</v>
      </c>
      <c r="F400" s="13" t="str">
        <f t="shared" si="16"/>
        <v>On-time</v>
      </c>
      <c r="G400" s="19" t="str">
        <f>_xlfn.XLOOKUP(B400,tblARV[ASN/DN '#],tblARV[Country],"Not found")</f>
        <v>Uganda</v>
      </c>
      <c r="H400" s="19" t="str">
        <f>_xlfn.XLOOKUP($B400,tblARV[ASN/DN '#],tblARV[Fulfill Via],"Not found")</f>
        <v>Direct Drop</v>
      </c>
      <c r="I400" s="19" t="str">
        <f>_xlfn.XLOOKUP($B400,tblARV[ASN/DN '#],tblARV[Vendor],"Not found")</f>
        <v>ABBVIE LOGISTICS (FORMERLY ABBOTT LOGISTICS BV)</v>
      </c>
    </row>
    <row r="401" spans="2:9" ht="15">
      <c r="B401" s="7" t="s">
        <v>1440</v>
      </c>
      <c r="C401" s="10">
        <v>40330</v>
      </c>
      <c r="D401" s="10">
        <v>40330</v>
      </c>
      <c r="E401" s="18">
        <v>0</v>
      </c>
      <c r="F401" s="13" t="str">
        <f t="shared" si="16"/>
        <v>On-time</v>
      </c>
      <c r="G401" s="19" t="str">
        <f>_xlfn.XLOOKUP(B401,tblARV[ASN/DN '#],tblARV[Country],"Not found")</f>
        <v>Rwanda</v>
      </c>
      <c r="H401" s="19" t="str">
        <f>_xlfn.XLOOKUP($B401,tblARV[ASN/DN '#],tblARV[Fulfill Via],"Not found")</f>
        <v>Direct Drop</v>
      </c>
      <c r="I401" s="19" t="str">
        <f>_xlfn.XLOOKUP($B401,tblARV[ASN/DN '#],tblARV[Vendor],"Not found")</f>
        <v>MYLAN LABORATORIES LTD (FORMERLY MATRIX LABORATORIES)</v>
      </c>
    </row>
    <row r="402" spans="2:9" ht="15">
      <c r="B402" s="7" t="s">
        <v>1056</v>
      </c>
      <c r="C402" s="10">
        <v>40327</v>
      </c>
      <c r="D402" s="10">
        <v>40327</v>
      </c>
      <c r="E402" s="18">
        <v>0</v>
      </c>
      <c r="F402" s="13" t="str">
        <f t="shared" si="16"/>
        <v>On-time</v>
      </c>
      <c r="G402" s="19" t="str">
        <f>_xlfn.XLOOKUP(B402,tblARV[ASN/DN '#],tblARV[Country],"Not found")</f>
        <v>Rwanda</v>
      </c>
      <c r="H402" s="19" t="str">
        <f>_xlfn.XLOOKUP($B402,tblARV[ASN/DN '#],tblARV[Fulfill Via],"Not found")</f>
        <v>Direct Drop</v>
      </c>
      <c r="I402" s="19" t="str">
        <f>_xlfn.XLOOKUP($B402,tblARV[ASN/DN '#],tblARV[Vendor],"Not found")</f>
        <v>EMCURE PHARMACEUTICALS LTD</v>
      </c>
    </row>
    <row r="403" spans="2:9" ht="15">
      <c r="B403" s="7" t="s">
        <v>982</v>
      </c>
      <c r="C403" s="10">
        <v>40327</v>
      </c>
      <c r="D403" s="10">
        <v>40327</v>
      </c>
      <c r="E403" s="18">
        <v>0</v>
      </c>
      <c r="F403" s="13" t="str">
        <f t="shared" si="16"/>
        <v>On-time</v>
      </c>
      <c r="G403" s="19" t="str">
        <f>_xlfn.XLOOKUP(B403,tblARV[ASN/DN '#],tblARV[Country],"Not found")</f>
        <v>Rwanda</v>
      </c>
      <c r="H403" s="19" t="str">
        <f>_xlfn.XLOOKUP($B403,tblARV[ASN/DN '#],tblARV[Fulfill Via],"Not found")</f>
        <v>Direct Drop</v>
      </c>
      <c r="I403" s="19" t="str">
        <f>_xlfn.XLOOKUP($B403,tblARV[ASN/DN '#],tblARV[Vendor],"Not found")</f>
        <v>EMCURE PHARMACEUTICALS LTD</v>
      </c>
    </row>
    <row r="404" spans="2:9" ht="15">
      <c r="B404" s="7" t="s">
        <v>1379</v>
      </c>
      <c r="C404" s="10">
        <v>40319</v>
      </c>
      <c r="D404" s="10">
        <v>40319</v>
      </c>
      <c r="E404" s="18">
        <v>0</v>
      </c>
      <c r="F404" s="13" t="str">
        <f t="shared" si="16"/>
        <v>On-time</v>
      </c>
      <c r="G404" s="19" t="str">
        <f>_xlfn.XLOOKUP(B404,tblARV[ASN/DN '#],tblARV[Country],"Not found")</f>
        <v>Ethiopia</v>
      </c>
      <c r="H404" s="19" t="str">
        <f>_xlfn.XLOOKUP($B404,tblARV[ASN/DN '#],tblARV[Fulfill Via],"Not found")</f>
        <v>Direct Drop</v>
      </c>
      <c r="I404" s="19" t="str">
        <f>_xlfn.XLOOKUP($B404,tblARV[ASN/DN '#],tblARV[Vendor],"Not found")</f>
        <v>Aurobindo Pharma Limited</v>
      </c>
    </row>
    <row r="405" spans="2:9" ht="15">
      <c r="B405" s="7" t="s">
        <v>1232</v>
      </c>
      <c r="C405" s="10">
        <v>40319</v>
      </c>
      <c r="D405" s="10">
        <v>40319</v>
      </c>
      <c r="E405" s="18">
        <v>0</v>
      </c>
      <c r="F405" s="13" t="str">
        <f t="shared" ref="F405:F468" si="17">IF($E405&lt;=0,"On-time","Late")</f>
        <v>On-time</v>
      </c>
      <c r="G405" s="19" t="str">
        <f>_xlfn.XLOOKUP(B405,tblARV[ASN/DN '#],tblARV[Country],"Not found")</f>
        <v>Ethiopia</v>
      </c>
      <c r="H405" s="19" t="str">
        <f>_xlfn.XLOOKUP($B405,tblARV[ASN/DN '#],tblARV[Fulfill Via],"Not found")</f>
        <v>Direct Drop</v>
      </c>
      <c r="I405" s="19" t="str">
        <f>_xlfn.XLOOKUP($B405,tblARV[ASN/DN '#],tblARV[Vendor],"Not found")</f>
        <v>Aurobindo Pharma Limited</v>
      </c>
    </row>
    <row r="406" spans="2:9" ht="15">
      <c r="B406" s="7" t="s">
        <v>1020</v>
      </c>
      <c r="C406" s="10">
        <v>40342</v>
      </c>
      <c r="D406" s="10">
        <v>40342</v>
      </c>
      <c r="E406" s="18">
        <v>0</v>
      </c>
      <c r="F406" s="13" t="str">
        <f t="shared" si="17"/>
        <v>On-time</v>
      </c>
      <c r="G406" s="19" t="str">
        <f>_xlfn.XLOOKUP(B406,tblARV[ASN/DN '#],tblARV[Country],"Not found")</f>
        <v>Rwanda</v>
      </c>
      <c r="H406" s="19" t="str">
        <f>_xlfn.XLOOKUP($B406,tblARV[ASN/DN '#],tblARV[Fulfill Via],"Not found")</f>
        <v>Direct Drop</v>
      </c>
      <c r="I406" s="19" t="str">
        <f>_xlfn.XLOOKUP($B406,tblARV[ASN/DN '#],tblARV[Vendor],"Not found")</f>
        <v>HETERO LABS LIMITED</v>
      </c>
    </row>
    <row r="407" spans="2:9" ht="15">
      <c r="B407" s="7" t="s">
        <v>1092</v>
      </c>
      <c r="C407" s="10">
        <v>40342</v>
      </c>
      <c r="D407" s="10">
        <v>40342</v>
      </c>
      <c r="E407" s="18">
        <v>0</v>
      </c>
      <c r="F407" s="13" t="str">
        <f t="shared" si="17"/>
        <v>On-time</v>
      </c>
      <c r="G407" s="19" t="str">
        <f>_xlfn.XLOOKUP(B407,tblARV[ASN/DN '#],tblARV[Country],"Not found")</f>
        <v>Rwanda</v>
      </c>
      <c r="H407" s="19" t="str">
        <f>_xlfn.XLOOKUP($B407,tblARV[ASN/DN '#],tblARV[Fulfill Via],"Not found")</f>
        <v>Direct Drop</v>
      </c>
      <c r="I407" s="19" t="str">
        <f>_xlfn.XLOOKUP($B407,tblARV[ASN/DN '#],tblARV[Vendor],"Not found")</f>
        <v>HETERO LABS LIMITED</v>
      </c>
    </row>
    <row r="408" spans="2:9" ht="15">
      <c r="B408" s="7" t="s">
        <v>1410</v>
      </c>
      <c r="C408" s="10">
        <v>40342</v>
      </c>
      <c r="D408" s="10">
        <v>40342</v>
      </c>
      <c r="E408" s="18">
        <v>0</v>
      </c>
      <c r="F408" s="13" t="str">
        <f t="shared" si="17"/>
        <v>On-time</v>
      </c>
      <c r="G408" s="19" t="str">
        <f>_xlfn.XLOOKUP(B408,tblARV[ASN/DN '#],tblARV[Country],"Not found")</f>
        <v>Rwanda</v>
      </c>
      <c r="H408" s="19" t="str">
        <f>_xlfn.XLOOKUP($B408,tblARV[ASN/DN '#],tblARV[Fulfill Via],"Not found")</f>
        <v>Direct Drop</v>
      </c>
      <c r="I408" s="19" t="str">
        <f>_xlfn.XLOOKUP($B408,tblARV[ASN/DN '#],tblARV[Vendor],"Not found")</f>
        <v>HETERO LABS LIMITED</v>
      </c>
    </row>
    <row r="409" spans="2:9" ht="15">
      <c r="B409" s="7" t="s">
        <v>847</v>
      </c>
      <c r="C409" s="10">
        <v>40392</v>
      </c>
      <c r="D409" s="10">
        <v>40392</v>
      </c>
      <c r="E409" s="18">
        <v>0</v>
      </c>
      <c r="F409" s="13" t="str">
        <f t="shared" si="17"/>
        <v>On-time</v>
      </c>
      <c r="G409" s="19" t="str">
        <f>_xlfn.XLOOKUP(B409,tblARV[ASN/DN '#],tblARV[Country],"Not found")</f>
        <v>Tanzania</v>
      </c>
      <c r="H409" s="19" t="str">
        <f>_xlfn.XLOOKUP($B409,tblARV[ASN/DN '#],tblARV[Fulfill Via],"Not found")</f>
        <v>Direct Drop</v>
      </c>
      <c r="I409" s="19" t="str">
        <f>_xlfn.XLOOKUP($B409,tblARV[ASN/DN '#],tblARV[Vendor],"Not found")</f>
        <v>EMCURE PHARMACEUTICALS LTD</v>
      </c>
    </row>
    <row r="410" spans="2:9" ht="15">
      <c r="B410" s="7" t="s">
        <v>177</v>
      </c>
      <c r="C410" s="10">
        <v>39339</v>
      </c>
      <c r="D410" s="10">
        <v>39339</v>
      </c>
      <c r="E410" s="18">
        <v>0</v>
      </c>
      <c r="F410" s="13" t="str">
        <f t="shared" si="17"/>
        <v>On-time</v>
      </c>
      <c r="G410" s="19" t="str">
        <f>_xlfn.XLOOKUP(B410,tblARV[ASN/DN '#],tblARV[Country],"Not found")</f>
        <v>Rwanda</v>
      </c>
      <c r="H410" s="19" t="str">
        <f>_xlfn.XLOOKUP($B410,tblARV[ASN/DN '#],tblARV[Fulfill Via],"Not found")</f>
        <v>Direct Drop</v>
      </c>
      <c r="I410" s="19" t="str">
        <f>_xlfn.XLOOKUP($B410,tblARV[ASN/DN '#],tblARV[Vendor],"Not found")</f>
        <v>BRISTOL-MYERS SQUIBB</v>
      </c>
    </row>
    <row r="411" spans="2:9" ht="15">
      <c r="B411" s="7" t="s">
        <v>1478</v>
      </c>
      <c r="C411" s="10">
        <v>40354</v>
      </c>
      <c r="D411" s="10">
        <v>40354</v>
      </c>
      <c r="E411" s="18">
        <v>0</v>
      </c>
      <c r="F411" s="13" t="str">
        <f t="shared" si="17"/>
        <v>On-time</v>
      </c>
      <c r="G411" s="19" t="str">
        <f>_xlfn.XLOOKUP(B411,tblARV[ASN/DN '#],tblARV[Country],"Not found")</f>
        <v>Rwanda</v>
      </c>
      <c r="H411" s="19" t="str">
        <f>_xlfn.XLOOKUP($B411,tblARV[ASN/DN '#],tblARV[Fulfill Via],"Not found")</f>
        <v>Direct Drop</v>
      </c>
      <c r="I411" s="19" t="str">
        <f>_xlfn.XLOOKUP($B411,tblARV[ASN/DN '#],tblARV[Vendor],"Not found")</f>
        <v>MYLAN LABORATORIES LTD (FORMERLY MATRIX LABORATORIES)</v>
      </c>
    </row>
    <row r="412" spans="2:9" ht="15">
      <c r="B412" s="7" t="s">
        <v>797</v>
      </c>
      <c r="C412" s="10">
        <v>40360</v>
      </c>
      <c r="D412" s="10">
        <v>40360</v>
      </c>
      <c r="E412" s="18">
        <v>0</v>
      </c>
      <c r="F412" s="13" t="str">
        <f t="shared" si="17"/>
        <v>On-time</v>
      </c>
      <c r="G412" s="19" t="str">
        <f>_xlfn.XLOOKUP(B412,tblARV[ASN/DN '#],tblARV[Country],"Not found")</f>
        <v>Rwanda</v>
      </c>
      <c r="H412" s="19" t="str">
        <f>_xlfn.XLOOKUP($B412,tblARV[ASN/DN '#],tblARV[Fulfill Via],"Not found")</f>
        <v>Direct Drop</v>
      </c>
      <c r="I412" s="19" t="str">
        <f>_xlfn.XLOOKUP($B412,tblARV[ASN/DN '#],tblARV[Vendor],"Not found")</f>
        <v>HETERO LABS LIMITED</v>
      </c>
    </row>
    <row r="413" spans="2:9" ht="15">
      <c r="B413" s="7" t="s">
        <v>1319</v>
      </c>
      <c r="C413" s="10">
        <v>40387</v>
      </c>
      <c r="D413" s="10">
        <v>40387</v>
      </c>
      <c r="E413" s="18">
        <v>0</v>
      </c>
      <c r="F413" s="13" t="str">
        <f t="shared" si="17"/>
        <v>On-time</v>
      </c>
      <c r="G413" s="19" t="str">
        <f>_xlfn.XLOOKUP(B413,tblARV[ASN/DN '#],tblARV[Country],"Not found")</f>
        <v>Tanzania</v>
      </c>
      <c r="H413" s="19" t="str">
        <f>_xlfn.XLOOKUP($B413,tblARV[ASN/DN '#],tblARV[Fulfill Via],"Not found")</f>
        <v>Direct Drop</v>
      </c>
      <c r="I413" s="19" t="str">
        <f>_xlfn.XLOOKUP($B413,tblARV[ASN/DN '#],tblARV[Vendor],"Not found")</f>
        <v>ABBVIE LOGISTICS (FORMERLY ABBOTT LOGISTICS BV)</v>
      </c>
    </row>
    <row r="414" spans="2:9" ht="15">
      <c r="B414" s="7" t="s">
        <v>907</v>
      </c>
      <c r="C414" s="10">
        <v>40359</v>
      </c>
      <c r="D414" s="10">
        <v>40359</v>
      </c>
      <c r="E414" s="18">
        <v>0</v>
      </c>
      <c r="F414" s="13" t="str">
        <f t="shared" si="17"/>
        <v>On-time</v>
      </c>
      <c r="G414" s="19" t="str">
        <f>_xlfn.XLOOKUP(B414,tblARV[ASN/DN '#],tblARV[Country],"Not found")</f>
        <v>Rwanda</v>
      </c>
      <c r="H414" s="19" t="str">
        <f>_xlfn.XLOOKUP($B414,tblARV[ASN/DN '#],tblARV[Fulfill Via],"Not found")</f>
        <v>Direct Drop</v>
      </c>
      <c r="I414" s="19" t="str">
        <f>_xlfn.XLOOKUP($B414,tblARV[ASN/DN '#],tblARV[Vendor],"Not found")</f>
        <v>MYLAN LABORATORIES LTD (FORMERLY MATRIX LABORATORIES)</v>
      </c>
    </row>
    <row r="415" spans="2:9" ht="15">
      <c r="B415" s="7" t="s">
        <v>1377</v>
      </c>
      <c r="C415" s="10">
        <v>40397</v>
      </c>
      <c r="D415" s="10">
        <v>40397</v>
      </c>
      <c r="E415" s="18">
        <v>0</v>
      </c>
      <c r="F415" s="13" t="str">
        <f t="shared" si="17"/>
        <v>On-time</v>
      </c>
      <c r="G415" s="19" t="str">
        <f>_xlfn.XLOOKUP(B415,tblARV[ASN/DN '#],tblARV[Country],"Not found")</f>
        <v>Tanzania</v>
      </c>
      <c r="H415" s="19" t="str">
        <f>_xlfn.XLOOKUP($B415,tblARV[ASN/DN '#],tblARV[Fulfill Via],"Not found")</f>
        <v>Direct Drop</v>
      </c>
      <c r="I415" s="19" t="str">
        <f>_xlfn.XLOOKUP($B415,tblARV[ASN/DN '#],tblARV[Vendor],"Not found")</f>
        <v>Aurobindo Pharma Limited</v>
      </c>
    </row>
    <row r="416" spans="2:9" ht="15">
      <c r="B416" s="7" t="s">
        <v>1320</v>
      </c>
      <c r="C416" s="10">
        <v>40397</v>
      </c>
      <c r="D416" s="10">
        <v>40397</v>
      </c>
      <c r="E416" s="18">
        <v>0</v>
      </c>
      <c r="F416" s="13" t="str">
        <f t="shared" si="17"/>
        <v>On-time</v>
      </c>
      <c r="G416" s="19" t="str">
        <f>_xlfn.XLOOKUP(B416,tblARV[ASN/DN '#],tblARV[Country],"Not found")</f>
        <v>Tanzania</v>
      </c>
      <c r="H416" s="19" t="str">
        <f>_xlfn.XLOOKUP($B416,tblARV[ASN/DN '#],tblARV[Fulfill Via],"Not found")</f>
        <v>Direct Drop</v>
      </c>
      <c r="I416" s="19" t="str">
        <f>_xlfn.XLOOKUP($B416,tblARV[ASN/DN '#],tblARV[Vendor],"Not found")</f>
        <v>Aurobindo Pharma Limited</v>
      </c>
    </row>
    <row r="417" spans="2:9" ht="15">
      <c r="B417" s="7" t="s">
        <v>1246</v>
      </c>
      <c r="C417" s="10">
        <v>40397</v>
      </c>
      <c r="D417" s="10">
        <v>40397</v>
      </c>
      <c r="E417" s="18">
        <v>0</v>
      </c>
      <c r="F417" s="13" t="str">
        <f t="shared" si="17"/>
        <v>On-time</v>
      </c>
      <c r="G417" s="19" t="str">
        <f>_xlfn.XLOOKUP(B417,tblARV[ASN/DN '#],tblARV[Country],"Not found")</f>
        <v>Tanzania</v>
      </c>
      <c r="H417" s="19" t="str">
        <f>_xlfn.XLOOKUP($B417,tblARV[ASN/DN '#],tblARV[Fulfill Via],"Not found")</f>
        <v>Direct Drop</v>
      </c>
      <c r="I417" s="19" t="str">
        <f>_xlfn.XLOOKUP($B417,tblARV[ASN/DN '#],tblARV[Vendor],"Not found")</f>
        <v>Aurobindo Pharma Limited</v>
      </c>
    </row>
    <row r="418" spans="2:9" ht="15">
      <c r="B418" s="7" t="s">
        <v>795</v>
      </c>
      <c r="C418" s="10">
        <v>40397</v>
      </c>
      <c r="D418" s="10">
        <v>40399</v>
      </c>
      <c r="E418" s="18">
        <v>2</v>
      </c>
      <c r="F418" s="13" t="str">
        <f t="shared" si="17"/>
        <v>Late</v>
      </c>
      <c r="G418" s="19" t="str">
        <f>_xlfn.XLOOKUP(B418,tblARV[ASN/DN '#],tblARV[Country],"Not found")</f>
        <v>Tanzania</v>
      </c>
      <c r="H418" s="19" t="str">
        <f>_xlfn.XLOOKUP($B418,tblARV[ASN/DN '#],tblARV[Fulfill Via],"Not found")</f>
        <v>Direct Drop</v>
      </c>
      <c r="I418" s="19" t="str">
        <f>_xlfn.XLOOKUP($B418,tblARV[ASN/DN '#],tblARV[Vendor],"Not found")</f>
        <v>Aurobindo Pharma Limited</v>
      </c>
    </row>
    <row r="419" spans="2:9" ht="15">
      <c r="B419" s="7" t="s">
        <v>1055</v>
      </c>
      <c r="C419" s="10">
        <v>40372</v>
      </c>
      <c r="D419" s="10">
        <v>40372</v>
      </c>
      <c r="E419" s="18">
        <v>0</v>
      </c>
      <c r="F419" s="13" t="str">
        <f t="shared" si="17"/>
        <v>On-time</v>
      </c>
      <c r="G419" s="19" t="str">
        <f>_xlfn.XLOOKUP(B419,tblARV[ASN/DN '#],tblARV[Country],"Not found")</f>
        <v>Rwanda</v>
      </c>
      <c r="H419" s="19" t="str">
        <f>_xlfn.XLOOKUP($B419,tblARV[ASN/DN '#],tblARV[Fulfill Via],"Not found")</f>
        <v>Direct Drop</v>
      </c>
      <c r="I419" s="19" t="str">
        <f>_xlfn.XLOOKUP($B419,tblARV[ASN/DN '#],tblARV[Vendor],"Not found")</f>
        <v>Aurobindo Pharma Limited</v>
      </c>
    </row>
    <row r="420" spans="2:9" ht="15">
      <c r="B420" s="7" t="s">
        <v>1276</v>
      </c>
      <c r="C420" s="10">
        <v>40378</v>
      </c>
      <c r="D420" s="10">
        <v>40378</v>
      </c>
      <c r="E420" s="18">
        <v>0</v>
      </c>
      <c r="F420" s="13" t="str">
        <f t="shared" si="17"/>
        <v>On-time</v>
      </c>
      <c r="G420" s="19" t="str">
        <f>_xlfn.XLOOKUP(B420,tblARV[ASN/DN '#],tblARV[Country],"Not found")</f>
        <v>Uganda</v>
      </c>
      <c r="H420" s="19" t="str">
        <f>_xlfn.XLOOKUP($B420,tblARV[ASN/DN '#],tblARV[Fulfill Via],"Not found")</f>
        <v>Direct Drop</v>
      </c>
      <c r="I420" s="19" t="str">
        <f>_xlfn.XLOOKUP($B420,tblARV[ASN/DN '#],tblARV[Vendor],"Not found")</f>
        <v>ABBVIE LOGISTICS (FORMERLY ABBOTT LOGISTICS BV)</v>
      </c>
    </row>
    <row r="421" spans="2:9" ht="15">
      <c r="B421" s="7" t="s">
        <v>1016</v>
      </c>
      <c r="C421" s="10">
        <v>40442</v>
      </c>
      <c r="D421" s="10">
        <v>40442</v>
      </c>
      <c r="E421" s="18">
        <v>0</v>
      </c>
      <c r="F421" s="13" t="str">
        <f t="shared" si="17"/>
        <v>On-time</v>
      </c>
      <c r="G421" s="19" t="str">
        <f>_xlfn.XLOOKUP(B421,tblARV[ASN/DN '#],tblARV[Country],"Not found")</f>
        <v>Tanzania</v>
      </c>
      <c r="H421" s="19" t="str">
        <f>_xlfn.XLOOKUP($B421,tblARV[ASN/DN '#],tblARV[Fulfill Via],"Not found")</f>
        <v>Direct Drop</v>
      </c>
      <c r="I421" s="19" t="str">
        <f>_xlfn.XLOOKUP($B421,tblARV[ASN/DN '#],tblARV[Vendor],"Not found")</f>
        <v>MYLAN LABORATORIES LTD (FORMERLY MATRIX LABORATORIES)</v>
      </c>
    </row>
    <row r="422" spans="2:9" ht="15">
      <c r="B422" s="7" t="s">
        <v>1296</v>
      </c>
      <c r="C422" s="10">
        <v>40394</v>
      </c>
      <c r="D422" s="10">
        <v>40394</v>
      </c>
      <c r="E422" s="18">
        <v>0</v>
      </c>
      <c r="F422" s="13" t="str">
        <f t="shared" si="17"/>
        <v>On-time</v>
      </c>
      <c r="G422" s="19" t="str">
        <f>_xlfn.XLOOKUP(B422,tblARV[ASN/DN '#],tblARV[Country],"Not found")</f>
        <v>Rwanda</v>
      </c>
      <c r="H422" s="19" t="str">
        <f>_xlfn.XLOOKUP($B422,tblARV[ASN/DN '#],tblARV[Fulfill Via],"Not found")</f>
        <v>Direct Drop</v>
      </c>
      <c r="I422" s="19" t="str">
        <f>_xlfn.XLOOKUP($B422,tblARV[ASN/DN '#],tblARV[Vendor],"Not found")</f>
        <v>Aurobindo Pharma Limited</v>
      </c>
    </row>
    <row r="423" spans="2:9" ht="15">
      <c r="B423" s="7" t="s">
        <v>958</v>
      </c>
      <c r="C423" s="10">
        <v>40428</v>
      </c>
      <c r="D423" s="10">
        <v>40428</v>
      </c>
      <c r="E423" s="18">
        <v>0</v>
      </c>
      <c r="F423" s="13" t="str">
        <f t="shared" si="17"/>
        <v>On-time</v>
      </c>
      <c r="G423" s="19" t="str">
        <f>_xlfn.XLOOKUP(B423,tblARV[ASN/DN '#],tblARV[Country],"Not found")</f>
        <v>Uganda</v>
      </c>
      <c r="H423" s="19" t="str">
        <f>_xlfn.XLOOKUP($B423,tblARV[ASN/DN '#],tblARV[Fulfill Via],"Not found")</f>
        <v>Direct Drop</v>
      </c>
      <c r="I423" s="19" t="str">
        <f>_xlfn.XLOOKUP($B423,tblARV[ASN/DN '#],tblARV[Vendor],"Not found")</f>
        <v>MERCK SHARP &amp; DOHME IDEA GMBH (FORMALLY MERCK SHARP &amp; DOHME B.V.)</v>
      </c>
    </row>
    <row r="424" spans="2:9" ht="15">
      <c r="B424" s="7" t="s">
        <v>1467</v>
      </c>
      <c r="C424" s="10">
        <v>40422</v>
      </c>
      <c r="D424" s="10">
        <v>40422</v>
      </c>
      <c r="E424" s="18">
        <v>0</v>
      </c>
      <c r="F424" s="13" t="str">
        <f t="shared" si="17"/>
        <v>On-time</v>
      </c>
      <c r="G424" s="19" t="str">
        <f>_xlfn.XLOOKUP(B424,tblARV[ASN/DN '#],tblARV[Country],"Not found")</f>
        <v>Uganda</v>
      </c>
      <c r="H424" s="19" t="str">
        <f>_xlfn.XLOOKUP($B424,tblARV[ASN/DN '#],tblARV[Fulfill Via],"Not found")</f>
        <v>Direct Drop</v>
      </c>
      <c r="I424" s="19" t="str">
        <f>_xlfn.XLOOKUP($B424,tblARV[ASN/DN '#],tblARV[Vendor],"Not found")</f>
        <v>ASPEN PHARMACARE</v>
      </c>
    </row>
    <row r="425" spans="2:9" ht="15">
      <c r="B425" s="7" t="s">
        <v>984</v>
      </c>
      <c r="C425" s="10">
        <v>40448</v>
      </c>
      <c r="D425" s="10">
        <v>40448</v>
      </c>
      <c r="E425" s="18">
        <v>0</v>
      </c>
      <c r="F425" s="13" t="str">
        <f t="shared" si="17"/>
        <v>On-time</v>
      </c>
      <c r="G425" s="19" t="str">
        <f>_xlfn.XLOOKUP(B425,tblARV[ASN/DN '#],tblARV[Country],"Not found")</f>
        <v>Rwanda</v>
      </c>
      <c r="H425" s="19" t="str">
        <f>_xlfn.XLOOKUP($B425,tblARV[ASN/DN '#],tblARV[Fulfill Via],"Not found")</f>
        <v>Direct Drop</v>
      </c>
      <c r="I425" s="19" t="str">
        <f>_xlfn.XLOOKUP($B425,tblARV[ASN/DN '#],tblARV[Vendor],"Not found")</f>
        <v>MYLAN LABORATORIES LTD (FORMERLY MATRIX LABORATORIES)</v>
      </c>
    </row>
    <row r="426" spans="2:9" ht="15">
      <c r="B426" s="7" t="s">
        <v>806</v>
      </c>
      <c r="C426" s="10">
        <v>40513</v>
      </c>
      <c r="D426" s="10">
        <v>40513</v>
      </c>
      <c r="E426" s="18">
        <v>0</v>
      </c>
      <c r="F426" s="13" t="str">
        <f t="shared" si="17"/>
        <v>On-time</v>
      </c>
      <c r="G426" s="19" t="str">
        <f>_xlfn.XLOOKUP(B426,tblARV[ASN/DN '#],tblARV[Country],"Not found")</f>
        <v>Tanzania</v>
      </c>
      <c r="H426" s="19" t="str">
        <f>_xlfn.XLOOKUP($B426,tblARV[ASN/DN '#],tblARV[Fulfill Via],"Not found")</f>
        <v>Direct Drop</v>
      </c>
      <c r="I426" s="19" t="str">
        <f>_xlfn.XLOOKUP($B426,tblARV[ASN/DN '#],tblARV[Vendor],"Not found")</f>
        <v>EMCURE PHARMACEUTICALS LTD</v>
      </c>
    </row>
    <row r="427" spans="2:9" ht="15">
      <c r="B427" s="7" t="s">
        <v>748</v>
      </c>
      <c r="C427" s="10">
        <v>40473</v>
      </c>
      <c r="D427" s="10">
        <v>40473</v>
      </c>
      <c r="E427" s="18">
        <v>0</v>
      </c>
      <c r="F427" s="13" t="str">
        <f t="shared" si="17"/>
        <v>On-time</v>
      </c>
      <c r="G427" s="19" t="str">
        <f>_xlfn.XLOOKUP(B427,tblARV[ASN/DN '#],tblARV[Country],"Not found")</f>
        <v>Tanzania</v>
      </c>
      <c r="H427" s="19" t="str">
        <f>_xlfn.XLOOKUP($B427,tblARV[ASN/DN '#],tblARV[Fulfill Via],"Not found")</f>
        <v>Direct Drop</v>
      </c>
      <c r="I427" s="19" t="str">
        <f>_xlfn.XLOOKUP($B427,tblARV[ASN/DN '#],tblARV[Vendor],"Not found")</f>
        <v>MYLAN LABORATORIES LTD (FORMERLY MATRIX LABORATORIES)</v>
      </c>
    </row>
    <row r="428" spans="2:9" ht="15">
      <c r="B428" s="7" t="s">
        <v>1197</v>
      </c>
      <c r="C428" s="10">
        <v>40461</v>
      </c>
      <c r="D428" s="10">
        <v>40461</v>
      </c>
      <c r="E428" s="18">
        <v>0</v>
      </c>
      <c r="F428" s="13" t="str">
        <f t="shared" si="17"/>
        <v>On-time</v>
      </c>
      <c r="G428" s="19" t="str">
        <f>_xlfn.XLOOKUP(B428,tblARV[ASN/DN '#],tblARV[Country],"Not found")</f>
        <v>Rwanda</v>
      </c>
      <c r="H428" s="19" t="str">
        <f>_xlfn.XLOOKUP($B428,tblARV[ASN/DN '#],tblARV[Fulfill Via],"Not found")</f>
        <v>Direct Drop</v>
      </c>
      <c r="I428" s="19" t="str">
        <f>_xlfn.XLOOKUP($B428,tblARV[ASN/DN '#],tblARV[Vendor],"Not found")</f>
        <v>MYLAN LABORATORIES LTD (FORMERLY MATRIX LABORATORIES)</v>
      </c>
    </row>
    <row r="429" spans="2:9" ht="15">
      <c r="B429" s="7" t="s">
        <v>705</v>
      </c>
      <c r="C429" s="10">
        <v>40484</v>
      </c>
      <c r="D429" s="10">
        <v>40484</v>
      </c>
      <c r="E429" s="18">
        <v>0</v>
      </c>
      <c r="F429" s="13" t="str">
        <f t="shared" si="17"/>
        <v>On-time</v>
      </c>
      <c r="G429" s="19" t="str">
        <f>_xlfn.XLOOKUP(B429,tblARV[ASN/DN '#],tblARV[Country],"Not found")</f>
        <v>Rwanda</v>
      </c>
      <c r="H429" s="19" t="str">
        <f>_xlfn.XLOOKUP($B429,tblARV[ASN/DN '#],tblARV[Fulfill Via],"Not found")</f>
        <v>Direct Drop</v>
      </c>
      <c r="I429" s="19" t="str">
        <f>_xlfn.XLOOKUP($B429,tblARV[ASN/DN '#],tblARV[Vendor],"Not found")</f>
        <v>MYLAN LABORATORIES LTD (FORMERLY MATRIX LABORATORIES)</v>
      </c>
    </row>
    <row r="430" spans="2:9" ht="15">
      <c r="B430" s="7" t="s">
        <v>1108</v>
      </c>
      <c r="C430" s="10">
        <v>40541</v>
      </c>
      <c r="D430" s="10">
        <v>40541</v>
      </c>
      <c r="E430" s="18">
        <v>0</v>
      </c>
      <c r="F430" s="13" t="str">
        <f t="shared" si="17"/>
        <v>On-time</v>
      </c>
      <c r="G430" s="19" t="str">
        <f>_xlfn.XLOOKUP(B430,tblARV[ASN/DN '#],tblARV[Country],"Not found")</f>
        <v>Tanzania</v>
      </c>
      <c r="H430" s="19" t="str">
        <f>_xlfn.XLOOKUP($B430,tblARV[ASN/DN '#],tblARV[Fulfill Via],"Not found")</f>
        <v>Direct Drop</v>
      </c>
      <c r="I430" s="19" t="str">
        <f>_xlfn.XLOOKUP($B430,tblARV[ASN/DN '#],tblARV[Vendor],"Not found")</f>
        <v>MYLAN LABORATORIES LTD (FORMERLY MATRIX LABORATORIES)</v>
      </c>
    </row>
    <row r="431" spans="2:9" ht="15">
      <c r="B431" s="7" t="s">
        <v>945</v>
      </c>
      <c r="C431" s="10">
        <v>40518</v>
      </c>
      <c r="D431" s="10">
        <v>40518</v>
      </c>
      <c r="E431" s="18">
        <v>0</v>
      </c>
      <c r="F431" s="13" t="str">
        <f t="shared" si="17"/>
        <v>On-time</v>
      </c>
      <c r="G431" s="19" t="str">
        <f>_xlfn.XLOOKUP(B431,tblARV[ASN/DN '#],tblARV[Country],"Not found")</f>
        <v>Tanzania</v>
      </c>
      <c r="H431" s="19" t="str">
        <f>_xlfn.XLOOKUP($B431,tblARV[ASN/DN '#],tblARV[Fulfill Via],"Not found")</f>
        <v>Direct Drop</v>
      </c>
      <c r="I431" s="19" t="str">
        <f>_xlfn.XLOOKUP($B431,tblARV[ASN/DN '#],tblARV[Vendor],"Not found")</f>
        <v>MYLAN LABORATORIES LTD (FORMERLY MATRIX LABORATORIES)</v>
      </c>
    </row>
    <row r="432" spans="2:9" ht="15">
      <c r="B432" s="7" t="s">
        <v>911</v>
      </c>
      <c r="C432" s="10">
        <v>40521</v>
      </c>
      <c r="D432" s="10">
        <v>40521</v>
      </c>
      <c r="E432" s="18">
        <v>0</v>
      </c>
      <c r="F432" s="13" t="str">
        <f t="shared" si="17"/>
        <v>On-time</v>
      </c>
      <c r="G432" s="19" t="str">
        <f>_xlfn.XLOOKUP(B432,tblARV[ASN/DN '#],tblARV[Country],"Not found")</f>
        <v>Rwanda</v>
      </c>
      <c r="H432" s="19" t="str">
        <f>_xlfn.XLOOKUP($B432,tblARV[ASN/DN '#],tblARV[Fulfill Via],"Not found")</f>
        <v>Direct Drop</v>
      </c>
      <c r="I432" s="19" t="str">
        <f>_xlfn.XLOOKUP($B432,tblARV[ASN/DN '#],tblARV[Vendor],"Not found")</f>
        <v>HETERO LABS LIMITED</v>
      </c>
    </row>
    <row r="433" spans="2:9" ht="15">
      <c r="B433" s="7" t="s">
        <v>1127</v>
      </c>
      <c r="C433" s="10">
        <v>40521</v>
      </c>
      <c r="D433" s="10">
        <v>40521</v>
      </c>
      <c r="E433" s="18">
        <v>0</v>
      </c>
      <c r="F433" s="13" t="str">
        <f t="shared" si="17"/>
        <v>On-time</v>
      </c>
      <c r="G433" s="19" t="str">
        <f>_xlfn.XLOOKUP(B433,tblARV[ASN/DN '#],tblARV[Country],"Not found")</f>
        <v>Rwanda</v>
      </c>
      <c r="H433" s="19" t="str">
        <f>_xlfn.XLOOKUP($B433,tblARV[ASN/DN '#],tblARV[Fulfill Via],"Not found")</f>
        <v>Direct Drop</v>
      </c>
      <c r="I433" s="19" t="str">
        <f>_xlfn.XLOOKUP($B433,tblARV[ASN/DN '#],tblARV[Vendor],"Not found")</f>
        <v>HETERO LABS LIMITED</v>
      </c>
    </row>
    <row r="434" spans="2:9" ht="15">
      <c r="B434" s="7" t="s">
        <v>1415</v>
      </c>
      <c r="C434" s="10">
        <v>40533</v>
      </c>
      <c r="D434" s="10">
        <v>40533</v>
      </c>
      <c r="E434" s="18">
        <v>0</v>
      </c>
      <c r="F434" s="13" t="str">
        <f t="shared" si="17"/>
        <v>On-time</v>
      </c>
      <c r="G434" s="19" t="str">
        <f>_xlfn.XLOOKUP(B434,tblARV[ASN/DN '#],tblARV[Country],"Not found")</f>
        <v>Uganda</v>
      </c>
      <c r="H434" s="19" t="str">
        <f>_xlfn.XLOOKUP($B434,tblARV[ASN/DN '#],tblARV[Fulfill Via],"Not found")</f>
        <v>Direct Drop</v>
      </c>
      <c r="I434" s="19" t="str">
        <f>_xlfn.XLOOKUP($B434,tblARV[ASN/DN '#],tblARV[Vendor],"Not found")</f>
        <v>Hoffmann-La Roche ltd Basel</v>
      </c>
    </row>
    <row r="435" spans="2:9" ht="15">
      <c r="B435" s="7" t="s">
        <v>960</v>
      </c>
      <c r="C435" s="10">
        <v>40535</v>
      </c>
      <c r="D435" s="10">
        <v>40535</v>
      </c>
      <c r="E435" s="18">
        <v>0</v>
      </c>
      <c r="F435" s="13" t="str">
        <f t="shared" si="17"/>
        <v>On-time</v>
      </c>
      <c r="G435" s="19" t="str">
        <f>_xlfn.XLOOKUP(B435,tblARV[ASN/DN '#],tblARV[Country],"Not found")</f>
        <v>Rwanda</v>
      </c>
      <c r="H435" s="19" t="str">
        <f>_xlfn.XLOOKUP($B435,tblARV[ASN/DN '#],tblARV[Fulfill Via],"Not found")</f>
        <v>Direct Drop</v>
      </c>
      <c r="I435" s="19" t="str">
        <f>_xlfn.XLOOKUP($B435,tblARV[ASN/DN '#],tblARV[Vendor],"Not found")</f>
        <v>CIPLA LIMITED</v>
      </c>
    </row>
    <row r="436" spans="2:9" ht="15">
      <c r="B436" s="7" t="s">
        <v>59</v>
      </c>
      <c r="C436" s="10">
        <v>39406</v>
      </c>
      <c r="D436" s="10">
        <v>39406</v>
      </c>
      <c r="E436" s="18">
        <v>0</v>
      </c>
      <c r="F436" s="13" t="str">
        <f t="shared" si="17"/>
        <v>On-time</v>
      </c>
      <c r="G436" s="19" t="str">
        <f>_xlfn.XLOOKUP(B436,tblARV[ASN/DN '#],tblARV[Country],"Not found")</f>
        <v>Ethiopia</v>
      </c>
      <c r="H436" s="19" t="str">
        <f>_xlfn.XLOOKUP($B436,tblARV[ASN/DN '#],tblARV[Fulfill Via],"Not found")</f>
        <v>Direct Drop</v>
      </c>
      <c r="I436" s="19" t="str">
        <f>_xlfn.XLOOKUP($B436,tblARV[ASN/DN '#],tblARV[Vendor],"Not found")</f>
        <v>Aurobindo Pharma Limited</v>
      </c>
    </row>
    <row r="437" spans="2:9" ht="15">
      <c r="B437" s="7" t="s">
        <v>1370</v>
      </c>
      <c r="C437" s="10">
        <v>40524</v>
      </c>
      <c r="D437" s="10">
        <v>40524</v>
      </c>
      <c r="E437" s="18">
        <v>0</v>
      </c>
      <c r="F437" s="13" t="str">
        <f t="shared" si="17"/>
        <v>On-time</v>
      </c>
      <c r="G437" s="19" t="str">
        <f>_xlfn.XLOOKUP(B437,tblARV[ASN/DN '#],tblARV[Country],"Not found")</f>
        <v>Rwanda</v>
      </c>
      <c r="H437" s="19" t="str">
        <f>_xlfn.XLOOKUP($B437,tblARV[ASN/DN '#],tblARV[Fulfill Via],"Not found")</f>
        <v>Direct Drop</v>
      </c>
      <c r="I437" s="19" t="str">
        <f>_xlfn.XLOOKUP($B437,tblARV[ASN/DN '#],tblARV[Vendor],"Not found")</f>
        <v>MYLAN LABORATORIES LTD (FORMERLY MATRIX LABORATORIES)</v>
      </c>
    </row>
    <row r="438" spans="2:9" ht="15">
      <c r="B438" s="7" t="s">
        <v>753</v>
      </c>
      <c r="C438" s="10">
        <v>40524</v>
      </c>
      <c r="D438" s="10">
        <v>40524</v>
      </c>
      <c r="E438" s="18">
        <v>0</v>
      </c>
      <c r="F438" s="13" t="str">
        <f t="shared" si="17"/>
        <v>On-time</v>
      </c>
      <c r="G438" s="19" t="str">
        <f>_xlfn.XLOOKUP(B438,tblARV[ASN/DN '#],tblARV[Country],"Not found")</f>
        <v>Rwanda</v>
      </c>
      <c r="H438" s="19" t="str">
        <f>_xlfn.XLOOKUP($B438,tblARV[ASN/DN '#],tblARV[Fulfill Via],"Not found")</f>
        <v>Direct Drop</v>
      </c>
      <c r="I438" s="19" t="str">
        <f>_xlfn.XLOOKUP($B438,tblARV[ASN/DN '#],tblARV[Vendor],"Not found")</f>
        <v>MYLAN LABORATORIES LTD (FORMERLY MATRIX LABORATORIES)</v>
      </c>
    </row>
    <row r="439" spans="2:9" ht="15">
      <c r="B439" s="7" t="s">
        <v>1487</v>
      </c>
      <c r="C439" s="10">
        <v>40543</v>
      </c>
      <c r="D439" s="10">
        <v>40543</v>
      </c>
      <c r="E439" s="18">
        <v>0</v>
      </c>
      <c r="F439" s="13" t="str">
        <f t="shared" si="17"/>
        <v>On-time</v>
      </c>
      <c r="G439" s="19" t="str">
        <f>_xlfn.XLOOKUP(B439,tblARV[ASN/DN '#],tblARV[Country],"Not found")</f>
        <v>Uganda</v>
      </c>
      <c r="H439" s="19" t="str">
        <f>_xlfn.XLOOKUP($B439,tblARV[ASN/DN '#],tblARV[Fulfill Via],"Not found")</f>
        <v>Direct Drop</v>
      </c>
      <c r="I439" s="19" t="str">
        <f>_xlfn.XLOOKUP($B439,tblARV[ASN/DN '#],tblARV[Vendor],"Not found")</f>
        <v>ASPEN PHARMACARE</v>
      </c>
    </row>
    <row r="440" spans="2:9" ht="15">
      <c r="B440" s="7" t="s">
        <v>1385</v>
      </c>
      <c r="C440" s="10">
        <v>40550</v>
      </c>
      <c r="D440" s="10">
        <v>40550</v>
      </c>
      <c r="E440" s="18">
        <v>0</v>
      </c>
      <c r="F440" s="13" t="str">
        <f t="shared" si="17"/>
        <v>On-time</v>
      </c>
      <c r="G440" s="19" t="str">
        <f>_xlfn.XLOOKUP(B440,tblARV[ASN/DN '#],tblARV[Country],"Not found")</f>
        <v>Rwanda</v>
      </c>
      <c r="H440" s="19" t="str">
        <f>_xlfn.XLOOKUP($B440,tblARV[ASN/DN '#],tblARV[Fulfill Via],"Not found")</f>
        <v>Direct Drop</v>
      </c>
      <c r="I440" s="19" t="str">
        <f>_xlfn.XLOOKUP($B440,tblARV[ASN/DN '#],tblARV[Vendor],"Not found")</f>
        <v>CIPLA LIMITED</v>
      </c>
    </row>
    <row r="441" spans="2:9" ht="15">
      <c r="B441" s="7" t="s">
        <v>758</v>
      </c>
      <c r="C441" s="10">
        <v>40550</v>
      </c>
      <c r="D441" s="10">
        <v>40550</v>
      </c>
      <c r="E441" s="18">
        <v>0</v>
      </c>
      <c r="F441" s="13" t="str">
        <f t="shared" si="17"/>
        <v>On-time</v>
      </c>
      <c r="G441" s="19" t="str">
        <f>_xlfn.XLOOKUP(B441,tblARV[ASN/DN '#],tblARV[Country],"Not found")</f>
        <v>Rwanda</v>
      </c>
      <c r="H441" s="19" t="str">
        <f>_xlfn.XLOOKUP($B441,tblARV[ASN/DN '#],tblARV[Fulfill Via],"Not found")</f>
        <v>Direct Drop</v>
      </c>
      <c r="I441" s="19" t="str">
        <f>_xlfn.XLOOKUP($B441,tblARV[ASN/DN '#],tblARV[Vendor],"Not found")</f>
        <v>CIPLA LIMITED</v>
      </c>
    </row>
    <row r="442" spans="2:9" ht="15">
      <c r="B442" s="7" t="s">
        <v>980</v>
      </c>
      <c r="C442" s="10">
        <v>40553</v>
      </c>
      <c r="D442" s="10">
        <v>40553</v>
      </c>
      <c r="E442" s="18">
        <v>0</v>
      </c>
      <c r="F442" s="13" t="str">
        <f t="shared" si="17"/>
        <v>On-time</v>
      </c>
      <c r="G442" s="19" t="str">
        <f>_xlfn.XLOOKUP(B442,tblARV[ASN/DN '#],tblARV[Country],"Not found")</f>
        <v>Rwanda</v>
      </c>
      <c r="H442" s="19" t="str">
        <f>_xlfn.XLOOKUP($B442,tblARV[ASN/DN '#],tblARV[Fulfill Via],"Not found")</f>
        <v>Direct Drop</v>
      </c>
      <c r="I442" s="19" t="str">
        <f>_xlfn.XLOOKUP($B442,tblARV[ASN/DN '#],tblARV[Vendor],"Not found")</f>
        <v>Aurobindo Pharma Limited</v>
      </c>
    </row>
    <row r="443" spans="2:9" ht="15">
      <c r="B443" s="7" t="s">
        <v>1161</v>
      </c>
      <c r="C443" s="10">
        <v>40603</v>
      </c>
      <c r="D443" s="10">
        <v>40603</v>
      </c>
      <c r="E443" s="18">
        <v>0</v>
      </c>
      <c r="F443" s="13" t="str">
        <f t="shared" si="17"/>
        <v>On-time</v>
      </c>
      <c r="G443" s="19" t="str">
        <f>_xlfn.XLOOKUP(B443,tblARV[ASN/DN '#],tblARV[Country],"Not found")</f>
        <v>Rwanda</v>
      </c>
      <c r="H443" s="19" t="str">
        <f>_xlfn.XLOOKUP($B443,tblARV[ASN/DN '#],tblARV[Fulfill Via],"Not found")</f>
        <v>Direct Drop</v>
      </c>
      <c r="I443" s="19" t="str">
        <f>_xlfn.XLOOKUP($B443,tblARV[ASN/DN '#],tblARV[Vendor],"Not found")</f>
        <v>HETERO LABS LIMITED</v>
      </c>
    </row>
    <row r="444" spans="2:9" ht="15">
      <c r="B444" s="7" t="s">
        <v>1189</v>
      </c>
      <c r="C444" s="10">
        <v>40603</v>
      </c>
      <c r="D444" s="10">
        <v>40603</v>
      </c>
      <c r="E444" s="18">
        <v>0</v>
      </c>
      <c r="F444" s="13" t="str">
        <f t="shared" si="17"/>
        <v>On-time</v>
      </c>
      <c r="G444" s="19" t="str">
        <f>_xlfn.XLOOKUP(B444,tblARV[ASN/DN '#],tblARV[Country],"Not found")</f>
        <v>Rwanda</v>
      </c>
      <c r="H444" s="19" t="str">
        <f>_xlfn.XLOOKUP($B444,tblARV[ASN/DN '#],tblARV[Fulfill Via],"Not found")</f>
        <v>Direct Drop</v>
      </c>
      <c r="I444" s="19" t="str">
        <f>_xlfn.XLOOKUP($B444,tblARV[ASN/DN '#],tblARV[Vendor],"Not found")</f>
        <v>HETERO LABS LIMITED</v>
      </c>
    </row>
    <row r="445" spans="2:9" ht="15">
      <c r="B445" s="7" t="s">
        <v>1157</v>
      </c>
      <c r="C445" s="10">
        <v>40603</v>
      </c>
      <c r="D445" s="10">
        <v>40603</v>
      </c>
      <c r="E445" s="18">
        <v>0</v>
      </c>
      <c r="F445" s="13" t="str">
        <f t="shared" si="17"/>
        <v>On-time</v>
      </c>
      <c r="G445" s="19" t="str">
        <f>_xlfn.XLOOKUP(B445,tblARV[ASN/DN '#],tblARV[Country],"Not found")</f>
        <v>Rwanda</v>
      </c>
      <c r="H445" s="19" t="str">
        <f>_xlfn.XLOOKUP($B445,tblARV[ASN/DN '#],tblARV[Fulfill Via],"Not found")</f>
        <v>Direct Drop</v>
      </c>
      <c r="I445" s="19" t="str">
        <f>_xlfn.XLOOKUP($B445,tblARV[ASN/DN '#],tblARV[Vendor],"Not found")</f>
        <v>HETERO LABS LIMITED</v>
      </c>
    </row>
    <row r="446" spans="2:9" ht="15">
      <c r="B446" s="7" t="s">
        <v>27</v>
      </c>
      <c r="C446" s="10">
        <v>39045</v>
      </c>
      <c r="D446" s="10">
        <v>39045</v>
      </c>
      <c r="E446" s="18">
        <v>0</v>
      </c>
      <c r="F446" s="13" t="str">
        <f t="shared" si="17"/>
        <v>On-time</v>
      </c>
      <c r="G446" s="19" t="str">
        <f>_xlfn.XLOOKUP(B446,tblARV[ASN/DN '#],tblARV[Country],"Not found")</f>
        <v>Tanzania</v>
      </c>
      <c r="H446" s="19" t="str">
        <f>_xlfn.XLOOKUP($B446,tblARV[ASN/DN '#],tblARV[Fulfill Via],"Not found")</f>
        <v>Direct Drop</v>
      </c>
      <c r="I446" s="19" t="str">
        <f>_xlfn.XLOOKUP($B446,tblARV[ASN/DN '#],tblARV[Vendor],"Not found")</f>
        <v>Aurobindo Pharma Limited</v>
      </c>
    </row>
    <row r="447" spans="2:9" ht="15">
      <c r="B447" s="7" t="s">
        <v>1239</v>
      </c>
      <c r="C447" s="10">
        <v>40554</v>
      </c>
      <c r="D447" s="10">
        <v>40554</v>
      </c>
      <c r="E447" s="18">
        <v>0</v>
      </c>
      <c r="F447" s="13" t="str">
        <f t="shared" si="17"/>
        <v>On-time</v>
      </c>
      <c r="G447" s="19" t="str">
        <f>_xlfn.XLOOKUP(B447,tblARV[ASN/DN '#],tblARV[Country],"Not found")</f>
        <v>Rwanda</v>
      </c>
      <c r="H447" s="19" t="str">
        <f>_xlfn.XLOOKUP($B447,tblARV[ASN/DN '#],tblARV[Fulfill Via],"Not found")</f>
        <v>Direct Drop</v>
      </c>
      <c r="I447" s="19" t="str">
        <f>_xlfn.XLOOKUP($B447,tblARV[ASN/DN '#],tblARV[Vendor],"Not found")</f>
        <v>HETERO LABS LIMITED</v>
      </c>
    </row>
    <row r="448" spans="2:9" ht="15">
      <c r="B448" s="7" t="s">
        <v>1429</v>
      </c>
      <c r="C448" s="10">
        <v>40554</v>
      </c>
      <c r="D448" s="10">
        <v>40554</v>
      </c>
      <c r="E448" s="18">
        <v>0</v>
      </c>
      <c r="F448" s="13" t="str">
        <f t="shared" si="17"/>
        <v>On-time</v>
      </c>
      <c r="G448" s="19" t="str">
        <f>_xlfn.XLOOKUP(B448,tblARV[ASN/DN '#],tblARV[Country],"Not found")</f>
        <v>Rwanda</v>
      </c>
      <c r="H448" s="19" t="str">
        <f>_xlfn.XLOOKUP($B448,tblARV[ASN/DN '#],tblARV[Fulfill Via],"Not found")</f>
        <v>Direct Drop</v>
      </c>
      <c r="I448" s="19" t="str">
        <f>_xlfn.XLOOKUP($B448,tblARV[ASN/DN '#],tblARV[Vendor],"Not found")</f>
        <v>HETERO LABS LIMITED</v>
      </c>
    </row>
    <row r="449" spans="2:9" ht="15">
      <c r="B449" s="7" t="s">
        <v>839</v>
      </c>
      <c r="C449" s="10">
        <v>40612</v>
      </c>
      <c r="D449" s="10">
        <v>40612</v>
      </c>
      <c r="E449" s="18">
        <v>0</v>
      </c>
      <c r="F449" s="13" t="str">
        <f t="shared" si="17"/>
        <v>On-time</v>
      </c>
      <c r="G449" s="19" t="str">
        <f>_xlfn.XLOOKUP(B449,tblARV[ASN/DN '#],tblARV[Country],"Not found")</f>
        <v>Tanzania</v>
      </c>
      <c r="H449" s="19" t="str">
        <f>_xlfn.XLOOKUP($B449,tblARV[ASN/DN '#],tblARV[Fulfill Via],"Not found")</f>
        <v>Direct Drop</v>
      </c>
      <c r="I449" s="19" t="str">
        <f>_xlfn.XLOOKUP($B449,tblARV[ASN/DN '#],tblARV[Vendor],"Not found")</f>
        <v>EMCURE PHARMACEUTICALS LTD</v>
      </c>
    </row>
    <row r="450" spans="2:9" ht="15">
      <c r="B450" s="7" t="s">
        <v>1155</v>
      </c>
      <c r="C450" s="10">
        <v>40570</v>
      </c>
      <c r="D450" s="10">
        <v>40570</v>
      </c>
      <c r="E450" s="18">
        <v>0</v>
      </c>
      <c r="F450" s="13" t="str">
        <f t="shared" si="17"/>
        <v>On-time</v>
      </c>
      <c r="G450" s="19" t="str">
        <f>_xlfn.XLOOKUP(B450,tblARV[ASN/DN '#],tblARV[Country],"Not found")</f>
        <v>Uganda</v>
      </c>
      <c r="H450" s="19" t="str">
        <f>_xlfn.XLOOKUP($B450,tblARV[ASN/DN '#],tblARV[Fulfill Via],"Not found")</f>
        <v>Direct Drop</v>
      </c>
      <c r="I450" s="19" t="str">
        <f>_xlfn.XLOOKUP($B450,tblARV[ASN/DN '#],tblARV[Vendor],"Not found")</f>
        <v>MERCK SHARP &amp; DOHME IDEA GMBH (FORMALLY MERCK SHARP &amp; DOHME B.V.)</v>
      </c>
    </row>
    <row r="451" spans="2:9" ht="15">
      <c r="B451" s="7" t="s">
        <v>771</v>
      </c>
      <c r="C451" s="10">
        <v>40588</v>
      </c>
      <c r="D451" s="10">
        <v>40588</v>
      </c>
      <c r="E451" s="18">
        <v>0</v>
      </c>
      <c r="F451" s="13" t="str">
        <f t="shared" si="17"/>
        <v>On-time</v>
      </c>
      <c r="G451" s="19" t="str">
        <f>_xlfn.XLOOKUP(B451,tblARV[ASN/DN '#],tblARV[Country],"Not found")</f>
        <v>Ethiopia</v>
      </c>
      <c r="H451" s="19" t="str">
        <f>_xlfn.XLOOKUP($B451,tblARV[ASN/DN '#],tblARV[Fulfill Via],"Not found")</f>
        <v>Direct Drop</v>
      </c>
      <c r="I451" s="19" t="str">
        <f>_xlfn.XLOOKUP($B451,tblARV[ASN/DN '#],tblARV[Vendor],"Not found")</f>
        <v>Aurobindo Pharma Limited</v>
      </c>
    </row>
    <row r="452" spans="2:9" ht="15">
      <c r="B452" s="7" t="s">
        <v>1191</v>
      </c>
      <c r="C452" s="10">
        <v>40571</v>
      </c>
      <c r="D452" s="10">
        <v>40571</v>
      </c>
      <c r="E452" s="18">
        <v>0</v>
      </c>
      <c r="F452" s="13" t="str">
        <f t="shared" si="17"/>
        <v>On-time</v>
      </c>
      <c r="G452" s="19" t="str">
        <f>_xlfn.XLOOKUP(B452,tblARV[ASN/DN '#],tblARV[Country],"Not found")</f>
        <v>Rwanda</v>
      </c>
      <c r="H452" s="19" t="str">
        <f>_xlfn.XLOOKUP($B452,tblARV[ASN/DN '#],tblARV[Fulfill Via],"Not found")</f>
        <v>Direct Drop</v>
      </c>
      <c r="I452" s="19" t="str">
        <f>_xlfn.XLOOKUP($B452,tblARV[ASN/DN '#],tblARV[Vendor],"Not found")</f>
        <v>MYLAN LABORATORIES LTD (FORMERLY MATRIX LABORATORIES)</v>
      </c>
    </row>
    <row r="453" spans="2:9" ht="15">
      <c r="B453" s="7" t="s">
        <v>761</v>
      </c>
      <c r="C453" s="10">
        <v>40583</v>
      </c>
      <c r="D453" s="10">
        <v>40583</v>
      </c>
      <c r="E453" s="18">
        <v>0</v>
      </c>
      <c r="F453" s="13" t="str">
        <f t="shared" si="17"/>
        <v>On-time</v>
      </c>
      <c r="G453" s="19" t="str">
        <f>_xlfn.XLOOKUP(B453,tblARV[ASN/DN '#],tblARV[Country],"Not found")</f>
        <v>Rwanda</v>
      </c>
      <c r="H453" s="19" t="str">
        <f>_xlfn.XLOOKUP($B453,tblARV[ASN/DN '#],tblARV[Fulfill Via],"Not found")</f>
        <v>Direct Drop</v>
      </c>
      <c r="I453" s="19" t="str">
        <f>_xlfn.XLOOKUP($B453,tblARV[ASN/DN '#],tblARV[Vendor],"Not found")</f>
        <v>CIPLA LIMITED</v>
      </c>
    </row>
    <row r="454" spans="2:9" ht="15">
      <c r="B454" s="7" t="s">
        <v>1116</v>
      </c>
      <c r="C454" s="10">
        <v>40582</v>
      </c>
      <c r="D454" s="10">
        <v>40582</v>
      </c>
      <c r="E454" s="18">
        <v>0</v>
      </c>
      <c r="F454" s="13" t="str">
        <f t="shared" si="17"/>
        <v>On-time</v>
      </c>
      <c r="G454" s="19" t="str">
        <f>_xlfn.XLOOKUP(B454,tblARV[ASN/DN '#],tblARV[Country],"Not found")</f>
        <v>Rwanda</v>
      </c>
      <c r="H454" s="19" t="str">
        <f>_xlfn.XLOOKUP($B454,tblARV[ASN/DN '#],tblARV[Fulfill Via],"Not found")</f>
        <v>Direct Drop</v>
      </c>
      <c r="I454" s="19" t="str">
        <f>_xlfn.XLOOKUP($B454,tblARV[ASN/DN '#],tblARV[Vendor],"Not found")</f>
        <v>Aurobindo Pharma Limited</v>
      </c>
    </row>
    <row r="455" spans="2:9" ht="15">
      <c r="B455" s="7" t="s">
        <v>896</v>
      </c>
      <c r="C455" s="10">
        <v>40633</v>
      </c>
      <c r="D455" s="10">
        <v>40633</v>
      </c>
      <c r="E455" s="18">
        <v>0</v>
      </c>
      <c r="F455" s="13" t="str">
        <f t="shared" si="17"/>
        <v>On-time</v>
      </c>
      <c r="G455" s="19" t="str">
        <f>_xlfn.XLOOKUP(B455,tblARV[ASN/DN '#],tblARV[Country],"Not found")</f>
        <v>Rwanda</v>
      </c>
      <c r="H455" s="19" t="str">
        <f>_xlfn.XLOOKUP($B455,tblARV[ASN/DN '#],tblARV[Fulfill Via],"Not found")</f>
        <v>Direct Drop</v>
      </c>
      <c r="I455" s="19" t="str">
        <f>_xlfn.XLOOKUP($B455,tblARV[ASN/DN '#],tblARV[Vendor],"Not found")</f>
        <v>CIPLA LIMITED</v>
      </c>
    </row>
    <row r="456" spans="2:9" ht="15">
      <c r="B456" s="7" t="s">
        <v>102</v>
      </c>
      <c r="C456" s="10">
        <v>39475</v>
      </c>
      <c r="D456" s="10">
        <v>39475</v>
      </c>
      <c r="E456" s="18">
        <v>0</v>
      </c>
      <c r="F456" s="13" t="str">
        <f t="shared" si="17"/>
        <v>On-time</v>
      </c>
      <c r="G456" s="19" t="str">
        <f>_xlfn.XLOOKUP(B456,tblARV[ASN/DN '#],tblARV[Country],"Not found")</f>
        <v>Rwanda</v>
      </c>
      <c r="H456" s="19" t="str">
        <f>_xlfn.XLOOKUP($B456,tblARV[ASN/DN '#],tblARV[Fulfill Via],"Not found")</f>
        <v>Direct Drop</v>
      </c>
      <c r="I456" s="19" t="str">
        <f>_xlfn.XLOOKUP($B456,tblARV[ASN/DN '#],tblARV[Vendor],"Not found")</f>
        <v>ASPEN PHARMACARE</v>
      </c>
    </row>
    <row r="457" spans="2:9" ht="15">
      <c r="B457" s="7" t="s">
        <v>1431</v>
      </c>
      <c r="C457" s="10">
        <v>40633</v>
      </c>
      <c r="D457" s="10">
        <v>40633</v>
      </c>
      <c r="E457" s="18">
        <v>0</v>
      </c>
      <c r="F457" s="13" t="str">
        <f t="shared" si="17"/>
        <v>On-time</v>
      </c>
      <c r="G457" s="19" t="str">
        <f>_xlfn.XLOOKUP(B457,tblARV[ASN/DN '#],tblARV[Country],"Not found")</f>
        <v>Tanzania</v>
      </c>
      <c r="H457" s="19" t="str">
        <f>_xlfn.XLOOKUP($B457,tblARV[ASN/DN '#],tblARV[Fulfill Via],"Not found")</f>
        <v>Direct Drop</v>
      </c>
      <c r="I457" s="19" t="str">
        <f>_xlfn.XLOOKUP($B457,tblARV[ASN/DN '#],tblARV[Vendor],"Not found")</f>
        <v>ABBVIE LOGISTICS (FORMERLY ABBOTT LOGISTICS BV)</v>
      </c>
    </row>
    <row r="458" spans="2:9" ht="15">
      <c r="B458" s="7" t="s">
        <v>290</v>
      </c>
      <c r="C458" s="10">
        <v>39216</v>
      </c>
      <c r="D458" s="10">
        <v>39216</v>
      </c>
      <c r="E458" s="18">
        <v>0</v>
      </c>
      <c r="F458" s="13" t="str">
        <f t="shared" si="17"/>
        <v>On-time</v>
      </c>
      <c r="G458" s="19" t="str">
        <f>_xlfn.XLOOKUP(B458,tblARV[ASN/DN '#],tblARV[Country],"Not found")</f>
        <v>Rwanda</v>
      </c>
      <c r="H458" s="19" t="str">
        <f>_xlfn.XLOOKUP($B458,tblARV[ASN/DN '#],tblARV[Fulfill Via],"Not found")</f>
        <v>From RDC</v>
      </c>
      <c r="I458" s="19" t="str">
        <f>_xlfn.XLOOKUP($B458,tblARV[ASN/DN '#],tblARV[Vendor],"Not found")</f>
        <v>SCMS from RDC</v>
      </c>
    </row>
    <row r="459" spans="2:9" ht="15">
      <c r="B459" s="7" t="s">
        <v>465</v>
      </c>
      <c r="C459" s="10">
        <v>39763</v>
      </c>
      <c r="D459" s="10">
        <v>39763</v>
      </c>
      <c r="E459" s="18">
        <v>0</v>
      </c>
      <c r="F459" s="13" t="str">
        <f t="shared" si="17"/>
        <v>On-time</v>
      </c>
      <c r="G459" s="19" t="str">
        <f>_xlfn.XLOOKUP(B459,tblARV[ASN/DN '#],tblARV[Country],"Not found")</f>
        <v>Ethiopia</v>
      </c>
      <c r="H459" s="19" t="str">
        <f>_xlfn.XLOOKUP($B459,tblARV[ASN/DN '#],tblARV[Fulfill Via],"Not found")</f>
        <v>From RDC</v>
      </c>
      <c r="I459" s="19" t="str">
        <f>_xlfn.XLOOKUP($B459,tblARV[ASN/DN '#],tblARV[Vendor],"Not found")</f>
        <v>SCMS from RDC</v>
      </c>
    </row>
    <row r="460" spans="2:9" ht="15">
      <c r="B460" s="7" t="s">
        <v>258</v>
      </c>
      <c r="C460" s="10">
        <v>39794</v>
      </c>
      <c r="D460" s="10">
        <v>39794</v>
      </c>
      <c r="E460" s="18">
        <v>0</v>
      </c>
      <c r="F460" s="13" t="str">
        <f t="shared" si="17"/>
        <v>On-time</v>
      </c>
      <c r="G460" s="19" t="str">
        <f>_xlfn.XLOOKUP(B460,tblARV[ASN/DN '#],tblARV[Country],"Not found")</f>
        <v>Ethiopia</v>
      </c>
      <c r="H460" s="19" t="str">
        <f>_xlfn.XLOOKUP($B460,tblARV[ASN/DN '#],tblARV[Fulfill Via],"Not found")</f>
        <v>From RDC</v>
      </c>
      <c r="I460" s="19" t="str">
        <f>_xlfn.XLOOKUP($B460,tblARV[ASN/DN '#],tblARV[Vendor],"Not found")</f>
        <v>SCMS from RDC</v>
      </c>
    </row>
    <row r="461" spans="2:9" ht="15">
      <c r="B461" s="7" t="s">
        <v>691</v>
      </c>
      <c r="C461" s="10">
        <v>39801</v>
      </c>
      <c r="D461" s="10">
        <v>39801</v>
      </c>
      <c r="E461" s="18">
        <v>0</v>
      </c>
      <c r="F461" s="13" t="str">
        <f t="shared" si="17"/>
        <v>On-time</v>
      </c>
      <c r="G461" s="19" t="str">
        <f>_xlfn.XLOOKUP(B461,tblARV[ASN/DN '#],tblARV[Country],"Not found")</f>
        <v>Ethiopia</v>
      </c>
      <c r="H461" s="19" t="str">
        <f>_xlfn.XLOOKUP($B461,tblARV[ASN/DN '#],tblARV[Fulfill Via],"Not found")</f>
        <v>From RDC</v>
      </c>
      <c r="I461" s="19" t="str">
        <f>_xlfn.XLOOKUP($B461,tblARV[ASN/DN '#],tblARV[Vendor],"Not found")</f>
        <v>SCMS from RDC</v>
      </c>
    </row>
    <row r="462" spans="2:9" ht="15">
      <c r="B462" s="7" t="s">
        <v>351</v>
      </c>
      <c r="C462" s="10">
        <v>39848</v>
      </c>
      <c r="D462" s="10">
        <v>39848</v>
      </c>
      <c r="E462" s="18">
        <v>0</v>
      </c>
      <c r="F462" s="13" t="str">
        <f t="shared" si="17"/>
        <v>On-time</v>
      </c>
      <c r="G462" s="19" t="str">
        <f>_xlfn.XLOOKUP(B462,tblARV[ASN/DN '#],tblARV[Country],"Not found")</f>
        <v>Uganda</v>
      </c>
      <c r="H462" s="19" t="str">
        <f>_xlfn.XLOOKUP($B462,tblARV[ASN/DN '#],tblARV[Fulfill Via],"Not found")</f>
        <v>From RDC</v>
      </c>
      <c r="I462" s="19" t="str">
        <f>_xlfn.XLOOKUP($B462,tblARV[ASN/DN '#],tblARV[Vendor],"Not found")</f>
        <v>SCMS from RDC</v>
      </c>
    </row>
    <row r="463" spans="2:9" ht="15">
      <c r="B463" s="7" t="s">
        <v>687</v>
      </c>
      <c r="C463" s="10">
        <v>39828</v>
      </c>
      <c r="D463" s="10">
        <v>39828</v>
      </c>
      <c r="E463" s="18">
        <v>0</v>
      </c>
      <c r="F463" s="13" t="str">
        <f t="shared" si="17"/>
        <v>On-time</v>
      </c>
      <c r="G463" s="19" t="str">
        <f>_xlfn.XLOOKUP(B463,tblARV[ASN/DN '#],tblARV[Country],"Not found")</f>
        <v>Kenya</v>
      </c>
      <c r="H463" s="19" t="str">
        <f>_xlfn.XLOOKUP($B463,tblARV[ASN/DN '#],tblARV[Fulfill Via],"Not found")</f>
        <v>From RDC</v>
      </c>
      <c r="I463" s="19" t="str">
        <f>_xlfn.XLOOKUP($B463,tblARV[ASN/DN '#],tblARV[Vendor],"Not found")</f>
        <v>SCMS from RDC</v>
      </c>
    </row>
    <row r="464" spans="2:9" ht="15">
      <c r="B464" s="7" t="s">
        <v>590</v>
      </c>
      <c r="C464" s="10">
        <v>39847</v>
      </c>
      <c r="D464" s="10">
        <v>39847</v>
      </c>
      <c r="E464" s="18">
        <v>0</v>
      </c>
      <c r="F464" s="13" t="str">
        <f t="shared" si="17"/>
        <v>On-time</v>
      </c>
      <c r="G464" s="19" t="str">
        <f>_xlfn.XLOOKUP(B464,tblARV[ASN/DN '#],tblARV[Country],"Not found")</f>
        <v>Ethiopia</v>
      </c>
      <c r="H464" s="19" t="str">
        <f>_xlfn.XLOOKUP($B464,tblARV[ASN/DN '#],tblARV[Fulfill Via],"Not found")</f>
        <v>From RDC</v>
      </c>
      <c r="I464" s="19" t="str">
        <f>_xlfn.XLOOKUP($B464,tblARV[ASN/DN '#],tblARV[Vendor],"Not found")</f>
        <v>SCMS from RDC</v>
      </c>
    </row>
    <row r="465" spans="2:9" ht="15">
      <c r="B465" s="7" t="s">
        <v>264</v>
      </c>
      <c r="C465" s="10">
        <v>39875</v>
      </c>
      <c r="D465" s="10">
        <v>39875</v>
      </c>
      <c r="E465" s="18">
        <v>0</v>
      </c>
      <c r="F465" s="13" t="str">
        <f t="shared" si="17"/>
        <v>On-time</v>
      </c>
      <c r="G465" s="19" t="str">
        <f>_xlfn.XLOOKUP(B465,tblARV[ASN/DN '#],tblARV[Country],"Not found")</f>
        <v>Ethiopia</v>
      </c>
      <c r="H465" s="19" t="str">
        <f>_xlfn.XLOOKUP($B465,tblARV[ASN/DN '#],tblARV[Fulfill Via],"Not found")</f>
        <v>From RDC</v>
      </c>
      <c r="I465" s="19" t="str">
        <f>_xlfn.XLOOKUP($B465,tblARV[ASN/DN '#],tblARV[Vendor],"Not found")</f>
        <v>SCMS from RDC</v>
      </c>
    </row>
    <row r="466" spans="2:9" ht="15">
      <c r="B466" s="7" t="s">
        <v>488</v>
      </c>
      <c r="C466" s="10">
        <v>39862</v>
      </c>
      <c r="D466" s="10">
        <v>39862</v>
      </c>
      <c r="E466" s="18">
        <v>0</v>
      </c>
      <c r="F466" s="13" t="str">
        <f t="shared" si="17"/>
        <v>On-time</v>
      </c>
      <c r="G466" s="19" t="str">
        <f>_xlfn.XLOOKUP(B466,tblARV[ASN/DN '#],tblARV[Country],"Not found")</f>
        <v>Ethiopia</v>
      </c>
      <c r="H466" s="19" t="str">
        <f>_xlfn.XLOOKUP($B466,tblARV[ASN/DN '#],tblARV[Fulfill Via],"Not found")</f>
        <v>From RDC</v>
      </c>
      <c r="I466" s="19" t="str">
        <f>_xlfn.XLOOKUP($B466,tblARV[ASN/DN '#],tblARV[Vendor],"Not found")</f>
        <v>SCMS from RDC</v>
      </c>
    </row>
    <row r="467" spans="2:9" ht="15">
      <c r="B467" s="7" t="s">
        <v>361</v>
      </c>
      <c r="C467" s="10">
        <v>39842</v>
      </c>
      <c r="D467" s="10">
        <v>39842</v>
      </c>
      <c r="E467" s="18">
        <v>0</v>
      </c>
      <c r="F467" s="13" t="str">
        <f t="shared" si="17"/>
        <v>On-time</v>
      </c>
      <c r="G467" s="19" t="str">
        <f>_xlfn.XLOOKUP(B467,tblARV[ASN/DN '#],tblARV[Country],"Not found")</f>
        <v>Ethiopia</v>
      </c>
      <c r="H467" s="19" t="str">
        <f>_xlfn.XLOOKUP($B467,tblARV[ASN/DN '#],tblARV[Fulfill Via],"Not found")</f>
        <v>From RDC</v>
      </c>
      <c r="I467" s="19" t="str">
        <f>_xlfn.XLOOKUP($B467,tblARV[ASN/DN '#],tblARV[Vendor],"Not found")</f>
        <v>SCMS from RDC</v>
      </c>
    </row>
    <row r="468" spans="2:9" ht="15">
      <c r="B468" s="7" t="s">
        <v>596</v>
      </c>
      <c r="C468" s="10">
        <v>39876</v>
      </c>
      <c r="D468" s="10">
        <v>39876</v>
      </c>
      <c r="E468" s="18">
        <v>0</v>
      </c>
      <c r="F468" s="13" t="str">
        <f t="shared" si="17"/>
        <v>On-time</v>
      </c>
      <c r="G468" s="19" t="str">
        <f>_xlfn.XLOOKUP(B468,tblARV[ASN/DN '#],tblARV[Country],"Not found")</f>
        <v>Ethiopia</v>
      </c>
      <c r="H468" s="19" t="str">
        <f>_xlfn.XLOOKUP($B468,tblARV[ASN/DN '#],tblARV[Fulfill Via],"Not found")</f>
        <v>From RDC</v>
      </c>
      <c r="I468" s="19" t="str">
        <f>_xlfn.XLOOKUP($B468,tblARV[ASN/DN '#],tblARV[Vendor],"Not found")</f>
        <v>SCMS from RDC</v>
      </c>
    </row>
    <row r="469" spans="2:9" ht="15">
      <c r="B469" s="7" t="s">
        <v>254</v>
      </c>
      <c r="C469" s="10">
        <v>39863</v>
      </c>
      <c r="D469" s="10">
        <v>39863</v>
      </c>
      <c r="E469" s="18">
        <v>0</v>
      </c>
      <c r="F469" s="13" t="str">
        <f t="shared" ref="F469:F532" si="18">IF($E469&lt;=0,"On-time","Late")</f>
        <v>On-time</v>
      </c>
      <c r="G469" s="19" t="str">
        <f>_xlfn.XLOOKUP(B469,tblARV[ASN/DN '#],tblARV[Country],"Not found")</f>
        <v>Uganda</v>
      </c>
      <c r="H469" s="19" t="str">
        <f>_xlfn.XLOOKUP($B469,tblARV[ASN/DN '#],tblARV[Fulfill Via],"Not found")</f>
        <v>From RDC</v>
      </c>
      <c r="I469" s="19" t="str">
        <f>_xlfn.XLOOKUP($B469,tblARV[ASN/DN '#],tblARV[Vendor],"Not found")</f>
        <v>SCMS from RDC</v>
      </c>
    </row>
    <row r="470" spans="2:9" ht="15">
      <c r="B470" s="7" t="s">
        <v>411</v>
      </c>
      <c r="C470" s="10">
        <v>39878</v>
      </c>
      <c r="D470" s="10">
        <v>39878</v>
      </c>
      <c r="E470" s="18">
        <v>0</v>
      </c>
      <c r="F470" s="13" t="str">
        <f t="shared" si="18"/>
        <v>On-time</v>
      </c>
      <c r="G470" s="19" t="str">
        <f>_xlfn.XLOOKUP(B470,tblARV[ASN/DN '#],tblARV[Country],"Not found")</f>
        <v>Tanzania</v>
      </c>
      <c r="H470" s="19" t="str">
        <f>_xlfn.XLOOKUP($B470,tblARV[ASN/DN '#],tblARV[Fulfill Via],"Not found")</f>
        <v>From RDC</v>
      </c>
      <c r="I470" s="19" t="str">
        <f>_xlfn.XLOOKUP($B470,tblARV[ASN/DN '#],tblARV[Vendor],"Not found")</f>
        <v>SCMS from RDC</v>
      </c>
    </row>
    <row r="471" spans="2:9" ht="15">
      <c r="B471" s="7" t="s">
        <v>544</v>
      </c>
      <c r="C471" s="10">
        <v>39850</v>
      </c>
      <c r="D471" s="10">
        <v>39850</v>
      </c>
      <c r="E471" s="18">
        <v>0</v>
      </c>
      <c r="F471" s="13" t="str">
        <f t="shared" si="18"/>
        <v>On-time</v>
      </c>
      <c r="G471" s="19" t="str">
        <f>_xlfn.XLOOKUP(B471,tblARV[ASN/DN '#],tblARV[Country],"Not found")</f>
        <v>Rwanda</v>
      </c>
      <c r="H471" s="19" t="str">
        <f>_xlfn.XLOOKUP($B471,tblARV[ASN/DN '#],tblARV[Fulfill Via],"Not found")</f>
        <v>From RDC</v>
      </c>
      <c r="I471" s="19" t="str">
        <f>_xlfn.XLOOKUP($B471,tblARV[ASN/DN '#],tblARV[Vendor],"Not found")</f>
        <v>SCMS from RDC</v>
      </c>
    </row>
    <row r="472" spans="2:9" ht="15">
      <c r="B472" s="7" t="s">
        <v>592</v>
      </c>
      <c r="C472" s="10">
        <v>39881</v>
      </c>
      <c r="D472" s="10">
        <v>39881</v>
      </c>
      <c r="E472" s="18">
        <v>0</v>
      </c>
      <c r="F472" s="13" t="str">
        <f t="shared" si="18"/>
        <v>On-time</v>
      </c>
      <c r="G472" s="19" t="str">
        <f>_xlfn.XLOOKUP(B472,tblARV[ASN/DN '#],tblARV[Country],"Not found")</f>
        <v>Tanzania</v>
      </c>
      <c r="H472" s="19" t="str">
        <f>_xlfn.XLOOKUP($B472,tblARV[ASN/DN '#],tblARV[Fulfill Via],"Not found")</f>
        <v>From RDC</v>
      </c>
      <c r="I472" s="19" t="str">
        <f>_xlfn.XLOOKUP($B472,tblARV[ASN/DN '#],tblARV[Vendor],"Not found")</f>
        <v>SCMS from RDC</v>
      </c>
    </row>
    <row r="473" spans="2:9" ht="15">
      <c r="B473" s="7" t="s">
        <v>693</v>
      </c>
      <c r="C473" s="10">
        <v>39863</v>
      </c>
      <c r="D473" s="10">
        <v>39863</v>
      </c>
      <c r="E473" s="18">
        <v>0</v>
      </c>
      <c r="F473" s="13" t="str">
        <f t="shared" si="18"/>
        <v>On-time</v>
      </c>
      <c r="G473" s="19" t="str">
        <f>_xlfn.XLOOKUP(B473,tblARV[ASN/DN '#],tblARV[Country],"Not found")</f>
        <v>Uganda</v>
      </c>
      <c r="H473" s="19" t="str">
        <f>_xlfn.XLOOKUP($B473,tblARV[ASN/DN '#],tblARV[Fulfill Via],"Not found")</f>
        <v>From RDC</v>
      </c>
      <c r="I473" s="19" t="str">
        <f>_xlfn.XLOOKUP($B473,tblARV[ASN/DN '#],tblARV[Vendor],"Not found")</f>
        <v>SCMS from RDC</v>
      </c>
    </row>
    <row r="474" spans="2:9" ht="15">
      <c r="B474" s="7" t="s">
        <v>467</v>
      </c>
      <c r="C474" s="10">
        <v>39875</v>
      </c>
      <c r="D474" s="10">
        <v>39875</v>
      </c>
      <c r="E474" s="18">
        <v>0</v>
      </c>
      <c r="F474" s="13" t="str">
        <f t="shared" si="18"/>
        <v>On-time</v>
      </c>
      <c r="G474" s="19" t="str">
        <f>_xlfn.XLOOKUP(B474,tblARV[ASN/DN '#],tblARV[Country],"Not found")</f>
        <v>Uganda</v>
      </c>
      <c r="H474" s="19" t="str">
        <f>_xlfn.XLOOKUP($B474,tblARV[ASN/DN '#],tblARV[Fulfill Via],"Not found")</f>
        <v>From RDC</v>
      </c>
      <c r="I474" s="19" t="str">
        <f>_xlfn.XLOOKUP($B474,tblARV[ASN/DN '#],tblARV[Vendor],"Not found")</f>
        <v>SCMS from RDC</v>
      </c>
    </row>
    <row r="475" spans="2:9" ht="15">
      <c r="B475" s="7" t="s">
        <v>588</v>
      </c>
      <c r="C475" s="10">
        <v>39875</v>
      </c>
      <c r="D475" s="10">
        <v>39875</v>
      </c>
      <c r="E475" s="18">
        <v>0</v>
      </c>
      <c r="F475" s="13" t="str">
        <f t="shared" si="18"/>
        <v>On-time</v>
      </c>
      <c r="G475" s="19" t="str">
        <f>_xlfn.XLOOKUP(B475,tblARV[ASN/DN '#],tblARV[Country],"Not found")</f>
        <v>Uganda</v>
      </c>
      <c r="H475" s="19" t="str">
        <f>_xlfn.XLOOKUP($B475,tblARV[ASN/DN '#],tblARV[Fulfill Via],"Not found")</f>
        <v>From RDC</v>
      </c>
      <c r="I475" s="19" t="str">
        <f>_xlfn.XLOOKUP($B475,tblARV[ASN/DN '#],tblARV[Vendor],"Not found")</f>
        <v>SCMS from RDC</v>
      </c>
    </row>
    <row r="476" spans="2:9" ht="15">
      <c r="B476" s="7" t="s">
        <v>413</v>
      </c>
      <c r="C476" s="10">
        <v>39877</v>
      </c>
      <c r="D476" s="10">
        <v>39877</v>
      </c>
      <c r="E476" s="18">
        <v>0</v>
      </c>
      <c r="F476" s="13" t="str">
        <f t="shared" si="18"/>
        <v>On-time</v>
      </c>
      <c r="G476" s="19" t="str">
        <f>_xlfn.XLOOKUP(B476,tblARV[ASN/DN '#],tblARV[Country],"Not found")</f>
        <v>Uganda</v>
      </c>
      <c r="H476" s="19" t="str">
        <f>_xlfn.XLOOKUP($B476,tblARV[ASN/DN '#],tblARV[Fulfill Via],"Not found")</f>
        <v>From RDC</v>
      </c>
      <c r="I476" s="19" t="str">
        <f>_xlfn.XLOOKUP($B476,tblARV[ASN/DN '#],tblARV[Vendor],"Not found")</f>
        <v>SCMS from RDC</v>
      </c>
    </row>
    <row r="477" spans="2:9" ht="15">
      <c r="B477" s="7" t="s">
        <v>598</v>
      </c>
      <c r="C477" s="10">
        <v>39862</v>
      </c>
      <c r="D477" s="10">
        <v>39862</v>
      </c>
      <c r="E477" s="18">
        <v>0</v>
      </c>
      <c r="F477" s="13" t="str">
        <f t="shared" si="18"/>
        <v>On-time</v>
      </c>
      <c r="G477" s="19" t="str">
        <f>_xlfn.XLOOKUP(B477,tblARV[ASN/DN '#],tblARV[Country],"Not found")</f>
        <v>Ethiopia</v>
      </c>
      <c r="H477" s="19" t="str">
        <f>_xlfn.XLOOKUP($B477,tblARV[ASN/DN '#],tblARV[Fulfill Via],"Not found")</f>
        <v>From RDC</v>
      </c>
      <c r="I477" s="19" t="str">
        <f>_xlfn.XLOOKUP($B477,tblARV[ASN/DN '#],tblARV[Vendor],"Not found")</f>
        <v>SCMS from RDC</v>
      </c>
    </row>
    <row r="478" spans="2:9" ht="15">
      <c r="B478" s="7" t="s">
        <v>355</v>
      </c>
      <c r="C478" s="10">
        <v>39891</v>
      </c>
      <c r="D478" s="10">
        <v>39891</v>
      </c>
      <c r="E478" s="18">
        <v>0</v>
      </c>
      <c r="F478" s="13" t="str">
        <f t="shared" si="18"/>
        <v>On-time</v>
      </c>
      <c r="G478" s="19" t="str">
        <f>_xlfn.XLOOKUP(B478,tblARV[ASN/DN '#],tblARV[Country],"Not found")</f>
        <v>Uganda</v>
      </c>
      <c r="H478" s="19" t="str">
        <f>_xlfn.XLOOKUP($B478,tblARV[ASN/DN '#],tblARV[Fulfill Via],"Not found")</f>
        <v>From RDC</v>
      </c>
      <c r="I478" s="19" t="str">
        <f>_xlfn.XLOOKUP($B478,tblARV[ASN/DN '#],tblARV[Vendor],"Not found")</f>
        <v>SCMS from RDC</v>
      </c>
    </row>
    <row r="479" spans="2:9" ht="15">
      <c r="B479" s="7" t="s">
        <v>648</v>
      </c>
      <c r="C479" s="10">
        <v>39875</v>
      </c>
      <c r="D479" s="10">
        <v>39875</v>
      </c>
      <c r="E479" s="18">
        <v>0</v>
      </c>
      <c r="F479" s="13" t="str">
        <f t="shared" si="18"/>
        <v>On-time</v>
      </c>
      <c r="G479" s="19" t="str">
        <f>_xlfn.XLOOKUP(B479,tblARV[ASN/DN '#],tblARV[Country],"Not found")</f>
        <v>Uganda</v>
      </c>
      <c r="H479" s="19" t="str">
        <f>_xlfn.XLOOKUP($B479,tblARV[ASN/DN '#],tblARV[Fulfill Via],"Not found")</f>
        <v>From RDC</v>
      </c>
      <c r="I479" s="19" t="str">
        <f>_xlfn.XLOOKUP($B479,tblARV[ASN/DN '#],tblARV[Vendor],"Not found")</f>
        <v>SCMS from RDC</v>
      </c>
    </row>
    <row r="480" spans="2:9" ht="15">
      <c r="B480" s="7" t="s">
        <v>650</v>
      </c>
      <c r="C480" s="10">
        <v>39891</v>
      </c>
      <c r="D480" s="10">
        <v>39891</v>
      </c>
      <c r="E480" s="18">
        <v>0</v>
      </c>
      <c r="F480" s="13" t="str">
        <f t="shared" si="18"/>
        <v>On-time</v>
      </c>
      <c r="G480" s="19" t="str">
        <f>_xlfn.XLOOKUP(B480,tblARV[ASN/DN '#],tblARV[Country],"Not found")</f>
        <v>Uganda</v>
      </c>
      <c r="H480" s="19" t="str">
        <f>_xlfn.XLOOKUP($B480,tblARV[ASN/DN '#],tblARV[Fulfill Via],"Not found")</f>
        <v>From RDC</v>
      </c>
      <c r="I480" s="19" t="str">
        <f>_xlfn.XLOOKUP($B480,tblARV[ASN/DN '#],tblARV[Vendor],"Not found")</f>
        <v>SCMS from RDC</v>
      </c>
    </row>
    <row r="481" spans="2:9" ht="15">
      <c r="B481" s="7" t="s">
        <v>664</v>
      </c>
      <c r="C481" s="10">
        <v>39191</v>
      </c>
      <c r="D481" s="10">
        <v>39191</v>
      </c>
      <c r="E481" s="18">
        <v>0</v>
      </c>
      <c r="F481" s="13" t="str">
        <f t="shared" si="18"/>
        <v>On-time</v>
      </c>
      <c r="G481" s="19" t="str">
        <f>_xlfn.XLOOKUP(B481,tblARV[ASN/DN '#],tblARV[Country],"Not found")</f>
        <v>Rwanda</v>
      </c>
      <c r="H481" s="19" t="str">
        <f>_xlfn.XLOOKUP($B481,tblARV[ASN/DN '#],tblARV[Fulfill Via],"Not found")</f>
        <v>From RDC</v>
      </c>
      <c r="I481" s="19" t="str">
        <f>_xlfn.XLOOKUP($B481,tblARV[ASN/DN '#],tblARV[Vendor],"Not found")</f>
        <v>SCMS from RDC</v>
      </c>
    </row>
    <row r="482" spans="2:9" ht="15">
      <c r="B482" s="7" t="s">
        <v>419</v>
      </c>
      <c r="C482" s="10">
        <v>39892</v>
      </c>
      <c r="D482" s="10">
        <v>39892</v>
      </c>
      <c r="E482" s="18">
        <v>0</v>
      </c>
      <c r="F482" s="13" t="str">
        <f t="shared" si="18"/>
        <v>On-time</v>
      </c>
      <c r="G482" s="19" t="str">
        <f>_xlfn.XLOOKUP(B482,tblARV[ASN/DN '#],tblARV[Country],"Not found")</f>
        <v>Ethiopia</v>
      </c>
      <c r="H482" s="19" t="str">
        <f>_xlfn.XLOOKUP($B482,tblARV[ASN/DN '#],tblARV[Fulfill Via],"Not found")</f>
        <v>From RDC</v>
      </c>
      <c r="I482" s="19" t="str">
        <f>_xlfn.XLOOKUP($B482,tblARV[ASN/DN '#],tblARV[Vendor],"Not found")</f>
        <v>SCMS from RDC</v>
      </c>
    </row>
    <row r="483" spans="2:9" ht="15">
      <c r="B483" s="7" t="s">
        <v>473</v>
      </c>
      <c r="C483" s="10">
        <v>39876</v>
      </c>
      <c r="D483" s="10">
        <v>39876</v>
      </c>
      <c r="E483" s="18">
        <v>0</v>
      </c>
      <c r="F483" s="13" t="str">
        <f t="shared" si="18"/>
        <v>On-time</v>
      </c>
      <c r="G483" s="19" t="str">
        <f>_xlfn.XLOOKUP(B483,tblARV[ASN/DN '#],tblARV[Country],"Not found")</f>
        <v>Ethiopia</v>
      </c>
      <c r="H483" s="19" t="str">
        <f>_xlfn.XLOOKUP($B483,tblARV[ASN/DN '#],tblARV[Fulfill Via],"Not found")</f>
        <v>From RDC</v>
      </c>
      <c r="I483" s="19" t="str">
        <f>_xlfn.XLOOKUP($B483,tblARV[ASN/DN '#],tblARV[Vendor],"Not found")</f>
        <v>SCMS from RDC</v>
      </c>
    </row>
    <row r="484" spans="2:9" ht="15">
      <c r="B484" s="7" t="s">
        <v>490</v>
      </c>
      <c r="C484" s="10">
        <v>39876</v>
      </c>
      <c r="D484" s="10">
        <v>39876</v>
      </c>
      <c r="E484" s="18">
        <v>0</v>
      </c>
      <c r="F484" s="13" t="str">
        <f t="shared" si="18"/>
        <v>On-time</v>
      </c>
      <c r="G484" s="19" t="str">
        <f>_xlfn.XLOOKUP(B484,tblARV[ASN/DN '#],tblARV[Country],"Not found")</f>
        <v>Ethiopia</v>
      </c>
      <c r="H484" s="19" t="str">
        <f>_xlfn.XLOOKUP($B484,tblARV[ASN/DN '#],tblARV[Fulfill Via],"Not found")</f>
        <v>From RDC</v>
      </c>
      <c r="I484" s="19" t="str">
        <f>_xlfn.XLOOKUP($B484,tblARV[ASN/DN '#],tblARV[Vendor],"Not found")</f>
        <v>SCMS from RDC</v>
      </c>
    </row>
    <row r="485" spans="2:9" ht="15">
      <c r="B485" s="7" t="s">
        <v>471</v>
      </c>
      <c r="C485" s="10">
        <v>39878</v>
      </c>
      <c r="D485" s="10">
        <v>39878</v>
      </c>
      <c r="E485" s="18">
        <v>0</v>
      </c>
      <c r="F485" s="13" t="str">
        <f t="shared" si="18"/>
        <v>On-time</v>
      </c>
      <c r="G485" s="19" t="str">
        <f>_xlfn.XLOOKUP(B485,tblARV[ASN/DN '#],tblARV[Country],"Not found")</f>
        <v>Rwanda</v>
      </c>
      <c r="H485" s="19" t="str">
        <f>_xlfn.XLOOKUP($B485,tblARV[ASN/DN '#],tblARV[Fulfill Via],"Not found")</f>
        <v>From RDC</v>
      </c>
      <c r="I485" s="19" t="str">
        <f>_xlfn.XLOOKUP($B485,tblARV[ASN/DN '#],tblARV[Vendor],"Not found")</f>
        <v>SCMS from RDC</v>
      </c>
    </row>
    <row r="486" spans="2:9" ht="15">
      <c r="B486" s="7" t="s">
        <v>256</v>
      </c>
      <c r="C486" s="10">
        <v>39888</v>
      </c>
      <c r="D486" s="10">
        <v>39888</v>
      </c>
      <c r="E486" s="18">
        <v>0</v>
      </c>
      <c r="F486" s="13" t="str">
        <f t="shared" si="18"/>
        <v>On-time</v>
      </c>
      <c r="G486" s="19" t="str">
        <f>_xlfn.XLOOKUP(B486,tblARV[ASN/DN '#],tblARV[Country],"Not found")</f>
        <v>Rwanda</v>
      </c>
      <c r="H486" s="19" t="str">
        <f>_xlfn.XLOOKUP($B486,tblARV[ASN/DN '#],tblARV[Fulfill Via],"Not found")</f>
        <v>From RDC</v>
      </c>
      <c r="I486" s="19" t="str">
        <f>_xlfn.XLOOKUP($B486,tblARV[ASN/DN '#],tblARV[Vendor],"Not found")</f>
        <v>SCMS from RDC</v>
      </c>
    </row>
    <row r="487" spans="2:9" ht="15">
      <c r="B487" s="7" t="s">
        <v>415</v>
      </c>
      <c r="C487" s="10">
        <v>39911</v>
      </c>
      <c r="D487" s="10">
        <v>39911</v>
      </c>
      <c r="E487" s="18">
        <v>0</v>
      </c>
      <c r="F487" s="13" t="str">
        <f t="shared" si="18"/>
        <v>On-time</v>
      </c>
      <c r="G487" s="19" t="str">
        <f>_xlfn.XLOOKUP(B487,tblARV[ASN/DN '#],tblARV[Country],"Not found")</f>
        <v>Uganda</v>
      </c>
      <c r="H487" s="19" t="str">
        <f>_xlfn.XLOOKUP($B487,tblARV[ASN/DN '#],tblARV[Fulfill Via],"Not found")</f>
        <v>From RDC</v>
      </c>
      <c r="I487" s="19" t="str">
        <f>_xlfn.XLOOKUP($B487,tblARV[ASN/DN '#],tblARV[Vendor],"Not found")</f>
        <v>SCMS from RDC</v>
      </c>
    </row>
    <row r="488" spans="2:9" ht="15">
      <c r="B488" s="7" t="s">
        <v>252</v>
      </c>
      <c r="C488" s="10">
        <v>39905</v>
      </c>
      <c r="D488" s="10">
        <v>39905</v>
      </c>
      <c r="E488" s="18">
        <v>0</v>
      </c>
      <c r="F488" s="13" t="str">
        <f t="shared" si="18"/>
        <v>On-time</v>
      </c>
      <c r="G488" s="19" t="str">
        <f>_xlfn.XLOOKUP(B488,tblARV[ASN/DN '#],tblARV[Country],"Not found")</f>
        <v>Uganda</v>
      </c>
      <c r="H488" s="19" t="str">
        <f>_xlfn.XLOOKUP($B488,tblARV[ASN/DN '#],tblARV[Fulfill Via],"Not found")</f>
        <v>From RDC</v>
      </c>
      <c r="I488" s="19" t="str">
        <f>_xlfn.XLOOKUP($B488,tblARV[ASN/DN '#],tblARV[Vendor],"Not found")</f>
        <v>SCMS from RDC</v>
      </c>
    </row>
    <row r="489" spans="2:9" ht="15">
      <c r="B489" s="7" t="s">
        <v>423</v>
      </c>
      <c r="C489" s="10">
        <v>39912</v>
      </c>
      <c r="D489" s="10">
        <v>39912</v>
      </c>
      <c r="E489" s="18">
        <v>0</v>
      </c>
      <c r="F489" s="13" t="str">
        <f t="shared" si="18"/>
        <v>On-time</v>
      </c>
      <c r="G489" s="19" t="str">
        <f>_xlfn.XLOOKUP(B489,tblARV[ASN/DN '#],tblARV[Country],"Not found")</f>
        <v>Rwanda</v>
      </c>
      <c r="H489" s="19" t="str">
        <f>_xlfn.XLOOKUP($B489,tblARV[ASN/DN '#],tblARV[Fulfill Via],"Not found")</f>
        <v>From RDC</v>
      </c>
      <c r="I489" s="19" t="str">
        <f>_xlfn.XLOOKUP($B489,tblARV[ASN/DN '#],tblARV[Vendor],"Not found")</f>
        <v>SCMS from RDC</v>
      </c>
    </row>
    <row r="490" spans="2:9" ht="15">
      <c r="B490" s="7" t="s">
        <v>363</v>
      </c>
      <c r="C490" s="10">
        <v>39930</v>
      </c>
      <c r="D490" s="10">
        <v>39930</v>
      </c>
      <c r="E490" s="18">
        <v>0</v>
      </c>
      <c r="F490" s="13" t="str">
        <f t="shared" si="18"/>
        <v>On-time</v>
      </c>
      <c r="G490" s="19" t="str">
        <f>_xlfn.XLOOKUP(B490,tblARV[ASN/DN '#],tblARV[Country],"Not found")</f>
        <v>Rwanda</v>
      </c>
      <c r="H490" s="19" t="str">
        <f>_xlfn.XLOOKUP($B490,tblARV[ASN/DN '#],tblARV[Fulfill Via],"Not found")</f>
        <v>From RDC</v>
      </c>
      <c r="I490" s="19" t="str">
        <f>_xlfn.XLOOKUP($B490,tblARV[ASN/DN '#],tblARV[Vendor],"Not found")</f>
        <v>SCMS from RDC</v>
      </c>
    </row>
    <row r="491" spans="2:9" ht="15">
      <c r="B491" s="7" t="s">
        <v>365</v>
      </c>
      <c r="C491" s="10">
        <v>39944</v>
      </c>
      <c r="D491" s="10">
        <v>39944</v>
      </c>
      <c r="E491" s="18">
        <v>0</v>
      </c>
      <c r="F491" s="13" t="str">
        <f t="shared" si="18"/>
        <v>On-time</v>
      </c>
      <c r="G491" s="19" t="str">
        <f>_xlfn.XLOOKUP(B491,tblARV[ASN/DN '#],tblARV[Country],"Not found")</f>
        <v>Tanzania</v>
      </c>
      <c r="H491" s="19" t="str">
        <f>_xlfn.XLOOKUP($B491,tblARV[ASN/DN '#],tblARV[Fulfill Via],"Not found")</f>
        <v>From RDC</v>
      </c>
      <c r="I491" s="19" t="str">
        <f>_xlfn.XLOOKUP($B491,tblARV[ASN/DN '#],tblARV[Vendor],"Not found")</f>
        <v>SCMS from RDC</v>
      </c>
    </row>
    <row r="492" spans="2:9" ht="15">
      <c r="B492" s="7" t="s">
        <v>425</v>
      </c>
      <c r="C492" s="10">
        <v>39926</v>
      </c>
      <c r="D492" s="10">
        <v>39926</v>
      </c>
      <c r="E492" s="18">
        <v>0</v>
      </c>
      <c r="F492" s="13" t="str">
        <f t="shared" si="18"/>
        <v>On-time</v>
      </c>
      <c r="G492" s="19" t="str">
        <f>_xlfn.XLOOKUP(B492,tblARV[ASN/DN '#],tblARV[Country],"Not found")</f>
        <v>Kenya</v>
      </c>
      <c r="H492" s="19" t="str">
        <f>_xlfn.XLOOKUP($B492,tblARV[ASN/DN '#],tblARV[Fulfill Via],"Not found")</f>
        <v>From RDC</v>
      </c>
      <c r="I492" s="19" t="str">
        <f>_xlfn.XLOOKUP($B492,tblARV[ASN/DN '#],tblARV[Vendor],"Not found")</f>
        <v>SCMS from RDC</v>
      </c>
    </row>
    <row r="493" spans="2:9" ht="15">
      <c r="B493" s="7" t="s">
        <v>652</v>
      </c>
      <c r="C493" s="10">
        <v>39927</v>
      </c>
      <c r="D493" s="10">
        <v>39927</v>
      </c>
      <c r="E493" s="18">
        <v>0</v>
      </c>
      <c r="F493" s="13" t="str">
        <f t="shared" si="18"/>
        <v>On-time</v>
      </c>
      <c r="G493" s="19" t="str">
        <f>_xlfn.XLOOKUP(B493,tblARV[ASN/DN '#],tblARV[Country],"Not found")</f>
        <v>Uganda</v>
      </c>
      <c r="H493" s="19" t="str">
        <f>_xlfn.XLOOKUP($B493,tblARV[ASN/DN '#],tblARV[Fulfill Via],"Not found")</f>
        <v>From RDC</v>
      </c>
      <c r="I493" s="19" t="str">
        <f>_xlfn.XLOOKUP($B493,tblARV[ASN/DN '#],tblARV[Vendor],"Not found")</f>
        <v>SCMS from RDC</v>
      </c>
    </row>
    <row r="494" spans="2:9" ht="15">
      <c r="B494" s="7" t="s">
        <v>430</v>
      </c>
      <c r="C494" s="10">
        <v>39988</v>
      </c>
      <c r="D494" s="10">
        <v>39988</v>
      </c>
      <c r="E494" s="18">
        <v>0</v>
      </c>
      <c r="F494" s="13" t="str">
        <f t="shared" si="18"/>
        <v>On-time</v>
      </c>
      <c r="G494" s="19" t="str">
        <f>_xlfn.XLOOKUP(B494,tblARV[ASN/DN '#],tblARV[Country],"Not found")</f>
        <v>Uganda</v>
      </c>
      <c r="H494" s="19" t="str">
        <f>_xlfn.XLOOKUP($B494,tblARV[ASN/DN '#],tblARV[Fulfill Via],"Not found")</f>
        <v>From RDC</v>
      </c>
      <c r="I494" s="19" t="str">
        <f>_xlfn.XLOOKUP($B494,tblARV[ASN/DN '#],tblARV[Vendor],"Not found")</f>
        <v>SCMS from RDC</v>
      </c>
    </row>
    <row r="495" spans="2:9" ht="15">
      <c r="B495" s="7" t="s">
        <v>367</v>
      </c>
      <c r="C495" s="10">
        <v>39965</v>
      </c>
      <c r="D495" s="10">
        <v>39965</v>
      </c>
      <c r="E495" s="18">
        <v>0</v>
      </c>
      <c r="F495" s="13" t="str">
        <f t="shared" si="18"/>
        <v>On-time</v>
      </c>
      <c r="G495" s="19" t="str">
        <f>_xlfn.XLOOKUP(B495,tblARV[ASN/DN '#],tblARV[Country],"Not found")</f>
        <v>Uganda</v>
      </c>
      <c r="H495" s="19" t="str">
        <f>_xlfn.XLOOKUP($B495,tblARV[ASN/DN '#],tblARV[Fulfill Via],"Not found")</f>
        <v>From RDC</v>
      </c>
      <c r="I495" s="19" t="str">
        <f>_xlfn.XLOOKUP($B495,tblARV[ASN/DN '#],tblARV[Vendor],"Not found")</f>
        <v>SCMS from RDC</v>
      </c>
    </row>
    <row r="496" spans="2:9" ht="15">
      <c r="B496" s="7" t="s">
        <v>369</v>
      </c>
      <c r="C496" s="10">
        <v>39955</v>
      </c>
      <c r="D496" s="10">
        <v>39955</v>
      </c>
      <c r="E496" s="18">
        <v>0</v>
      </c>
      <c r="F496" s="13" t="str">
        <f t="shared" si="18"/>
        <v>On-time</v>
      </c>
      <c r="G496" s="19" t="str">
        <f>_xlfn.XLOOKUP(B496,tblARV[ASN/DN '#],tblARV[Country],"Not found")</f>
        <v>Uganda</v>
      </c>
      <c r="H496" s="19" t="str">
        <f>_xlfn.XLOOKUP($B496,tblARV[ASN/DN '#],tblARV[Fulfill Via],"Not found")</f>
        <v>From RDC</v>
      </c>
      <c r="I496" s="19" t="str">
        <f>_xlfn.XLOOKUP($B496,tblARV[ASN/DN '#],tblARV[Vendor],"Not found")</f>
        <v>SCMS from RDC</v>
      </c>
    </row>
    <row r="497" spans="2:9" ht="15">
      <c r="B497" s="7" t="s">
        <v>600</v>
      </c>
      <c r="C497" s="10">
        <v>39955</v>
      </c>
      <c r="D497" s="10">
        <v>39955</v>
      </c>
      <c r="E497" s="18">
        <v>0</v>
      </c>
      <c r="F497" s="13" t="str">
        <f t="shared" si="18"/>
        <v>On-time</v>
      </c>
      <c r="G497" s="19" t="str">
        <f>_xlfn.XLOOKUP(B497,tblARV[ASN/DN '#],tblARV[Country],"Not found")</f>
        <v>Uganda</v>
      </c>
      <c r="H497" s="19" t="str">
        <f>_xlfn.XLOOKUP($B497,tblARV[ASN/DN '#],tblARV[Fulfill Via],"Not found")</f>
        <v>From RDC</v>
      </c>
      <c r="I497" s="19" t="str">
        <f>_xlfn.XLOOKUP($B497,tblARV[ASN/DN '#],tblARV[Vendor],"Not found")</f>
        <v>SCMS from RDC</v>
      </c>
    </row>
    <row r="498" spans="2:9" ht="15">
      <c r="B498" s="7" t="s">
        <v>494</v>
      </c>
      <c r="C498" s="10">
        <v>39965</v>
      </c>
      <c r="D498" s="10">
        <v>39965</v>
      </c>
      <c r="E498" s="18">
        <v>0</v>
      </c>
      <c r="F498" s="13" t="str">
        <f t="shared" si="18"/>
        <v>On-time</v>
      </c>
      <c r="G498" s="19" t="str">
        <f>_xlfn.XLOOKUP(B498,tblARV[ASN/DN '#],tblARV[Country],"Not found")</f>
        <v>Uganda</v>
      </c>
      <c r="H498" s="19" t="str">
        <f>_xlfn.XLOOKUP($B498,tblARV[ASN/DN '#],tblARV[Fulfill Via],"Not found")</f>
        <v>From RDC</v>
      </c>
      <c r="I498" s="19" t="str">
        <f>_xlfn.XLOOKUP($B498,tblARV[ASN/DN '#],tblARV[Vendor],"Not found")</f>
        <v>SCMS from RDC</v>
      </c>
    </row>
    <row r="499" spans="2:9" ht="15">
      <c r="B499" s="7" t="s">
        <v>371</v>
      </c>
      <c r="C499" s="10">
        <v>39965</v>
      </c>
      <c r="D499" s="10">
        <v>39965</v>
      </c>
      <c r="E499" s="18">
        <v>0</v>
      </c>
      <c r="F499" s="13" t="str">
        <f t="shared" si="18"/>
        <v>On-time</v>
      </c>
      <c r="G499" s="19" t="str">
        <f>_xlfn.XLOOKUP(B499,tblARV[ASN/DN '#],tblARV[Country],"Not found")</f>
        <v>Uganda</v>
      </c>
      <c r="H499" s="19" t="str">
        <f>_xlfn.XLOOKUP($B499,tblARV[ASN/DN '#],tblARV[Fulfill Via],"Not found")</f>
        <v>From RDC</v>
      </c>
      <c r="I499" s="19" t="str">
        <f>_xlfn.XLOOKUP($B499,tblARV[ASN/DN '#],tblARV[Vendor],"Not found")</f>
        <v>SCMS from RDC</v>
      </c>
    </row>
    <row r="500" spans="2:9" ht="15">
      <c r="B500" s="7" t="s">
        <v>273</v>
      </c>
      <c r="C500" s="10">
        <v>39965</v>
      </c>
      <c r="D500" s="10">
        <v>39965</v>
      </c>
      <c r="E500" s="18">
        <v>0</v>
      </c>
      <c r="F500" s="13" t="str">
        <f t="shared" si="18"/>
        <v>On-time</v>
      </c>
      <c r="G500" s="19" t="str">
        <f>_xlfn.XLOOKUP(B500,tblARV[ASN/DN '#],tblARV[Country],"Not found")</f>
        <v>Uganda</v>
      </c>
      <c r="H500" s="19" t="str">
        <f>_xlfn.XLOOKUP($B500,tblARV[ASN/DN '#],tblARV[Fulfill Via],"Not found")</f>
        <v>From RDC</v>
      </c>
      <c r="I500" s="19" t="str">
        <f>_xlfn.XLOOKUP($B500,tblARV[ASN/DN '#],tblARV[Vendor],"Not found")</f>
        <v>SCMS from RDC</v>
      </c>
    </row>
    <row r="501" spans="2:9" ht="15">
      <c r="B501" s="7" t="s">
        <v>496</v>
      </c>
      <c r="C501" s="10">
        <v>39987</v>
      </c>
      <c r="D501" s="10">
        <v>39987</v>
      </c>
      <c r="E501" s="18">
        <v>0</v>
      </c>
      <c r="F501" s="13" t="str">
        <f t="shared" si="18"/>
        <v>On-time</v>
      </c>
      <c r="G501" s="19" t="str">
        <f>_xlfn.XLOOKUP(B501,tblARV[ASN/DN '#],tblARV[Country],"Not found")</f>
        <v>Uganda</v>
      </c>
      <c r="H501" s="19" t="str">
        <f>_xlfn.XLOOKUP($B501,tblARV[ASN/DN '#],tblARV[Fulfill Via],"Not found")</f>
        <v>From RDC</v>
      </c>
      <c r="I501" s="19" t="str">
        <f>_xlfn.XLOOKUP($B501,tblARV[ASN/DN '#],tblARV[Vendor],"Not found")</f>
        <v>SCMS from RDC</v>
      </c>
    </row>
    <row r="502" spans="2:9" ht="15">
      <c r="B502" s="7" t="s">
        <v>697</v>
      </c>
      <c r="C502" s="10">
        <v>39965</v>
      </c>
      <c r="D502" s="10">
        <v>39965</v>
      </c>
      <c r="E502" s="18">
        <v>0</v>
      </c>
      <c r="F502" s="13" t="str">
        <f t="shared" si="18"/>
        <v>On-time</v>
      </c>
      <c r="G502" s="19" t="str">
        <f>_xlfn.XLOOKUP(B502,tblARV[ASN/DN '#],tblARV[Country],"Not found")</f>
        <v>Uganda</v>
      </c>
      <c r="H502" s="19" t="str">
        <f>_xlfn.XLOOKUP($B502,tblARV[ASN/DN '#],tblARV[Fulfill Via],"Not found")</f>
        <v>From RDC</v>
      </c>
      <c r="I502" s="19" t="str">
        <f>_xlfn.XLOOKUP($B502,tblARV[ASN/DN '#],tblARV[Vendor],"Not found")</f>
        <v>SCMS from RDC</v>
      </c>
    </row>
    <row r="503" spans="2:9" ht="15">
      <c r="B503" s="7" t="s">
        <v>654</v>
      </c>
      <c r="C503" s="10">
        <v>39988</v>
      </c>
      <c r="D503" s="10">
        <v>39988</v>
      </c>
      <c r="E503" s="18">
        <v>0</v>
      </c>
      <c r="F503" s="13" t="str">
        <f t="shared" si="18"/>
        <v>On-time</v>
      </c>
      <c r="G503" s="19" t="str">
        <f>_xlfn.XLOOKUP(B503,tblARV[ASN/DN '#],tblARV[Country],"Not found")</f>
        <v>Uganda</v>
      </c>
      <c r="H503" s="19" t="str">
        <f>_xlfn.XLOOKUP($B503,tblARV[ASN/DN '#],tblARV[Fulfill Via],"Not found")</f>
        <v>From RDC</v>
      </c>
      <c r="I503" s="19" t="str">
        <f>_xlfn.XLOOKUP($B503,tblARV[ASN/DN '#],tblARV[Vendor],"Not found")</f>
        <v>SCMS from RDC</v>
      </c>
    </row>
    <row r="504" spans="2:9" ht="15">
      <c r="B504" s="7" t="s">
        <v>373</v>
      </c>
      <c r="C504" s="10">
        <v>39965</v>
      </c>
      <c r="D504" s="10">
        <v>39965</v>
      </c>
      <c r="E504" s="18">
        <v>0</v>
      </c>
      <c r="F504" s="13" t="str">
        <f t="shared" si="18"/>
        <v>On-time</v>
      </c>
      <c r="G504" s="19" t="str">
        <f>_xlfn.XLOOKUP(B504,tblARV[ASN/DN '#],tblARV[Country],"Not found")</f>
        <v>Uganda</v>
      </c>
      <c r="H504" s="19" t="str">
        <f>_xlfn.XLOOKUP($B504,tblARV[ASN/DN '#],tblARV[Fulfill Via],"Not found")</f>
        <v>From RDC</v>
      </c>
      <c r="I504" s="19" t="str">
        <f>_xlfn.XLOOKUP($B504,tblARV[ASN/DN '#],tblARV[Vendor],"Not found")</f>
        <v>SCMS from RDC</v>
      </c>
    </row>
    <row r="505" spans="2:9" ht="15">
      <c r="B505" s="7" t="s">
        <v>436</v>
      </c>
      <c r="C505" s="10">
        <v>39239</v>
      </c>
      <c r="D505" s="10">
        <v>39239</v>
      </c>
      <c r="E505" s="18">
        <v>0</v>
      </c>
      <c r="F505" s="13" t="str">
        <f t="shared" si="18"/>
        <v>On-time</v>
      </c>
      <c r="G505" s="19" t="str">
        <f>_xlfn.XLOOKUP(B505,tblARV[ASN/DN '#],tblARV[Country],"Not found")</f>
        <v>Tanzania</v>
      </c>
      <c r="H505" s="19" t="str">
        <f>_xlfn.XLOOKUP($B505,tblARV[ASN/DN '#],tblARV[Fulfill Via],"Not found")</f>
        <v>From RDC</v>
      </c>
      <c r="I505" s="19" t="str">
        <f>_xlfn.XLOOKUP($B505,tblARV[ASN/DN '#],tblARV[Vendor],"Not found")</f>
        <v>SCMS from RDC</v>
      </c>
    </row>
    <row r="506" spans="2:9" ht="15">
      <c r="B506" s="7" t="s">
        <v>656</v>
      </c>
      <c r="C506" s="10">
        <v>39990</v>
      </c>
      <c r="D506" s="10">
        <v>39990</v>
      </c>
      <c r="E506" s="18">
        <v>0</v>
      </c>
      <c r="F506" s="13" t="str">
        <f t="shared" si="18"/>
        <v>On-time</v>
      </c>
      <c r="G506" s="19" t="str">
        <f>_xlfn.XLOOKUP(B506,tblARV[ASN/DN '#],tblARV[Country],"Not found")</f>
        <v>Uganda</v>
      </c>
      <c r="H506" s="19" t="str">
        <f>_xlfn.XLOOKUP($B506,tblARV[ASN/DN '#],tblARV[Fulfill Via],"Not found")</f>
        <v>From RDC</v>
      </c>
      <c r="I506" s="19" t="str">
        <f>_xlfn.XLOOKUP($B506,tblARV[ASN/DN '#],tblARV[Vendor],"Not found")</f>
        <v>SCMS from RDC</v>
      </c>
    </row>
    <row r="507" spans="2:9" ht="15">
      <c r="B507" s="7" t="s">
        <v>498</v>
      </c>
      <c r="C507" s="10">
        <v>39987</v>
      </c>
      <c r="D507" s="10">
        <v>39987</v>
      </c>
      <c r="E507" s="18">
        <v>0</v>
      </c>
      <c r="F507" s="13" t="str">
        <f t="shared" si="18"/>
        <v>On-time</v>
      </c>
      <c r="G507" s="19" t="str">
        <f>_xlfn.XLOOKUP(B507,tblARV[ASN/DN '#],tblARV[Country],"Not found")</f>
        <v>Uganda</v>
      </c>
      <c r="H507" s="19" t="str">
        <f>_xlfn.XLOOKUP($B507,tblARV[ASN/DN '#],tblARV[Fulfill Via],"Not found")</f>
        <v>From RDC</v>
      </c>
      <c r="I507" s="19" t="str">
        <f>_xlfn.XLOOKUP($B507,tblARV[ASN/DN '#],tblARV[Vendor],"Not found")</f>
        <v>SCMS from RDC</v>
      </c>
    </row>
    <row r="508" spans="2:9" ht="15">
      <c r="B508" s="7" t="s">
        <v>375</v>
      </c>
      <c r="C508" s="10">
        <v>39986</v>
      </c>
      <c r="D508" s="10">
        <v>39986</v>
      </c>
      <c r="E508" s="18">
        <v>0</v>
      </c>
      <c r="F508" s="13" t="str">
        <f t="shared" si="18"/>
        <v>On-time</v>
      </c>
      <c r="G508" s="19" t="str">
        <f>_xlfn.XLOOKUP(B508,tblARV[ASN/DN '#],tblARV[Country],"Not found")</f>
        <v>Uganda</v>
      </c>
      <c r="H508" s="19" t="str">
        <f>_xlfn.XLOOKUP($B508,tblARV[ASN/DN '#],tblARV[Fulfill Via],"Not found")</f>
        <v>From RDC</v>
      </c>
      <c r="I508" s="19" t="str">
        <f>_xlfn.XLOOKUP($B508,tblARV[ASN/DN '#],tblARV[Vendor],"Not found")</f>
        <v>SCMS from RDC</v>
      </c>
    </row>
    <row r="509" spans="2:9" ht="15">
      <c r="B509" s="7" t="s">
        <v>602</v>
      </c>
      <c r="C509" s="10">
        <v>39993</v>
      </c>
      <c r="D509" s="10">
        <v>39993</v>
      </c>
      <c r="E509" s="18">
        <v>0</v>
      </c>
      <c r="F509" s="13" t="str">
        <f t="shared" si="18"/>
        <v>On-time</v>
      </c>
      <c r="G509" s="19" t="str">
        <f>_xlfn.XLOOKUP(B509,tblARV[ASN/DN '#],tblARV[Country],"Not found")</f>
        <v>Uganda</v>
      </c>
      <c r="H509" s="19" t="str">
        <f>_xlfn.XLOOKUP($B509,tblARV[ASN/DN '#],tblARV[Fulfill Via],"Not found")</f>
        <v>From RDC</v>
      </c>
      <c r="I509" s="19" t="str">
        <f>_xlfn.XLOOKUP($B509,tblARV[ASN/DN '#],tblARV[Vendor],"Not found")</f>
        <v>SCMS from RDC</v>
      </c>
    </row>
    <row r="510" spans="2:9" ht="15">
      <c r="B510" s="7" t="s">
        <v>502</v>
      </c>
      <c r="C510" s="10">
        <v>40071</v>
      </c>
      <c r="D510" s="10">
        <v>40071</v>
      </c>
      <c r="E510" s="18">
        <v>0</v>
      </c>
      <c r="F510" s="13" t="str">
        <f t="shared" si="18"/>
        <v>On-time</v>
      </c>
      <c r="G510" s="19" t="str">
        <f>_xlfn.XLOOKUP(B510,tblARV[ASN/DN '#],tblARV[Country],"Not found")</f>
        <v>Uganda</v>
      </c>
      <c r="H510" s="19" t="str">
        <f>_xlfn.XLOOKUP($B510,tblARV[ASN/DN '#],tblARV[Fulfill Via],"Not found")</f>
        <v>From RDC</v>
      </c>
      <c r="I510" s="19" t="str">
        <f>_xlfn.XLOOKUP($B510,tblARV[ASN/DN '#],tblARV[Vendor],"Not found")</f>
        <v>SCMS from RDC</v>
      </c>
    </row>
    <row r="511" spans="2:9" ht="15">
      <c r="B511" s="7" t="s">
        <v>500</v>
      </c>
      <c r="C511" s="10">
        <v>40039</v>
      </c>
      <c r="D511" s="10">
        <v>40039</v>
      </c>
      <c r="E511" s="18">
        <v>0</v>
      </c>
      <c r="F511" s="13" t="str">
        <f t="shared" si="18"/>
        <v>On-time</v>
      </c>
      <c r="G511" s="19" t="str">
        <f>_xlfn.XLOOKUP(B511,tblARV[ASN/DN '#],tblARV[Country],"Not found")</f>
        <v>Uganda</v>
      </c>
      <c r="H511" s="19" t="str">
        <f>_xlfn.XLOOKUP($B511,tblARV[ASN/DN '#],tblARV[Fulfill Via],"Not found")</f>
        <v>From RDC</v>
      </c>
      <c r="I511" s="19" t="str">
        <f>_xlfn.XLOOKUP($B511,tblARV[ASN/DN '#],tblARV[Vendor],"Not found")</f>
        <v>SCMS from RDC</v>
      </c>
    </row>
    <row r="512" spans="2:9" ht="15">
      <c r="B512" s="7" t="s">
        <v>549</v>
      </c>
      <c r="C512" s="10">
        <v>40039</v>
      </c>
      <c r="D512" s="10">
        <v>40039</v>
      </c>
      <c r="E512" s="18">
        <v>0</v>
      </c>
      <c r="F512" s="13" t="str">
        <f t="shared" si="18"/>
        <v>On-time</v>
      </c>
      <c r="G512" s="19" t="str">
        <f>_xlfn.XLOOKUP(B512,tblARV[ASN/DN '#],tblARV[Country],"Not found")</f>
        <v>Uganda</v>
      </c>
      <c r="H512" s="19" t="str">
        <f>_xlfn.XLOOKUP($B512,tblARV[ASN/DN '#],tblARV[Fulfill Via],"Not found")</f>
        <v>From RDC</v>
      </c>
      <c r="I512" s="19" t="str">
        <f>_xlfn.XLOOKUP($B512,tblARV[ASN/DN '#],tblARV[Vendor],"Not found")</f>
        <v>SCMS from RDC</v>
      </c>
    </row>
    <row r="513" spans="2:9" ht="15">
      <c r="B513" s="7" t="s">
        <v>551</v>
      </c>
      <c r="C513" s="10">
        <v>40011</v>
      </c>
      <c r="D513" s="10">
        <v>40011</v>
      </c>
      <c r="E513" s="18">
        <v>0</v>
      </c>
      <c r="F513" s="13" t="str">
        <f t="shared" si="18"/>
        <v>On-time</v>
      </c>
      <c r="G513" s="19" t="str">
        <f>_xlfn.XLOOKUP(B513,tblARV[ASN/DN '#],tblARV[Country],"Not found")</f>
        <v>Uganda</v>
      </c>
      <c r="H513" s="19" t="str">
        <f>_xlfn.XLOOKUP($B513,tblARV[ASN/DN '#],tblARV[Fulfill Via],"Not found")</f>
        <v>From RDC</v>
      </c>
      <c r="I513" s="19" t="str">
        <f>_xlfn.XLOOKUP($B513,tblARV[ASN/DN '#],tblARV[Vendor],"Not found")</f>
        <v>SCMS from RDC</v>
      </c>
    </row>
    <row r="514" spans="2:9" ht="15">
      <c r="B514" s="7" t="s">
        <v>275</v>
      </c>
      <c r="C514" s="10">
        <v>40045</v>
      </c>
      <c r="D514" s="10">
        <v>40045</v>
      </c>
      <c r="E514" s="18">
        <v>0</v>
      </c>
      <c r="F514" s="13" t="str">
        <f t="shared" si="18"/>
        <v>On-time</v>
      </c>
      <c r="G514" s="19" t="str">
        <f>_xlfn.XLOOKUP(B514,tblARV[ASN/DN '#],tblARV[Country],"Not found")</f>
        <v>Tanzania</v>
      </c>
      <c r="H514" s="19" t="str">
        <f>_xlfn.XLOOKUP($B514,tblARV[ASN/DN '#],tblARV[Fulfill Via],"Not found")</f>
        <v>From RDC</v>
      </c>
      <c r="I514" s="19" t="str">
        <f>_xlfn.XLOOKUP($B514,tblARV[ASN/DN '#],tblARV[Vendor],"Not found")</f>
        <v>SCMS from RDC</v>
      </c>
    </row>
    <row r="515" spans="2:9" ht="15">
      <c r="B515" s="7" t="s">
        <v>658</v>
      </c>
      <c r="C515" s="10">
        <v>40035</v>
      </c>
      <c r="D515" s="10">
        <v>40035</v>
      </c>
      <c r="E515" s="18">
        <v>0</v>
      </c>
      <c r="F515" s="13" t="str">
        <f t="shared" si="18"/>
        <v>On-time</v>
      </c>
      <c r="G515" s="19" t="str">
        <f>_xlfn.XLOOKUP(B515,tblARV[ASN/DN '#],tblARV[Country],"Not found")</f>
        <v>Uganda</v>
      </c>
      <c r="H515" s="19" t="str">
        <f>_xlfn.XLOOKUP($B515,tblARV[ASN/DN '#],tblARV[Fulfill Via],"Not found")</f>
        <v>From RDC</v>
      </c>
      <c r="I515" s="19" t="str">
        <f>_xlfn.XLOOKUP($B515,tblARV[ASN/DN '#],tblARV[Vendor],"Not found")</f>
        <v>SCMS from RDC</v>
      </c>
    </row>
    <row r="516" spans="2:9" ht="15">
      <c r="B516" s="7" t="s">
        <v>604</v>
      </c>
      <c r="C516" s="10">
        <v>40025</v>
      </c>
      <c r="D516" s="10">
        <v>40025</v>
      </c>
      <c r="E516" s="18">
        <v>0</v>
      </c>
      <c r="F516" s="13" t="str">
        <f t="shared" si="18"/>
        <v>On-time</v>
      </c>
      <c r="G516" s="19" t="str">
        <f>_xlfn.XLOOKUP(B516,tblARV[ASN/DN '#],tblARV[Country],"Not found")</f>
        <v>Rwanda</v>
      </c>
      <c r="H516" s="19" t="str">
        <f>_xlfn.XLOOKUP($B516,tblARV[ASN/DN '#],tblARV[Fulfill Via],"Not found")</f>
        <v>From RDC</v>
      </c>
      <c r="I516" s="19" t="str">
        <f>_xlfn.XLOOKUP($B516,tblARV[ASN/DN '#],tblARV[Vendor],"Not found")</f>
        <v>SCMS from RDC</v>
      </c>
    </row>
    <row r="517" spans="2:9" ht="15">
      <c r="B517" s="7" t="s">
        <v>504</v>
      </c>
      <c r="C517" s="10">
        <v>40049</v>
      </c>
      <c r="D517" s="10">
        <v>40049</v>
      </c>
      <c r="E517" s="18">
        <v>0</v>
      </c>
      <c r="F517" s="13" t="str">
        <f t="shared" si="18"/>
        <v>On-time</v>
      </c>
      <c r="G517" s="19" t="str">
        <f>_xlfn.XLOOKUP(B517,tblARV[ASN/DN '#],tblARV[Country],"Not found")</f>
        <v>Uganda</v>
      </c>
      <c r="H517" s="19" t="str">
        <f>_xlfn.XLOOKUP($B517,tblARV[ASN/DN '#],tblARV[Fulfill Via],"Not found")</f>
        <v>From RDC</v>
      </c>
      <c r="I517" s="19" t="str">
        <f>_xlfn.XLOOKUP($B517,tblARV[ASN/DN '#],tblARV[Vendor],"Not found")</f>
        <v>SCMS from RDC</v>
      </c>
    </row>
    <row r="518" spans="2:9" ht="15">
      <c r="B518" s="7" t="s">
        <v>606</v>
      </c>
      <c r="C518" s="10">
        <v>40053</v>
      </c>
      <c r="D518" s="10">
        <v>40053</v>
      </c>
      <c r="E518" s="18">
        <v>0</v>
      </c>
      <c r="F518" s="13" t="str">
        <f t="shared" si="18"/>
        <v>On-time</v>
      </c>
      <c r="G518" s="19" t="str">
        <f>_xlfn.XLOOKUP(B518,tblARV[ASN/DN '#],tblARV[Country],"Not found")</f>
        <v>Uganda</v>
      </c>
      <c r="H518" s="19" t="str">
        <f>_xlfn.XLOOKUP($B518,tblARV[ASN/DN '#],tblARV[Fulfill Via],"Not found")</f>
        <v>From RDC</v>
      </c>
      <c r="I518" s="19" t="str">
        <f>_xlfn.XLOOKUP($B518,tblARV[ASN/DN '#],tblARV[Vendor],"Not found")</f>
        <v>SCMS from RDC</v>
      </c>
    </row>
    <row r="519" spans="2:9" ht="15">
      <c r="B519" s="7" t="s">
        <v>553</v>
      </c>
      <c r="C519" s="10">
        <v>40065</v>
      </c>
      <c r="D519" s="10">
        <v>40065</v>
      </c>
      <c r="E519" s="18">
        <v>0</v>
      </c>
      <c r="F519" s="13" t="str">
        <f t="shared" si="18"/>
        <v>On-time</v>
      </c>
      <c r="G519" s="19" t="str">
        <f>_xlfn.XLOOKUP(B519,tblARV[ASN/DN '#],tblARV[Country],"Not found")</f>
        <v>Uganda</v>
      </c>
      <c r="H519" s="19" t="str">
        <f>_xlfn.XLOOKUP($B519,tblARV[ASN/DN '#],tblARV[Fulfill Via],"Not found")</f>
        <v>From RDC</v>
      </c>
      <c r="I519" s="19" t="str">
        <f>_xlfn.XLOOKUP($B519,tblARV[ASN/DN '#],tblARV[Vendor],"Not found")</f>
        <v>SCMS from RDC</v>
      </c>
    </row>
    <row r="520" spans="2:9" ht="15">
      <c r="B520" s="7" t="s">
        <v>699</v>
      </c>
      <c r="C520" s="10">
        <v>40071</v>
      </c>
      <c r="D520" s="10">
        <v>40071</v>
      </c>
      <c r="E520" s="18">
        <v>0</v>
      </c>
      <c r="F520" s="13" t="str">
        <f t="shared" si="18"/>
        <v>On-time</v>
      </c>
      <c r="G520" s="19" t="str">
        <f>_xlfn.XLOOKUP(B520,tblARV[ASN/DN '#],tblARV[Country],"Not found")</f>
        <v>Uganda</v>
      </c>
      <c r="H520" s="19" t="str">
        <f>_xlfn.XLOOKUP($B520,tblARV[ASN/DN '#],tblARV[Fulfill Via],"Not found")</f>
        <v>From RDC</v>
      </c>
      <c r="I520" s="19" t="str">
        <f>_xlfn.XLOOKUP($B520,tblARV[ASN/DN '#],tblARV[Vendor],"Not found")</f>
        <v>SCMS from RDC</v>
      </c>
    </row>
    <row r="521" spans="2:9" ht="15">
      <c r="B521" s="7" t="s">
        <v>377</v>
      </c>
      <c r="C521" s="10">
        <v>40070</v>
      </c>
      <c r="D521" s="10">
        <v>40070</v>
      </c>
      <c r="E521" s="18">
        <v>0</v>
      </c>
      <c r="F521" s="13" t="str">
        <f t="shared" si="18"/>
        <v>On-time</v>
      </c>
      <c r="G521" s="19" t="str">
        <f>_xlfn.XLOOKUP(B521,tblARV[ASN/DN '#],tblARV[Country],"Not found")</f>
        <v>Uganda</v>
      </c>
      <c r="H521" s="19" t="str">
        <f>_xlfn.XLOOKUP($B521,tblARV[ASN/DN '#],tblARV[Fulfill Via],"Not found")</f>
        <v>From RDC</v>
      </c>
      <c r="I521" s="19" t="str">
        <f>_xlfn.XLOOKUP($B521,tblARV[ASN/DN '#],tblARV[Vendor],"Not found")</f>
        <v>SCMS from RDC</v>
      </c>
    </row>
    <row r="522" spans="2:9" ht="15">
      <c r="B522" s="7" t="s">
        <v>555</v>
      </c>
      <c r="C522" s="10">
        <v>40070</v>
      </c>
      <c r="D522" s="10">
        <v>40070</v>
      </c>
      <c r="E522" s="18">
        <v>0</v>
      </c>
      <c r="F522" s="13" t="str">
        <f t="shared" si="18"/>
        <v>On-time</v>
      </c>
      <c r="G522" s="19" t="str">
        <f>_xlfn.XLOOKUP(B522,tblARV[ASN/DN '#],tblARV[Country],"Not found")</f>
        <v>Uganda</v>
      </c>
      <c r="H522" s="19" t="str">
        <f>_xlfn.XLOOKUP($B522,tblARV[ASN/DN '#],tblARV[Fulfill Via],"Not found")</f>
        <v>From RDC</v>
      </c>
      <c r="I522" s="19" t="str">
        <f>_xlfn.XLOOKUP($B522,tblARV[ASN/DN '#],tblARV[Vendor],"Not found")</f>
        <v>SCMS from RDC</v>
      </c>
    </row>
    <row r="523" spans="2:9" ht="15">
      <c r="B523" s="7" t="s">
        <v>1501</v>
      </c>
      <c r="C523" s="10">
        <v>40094</v>
      </c>
      <c r="D523" s="10">
        <v>40094</v>
      </c>
      <c r="E523" s="18">
        <v>0</v>
      </c>
      <c r="F523" s="13" t="str">
        <f t="shared" si="18"/>
        <v>On-time</v>
      </c>
      <c r="G523" s="19" t="str">
        <f>_xlfn.XLOOKUP(B523,tblARV[ASN/DN '#],tblARV[Country],"Not found")</f>
        <v>Uganda</v>
      </c>
      <c r="H523" s="19" t="str">
        <f>_xlfn.XLOOKUP($B523,tblARV[ASN/DN '#],tblARV[Fulfill Via],"Not found")</f>
        <v>From RDC</v>
      </c>
      <c r="I523" s="19" t="str">
        <f>_xlfn.XLOOKUP($B523,tblARV[ASN/DN '#],tblARV[Vendor],"Not found")</f>
        <v>SCMS from RDC</v>
      </c>
    </row>
    <row r="524" spans="2:9" ht="15">
      <c r="B524" s="7" t="s">
        <v>506</v>
      </c>
      <c r="C524" s="10">
        <v>40067</v>
      </c>
      <c r="D524" s="10">
        <v>40067</v>
      </c>
      <c r="E524" s="18">
        <v>0</v>
      </c>
      <c r="F524" s="13" t="str">
        <f t="shared" si="18"/>
        <v>On-time</v>
      </c>
      <c r="G524" s="19" t="str">
        <f>_xlfn.XLOOKUP(B524,tblARV[ASN/DN '#],tblARV[Country],"Not found")</f>
        <v>Uganda</v>
      </c>
      <c r="H524" s="19" t="str">
        <f>_xlfn.XLOOKUP($B524,tblARV[ASN/DN '#],tblARV[Fulfill Via],"Not found")</f>
        <v>From RDC</v>
      </c>
      <c r="I524" s="19" t="str">
        <f>_xlfn.XLOOKUP($B524,tblARV[ASN/DN '#],tblARV[Vendor],"Not found")</f>
        <v>SCMS from RDC</v>
      </c>
    </row>
    <row r="525" spans="2:9" ht="15">
      <c r="B525" s="7" t="s">
        <v>701</v>
      </c>
      <c r="C525" s="10">
        <v>40093</v>
      </c>
      <c r="D525" s="10">
        <v>40093</v>
      </c>
      <c r="E525" s="18">
        <v>0</v>
      </c>
      <c r="F525" s="13" t="str">
        <f t="shared" si="18"/>
        <v>On-time</v>
      </c>
      <c r="G525" s="19" t="str">
        <f>_xlfn.XLOOKUP(B525,tblARV[ASN/DN '#],tblARV[Country],"Not found")</f>
        <v>Uganda</v>
      </c>
      <c r="H525" s="19" t="str">
        <f>_xlfn.XLOOKUP($B525,tblARV[ASN/DN '#],tblARV[Fulfill Via],"Not found")</f>
        <v>From RDC</v>
      </c>
      <c r="I525" s="19" t="str">
        <f>_xlfn.XLOOKUP($B525,tblARV[ASN/DN '#],tblARV[Vendor],"Not found")</f>
        <v>SCMS from RDC</v>
      </c>
    </row>
    <row r="526" spans="2:9" ht="15">
      <c r="B526" s="7" t="s">
        <v>379</v>
      </c>
      <c r="C526" s="10">
        <v>40094</v>
      </c>
      <c r="D526" s="10">
        <v>40094</v>
      </c>
      <c r="E526" s="18">
        <v>0</v>
      </c>
      <c r="F526" s="13" t="str">
        <f t="shared" si="18"/>
        <v>On-time</v>
      </c>
      <c r="G526" s="19" t="str">
        <f>_xlfn.XLOOKUP(B526,tblARV[ASN/DN '#],tblARV[Country],"Not found")</f>
        <v>Uganda</v>
      </c>
      <c r="H526" s="19" t="str">
        <f>_xlfn.XLOOKUP($B526,tblARV[ASN/DN '#],tblARV[Fulfill Via],"Not found")</f>
        <v>From RDC</v>
      </c>
      <c r="I526" s="19" t="str">
        <f>_xlfn.XLOOKUP($B526,tblARV[ASN/DN '#],tblARV[Vendor],"Not found")</f>
        <v>SCMS from RDC</v>
      </c>
    </row>
    <row r="527" spans="2:9" ht="15">
      <c r="B527" s="7" t="s">
        <v>2565</v>
      </c>
      <c r="C527" s="10">
        <v>40094</v>
      </c>
      <c r="D527" s="10">
        <v>40094</v>
      </c>
      <c r="E527" s="18">
        <v>0</v>
      </c>
      <c r="F527" s="13" t="str">
        <f t="shared" si="18"/>
        <v>On-time</v>
      </c>
      <c r="G527" s="19" t="str">
        <f>_xlfn.XLOOKUP(B527,tblARV[ASN/DN '#],tblARV[Country],"Not found")</f>
        <v>Uganda</v>
      </c>
      <c r="H527" s="19" t="str">
        <f>_xlfn.XLOOKUP($B527,tblARV[ASN/DN '#],tblARV[Fulfill Via],"Not found")</f>
        <v>From RDC</v>
      </c>
      <c r="I527" s="19" t="str">
        <f>_xlfn.XLOOKUP($B527,tblARV[ASN/DN '#],tblARV[Vendor],"Not found")</f>
        <v>SCMS from RDC</v>
      </c>
    </row>
    <row r="528" spans="2:9" ht="15">
      <c r="B528" s="7" t="s">
        <v>608</v>
      </c>
      <c r="C528" s="10">
        <v>40081</v>
      </c>
      <c r="D528" s="10">
        <v>40081</v>
      </c>
      <c r="E528" s="18">
        <v>0</v>
      </c>
      <c r="F528" s="13" t="str">
        <f t="shared" si="18"/>
        <v>On-time</v>
      </c>
      <c r="G528" s="19" t="str">
        <f>_xlfn.XLOOKUP(B528,tblARV[ASN/DN '#],tblARV[Country],"Not found")</f>
        <v>Tanzania</v>
      </c>
      <c r="H528" s="19" t="str">
        <f>_xlfn.XLOOKUP($B528,tblARV[ASN/DN '#],tblARV[Fulfill Via],"Not found")</f>
        <v>From RDC</v>
      </c>
      <c r="I528" s="19" t="str">
        <f>_xlfn.XLOOKUP($B528,tblARV[ASN/DN '#],tblARV[Vendor],"Not found")</f>
        <v>SCMS from RDC</v>
      </c>
    </row>
    <row r="529" spans="2:9" ht="15">
      <c r="B529" s="7" t="s">
        <v>660</v>
      </c>
      <c r="C529" s="10">
        <v>40081</v>
      </c>
      <c r="D529" s="10">
        <v>40081</v>
      </c>
      <c r="E529" s="18">
        <v>0</v>
      </c>
      <c r="F529" s="13" t="str">
        <f t="shared" si="18"/>
        <v>On-time</v>
      </c>
      <c r="G529" s="19" t="str">
        <f>_xlfn.XLOOKUP(B529,tblARV[ASN/DN '#],tblARV[Country],"Not found")</f>
        <v>Tanzania</v>
      </c>
      <c r="H529" s="19" t="str">
        <f>_xlfn.XLOOKUP($B529,tblARV[ASN/DN '#],tblARV[Fulfill Via],"Not found")</f>
        <v>From RDC</v>
      </c>
      <c r="I529" s="19" t="str">
        <f>_xlfn.XLOOKUP($B529,tblARV[ASN/DN '#],tblARV[Vendor],"Not found")</f>
        <v>SCMS from RDC</v>
      </c>
    </row>
    <row r="530" spans="2:9" ht="15">
      <c r="B530" s="7" t="s">
        <v>662</v>
      </c>
      <c r="C530" s="10">
        <v>40112</v>
      </c>
      <c r="D530" s="10">
        <v>40112</v>
      </c>
      <c r="E530" s="18">
        <v>0</v>
      </c>
      <c r="F530" s="13" t="str">
        <f t="shared" si="18"/>
        <v>On-time</v>
      </c>
      <c r="G530" s="19" t="str">
        <f>_xlfn.XLOOKUP(B530,tblARV[ASN/DN '#],tblARV[Country],"Not found")</f>
        <v>Tanzania</v>
      </c>
      <c r="H530" s="19" t="str">
        <f>_xlfn.XLOOKUP($B530,tblARV[ASN/DN '#],tblARV[Fulfill Via],"Not found")</f>
        <v>From RDC</v>
      </c>
      <c r="I530" s="19" t="str">
        <f>_xlfn.XLOOKUP($B530,tblARV[ASN/DN '#],tblARV[Vendor],"Not found")</f>
        <v>SCMS from RDC</v>
      </c>
    </row>
    <row r="531" spans="2:9" ht="15">
      <c r="B531" s="7" t="s">
        <v>277</v>
      </c>
      <c r="C531" s="10">
        <v>40094</v>
      </c>
      <c r="D531" s="10">
        <v>40094</v>
      </c>
      <c r="E531" s="18">
        <v>0</v>
      </c>
      <c r="F531" s="13" t="str">
        <f t="shared" si="18"/>
        <v>On-time</v>
      </c>
      <c r="G531" s="19" t="str">
        <f>_xlfn.XLOOKUP(B531,tblARV[ASN/DN '#],tblARV[Country],"Not found")</f>
        <v>Uganda</v>
      </c>
      <c r="H531" s="19" t="str">
        <f>_xlfn.XLOOKUP($B531,tblARV[ASN/DN '#],tblARV[Fulfill Via],"Not found")</f>
        <v>From RDC</v>
      </c>
      <c r="I531" s="19" t="str">
        <f>_xlfn.XLOOKUP($B531,tblARV[ASN/DN '#],tblARV[Vendor],"Not found")</f>
        <v>SCMS from RDC</v>
      </c>
    </row>
    <row r="532" spans="2:9" ht="15">
      <c r="B532" s="7" t="s">
        <v>508</v>
      </c>
      <c r="C532" s="10">
        <v>40098</v>
      </c>
      <c r="D532" s="10">
        <v>40098</v>
      </c>
      <c r="E532" s="18">
        <v>0</v>
      </c>
      <c r="F532" s="13" t="str">
        <f t="shared" si="18"/>
        <v>On-time</v>
      </c>
      <c r="G532" s="19" t="str">
        <f>_xlfn.XLOOKUP(B532,tblARV[ASN/DN '#],tblARV[Country],"Not found")</f>
        <v>Uganda</v>
      </c>
      <c r="H532" s="19" t="str">
        <f>_xlfn.XLOOKUP($B532,tblARV[ASN/DN '#],tblARV[Fulfill Via],"Not found")</f>
        <v>From RDC</v>
      </c>
      <c r="I532" s="19" t="str">
        <f>_xlfn.XLOOKUP($B532,tblARV[ASN/DN '#],tblARV[Vendor],"Not found")</f>
        <v>SCMS from RDC</v>
      </c>
    </row>
    <row r="533" spans="2:9" ht="15">
      <c r="B533" s="7" t="s">
        <v>279</v>
      </c>
      <c r="C533" s="10">
        <v>40112</v>
      </c>
      <c r="D533" s="10">
        <v>40112</v>
      </c>
      <c r="E533" s="18">
        <v>0</v>
      </c>
      <c r="F533" s="13" t="str">
        <f t="shared" ref="F533:F596" si="19">IF($E533&lt;=0,"On-time","Late")</f>
        <v>On-time</v>
      </c>
      <c r="G533" s="19" t="str">
        <f>_xlfn.XLOOKUP(B533,tblARV[ASN/DN '#],tblARV[Country],"Not found")</f>
        <v>Tanzania</v>
      </c>
      <c r="H533" s="19" t="str">
        <f>_xlfn.XLOOKUP($B533,tblARV[ASN/DN '#],tblARV[Fulfill Via],"Not found")</f>
        <v>From RDC</v>
      </c>
      <c r="I533" s="19" t="str">
        <f>_xlfn.XLOOKUP($B533,tblARV[ASN/DN '#],tblARV[Vendor],"Not found")</f>
        <v>SCMS from RDC</v>
      </c>
    </row>
    <row r="534" spans="2:9" ht="15">
      <c r="B534" s="7" t="s">
        <v>557</v>
      </c>
      <c r="C534" s="10">
        <v>40092</v>
      </c>
      <c r="D534" s="10">
        <v>40092</v>
      </c>
      <c r="E534" s="18">
        <v>0</v>
      </c>
      <c r="F534" s="13" t="str">
        <f t="shared" si="19"/>
        <v>On-time</v>
      </c>
      <c r="G534" s="19" t="str">
        <f>_xlfn.XLOOKUP(B534,tblARV[ASN/DN '#],tblARV[Country],"Not found")</f>
        <v>Ethiopia</v>
      </c>
      <c r="H534" s="19" t="str">
        <f>_xlfn.XLOOKUP($B534,tblARV[ASN/DN '#],tblARV[Fulfill Via],"Not found")</f>
        <v>From RDC</v>
      </c>
      <c r="I534" s="19" t="str">
        <f>_xlfn.XLOOKUP($B534,tblARV[ASN/DN '#],tblARV[Vendor],"Not found")</f>
        <v>SCMS from RDC</v>
      </c>
    </row>
    <row r="535" spans="2:9" ht="15">
      <c r="B535" s="7" t="s">
        <v>610</v>
      </c>
      <c r="C535" s="10">
        <v>40085</v>
      </c>
      <c r="D535" s="10">
        <v>40085</v>
      </c>
      <c r="E535" s="18">
        <v>0</v>
      </c>
      <c r="F535" s="13" t="str">
        <f t="shared" si="19"/>
        <v>On-time</v>
      </c>
      <c r="G535" s="19" t="str">
        <f>_xlfn.XLOOKUP(B535,tblARV[ASN/DN '#],tblARV[Country],"Not found")</f>
        <v>Ethiopia</v>
      </c>
      <c r="H535" s="19" t="str">
        <f>_xlfn.XLOOKUP($B535,tblARV[ASN/DN '#],tblARV[Fulfill Via],"Not found")</f>
        <v>From RDC</v>
      </c>
      <c r="I535" s="19" t="str">
        <f>_xlfn.XLOOKUP($B535,tblARV[ASN/DN '#],tblARV[Vendor],"Not found")</f>
        <v>SCMS from RDC</v>
      </c>
    </row>
    <row r="536" spans="2:9" ht="15">
      <c r="B536" s="7" t="s">
        <v>281</v>
      </c>
      <c r="C536" s="10">
        <v>40098</v>
      </c>
      <c r="D536" s="10">
        <v>40098</v>
      </c>
      <c r="E536" s="18">
        <v>0</v>
      </c>
      <c r="F536" s="13" t="str">
        <f t="shared" si="19"/>
        <v>On-time</v>
      </c>
      <c r="G536" s="19" t="str">
        <f>_xlfn.XLOOKUP(B536,tblARV[ASN/DN '#],tblARV[Country],"Not found")</f>
        <v>Uganda</v>
      </c>
      <c r="H536" s="19" t="str">
        <f>_xlfn.XLOOKUP($B536,tblARV[ASN/DN '#],tblARV[Fulfill Via],"Not found")</f>
        <v>From RDC</v>
      </c>
      <c r="I536" s="19" t="str">
        <f>_xlfn.XLOOKUP($B536,tblARV[ASN/DN '#],tblARV[Vendor],"Not found")</f>
        <v>SCMS from RDC</v>
      </c>
    </row>
    <row r="537" spans="2:9" ht="15">
      <c r="B537" s="7" t="s">
        <v>510</v>
      </c>
      <c r="C537" s="10">
        <v>40106</v>
      </c>
      <c r="D537" s="10">
        <v>40106</v>
      </c>
      <c r="E537" s="18">
        <v>0</v>
      </c>
      <c r="F537" s="13" t="str">
        <f t="shared" si="19"/>
        <v>On-time</v>
      </c>
      <c r="G537" s="19" t="str">
        <f>_xlfn.XLOOKUP(B537,tblARV[ASN/DN '#],tblARV[Country],"Not found")</f>
        <v>Ethiopia</v>
      </c>
      <c r="H537" s="19" t="str">
        <f>_xlfn.XLOOKUP($B537,tblARV[ASN/DN '#],tblARV[Fulfill Via],"Not found")</f>
        <v>From RDC</v>
      </c>
      <c r="I537" s="19" t="str">
        <f>_xlfn.XLOOKUP($B537,tblARV[ASN/DN '#],tblARV[Vendor],"Not found")</f>
        <v>SCMS from RDC</v>
      </c>
    </row>
    <row r="538" spans="2:9" ht="15">
      <c r="B538" s="7" t="s">
        <v>559</v>
      </c>
      <c r="C538" s="10">
        <v>40115</v>
      </c>
      <c r="D538" s="10">
        <v>40115</v>
      </c>
      <c r="E538" s="18">
        <v>0</v>
      </c>
      <c r="F538" s="13" t="str">
        <f t="shared" si="19"/>
        <v>On-time</v>
      </c>
      <c r="G538" s="19" t="str">
        <f>_xlfn.XLOOKUP(B538,tblARV[ASN/DN '#],tblARV[Country],"Not found")</f>
        <v>Uganda</v>
      </c>
      <c r="H538" s="19" t="str">
        <f>_xlfn.XLOOKUP($B538,tblARV[ASN/DN '#],tblARV[Fulfill Via],"Not found")</f>
        <v>From RDC</v>
      </c>
      <c r="I538" s="19" t="str">
        <f>_xlfn.XLOOKUP($B538,tblARV[ASN/DN '#],tblARV[Vendor],"Not found")</f>
        <v>SCMS from RDC</v>
      </c>
    </row>
    <row r="539" spans="2:9" ht="15">
      <c r="B539" s="7" t="s">
        <v>561</v>
      </c>
      <c r="C539" s="10">
        <v>40115</v>
      </c>
      <c r="D539" s="10">
        <v>40115</v>
      </c>
      <c r="E539" s="18">
        <v>0</v>
      </c>
      <c r="F539" s="13" t="str">
        <f t="shared" si="19"/>
        <v>On-time</v>
      </c>
      <c r="G539" s="19" t="str">
        <f>_xlfn.XLOOKUP(B539,tblARV[ASN/DN '#],tblARV[Country],"Not found")</f>
        <v>Uganda</v>
      </c>
      <c r="H539" s="19" t="str">
        <f>_xlfn.XLOOKUP($B539,tblARV[ASN/DN '#],tblARV[Fulfill Via],"Not found")</f>
        <v>From RDC</v>
      </c>
      <c r="I539" s="19" t="str">
        <f>_xlfn.XLOOKUP($B539,tblARV[ASN/DN '#],tblARV[Vendor],"Not found")</f>
        <v>SCMS from RDC</v>
      </c>
    </row>
    <row r="540" spans="2:9" ht="15">
      <c r="B540" s="7" t="s">
        <v>703</v>
      </c>
      <c r="C540" s="10">
        <v>40113</v>
      </c>
      <c r="D540" s="10">
        <v>40113</v>
      </c>
      <c r="E540" s="18">
        <v>0</v>
      </c>
      <c r="F540" s="13" t="str">
        <f t="shared" si="19"/>
        <v>On-time</v>
      </c>
      <c r="G540" s="19" t="str">
        <f>_xlfn.XLOOKUP(B540,tblARV[ASN/DN '#],tblARV[Country],"Not found")</f>
        <v>Ethiopia</v>
      </c>
      <c r="H540" s="19" t="str">
        <f>_xlfn.XLOOKUP($B540,tblARV[ASN/DN '#],tblARV[Fulfill Via],"Not found")</f>
        <v>From RDC</v>
      </c>
      <c r="I540" s="19" t="str">
        <f>_xlfn.XLOOKUP($B540,tblARV[ASN/DN '#],tblARV[Vendor],"Not found")</f>
        <v>SCMS from RDC</v>
      </c>
    </row>
    <row r="541" spans="2:9" ht="15">
      <c r="B541" s="7" t="s">
        <v>1934</v>
      </c>
      <c r="C541" s="10">
        <v>40137</v>
      </c>
      <c r="D541" s="10">
        <v>40127</v>
      </c>
      <c r="E541" s="18">
        <v>-20</v>
      </c>
      <c r="F541" s="13" t="str">
        <f t="shared" si="19"/>
        <v>On-time</v>
      </c>
      <c r="G541" s="19" t="str">
        <f>_xlfn.XLOOKUP(B541,tblARV[ASN/DN '#],tblARV[Country],"Not found")</f>
        <v>Uganda</v>
      </c>
      <c r="H541" s="19" t="str">
        <f>_xlfn.XLOOKUP($B541,tblARV[ASN/DN '#],tblARV[Fulfill Via],"Not found")</f>
        <v>From RDC</v>
      </c>
      <c r="I541" s="19" t="str">
        <f>_xlfn.XLOOKUP($B541,tblARV[ASN/DN '#],tblARV[Vendor],"Not found")</f>
        <v>SCMS from RDC</v>
      </c>
    </row>
    <row r="542" spans="2:9" ht="15">
      <c r="B542" s="7" t="s">
        <v>2148</v>
      </c>
      <c r="C542" s="10">
        <v>40138</v>
      </c>
      <c r="D542" s="10">
        <v>40129</v>
      </c>
      <c r="E542" s="18">
        <v>-9</v>
      </c>
      <c r="F542" s="13" t="str">
        <f t="shared" si="19"/>
        <v>On-time</v>
      </c>
      <c r="G542" s="19" t="str">
        <f>_xlfn.XLOOKUP(B542,tblARV[ASN/DN '#],tblARV[Country],"Not found")</f>
        <v>Uganda</v>
      </c>
      <c r="H542" s="19" t="str">
        <f>_xlfn.XLOOKUP($B542,tblARV[ASN/DN '#],tblARV[Fulfill Via],"Not found")</f>
        <v>From RDC</v>
      </c>
      <c r="I542" s="19" t="str">
        <f>_xlfn.XLOOKUP($B542,tblARV[ASN/DN '#],tblARV[Vendor],"Not found")</f>
        <v>SCMS from RDC</v>
      </c>
    </row>
    <row r="543" spans="2:9" ht="15">
      <c r="B543" s="7" t="s">
        <v>2305</v>
      </c>
      <c r="C543" s="10">
        <v>40144</v>
      </c>
      <c r="D543" s="10">
        <v>40149</v>
      </c>
      <c r="E543" s="18">
        <v>5</v>
      </c>
      <c r="F543" s="13" t="str">
        <f t="shared" si="19"/>
        <v>Late</v>
      </c>
      <c r="G543" s="19" t="str">
        <f>_xlfn.XLOOKUP(B543,tblARV[ASN/DN '#],tblARV[Country],"Not found")</f>
        <v>Uganda</v>
      </c>
      <c r="H543" s="19" t="str">
        <f>_xlfn.XLOOKUP($B543,tblARV[ASN/DN '#],tblARV[Fulfill Via],"Not found")</f>
        <v>From RDC</v>
      </c>
      <c r="I543" s="19" t="str">
        <f>_xlfn.XLOOKUP($B543,tblARV[ASN/DN '#],tblARV[Vendor],"Not found")</f>
        <v>SCMS from RDC</v>
      </c>
    </row>
    <row r="544" spans="2:9" ht="15">
      <c r="B544" s="7" t="s">
        <v>1936</v>
      </c>
      <c r="C544" s="10">
        <v>40147</v>
      </c>
      <c r="D544" s="10">
        <v>40142</v>
      </c>
      <c r="E544" s="18">
        <v>-5</v>
      </c>
      <c r="F544" s="13" t="str">
        <f t="shared" si="19"/>
        <v>On-time</v>
      </c>
      <c r="G544" s="19" t="str">
        <f>_xlfn.XLOOKUP(B544,tblARV[ASN/DN '#],tblARV[Country],"Not found")</f>
        <v>Uganda</v>
      </c>
      <c r="H544" s="19" t="str">
        <f>_xlfn.XLOOKUP($B544,tblARV[ASN/DN '#],tblARV[Fulfill Via],"Not found")</f>
        <v>From RDC</v>
      </c>
      <c r="I544" s="19" t="str">
        <f>_xlfn.XLOOKUP($B544,tblARV[ASN/DN '#],tblARV[Vendor],"Not found")</f>
        <v>SCMS from RDC</v>
      </c>
    </row>
    <row r="545" spans="2:9" ht="15">
      <c r="B545" s="7" t="s">
        <v>1725</v>
      </c>
      <c r="C545" s="10">
        <v>40150</v>
      </c>
      <c r="D545" s="10">
        <v>40147</v>
      </c>
      <c r="E545" s="18">
        <v>-9</v>
      </c>
      <c r="F545" s="13" t="str">
        <f t="shared" si="19"/>
        <v>On-time</v>
      </c>
      <c r="G545" s="19" t="str">
        <f>_xlfn.XLOOKUP(B545,tblARV[ASN/DN '#],tblARV[Country],"Not found")</f>
        <v>Uganda</v>
      </c>
      <c r="H545" s="19" t="str">
        <f>_xlfn.XLOOKUP($B545,tblARV[ASN/DN '#],tblARV[Fulfill Via],"Not found")</f>
        <v>From RDC</v>
      </c>
      <c r="I545" s="19" t="str">
        <f>_xlfn.XLOOKUP($B545,tblARV[ASN/DN '#],tblARV[Vendor],"Not found")</f>
        <v>SCMS from RDC</v>
      </c>
    </row>
    <row r="546" spans="2:9" ht="15">
      <c r="B546" s="7" t="s">
        <v>612</v>
      </c>
      <c r="C546" s="10">
        <v>40140</v>
      </c>
      <c r="D546" s="10">
        <v>40140</v>
      </c>
      <c r="E546" s="18">
        <v>0</v>
      </c>
      <c r="F546" s="13" t="str">
        <f t="shared" si="19"/>
        <v>On-time</v>
      </c>
      <c r="G546" s="19" t="str">
        <f>_xlfn.XLOOKUP(B546,tblARV[ASN/DN '#],tblARV[Country],"Not found")</f>
        <v>Uganda</v>
      </c>
      <c r="H546" s="19" t="str">
        <f>_xlfn.XLOOKUP($B546,tblARV[ASN/DN '#],tblARV[Fulfill Via],"Not found")</f>
        <v>From RDC</v>
      </c>
      <c r="I546" s="19" t="str">
        <f>_xlfn.XLOOKUP($B546,tblARV[ASN/DN '#],tblARV[Vendor],"Not found")</f>
        <v>SCMS from RDC</v>
      </c>
    </row>
    <row r="547" spans="2:9" ht="15">
      <c r="B547" s="7" t="s">
        <v>2307</v>
      </c>
      <c r="C547" s="10">
        <v>40154</v>
      </c>
      <c r="D547" s="10">
        <v>40149</v>
      </c>
      <c r="E547" s="18">
        <v>-5</v>
      </c>
      <c r="F547" s="13" t="str">
        <f t="shared" si="19"/>
        <v>On-time</v>
      </c>
      <c r="G547" s="19" t="str">
        <f>_xlfn.XLOOKUP(B547,tblARV[ASN/DN '#],tblARV[Country],"Not found")</f>
        <v>Uganda</v>
      </c>
      <c r="H547" s="19" t="str">
        <f>_xlfn.XLOOKUP($B547,tblARV[ASN/DN '#],tblARV[Fulfill Via],"Not found")</f>
        <v>From RDC</v>
      </c>
      <c r="I547" s="19" t="str">
        <f>_xlfn.XLOOKUP($B547,tblARV[ASN/DN '#],tblARV[Vendor],"Not found")</f>
        <v>SCMS from RDC</v>
      </c>
    </row>
    <row r="548" spans="2:9" ht="15">
      <c r="B548" s="7" t="s">
        <v>1727</v>
      </c>
      <c r="C548" s="10">
        <v>40154</v>
      </c>
      <c r="D548" s="10">
        <v>40147</v>
      </c>
      <c r="E548" s="18">
        <v>-14</v>
      </c>
      <c r="F548" s="13" t="str">
        <f t="shared" si="19"/>
        <v>On-time</v>
      </c>
      <c r="G548" s="19" t="str">
        <f>_xlfn.XLOOKUP(B548,tblARV[ASN/DN '#],tblARV[Country],"Not found")</f>
        <v>Uganda</v>
      </c>
      <c r="H548" s="19" t="str">
        <f>_xlfn.XLOOKUP($B548,tblARV[ASN/DN '#],tblARV[Fulfill Via],"Not found")</f>
        <v>From RDC</v>
      </c>
      <c r="I548" s="19" t="str">
        <f>_xlfn.XLOOKUP($B548,tblARV[ASN/DN '#],tblARV[Vendor],"Not found")</f>
        <v>SCMS from RDC</v>
      </c>
    </row>
    <row r="549" spans="2:9" ht="15">
      <c r="B549" s="7" t="s">
        <v>2435</v>
      </c>
      <c r="C549" s="10">
        <v>40147</v>
      </c>
      <c r="D549" s="10">
        <v>40149</v>
      </c>
      <c r="E549" s="18">
        <v>6</v>
      </c>
      <c r="F549" s="13" t="str">
        <f t="shared" si="19"/>
        <v>Late</v>
      </c>
      <c r="G549" s="19" t="str">
        <f>_xlfn.XLOOKUP(B549,tblARV[ASN/DN '#],tblARV[Country],"Not found")</f>
        <v>Uganda</v>
      </c>
      <c r="H549" s="19" t="str">
        <f>_xlfn.XLOOKUP($B549,tblARV[ASN/DN '#],tblARV[Fulfill Via],"Not found")</f>
        <v>From RDC</v>
      </c>
      <c r="I549" s="19" t="str">
        <f>_xlfn.XLOOKUP($B549,tblARV[ASN/DN '#],tblARV[Vendor],"Not found")</f>
        <v>SCMS from RDC</v>
      </c>
    </row>
    <row r="550" spans="2:9" ht="15">
      <c r="B550" s="7" t="s">
        <v>1938</v>
      </c>
      <c r="C550" s="10">
        <v>40147</v>
      </c>
      <c r="D550" s="10">
        <v>40142</v>
      </c>
      <c r="E550" s="18">
        <v>-5</v>
      </c>
      <c r="F550" s="13" t="str">
        <f t="shared" si="19"/>
        <v>On-time</v>
      </c>
      <c r="G550" s="19" t="str">
        <f>_xlfn.XLOOKUP(B550,tblARV[ASN/DN '#],tblARV[Country],"Not found")</f>
        <v>Uganda</v>
      </c>
      <c r="H550" s="19" t="str">
        <f>_xlfn.XLOOKUP($B550,tblARV[ASN/DN '#],tblARV[Fulfill Via],"Not found")</f>
        <v>From RDC</v>
      </c>
      <c r="I550" s="19" t="str">
        <f>_xlfn.XLOOKUP($B550,tblARV[ASN/DN '#],tblARV[Vendor],"Not found")</f>
        <v>SCMS from RDC</v>
      </c>
    </row>
    <row r="551" spans="2:9" ht="15">
      <c r="B551" s="7" t="s">
        <v>2699</v>
      </c>
      <c r="C551" s="10">
        <v>40195</v>
      </c>
      <c r="D551" s="10">
        <v>40142</v>
      </c>
      <c r="E551" s="18">
        <v>-53</v>
      </c>
      <c r="F551" s="13" t="str">
        <f t="shared" si="19"/>
        <v>On-time</v>
      </c>
      <c r="G551" s="19" t="str">
        <f>_xlfn.XLOOKUP(B551,tblARV[ASN/DN '#],tblARV[Country],"Not found")</f>
        <v>Uganda</v>
      </c>
      <c r="H551" s="19" t="str">
        <f>_xlfn.XLOOKUP($B551,tblARV[ASN/DN '#],tblARV[Fulfill Via],"Not found")</f>
        <v>From RDC</v>
      </c>
      <c r="I551" s="19" t="str">
        <f>_xlfn.XLOOKUP($B551,tblARV[ASN/DN '#],tblARV[Vendor],"Not found")</f>
        <v>SCMS from RDC</v>
      </c>
    </row>
    <row r="552" spans="2:9" ht="15">
      <c r="B552" s="7" t="s">
        <v>2701</v>
      </c>
      <c r="C552" s="10">
        <v>40192</v>
      </c>
      <c r="D552" s="10">
        <v>40178</v>
      </c>
      <c r="E552" s="18">
        <v>-14</v>
      </c>
      <c r="F552" s="13" t="str">
        <f t="shared" si="19"/>
        <v>On-time</v>
      </c>
      <c r="G552" s="19" t="str">
        <f>_xlfn.XLOOKUP(B552,tblARV[ASN/DN '#],tblARV[Country],"Not found")</f>
        <v>Uganda</v>
      </c>
      <c r="H552" s="19" t="str">
        <f>_xlfn.XLOOKUP($B552,tblARV[ASN/DN '#],tblARV[Fulfill Via],"Not found")</f>
        <v>From RDC</v>
      </c>
      <c r="I552" s="19" t="str">
        <f>_xlfn.XLOOKUP($B552,tblARV[ASN/DN '#],tblARV[Vendor],"Not found")</f>
        <v>SCMS from RDC</v>
      </c>
    </row>
    <row r="553" spans="2:9" ht="15">
      <c r="B553" s="7" t="s">
        <v>512</v>
      </c>
      <c r="C553" s="10">
        <v>40143</v>
      </c>
      <c r="D553" s="10">
        <v>40143</v>
      </c>
      <c r="E553" s="18">
        <v>0</v>
      </c>
      <c r="F553" s="13" t="str">
        <f t="shared" si="19"/>
        <v>On-time</v>
      </c>
      <c r="G553" s="19" t="str">
        <f>_xlfn.XLOOKUP(B553,tblARV[ASN/DN '#],tblARV[Country],"Not found")</f>
        <v>Ethiopia</v>
      </c>
      <c r="H553" s="19" t="str">
        <f>_xlfn.XLOOKUP($B553,tblARV[ASN/DN '#],tblARV[Fulfill Via],"Not found")</f>
        <v>From RDC</v>
      </c>
      <c r="I553" s="19" t="str">
        <f>_xlfn.XLOOKUP($B553,tblARV[ASN/DN '#],tblARV[Vendor],"Not found")</f>
        <v>SCMS from RDC</v>
      </c>
    </row>
    <row r="554" spans="2:9" ht="15">
      <c r="B554" s="7" t="s">
        <v>616</v>
      </c>
      <c r="C554" s="10">
        <v>39238</v>
      </c>
      <c r="D554" s="10">
        <v>39238</v>
      </c>
      <c r="E554" s="18">
        <v>0</v>
      </c>
      <c r="F554" s="13" t="str">
        <f t="shared" si="19"/>
        <v>On-time</v>
      </c>
      <c r="G554" s="19" t="str">
        <f>_xlfn.XLOOKUP(B554,tblARV[ASN/DN '#],tblARV[Country],"Not found")</f>
        <v>Rwanda</v>
      </c>
      <c r="H554" s="19" t="str">
        <f>_xlfn.XLOOKUP($B554,tblARV[ASN/DN '#],tblARV[Fulfill Via],"Not found")</f>
        <v>From RDC</v>
      </c>
      <c r="I554" s="19" t="str">
        <f>_xlfn.XLOOKUP($B554,tblARV[ASN/DN '#],tblARV[Vendor],"Not found")</f>
        <v>SCMS from RDC</v>
      </c>
    </row>
    <row r="555" spans="2:9" ht="15">
      <c r="B555" s="7" t="s">
        <v>432</v>
      </c>
      <c r="C555" s="10">
        <v>40192</v>
      </c>
      <c r="D555" s="10">
        <v>40192</v>
      </c>
      <c r="E555" s="18">
        <v>0</v>
      </c>
      <c r="F555" s="13" t="str">
        <f t="shared" si="19"/>
        <v>On-time</v>
      </c>
      <c r="G555" s="19" t="str">
        <f>_xlfn.XLOOKUP(B555,tblARV[ASN/DN '#],tblARV[Country],"Not found")</f>
        <v>Tanzania</v>
      </c>
      <c r="H555" s="19" t="str">
        <f>_xlfn.XLOOKUP($B555,tblARV[ASN/DN '#],tblARV[Fulfill Via],"Not found")</f>
        <v>From RDC</v>
      </c>
      <c r="I555" s="19" t="str">
        <f>_xlfn.XLOOKUP($B555,tblARV[ASN/DN '#],tblARV[Vendor],"Not found")</f>
        <v>SCMS from RDC</v>
      </c>
    </row>
    <row r="556" spans="2:9" ht="15">
      <c r="B556" s="7" t="s">
        <v>2567</v>
      </c>
      <c r="C556" s="10">
        <v>40193</v>
      </c>
      <c r="D556" s="10">
        <v>40200</v>
      </c>
      <c r="E556" s="18">
        <v>7</v>
      </c>
      <c r="F556" s="13" t="str">
        <f t="shared" si="19"/>
        <v>Late</v>
      </c>
      <c r="G556" s="19" t="str">
        <f>_xlfn.XLOOKUP(B556,tblARV[ASN/DN '#],tblARV[Country],"Not found")</f>
        <v>Uganda</v>
      </c>
      <c r="H556" s="19" t="str">
        <f>_xlfn.XLOOKUP($B556,tblARV[ASN/DN '#],tblARV[Fulfill Via],"Not found")</f>
        <v>From RDC</v>
      </c>
      <c r="I556" s="19" t="str">
        <f>_xlfn.XLOOKUP($B556,tblARV[ASN/DN '#],tblARV[Vendor],"Not found")</f>
        <v>SCMS from RDC</v>
      </c>
    </row>
    <row r="557" spans="2:9" ht="15">
      <c r="B557" s="7" t="s">
        <v>1940</v>
      </c>
      <c r="C557" s="10">
        <v>40167</v>
      </c>
      <c r="D557" s="10">
        <v>40143</v>
      </c>
      <c r="E557" s="18">
        <v>-24</v>
      </c>
      <c r="F557" s="13" t="str">
        <f t="shared" si="19"/>
        <v>On-time</v>
      </c>
      <c r="G557" s="19" t="str">
        <f>_xlfn.XLOOKUP(B557,tblARV[ASN/DN '#],tblARV[Country],"Not found")</f>
        <v>Uganda</v>
      </c>
      <c r="H557" s="19" t="str">
        <f>_xlfn.XLOOKUP($B557,tblARV[ASN/DN '#],tblARV[Fulfill Via],"Not found")</f>
        <v>From RDC</v>
      </c>
      <c r="I557" s="19" t="str">
        <f>_xlfn.XLOOKUP($B557,tblARV[ASN/DN '#],tblARV[Vendor],"Not found")</f>
        <v>SCMS from RDC</v>
      </c>
    </row>
    <row r="558" spans="2:9" ht="15">
      <c r="B558" s="7" t="s">
        <v>1503</v>
      </c>
      <c r="C558" s="10">
        <v>40193</v>
      </c>
      <c r="D558" s="10">
        <v>40157</v>
      </c>
      <c r="E558" s="18">
        <v>-36</v>
      </c>
      <c r="F558" s="13" t="str">
        <f t="shared" si="19"/>
        <v>On-time</v>
      </c>
      <c r="G558" s="19" t="str">
        <f>_xlfn.XLOOKUP(B558,tblARV[ASN/DN '#],tblARV[Country],"Not found")</f>
        <v>Uganda</v>
      </c>
      <c r="H558" s="19" t="str">
        <f>_xlfn.XLOOKUP($B558,tblARV[ASN/DN '#],tblARV[Fulfill Via],"Not found")</f>
        <v>From RDC</v>
      </c>
      <c r="I558" s="19" t="str">
        <f>_xlfn.XLOOKUP($B558,tblARV[ASN/DN '#],tblARV[Vendor],"Not found")</f>
        <v>SCMS from RDC</v>
      </c>
    </row>
    <row r="559" spans="2:9" ht="15">
      <c r="B559" s="7" t="s">
        <v>614</v>
      </c>
      <c r="C559" s="10">
        <v>40149</v>
      </c>
      <c r="D559" s="10">
        <v>40149</v>
      </c>
      <c r="E559" s="18">
        <v>0</v>
      </c>
      <c r="F559" s="13" t="str">
        <f t="shared" si="19"/>
        <v>On-time</v>
      </c>
      <c r="G559" s="19" t="str">
        <f>_xlfn.XLOOKUP(B559,tblARV[ASN/DN '#],tblARV[Country],"Not found")</f>
        <v>Ethiopia</v>
      </c>
      <c r="H559" s="19" t="str">
        <f>_xlfn.XLOOKUP($B559,tblARV[ASN/DN '#],tblARV[Fulfill Via],"Not found")</f>
        <v>From RDC</v>
      </c>
      <c r="I559" s="19" t="str">
        <f>_xlfn.XLOOKUP($B559,tblARV[ASN/DN '#],tblARV[Vendor],"Not found")</f>
        <v>SCMS from RDC</v>
      </c>
    </row>
    <row r="560" spans="2:9" ht="15">
      <c r="B560" s="7" t="s">
        <v>563</v>
      </c>
      <c r="C560" s="10">
        <v>40155</v>
      </c>
      <c r="D560" s="10">
        <v>40155</v>
      </c>
      <c r="E560" s="18">
        <v>0</v>
      </c>
      <c r="F560" s="13" t="str">
        <f t="shared" si="19"/>
        <v>On-time</v>
      </c>
      <c r="G560" s="19" t="str">
        <f>_xlfn.XLOOKUP(B560,tblARV[ASN/DN '#],tblARV[Country],"Not found")</f>
        <v>Ethiopia</v>
      </c>
      <c r="H560" s="19" t="str">
        <f>_xlfn.XLOOKUP($B560,tblARV[ASN/DN '#],tblARV[Fulfill Via],"Not found")</f>
        <v>From RDC</v>
      </c>
      <c r="I560" s="19" t="str">
        <f>_xlfn.XLOOKUP($B560,tblARV[ASN/DN '#],tblARV[Vendor],"Not found")</f>
        <v>SCMS from RDC</v>
      </c>
    </row>
    <row r="561" spans="2:9" ht="15">
      <c r="B561" s="7" t="s">
        <v>2150</v>
      </c>
      <c r="C561" s="10">
        <v>40212</v>
      </c>
      <c r="D561" s="10">
        <v>40170</v>
      </c>
      <c r="E561" s="18">
        <v>-42</v>
      </c>
      <c r="F561" s="13" t="str">
        <f t="shared" si="19"/>
        <v>On-time</v>
      </c>
      <c r="G561" s="19" t="str">
        <f>_xlfn.XLOOKUP(B561,tblARV[ASN/DN '#],tblARV[Country],"Not found")</f>
        <v>Uganda</v>
      </c>
      <c r="H561" s="19" t="str">
        <f>_xlfn.XLOOKUP($B561,tblARV[ASN/DN '#],tblARV[Fulfill Via],"Not found")</f>
        <v>From RDC</v>
      </c>
      <c r="I561" s="19" t="str">
        <f>_xlfn.XLOOKUP($B561,tblARV[ASN/DN '#],tblARV[Vendor],"Not found")</f>
        <v>SCMS from RDC</v>
      </c>
    </row>
    <row r="562" spans="2:9" ht="15">
      <c r="B562" s="7" t="s">
        <v>2437</v>
      </c>
      <c r="C562" s="10">
        <v>40224</v>
      </c>
      <c r="D562" s="10">
        <v>40193</v>
      </c>
      <c r="E562" s="18">
        <v>-31</v>
      </c>
      <c r="F562" s="13" t="str">
        <f t="shared" si="19"/>
        <v>On-time</v>
      </c>
      <c r="G562" s="19" t="str">
        <f>_xlfn.XLOOKUP(B562,tblARV[ASN/DN '#],tblARV[Country],"Not found")</f>
        <v>Uganda</v>
      </c>
      <c r="H562" s="19" t="str">
        <f>_xlfn.XLOOKUP($B562,tblARV[ASN/DN '#],tblARV[Fulfill Via],"Not found")</f>
        <v>From RDC</v>
      </c>
      <c r="I562" s="19" t="str">
        <f>_xlfn.XLOOKUP($B562,tblARV[ASN/DN '#],tblARV[Vendor],"Not found")</f>
        <v>SCMS from RDC</v>
      </c>
    </row>
    <row r="563" spans="2:9" ht="15">
      <c r="B563" s="7" t="s">
        <v>2703</v>
      </c>
      <c r="C563" s="10">
        <v>40219</v>
      </c>
      <c r="D563" s="10">
        <v>40185</v>
      </c>
      <c r="E563" s="18">
        <v>-34</v>
      </c>
      <c r="F563" s="13" t="str">
        <f t="shared" si="19"/>
        <v>On-time</v>
      </c>
      <c r="G563" s="19" t="str">
        <f>_xlfn.XLOOKUP(B563,tblARV[ASN/DN '#],tblARV[Country],"Not found")</f>
        <v>Uganda</v>
      </c>
      <c r="H563" s="19" t="str">
        <f>_xlfn.XLOOKUP($B563,tblARV[ASN/DN '#],tblARV[Fulfill Via],"Not found")</f>
        <v>From RDC</v>
      </c>
      <c r="I563" s="19" t="str">
        <f>_xlfn.XLOOKUP($B563,tblARV[ASN/DN '#],tblARV[Vendor],"Not found")</f>
        <v>SCMS from RDC</v>
      </c>
    </row>
    <row r="564" spans="2:9" ht="15">
      <c r="B564" s="7" t="s">
        <v>1942</v>
      </c>
      <c r="C564" s="10">
        <v>40226</v>
      </c>
      <c r="D564" s="10">
        <v>40170</v>
      </c>
      <c r="E564" s="18">
        <v>-168</v>
      </c>
      <c r="F564" s="13" t="str">
        <f t="shared" si="19"/>
        <v>On-time</v>
      </c>
      <c r="G564" s="19" t="str">
        <f>_xlfn.XLOOKUP(B564,tblARV[ASN/DN '#],tblARV[Country],"Not found")</f>
        <v>Uganda</v>
      </c>
      <c r="H564" s="19" t="str">
        <f>_xlfn.XLOOKUP($B564,tblARV[ASN/DN '#],tblARV[Fulfill Via],"Not found")</f>
        <v>From RDC</v>
      </c>
      <c r="I564" s="19" t="str">
        <f>_xlfn.XLOOKUP($B564,tblARV[ASN/DN '#],tblARV[Vendor],"Not found")</f>
        <v>SCMS from RDC</v>
      </c>
    </row>
    <row r="565" spans="2:9" ht="15">
      <c r="B565" s="7" t="s">
        <v>2569</v>
      </c>
      <c r="C565" s="10">
        <v>40234</v>
      </c>
      <c r="D565" s="10">
        <v>40193</v>
      </c>
      <c r="E565" s="18">
        <v>-41</v>
      </c>
      <c r="F565" s="13" t="str">
        <f t="shared" si="19"/>
        <v>On-time</v>
      </c>
      <c r="G565" s="19" t="str">
        <f>_xlfn.XLOOKUP(B565,tblARV[ASN/DN '#],tblARV[Country],"Not found")</f>
        <v>Uganda</v>
      </c>
      <c r="H565" s="19" t="str">
        <f>_xlfn.XLOOKUP($B565,tblARV[ASN/DN '#],tblARV[Fulfill Via],"Not found")</f>
        <v>From RDC</v>
      </c>
      <c r="I565" s="19" t="str">
        <f>_xlfn.XLOOKUP($B565,tblARV[ASN/DN '#],tblARV[Vendor],"Not found")</f>
        <v>SCMS from RDC</v>
      </c>
    </row>
    <row r="566" spans="2:9" ht="15">
      <c r="B566" s="7" t="s">
        <v>1944</v>
      </c>
      <c r="C566" s="10">
        <v>40182</v>
      </c>
      <c r="D566" s="10">
        <v>40155</v>
      </c>
      <c r="E566" s="18">
        <v>-27</v>
      </c>
      <c r="F566" s="13" t="str">
        <f t="shared" si="19"/>
        <v>On-time</v>
      </c>
      <c r="G566" s="19" t="str">
        <f>_xlfn.XLOOKUP(B566,tblARV[ASN/DN '#],tblARV[Country],"Not found")</f>
        <v>Ethiopia</v>
      </c>
      <c r="H566" s="19" t="str">
        <f>_xlfn.XLOOKUP($B566,tblARV[ASN/DN '#],tblARV[Fulfill Via],"Not found")</f>
        <v>From RDC</v>
      </c>
      <c r="I566" s="19" t="str">
        <f>_xlfn.XLOOKUP($B566,tblARV[ASN/DN '#],tblARV[Vendor],"Not found")</f>
        <v>SCMS from RDC</v>
      </c>
    </row>
    <row r="567" spans="2:9" ht="15">
      <c r="B567" s="7" t="s">
        <v>1505</v>
      </c>
      <c r="C567" s="10">
        <v>40193</v>
      </c>
      <c r="D567" s="10">
        <v>40200</v>
      </c>
      <c r="E567" s="18">
        <v>7</v>
      </c>
      <c r="F567" s="13" t="str">
        <f t="shared" si="19"/>
        <v>Late</v>
      </c>
      <c r="G567" s="19" t="str">
        <f>_xlfn.XLOOKUP(B567,tblARV[ASN/DN '#],tblARV[Country],"Not found")</f>
        <v>Uganda</v>
      </c>
      <c r="H567" s="19" t="str">
        <f>_xlfn.XLOOKUP($B567,tblARV[ASN/DN '#],tblARV[Fulfill Via],"Not found")</f>
        <v>From RDC</v>
      </c>
      <c r="I567" s="19" t="str">
        <f>_xlfn.XLOOKUP($B567,tblARV[ASN/DN '#],tblARV[Vendor],"Not found")</f>
        <v>SCMS from RDC</v>
      </c>
    </row>
    <row r="568" spans="2:9" ht="15">
      <c r="B568" s="7" t="s">
        <v>2705</v>
      </c>
      <c r="C568" s="10">
        <v>40182</v>
      </c>
      <c r="D568" s="10">
        <v>40165</v>
      </c>
      <c r="E568" s="18">
        <v>-17</v>
      </c>
      <c r="F568" s="13" t="str">
        <f t="shared" si="19"/>
        <v>On-time</v>
      </c>
      <c r="G568" s="19" t="str">
        <f>_xlfn.XLOOKUP(B568,tblARV[ASN/DN '#],tblARV[Country],"Not found")</f>
        <v>Ethiopia</v>
      </c>
      <c r="H568" s="19" t="str">
        <f>_xlfn.XLOOKUP($B568,tblARV[ASN/DN '#],tblARV[Fulfill Via],"Not found")</f>
        <v>From RDC</v>
      </c>
      <c r="I568" s="19" t="str">
        <f>_xlfn.XLOOKUP($B568,tblARV[ASN/DN '#],tblARV[Vendor],"Not found")</f>
        <v>SCMS from RDC</v>
      </c>
    </row>
    <row r="569" spans="2:9" ht="15">
      <c r="B569" s="7" t="s">
        <v>1946</v>
      </c>
      <c r="C569" s="10">
        <v>40193</v>
      </c>
      <c r="D569" s="10">
        <v>40189</v>
      </c>
      <c r="E569" s="18">
        <v>-4</v>
      </c>
      <c r="F569" s="13" t="str">
        <f t="shared" si="19"/>
        <v>On-time</v>
      </c>
      <c r="G569" s="19" t="str">
        <f>_xlfn.XLOOKUP(B569,tblARV[ASN/DN '#],tblARV[Country],"Not found")</f>
        <v>Uganda</v>
      </c>
      <c r="H569" s="19" t="str">
        <f>_xlfn.XLOOKUP($B569,tblARV[ASN/DN '#],tblARV[Fulfill Via],"Not found")</f>
        <v>From RDC</v>
      </c>
      <c r="I569" s="19" t="str">
        <f>_xlfn.XLOOKUP($B569,tblARV[ASN/DN '#],tblARV[Vendor],"Not found")</f>
        <v>SCMS from RDC</v>
      </c>
    </row>
    <row r="570" spans="2:9" ht="15">
      <c r="B570" s="7" t="s">
        <v>295</v>
      </c>
      <c r="C570" s="10">
        <v>39269</v>
      </c>
      <c r="D570" s="10">
        <v>39269</v>
      </c>
      <c r="E570" s="18">
        <v>0</v>
      </c>
      <c r="F570" s="13" t="str">
        <f t="shared" si="19"/>
        <v>On-time</v>
      </c>
      <c r="G570" s="19" t="str">
        <f>_xlfn.XLOOKUP(B570,tblARV[ASN/DN '#],tblARV[Country],"Not found")</f>
        <v>Tanzania</v>
      </c>
      <c r="H570" s="19" t="str">
        <f>_xlfn.XLOOKUP($B570,tblARV[ASN/DN '#],tblARV[Fulfill Via],"Not found")</f>
        <v>From RDC</v>
      </c>
      <c r="I570" s="19" t="str">
        <f>_xlfn.XLOOKUP($B570,tblARV[ASN/DN '#],tblARV[Vendor],"Not found")</f>
        <v>SCMS from RDC</v>
      </c>
    </row>
    <row r="571" spans="2:9" ht="15">
      <c r="B571" s="7" t="s">
        <v>565</v>
      </c>
      <c r="C571" s="10">
        <v>40191</v>
      </c>
      <c r="D571" s="10">
        <v>40191</v>
      </c>
      <c r="E571" s="18">
        <v>0</v>
      </c>
      <c r="F571" s="13" t="str">
        <f t="shared" si="19"/>
        <v>On-time</v>
      </c>
      <c r="G571" s="19" t="str">
        <f>_xlfn.XLOOKUP(B571,tblARV[ASN/DN '#],tblARV[Country],"Not found")</f>
        <v>Ethiopia</v>
      </c>
      <c r="H571" s="19" t="str">
        <f>_xlfn.XLOOKUP($B571,tblARV[ASN/DN '#],tblARV[Fulfill Via],"Not found")</f>
        <v>From RDC</v>
      </c>
      <c r="I571" s="19" t="str">
        <f>_xlfn.XLOOKUP($B571,tblARV[ASN/DN '#],tblARV[Vendor],"Not found")</f>
        <v>SCMS from RDC</v>
      </c>
    </row>
    <row r="572" spans="2:9" ht="15">
      <c r="B572" s="7" t="s">
        <v>2152</v>
      </c>
      <c r="C572" s="10">
        <v>40237</v>
      </c>
      <c r="D572" s="10">
        <v>40193</v>
      </c>
      <c r="E572" s="18">
        <v>-44</v>
      </c>
      <c r="F572" s="13" t="str">
        <f t="shared" si="19"/>
        <v>On-time</v>
      </c>
      <c r="G572" s="19" t="str">
        <f>_xlfn.XLOOKUP(B572,tblARV[ASN/DN '#],tblARV[Country],"Not found")</f>
        <v>Ethiopia</v>
      </c>
      <c r="H572" s="19" t="str">
        <f>_xlfn.XLOOKUP($B572,tblARV[ASN/DN '#],tblARV[Fulfill Via],"Not found")</f>
        <v>From RDC</v>
      </c>
      <c r="I572" s="19" t="str">
        <f>_xlfn.XLOOKUP($B572,tblARV[ASN/DN '#],tblARV[Vendor],"Not found")</f>
        <v>SCMS from RDC</v>
      </c>
    </row>
    <row r="573" spans="2:9" ht="15">
      <c r="B573" s="7" t="s">
        <v>2571</v>
      </c>
      <c r="C573" s="10">
        <v>40212</v>
      </c>
      <c r="D573" s="10">
        <v>40212</v>
      </c>
      <c r="E573" s="18">
        <v>0</v>
      </c>
      <c r="F573" s="13" t="str">
        <f t="shared" si="19"/>
        <v>On-time</v>
      </c>
      <c r="G573" s="19" t="str">
        <f>_xlfn.XLOOKUP(B573,tblARV[ASN/DN '#],tblARV[Country],"Not found")</f>
        <v>Uganda</v>
      </c>
      <c r="H573" s="19" t="str">
        <f>_xlfn.XLOOKUP($B573,tblARV[ASN/DN '#],tblARV[Fulfill Via],"Not found")</f>
        <v>From RDC</v>
      </c>
      <c r="I573" s="19" t="str">
        <f>_xlfn.XLOOKUP($B573,tblARV[ASN/DN '#],tblARV[Vendor],"Not found")</f>
        <v>SCMS from RDC</v>
      </c>
    </row>
    <row r="574" spans="2:9" ht="15">
      <c r="B574" s="7" t="s">
        <v>2573</v>
      </c>
      <c r="C574" s="10">
        <v>40256</v>
      </c>
      <c r="D574" s="10">
        <v>40207</v>
      </c>
      <c r="E574" s="18">
        <v>-49</v>
      </c>
      <c r="F574" s="13" t="str">
        <f t="shared" si="19"/>
        <v>On-time</v>
      </c>
      <c r="G574" s="19" t="str">
        <f>_xlfn.XLOOKUP(B574,tblARV[ASN/DN '#],tblARV[Country],"Not found")</f>
        <v>Uganda</v>
      </c>
      <c r="H574" s="19" t="str">
        <f>_xlfn.XLOOKUP($B574,tblARV[ASN/DN '#],tblARV[Fulfill Via],"Not found")</f>
        <v>From RDC</v>
      </c>
      <c r="I574" s="19" t="str">
        <f>_xlfn.XLOOKUP($B574,tblARV[ASN/DN '#],tblARV[Vendor],"Not found")</f>
        <v>SCMS from RDC</v>
      </c>
    </row>
    <row r="575" spans="2:9" ht="15">
      <c r="B575" s="7" t="s">
        <v>2707</v>
      </c>
      <c r="C575" s="10">
        <v>40259</v>
      </c>
      <c r="D575" s="10">
        <v>40207</v>
      </c>
      <c r="E575" s="18">
        <v>-52</v>
      </c>
      <c r="F575" s="13" t="str">
        <f t="shared" si="19"/>
        <v>On-time</v>
      </c>
      <c r="G575" s="19" t="str">
        <f>_xlfn.XLOOKUP(B575,tblARV[ASN/DN '#],tblARV[Country],"Not found")</f>
        <v>Uganda</v>
      </c>
      <c r="H575" s="19" t="str">
        <f>_xlfn.XLOOKUP($B575,tblARV[ASN/DN '#],tblARV[Fulfill Via],"Not found")</f>
        <v>From RDC</v>
      </c>
      <c r="I575" s="19" t="str">
        <f>_xlfn.XLOOKUP($B575,tblARV[ASN/DN '#],tblARV[Vendor],"Not found")</f>
        <v>SCMS from RDC</v>
      </c>
    </row>
    <row r="576" spans="2:9" ht="15">
      <c r="B576" s="7" t="s">
        <v>2709</v>
      </c>
      <c r="C576" s="10">
        <v>40240</v>
      </c>
      <c r="D576" s="10">
        <v>40207</v>
      </c>
      <c r="E576" s="18">
        <v>-33</v>
      </c>
      <c r="F576" s="13" t="str">
        <f t="shared" si="19"/>
        <v>On-time</v>
      </c>
      <c r="G576" s="19" t="str">
        <f>_xlfn.XLOOKUP(B576,tblARV[ASN/DN '#],tblARV[Country],"Not found")</f>
        <v>Uganda</v>
      </c>
      <c r="H576" s="19" t="str">
        <f>_xlfn.XLOOKUP($B576,tblARV[ASN/DN '#],tblARV[Fulfill Via],"Not found")</f>
        <v>From RDC</v>
      </c>
      <c r="I576" s="19" t="str">
        <f>_xlfn.XLOOKUP($B576,tblARV[ASN/DN '#],tblARV[Vendor],"Not found")</f>
        <v>SCMS from RDC</v>
      </c>
    </row>
    <row r="577" spans="2:9" ht="15">
      <c r="B577" s="7" t="s">
        <v>2711</v>
      </c>
      <c r="C577" s="10">
        <v>40234</v>
      </c>
      <c r="D577" s="10">
        <v>40207</v>
      </c>
      <c r="E577" s="18">
        <v>-27</v>
      </c>
      <c r="F577" s="13" t="str">
        <f t="shared" si="19"/>
        <v>On-time</v>
      </c>
      <c r="G577" s="19" t="str">
        <f>_xlfn.XLOOKUP(B577,tblARV[ASN/DN '#],tblARV[Country],"Not found")</f>
        <v>Uganda</v>
      </c>
      <c r="H577" s="19" t="str">
        <f>_xlfn.XLOOKUP($B577,tblARV[ASN/DN '#],tblARV[Fulfill Via],"Not found")</f>
        <v>From RDC</v>
      </c>
      <c r="I577" s="19" t="str">
        <f>_xlfn.XLOOKUP($B577,tblARV[ASN/DN '#],tblARV[Vendor],"Not found")</f>
        <v>SCMS from RDC</v>
      </c>
    </row>
    <row r="578" spans="2:9" ht="15">
      <c r="B578" s="7" t="s">
        <v>2154</v>
      </c>
      <c r="C578" s="10">
        <v>40220</v>
      </c>
      <c r="D578" s="10">
        <v>40207</v>
      </c>
      <c r="E578" s="18">
        <v>-26</v>
      </c>
      <c r="F578" s="13" t="str">
        <f t="shared" si="19"/>
        <v>On-time</v>
      </c>
      <c r="G578" s="19" t="str">
        <f>_xlfn.XLOOKUP(B578,tblARV[ASN/DN '#],tblARV[Country],"Not found")</f>
        <v>Uganda</v>
      </c>
      <c r="H578" s="19" t="str">
        <f>_xlfn.XLOOKUP($B578,tblARV[ASN/DN '#],tblARV[Fulfill Via],"Not found")</f>
        <v>From RDC</v>
      </c>
      <c r="I578" s="19" t="str">
        <f>_xlfn.XLOOKUP($B578,tblARV[ASN/DN '#],tblARV[Vendor],"Not found")</f>
        <v>SCMS from RDC</v>
      </c>
    </row>
    <row r="579" spans="2:9" ht="15">
      <c r="B579" s="7" t="s">
        <v>2309</v>
      </c>
      <c r="C579" s="10">
        <v>40234</v>
      </c>
      <c r="D579" s="10">
        <v>40227</v>
      </c>
      <c r="E579" s="18">
        <v>-28</v>
      </c>
      <c r="F579" s="13" t="str">
        <f t="shared" si="19"/>
        <v>On-time</v>
      </c>
      <c r="G579" s="19" t="str">
        <f>_xlfn.XLOOKUP(B579,tblARV[ASN/DN '#],tblARV[Country],"Not found")</f>
        <v>Uganda</v>
      </c>
      <c r="H579" s="19" t="str">
        <f>_xlfn.XLOOKUP($B579,tblARV[ASN/DN '#],tblARV[Fulfill Via],"Not found")</f>
        <v>From RDC</v>
      </c>
      <c r="I579" s="19" t="str">
        <f>_xlfn.XLOOKUP($B579,tblARV[ASN/DN '#],tblARV[Vendor],"Not found")</f>
        <v>SCMS from RDC</v>
      </c>
    </row>
    <row r="580" spans="2:9" ht="15">
      <c r="B580" s="7" t="s">
        <v>2713</v>
      </c>
      <c r="C580" s="10">
        <v>40256</v>
      </c>
      <c r="D580" s="10">
        <v>40235</v>
      </c>
      <c r="E580" s="18">
        <v>-21</v>
      </c>
      <c r="F580" s="13" t="str">
        <f t="shared" si="19"/>
        <v>On-time</v>
      </c>
      <c r="G580" s="19" t="str">
        <f>_xlfn.XLOOKUP(B580,tblARV[ASN/DN '#],tblARV[Country],"Not found")</f>
        <v>Uganda</v>
      </c>
      <c r="H580" s="19" t="str">
        <f>_xlfn.XLOOKUP($B580,tblARV[ASN/DN '#],tblARV[Fulfill Via],"Not found")</f>
        <v>From RDC</v>
      </c>
      <c r="I580" s="19" t="str">
        <f>_xlfn.XLOOKUP($B580,tblARV[ASN/DN '#],tblARV[Vendor],"Not found")</f>
        <v>SCMS from RDC</v>
      </c>
    </row>
    <row r="581" spans="2:9" ht="15">
      <c r="B581" s="7" t="s">
        <v>2715</v>
      </c>
      <c r="C581" s="10">
        <v>40318</v>
      </c>
      <c r="D581" s="10">
        <v>40170</v>
      </c>
      <c r="E581" s="18">
        <v>-148</v>
      </c>
      <c r="F581" s="13" t="str">
        <f t="shared" si="19"/>
        <v>On-time</v>
      </c>
      <c r="G581" s="19" t="str">
        <f>_xlfn.XLOOKUP(B581,tblARV[ASN/DN '#],tblARV[Country],"Not found")</f>
        <v>Uganda</v>
      </c>
      <c r="H581" s="19" t="str">
        <f>_xlfn.XLOOKUP($B581,tblARV[ASN/DN '#],tblARV[Fulfill Via],"Not found")</f>
        <v>From RDC</v>
      </c>
      <c r="I581" s="19" t="str">
        <f>_xlfn.XLOOKUP($B581,tblARV[ASN/DN '#],tblARV[Vendor],"Not found")</f>
        <v>SCMS from RDC</v>
      </c>
    </row>
    <row r="582" spans="2:9" ht="15">
      <c r="B582" s="7" t="s">
        <v>1507</v>
      </c>
      <c r="C582" s="10">
        <v>40255</v>
      </c>
      <c r="D582" s="10">
        <v>40254</v>
      </c>
      <c r="E582" s="18">
        <v>-2</v>
      </c>
      <c r="F582" s="13" t="str">
        <f t="shared" si="19"/>
        <v>On-time</v>
      </c>
      <c r="G582" s="19" t="str">
        <f>_xlfn.XLOOKUP(B582,tblARV[ASN/DN '#],tblARV[Country],"Not found")</f>
        <v>Uganda</v>
      </c>
      <c r="H582" s="19" t="str">
        <f>_xlfn.XLOOKUP($B582,tblARV[ASN/DN '#],tblARV[Fulfill Via],"Not found")</f>
        <v>From RDC</v>
      </c>
      <c r="I582" s="19" t="str">
        <f>_xlfn.XLOOKUP($B582,tblARV[ASN/DN '#],tblARV[Vendor],"Not found")</f>
        <v>SCMS from RDC</v>
      </c>
    </row>
    <row r="583" spans="2:9" ht="15">
      <c r="B583" s="7" t="s">
        <v>1948</v>
      </c>
      <c r="C583" s="10">
        <v>40282</v>
      </c>
      <c r="D583" s="10">
        <v>40255</v>
      </c>
      <c r="E583" s="18">
        <v>-27</v>
      </c>
      <c r="F583" s="13" t="str">
        <f t="shared" si="19"/>
        <v>On-time</v>
      </c>
      <c r="G583" s="19" t="str">
        <f>_xlfn.XLOOKUP(B583,tblARV[ASN/DN '#],tblARV[Country],"Not found")</f>
        <v>Tanzania</v>
      </c>
      <c r="H583" s="19" t="str">
        <f>_xlfn.XLOOKUP($B583,tblARV[ASN/DN '#],tblARV[Fulfill Via],"Not found")</f>
        <v>From RDC</v>
      </c>
      <c r="I583" s="19" t="str">
        <f>_xlfn.XLOOKUP($B583,tblARV[ASN/DN '#],tblARV[Vendor],"Not found")</f>
        <v>SCMS from RDC</v>
      </c>
    </row>
    <row r="584" spans="2:9" ht="15">
      <c r="B584" s="7" t="s">
        <v>1729</v>
      </c>
      <c r="C584" s="10">
        <v>40240</v>
      </c>
      <c r="D584" s="10">
        <v>40242</v>
      </c>
      <c r="E584" s="18">
        <v>2</v>
      </c>
      <c r="F584" s="13" t="str">
        <f t="shared" si="19"/>
        <v>Late</v>
      </c>
      <c r="G584" s="19" t="str">
        <f>_xlfn.XLOOKUP(B584,tblARV[ASN/DN '#],tblARV[Country],"Not found")</f>
        <v>Ethiopia</v>
      </c>
      <c r="H584" s="19" t="str">
        <f>_xlfn.XLOOKUP($B584,tblARV[ASN/DN '#],tblARV[Fulfill Via],"Not found")</f>
        <v>From RDC</v>
      </c>
      <c r="I584" s="19" t="str">
        <f>_xlfn.XLOOKUP($B584,tblARV[ASN/DN '#],tblARV[Vendor],"Not found")</f>
        <v>SCMS from RDC</v>
      </c>
    </row>
    <row r="585" spans="2:9" ht="15">
      <c r="B585" s="7" t="s">
        <v>2156</v>
      </c>
      <c r="C585" s="10">
        <v>40259</v>
      </c>
      <c r="D585" s="10">
        <v>40254</v>
      </c>
      <c r="E585" s="18">
        <v>-5</v>
      </c>
      <c r="F585" s="13" t="str">
        <f t="shared" si="19"/>
        <v>On-time</v>
      </c>
      <c r="G585" s="19" t="str">
        <f>_xlfn.XLOOKUP(B585,tblARV[ASN/DN '#],tblARV[Country],"Not found")</f>
        <v>Uganda</v>
      </c>
      <c r="H585" s="19" t="str">
        <f>_xlfn.XLOOKUP($B585,tblARV[ASN/DN '#],tblARV[Fulfill Via],"Not found")</f>
        <v>From RDC</v>
      </c>
      <c r="I585" s="19" t="str">
        <f>_xlfn.XLOOKUP($B585,tblARV[ASN/DN '#],tblARV[Vendor],"Not found")</f>
        <v>SCMS from RDC</v>
      </c>
    </row>
    <row r="586" spans="2:9" ht="15">
      <c r="B586" s="7" t="s">
        <v>1509</v>
      </c>
      <c r="C586" s="10">
        <v>40256</v>
      </c>
      <c r="D586" s="10">
        <v>40254</v>
      </c>
      <c r="E586" s="18">
        <v>-4</v>
      </c>
      <c r="F586" s="13" t="str">
        <f t="shared" si="19"/>
        <v>On-time</v>
      </c>
      <c r="G586" s="19" t="str">
        <f>_xlfn.XLOOKUP(B586,tblARV[ASN/DN '#],tblARV[Country],"Not found")</f>
        <v>Uganda</v>
      </c>
      <c r="H586" s="19" t="str">
        <f>_xlfn.XLOOKUP($B586,tblARV[ASN/DN '#],tblARV[Fulfill Via],"Not found")</f>
        <v>From RDC</v>
      </c>
      <c r="I586" s="19" t="str">
        <f>_xlfn.XLOOKUP($B586,tblARV[ASN/DN '#],tblARV[Vendor],"Not found")</f>
        <v>SCMS from RDC</v>
      </c>
    </row>
    <row r="587" spans="2:9" ht="15">
      <c r="B587" s="7" t="s">
        <v>1731</v>
      </c>
      <c r="C587" s="10">
        <v>40269</v>
      </c>
      <c r="D587" s="10">
        <v>40252</v>
      </c>
      <c r="E587" s="18">
        <v>-17</v>
      </c>
      <c r="F587" s="13" t="str">
        <f t="shared" si="19"/>
        <v>On-time</v>
      </c>
      <c r="G587" s="19" t="str">
        <f>_xlfn.XLOOKUP(B587,tblARV[ASN/DN '#],tblARV[Country],"Not found")</f>
        <v>Uganda</v>
      </c>
      <c r="H587" s="19" t="str">
        <f>_xlfn.XLOOKUP($B587,tblARV[ASN/DN '#],tblARV[Fulfill Via],"Not found")</f>
        <v>From RDC</v>
      </c>
      <c r="I587" s="19" t="str">
        <f>_xlfn.XLOOKUP($B587,tblARV[ASN/DN '#],tblARV[Vendor],"Not found")</f>
        <v>SCMS from RDC</v>
      </c>
    </row>
    <row r="588" spans="2:9" ht="15">
      <c r="B588" s="7" t="s">
        <v>293</v>
      </c>
      <c r="C588" s="10">
        <v>39269</v>
      </c>
      <c r="D588" s="10">
        <v>39269</v>
      </c>
      <c r="E588" s="18">
        <v>0</v>
      </c>
      <c r="F588" s="13" t="str">
        <f t="shared" si="19"/>
        <v>On-time</v>
      </c>
      <c r="G588" s="19" t="str">
        <f>_xlfn.XLOOKUP(B588,tblARV[ASN/DN '#],tblARV[Country],"Not found")</f>
        <v>Tanzania</v>
      </c>
      <c r="H588" s="19" t="str">
        <f>_xlfn.XLOOKUP($B588,tblARV[ASN/DN '#],tblARV[Fulfill Via],"Not found")</f>
        <v>From RDC</v>
      </c>
      <c r="I588" s="19" t="str">
        <f>_xlfn.XLOOKUP($B588,tblARV[ASN/DN '#],tblARV[Vendor],"Not found")</f>
        <v>SCMS from RDC</v>
      </c>
    </row>
    <row r="589" spans="2:9" ht="15">
      <c r="B589" s="7" t="s">
        <v>514</v>
      </c>
      <c r="C589" s="10">
        <v>39269</v>
      </c>
      <c r="D589" s="10">
        <v>39269</v>
      </c>
      <c r="E589" s="18">
        <v>0</v>
      </c>
      <c r="F589" s="13" t="str">
        <f t="shared" si="19"/>
        <v>On-time</v>
      </c>
      <c r="G589" s="19" t="str">
        <f>_xlfn.XLOOKUP(B589,tblARV[ASN/DN '#],tblARV[Country],"Not found")</f>
        <v>Tanzania</v>
      </c>
      <c r="H589" s="19" t="str">
        <f>_xlfn.XLOOKUP($B589,tblARV[ASN/DN '#],tblARV[Fulfill Via],"Not found")</f>
        <v>From RDC</v>
      </c>
      <c r="I589" s="19" t="str">
        <f>_xlfn.XLOOKUP($B589,tblARV[ASN/DN '#],tblARV[Vendor],"Not found")</f>
        <v>SCMS from RDC</v>
      </c>
    </row>
    <row r="590" spans="2:9" ht="15">
      <c r="B590" s="7" t="s">
        <v>2717</v>
      </c>
      <c r="C590" s="10">
        <v>40269</v>
      </c>
      <c r="D590" s="10">
        <v>40262</v>
      </c>
      <c r="E590" s="18">
        <v>-7</v>
      </c>
      <c r="F590" s="13" t="str">
        <f t="shared" si="19"/>
        <v>On-time</v>
      </c>
      <c r="G590" s="19" t="str">
        <f>_xlfn.XLOOKUP(B590,tblARV[ASN/DN '#],tblARV[Country],"Not found")</f>
        <v>Uganda</v>
      </c>
      <c r="H590" s="19" t="str">
        <f>_xlfn.XLOOKUP($B590,tblARV[ASN/DN '#],tblARV[Fulfill Via],"Not found")</f>
        <v>From RDC</v>
      </c>
      <c r="I590" s="19" t="str">
        <f>_xlfn.XLOOKUP($B590,tblARV[ASN/DN '#],tblARV[Vendor],"Not found")</f>
        <v>SCMS from RDC</v>
      </c>
    </row>
    <row r="591" spans="2:9" ht="15">
      <c r="B591" s="7" t="s">
        <v>1733</v>
      </c>
      <c r="C591" s="10">
        <v>40268</v>
      </c>
      <c r="D591" s="10">
        <v>40256</v>
      </c>
      <c r="E591" s="18">
        <v>-12</v>
      </c>
      <c r="F591" s="13" t="str">
        <f t="shared" si="19"/>
        <v>On-time</v>
      </c>
      <c r="G591" s="19" t="str">
        <f>_xlfn.XLOOKUP(B591,tblARV[ASN/DN '#],tblARV[Country],"Not found")</f>
        <v>Uganda</v>
      </c>
      <c r="H591" s="19" t="str">
        <f>_xlfn.XLOOKUP($B591,tblARV[ASN/DN '#],tblARV[Fulfill Via],"Not found")</f>
        <v>From RDC</v>
      </c>
      <c r="I591" s="19" t="str">
        <f>_xlfn.XLOOKUP($B591,tblARV[ASN/DN '#],tblARV[Vendor],"Not found")</f>
        <v>SCMS from RDC</v>
      </c>
    </row>
    <row r="592" spans="2:9" ht="15">
      <c r="B592" s="7" t="s">
        <v>2439</v>
      </c>
      <c r="C592" s="10">
        <v>40263</v>
      </c>
      <c r="D592" s="10">
        <v>40262</v>
      </c>
      <c r="E592" s="18">
        <v>-1</v>
      </c>
      <c r="F592" s="13" t="str">
        <f t="shared" si="19"/>
        <v>On-time</v>
      </c>
      <c r="G592" s="19" t="str">
        <f>_xlfn.XLOOKUP(B592,tblARV[ASN/DN '#],tblARV[Country],"Not found")</f>
        <v>Uganda</v>
      </c>
      <c r="H592" s="19" t="str">
        <f>_xlfn.XLOOKUP($B592,tblARV[ASN/DN '#],tblARV[Fulfill Via],"Not found")</f>
        <v>From RDC</v>
      </c>
      <c r="I592" s="19" t="str">
        <f>_xlfn.XLOOKUP($B592,tblARV[ASN/DN '#],tblARV[Vendor],"Not found")</f>
        <v>SCMS from RDC</v>
      </c>
    </row>
    <row r="593" spans="2:9" ht="15">
      <c r="B593" s="7" t="s">
        <v>2311</v>
      </c>
      <c r="C593" s="10">
        <v>40298</v>
      </c>
      <c r="D593" s="10">
        <v>40262</v>
      </c>
      <c r="E593" s="18">
        <v>-36</v>
      </c>
      <c r="F593" s="13" t="str">
        <f t="shared" si="19"/>
        <v>On-time</v>
      </c>
      <c r="G593" s="19" t="str">
        <f>_xlfn.XLOOKUP(B593,tblARV[ASN/DN '#],tblARV[Country],"Not found")</f>
        <v>Uganda</v>
      </c>
      <c r="H593" s="19" t="str">
        <f>_xlfn.XLOOKUP($B593,tblARV[ASN/DN '#],tblARV[Fulfill Via],"Not found")</f>
        <v>From RDC</v>
      </c>
      <c r="I593" s="19" t="str">
        <f>_xlfn.XLOOKUP($B593,tblARV[ASN/DN '#],tblARV[Vendor],"Not found")</f>
        <v>SCMS from RDC</v>
      </c>
    </row>
    <row r="594" spans="2:9" ht="15">
      <c r="B594" s="7" t="s">
        <v>2158</v>
      </c>
      <c r="C594" s="10">
        <v>40280</v>
      </c>
      <c r="D594" s="10">
        <v>40262</v>
      </c>
      <c r="E594" s="18">
        <v>-18</v>
      </c>
      <c r="F594" s="13" t="str">
        <f t="shared" si="19"/>
        <v>On-time</v>
      </c>
      <c r="G594" s="19" t="str">
        <f>_xlfn.XLOOKUP(B594,tblARV[ASN/DN '#],tblARV[Country],"Not found")</f>
        <v>Uganda</v>
      </c>
      <c r="H594" s="19" t="str">
        <f>_xlfn.XLOOKUP($B594,tblARV[ASN/DN '#],tblARV[Fulfill Via],"Not found")</f>
        <v>From RDC</v>
      </c>
      <c r="I594" s="19" t="str">
        <f>_xlfn.XLOOKUP($B594,tblARV[ASN/DN '#],tblARV[Vendor],"Not found")</f>
        <v>SCMS from RDC</v>
      </c>
    </row>
    <row r="595" spans="2:9" ht="15">
      <c r="B595" s="7" t="s">
        <v>1511</v>
      </c>
      <c r="C595" s="10">
        <v>40269</v>
      </c>
      <c r="D595" s="10">
        <v>40262</v>
      </c>
      <c r="E595" s="18">
        <v>-14</v>
      </c>
      <c r="F595" s="13" t="str">
        <f t="shared" si="19"/>
        <v>On-time</v>
      </c>
      <c r="G595" s="19" t="str">
        <f>_xlfn.XLOOKUP(B595,tblARV[ASN/DN '#],tblARV[Country],"Not found")</f>
        <v>Uganda</v>
      </c>
      <c r="H595" s="19" t="str">
        <f>_xlfn.XLOOKUP($B595,tblARV[ASN/DN '#],tblARV[Fulfill Via],"Not found")</f>
        <v>From RDC</v>
      </c>
      <c r="I595" s="19" t="str">
        <f>_xlfn.XLOOKUP($B595,tblARV[ASN/DN '#],tblARV[Vendor],"Not found")</f>
        <v>SCMS from RDC</v>
      </c>
    </row>
    <row r="596" spans="2:9" ht="15">
      <c r="B596" s="7" t="s">
        <v>1735</v>
      </c>
      <c r="C596" s="10">
        <v>40269</v>
      </c>
      <c r="D596" s="10">
        <v>40262</v>
      </c>
      <c r="E596" s="18">
        <v>-7</v>
      </c>
      <c r="F596" s="13" t="str">
        <f t="shared" si="19"/>
        <v>On-time</v>
      </c>
      <c r="G596" s="19" t="str">
        <f>_xlfn.XLOOKUP(B596,tblARV[ASN/DN '#],tblARV[Country],"Not found")</f>
        <v>Uganda</v>
      </c>
      <c r="H596" s="19" t="str">
        <f>_xlfn.XLOOKUP($B596,tblARV[ASN/DN '#],tblARV[Fulfill Via],"Not found")</f>
        <v>From RDC</v>
      </c>
      <c r="I596" s="19" t="str">
        <f>_xlfn.XLOOKUP($B596,tblARV[ASN/DN '#],tblARV[Vendor],"Not found")</f>
        <v>SCMS from RDC</v>
      </c>
    </row>
    <row r="597" spans="2:9" ht="15">
      <c r="B597" s="7" t="s">
        <v>2719</v>
      </c>
      <c r="C597" s="10">
        <v>40269</v>
      </c>
      <c r="D597" s="10">
        <v>40262</v>
      </c>
      <c r="E597" s="18">
        <v>-7</v>
      </c>
      <c r="F597" s="13" t="str">
        <f t="shared" ref="F597:F660" si="20">IF($E597&lt;=0,"On-time","Late")</f>
        <v>On-time</v>
      </c>
      <c r="G597" s="19" t="str">
        <f>_xlfn.XLOOKUP(B597,tblARV[ASN/DN '#],tblARV[Country],"Not found")</f>
        <v>Uganda</v>
      </c>
      <c r="H597" s="19" t="str">
        <f>_xlfn.XLOOKUP($B597,tblARV[ASN/DN '#],tblARV[Fulfill Via],"Not found")</f>
        <v>From RDC</v>
      </c>
      <c r="I597" s="19" t="str">
        <f>_xlfn.XLOOKUP($B597,tblARV[ASN/DN '#],tblARV[Vendor],"Not found")</f>
        <v>SCMS from RDC</v>
      </c>
    </row>
    <row r="598" spans="2:9" ht="15">
      <c r="B598" s="7" t="s">
        <v>2313</v>
      </c>
      <c r="C598" s="10">
        <v>40269</v>
      </c>
      <c r="D598" s="10">
        <v>40262</v>
      </c>
      <c r="E598" s="18">
        <v>-7</v>
      </c>
      <c r="F598" s="13" t="str">
        <f t="shared" si="20"/>
        <v>On-time</v>
      </c>
      <c r="G598" s="19" t="str">
        <f>_xlfn.XLOOKUP(B598,tblARV[ASN/DN '#],tblARV[Country],"Not found")</f>
        <v>Uganda</v>
      </c>
      <c r="H598" s="19" t="str">
        <f>_xlfn.XLOOKUP($B598,tblARV[ASN/DN '#],tblARV[Fulfill Via],"Not found")</f>
        <v>From RDC</v>
      </c>
      <c r="I598" s="19" t="str">
        <f>_xlfn.XLOOKUP($B598,tblARV[ASN/DN '#],tblARV[Vendor],"Not found")</f>
        <v>SCMS from RDC</v>
      </c>
    </row>
    <row r="599" spans="2:9" ht="15">
      <c r="B599" s="7" t="s">
        <v>1950</v>
      </c>
      <c r="C599" s="10">
        <v>40269</v>
      </c>
      <c r="D599" s="10">
        <v>40262</v>
      </c>
      <c r="E599" s="18">
        <v>-7</v>
      </c>
      <c r="F599" s="13" t="str">
        <f t="shared" si="20"/>
        <v>On-time</v>
      </c>
      <c r="G599" s="19" t="str">
        <f>_xlfn.XLOOKUP(B599,tblARV[ASN/DN '#],tblARV[Country],"Not found")</f>
        <v>Uganda</v>
      </c>
      <c r="H599" s="19" t="str">
        <f>_xlfn.XLOOKUP($B599,tblARV[ASN/DN '#],tblARV[Fulfill Via],"Not found")</f>
        <v>From RDC</v>
      </c>
      <c r="I599" s="19" t="str">
        <f>_xlfn.XLOOKUP($B599,tblARV[ASN/DN '#],tblARV[Vendor],"Not found")</f>
        <v>SCMS from RDC</v>
      </c>
    </row>
    <row r="600" spans="2:9" ht="15">
      <c r="B600" s="7" t="s">
        <v>2315</v>
      </c>
      <c r="C600" s="10">
        <v>40275</v>
      </c>
      <c r="D600" s="10">
        <v>40262</v>
      </c>
      <c r="E600" s="18">
        <v>-13</v>
      </c>
      <c r="F600" s="13" t="str">
        <f t="shared" si="20"/>
        <v>On-time</v>
      </c>
      <c r="G600" s="19" t="str">
        <f>_xlfn.XLOOKUP(B600,tblARV[ASN/DN '#],tblARV[Country],"Not found")</f>
        <v>Uganda</v>
      </c>
      <c r="H600" s="19" t="str">
        <f>_xlfn.XLOOKUP($B600,tblARV[ASN/DN '#],tblARV[Fulfill Via],"Not found")</f>
        <v>From RDC</v>
      </c>
      <c r="I600" s="19" t="str">
        <f>_xlfn.XLOOKUP($B600,tblARV[ASN/DN '#],tblARV[Vendor],"Not found")</f>
        <v>SCMS from RDC</v>
      </c>
    </row>
    <row r="601" spans="2:9" ht="15">
      <c r="B601" s="7" t="s">
        <v>2317</v>
      </c>
      <c r="C601" s="10">
        <v>40296</v>
      </c>
      <c r="D601" s="10">
        <v>40262</v>
      </c>
      <c r="E601" s="18">
        <v>-34</v>
      </c>
      <c r="F601" s="13" t="str">
        <f t="shared" si="20"/>
        <v>On-time</v>
      </c>
      <c r="G601" s="19" t="str">
        <f>_xlfn.XLOOKUP(B601,tblARV[ASN/DN '#],tblARV[Country],"Not found")</f>
        <v>Uganda</v>
      </c>
      <c r="H601" s="19" t="str">
        <f>_xlfn.XLOOKUP($B601,tblARV[ASN/DN '#],tblARV[Fulfill Via],"Not found")</f>
        <v>From RDC</v>
      </c>
      <c r="I601" s="19" t="str">
        <f>_xlfn.XLOOKUP($B601,tblARV[ASN/DN '#],tblARV[Vendor],"Not found")</f>
        <v>SCMS from RDC</v>
      </c>
    </row>
    <row r="602" spans="2:9" ht="15">
      <c r="B602" s="7" t="s">
        <v>1737</v>
      </c>
      <c r="C602" s="10">
        <v>40324</v>
      </c>
      <c r="D602" s="10">
        <v>40276</v>
      </c>
      <c r="E602" s="18">
        <v>-96</v>
      </c>
      <c r="F602" s="13" t="str">
        <f t="shared" si="20"/>
        <v>On-time</v>
      </c>
      <c r="G602" s="19" t="str">
        <f>_xlfn.XLOOKUP(B602,tblARV[ASN/DN '#],tblARV[Country],"Not found")</f>
        <v>Uganda</v>
      </c>
      <c r="H602" s="19" t="str">
        <f>_xlfn.XLOOKUP($B602,tblARV[ASN/DN '#],tblARV[Fulfill Via],"Not found")</f>
        <v>From RDC</v>
      </c>
      <c r="I602" s="19" t="str">
        <f>_xlfn.XLOOKUP($B602,tblARV[ASN/DN '#],tblARV[Vendor],"Not found")</f>
        <v>SCMS from RDC</v>
      </c>
    </row>
    <row r="603" spans="2:9" ht="15">
      <c r="B603" s="7" t="s">
        <v>1513</v>
      </c>
      <c r="C603" s="10">
        <v>40352</v>
      </c>
      <c r="D603" s="10">
        <v>40276</v>
      </c>
      <c r="E603" s="18">
        <v>-152</v>
      </c>
      <c r="F603" s="13" t="str">
        <f t="shared" si="20"/>
        <v>On-time</v>
      </c>
      <c r="G603" s="19" t="str">
        <f>_xlfn.XLOOKUP(B603,tblARV[ASN/DN '#],tblARV[Country],"Not found")</f>
        <v>Uganda</v>
      </c>
      <c r="H603" s="19" t="str">
        <f>_xlfn.XLOOKUP($B603,tblARV[ASN/DN '#],tblARV[Fulfill Via],"Not found")</f>
        <v>From RDC</v>
      </c>
      <c r="I603" s="19" t="str">
        <f>_xlfn.XLOOKUP($B603,tblARV[ASN/DN '#],tblARV[Vendor],"Not found")</f>
        <v>SCMS from RDC</v>
      </c>
    </row>
    <row r="604" spans="2:9" ht="15">
      <c r="B604" s="7" t="s">
        <v>1739</v>
      </c>
      <c r="C604" s="10">
        <v>40324</v>
      </c>
      <c r="D604" s="10">
        <v>40280</v>
      </c>
      <c r="E604" s="18">
        <v>-88</v>
      </c>
      <c r="F604" s="13" t="str">
        <f t="shared" si="20"/>
        <v>On-time</v>
      </c>
      <c r="G604" s="19" t="str">
        <f>_xlfn.XLOOKUP(B604,tblARV[ASN/DN '#],tblARV[Country],"Not found")</f>
        <v>Uganda</v>
      </c>
      <c r="H604" s="19" t="str">
        <f>_xlfn.XLOOKUP($B604,tblARV[ASN/DN '#],tblARV[Fulfill Via],"Not found")</f>
        <v>From RDC</v>
      </c>
      <c r="I604" s="19" t="str">
        <f>_xlfn.XLOOKUP($B604,tblARV[ASN/DN '#],tblARV[Vendor],"Not found")</f>
        <v>SCMS from RDC</v>
      </c>
    </row>
    <row r="605" spans="2:9" ht="15">
      <c r="B605" s="7" t="s">
        <v>1741</v>
      </c>
      <c r="C605" s="10">
        <v>40324</v>
      </c>
      <c r="D605" s="10">
        <v>40280</v>
      </c>
      <c r="E605" s="18">
        <v>-88</v>
      </c>
      <c r="F605" s="13" t="str">
        <f t="shared" si="20"/>
        <v>On-time</v>
      </c>
      <c r="G605" s="19" t="str">
        <f>_xlfn.XLOOKUP(B605,tblARV[ASN/DN '#],tblARV[Country],"Not found")</f>
        <v>Uganda</v>
      </c>
      <c r="H605" s="19" t="str">
        <f>_xlfn.XLOOKUP($B605,tblARV[ASN/DN '#],tblARV[Fulfill Via],"Not found")</f>
        <v>From RDC</v>
      </c>
      <c r="I605" s="19" t="str">
        <f>_xlfn.XLOOKUP($B605,tblARV[ASN/DN '#],tblARV[Vendor],"Not found")</f>
        <v>SCMS from RDC</v>
      </c>
    </row>
    <row r="606" spans="2:9" ht="15">
      <c r="B606" s="7" t="s">
        <v>2319</v>
      </c>
      <c r="C606" s="10">
        <v>40380</v>
      </c>
      <c r="D606" s="10">
        <v>40268</v>
      </c>
      <c r="E606" s="18">
        <v>-112</v>
      </c>
      <c r="F606" s="13" t="str">
        <f t="shared" si="20"/>
        <v>On-time</v>
      </c>
      <c r="G606" s="19" t="str">
        <f>_xlfn.XLOOKUP(B606,tblARV[ASN/DN '#],tblARV[Country],"Not found")</f>
        <v>Tanzania</v>
      </c>
      <c r="H606" s="19" t="str">
        <f>_xlfn.XLOOKUP($B606,tblARV[ASN/DN '#],tblARV[Fulfill Via],"Not found")</f>
        <v>From RDC</v>
      </c>
      <c r="I606" s="19" t="str">
        <f>_xlfn.XLOOKUP($B606,tblARV[ASN/DN '#],tblARV[Vendor],"Not found")</f>
        <v>SCMS from RDC</v>
      </c>
    </row>
    <row r="607" spans="2:9" ht="15">
      <c r="B607" s="7" t="s">
        <v>2721</v>
      </c>
      <c r="C607" s="10">
        <v>40380</v>
      </c>
      <c r="D607" s="10">
        <v>40289</v>
      </c>
      <c r="E607" s="18">
        <v>-182</v>
      </c>
      <c r="F607" s="13" t="str">
        <f t="shared" si="20"/>
        <v>On-time</v>
      </c>
      <c r="G607" s="19" t="str">
        <f>_xlfn.XLOOKUP(B607,tblARV[ASN/DN '#],tblARV[Country],"Not found")</f>
        <v>Tanzania</v>
      </c>
      <c r="H607" s="19" t="str">
        <f>_xlfn.XLOOKUP($B607,tblARV[ASN/DN '#],tblARV[Fulfill Via],"Not found")</f>
        <v>From RDC</v>
      </c>
      <c r="I607" s="19" t="str">
        <f>_xlfn.XLOOKUP($B607,tblARV[ASN/DN '#],tblARV[Vendor],"Not found")</f>
        <v>SCMS from RDC</v>
      </c>
    </row>
    <row r="608" spans="2:9" ht="15">
      <c r="B608" s="7" t="s">
        <v>2160</v>
      </c>
      <c r="C608" s="10">
        <v>40333</v>
      </c>
      <c r="D608" s="10">
        <v>40280</v>
      </c>
      <c r="E608" s="18">
        <v>-53</v>
      </c>
      <c r="F608" s="13" t="str">
        <f t="shared" si="20"/>
        <v>On-time</v>
      </c>
      <c r="G608" s="19" t="str">
        <f>_xlfn.XLOOKUP(B608,tblARV[ASN/DN '#],tblARV[Country],"Not found")</f>
        <v>Uganda</v>
      </c>
      <c r="H608" s="19" t="str">
        <f>_xlfn.XLOOKUP($B608,tblARV[ASN/DN '#],tblARV[Fulfill Via],"Not found")</f>
        <v>From RDC</v>
      </c>
      <c r="I608" s="19" t="str">
        <f>_xlfn.XLOOKUP($B608,tblARV[ASN/DN '#],tblARV[Vendor],"Not found")</f>
        <v>SCMS from RDC</v>
      </c>
    </row>
    <row r="609" spans="2:9" ht="15">
      <c r="B609" s="7" t="s">
        <v>2575</v>
      </c>
      <c r="C609" s="10">
        <v>40333</v>
      </c>
      <c r="D609" s="10">
        <v>40283</v>
      </c>
      <c r="E609" s="18">
        <v>-50</v>
      </c>
      <c r="F609" s="13" t="str">
        <f t="shared" si="20"/>
        <v>On-time</v>
      </c>
      <c r="G609" s="19" t="str">
        <f>_xlfn.XLOOKUP(B609,tblARV[ASN/DN '#],tblARV[Country],"Not found")</f>
        <v>Uganda</v>
      </c>
      <c r="H609" s="19" t="str">
        <f>_xlfn.XLOOKUP($B609,tblARV[ASN/DN '#],tblARV[Fulfill Via],"Not found")</f>
        <v>From RDC</v>
      </c>
      <c r="I609" s="19" t="str">
        <f>_xlfn.XLOOKUP($B609,tblARV[ASN/DN '#],tblARV[Vendor],"Not found")</f>
        <v>SCMS from RDC</v>
      </c>
    </row>
    <row r="610" spans="2:9" ht="15">
      <c r="B610" s="7" t="s">
        <v>2441</v>
      </c>
      <c r="C610" s="10">
        <v>40331</v>
      </c>
      <c r="D610" s="10">
        <v>40290</v>
      </c>
      <c r="E610" s="18">
        <v>-41</v>
      </c>
      <c r="F610" s="13" t="str">
        <f t="shared" si="20"/>
        <v>On-time</v>
      </c>
      <c r="G610" s="19" t="str">
        <f>_xlfn.XLOOKUP(B610,tblARV[ASN/DN '#],tblARV[Country],"Not found")</f>
        <v>Uganda</v>
      </c>
      <c r="H610" s="19" t="str">
        <f>_xlfn.XLOOKUP($B610,tblARV[ASN/DN '#],tblARV[Fulfill Via],"Not found")</f>
        <v>From RDC</v>
      </c>
      <c r="I610" s="19" t="str">
        <f>_xlfn.XLOOKUP($B610,tblARV[ASN/DN '#],tblARV[Vendor],"Not found")</f>
        <v>SCMS from RDC</v>
      </c>
    </row>
    <row r="611" spans="2:9" ht="15">
      <c r="B611" s="7" t="s">
        <v>2162</v>
      </c>
      <c r="C611" s="10">
        <v>40344</v>
      </c>
      <c r="D611" s="10">
        <v>40287</v>
      </c>
      <c r="E611" s="18">
        <v>-57</v>
      </c>
      <c r="F611" s="13" t="str">
        <f t="shared" si="20"/>
        <v>On-time</v>
      </c>
      <c r="G611" s="19" t="str">
        <f>_xlfn.XLOOKUP(B611,tblARV[ASN/DN '#],tblARV[Country],"Not found")</f>
        <v>Rwanda</v>
      </c>
      <c r="H611" s="19" t="str">
        <f>_xlfn.XLOOKUP($B611,tblARV[ASN/DN '#],tblARV[Fulfill Via],"Not found")</f>
        <v>From RDC</v>
      </c>
      <c r="I611" s="19" t="str">
        <f>_xlfn.XLOOKUP($B611,tblARV[ASN/DN '#],tblARV[Vendor],"Not found")</f>
        <v>SCMS from RDC</v>
      </c>
    </row>
    <row r="612" spans="2:9" ht="15">
      <c r="B612" s="7" t="s">
        <v>1515</v>
      </c>
      <c r="C612" s="10">
        <v>40338</v>
      </c>
      <c r="D612" s="10">
        <v>40301</v>
      </c>
      <c r="E612" s="18">
        <v>-37</v>
      </c>
      <c r="F612" s="13" t="str">
        <f t="shared" si="20"/>
        <v>On-time</v>
      </c>
      <c r="G612" s="19" t="str">
        <f>_xlfn.XLOOKUP(B612,tblARV[ASN/DN '#],tblARV[Country],"Not found")</f>
        <v>Uganda</v>
      </c>
      <c r="H612" s="19" t="str">
        <f>_xlfn.XLOOKUP($B612,tblARV[ASN/DN '#],tblARV[Fulfill Via],"Not found")</f>
        <v>From RDC</v>
      </c>
      <c r="I612" s="19" t="str">
        <f>_xlfn.XLOOKUP($B612,tblARV[ASN/DN '#],tblARV[Vendor],"Not found")</f>
        <v>SCMS from RDC</v>
      </c>
    </row>
    <row r="613" spans="2:9" ht="15">
      <c r="B613" s="7" t="s">
        <v>1519</v>
      </c>
      <c r="C613" s="10">
        <v>40301</v>
      </c>
      <c r="D613" s="10">
        <v>40301</v>
      </c>
      <c r="E613" s="18">
        <v>0</v>
      </c>
      <c r="F613" s="13" t="str">
        <f t="shared" si="20"/>
        <v>On-time</v>
      </c>
      <c r="G613" s="19" t="str">
        <f>_xlfn.XLOOKUP(B613,tblARV[ASN/DN '#],tblARV[Country],"Not found")</f>
        <v>Uganda</v>
      </c>
      <c r="H613" s="19" t="str">
        <f>_xlfn.XLOOKUP($B613,tblARV[ASN/DN '#],tblARV[Fulfill Via],"Not found")</f>
        <v>From RDC</v>
      </c>
      <c r="I613" s="19" t="str">
        <f>_xlfn.XLOOKUP($B613,tblARV[ASN/DN '#],tblARV[Vendor],"Not found")</f>
        <v>SCMS from RDC</v>
      </c>
    </row>
    <row r="614" spans="2:9" ht="15">
      <c r="B614" s="7" t="s">
        <v>2321</v>
      </c>
      <c r="C614" s="10">
        <v>40305</v>
      </c>
      <c r="D614" s="10">
        <v>40317</v>
      </c>
      <c r="E614" s="18">
        <v>12</v>
      </c>
      <c r="F614" s="13" t="str">
        <f t="shared" si="20"/>
        <v>Late</v>
      </c>
      <c r="G614" s="19" t="str">
        <f>_xlfn.XLOOKUP(B614,tblARV[ASN/DN '#],tblARV[Country],"Not found")</f>
        <v>Uganda</v>
      </c>
      <c r="H614" s="19" t="str">
        <f>_xlfn.XLOOKUP($B614,tblARV[ASN/DN '#],tblARV[Fulfill Via],"Not found")</f>
        <v>From RDC</v>
      </c>
      <c r="I614" s="19" t="str">
        <f>_xlfn.XLOOKUP($B614,tblARV[ASN/DN '#],tblARV[Vendor],"Not found")</f>
        <v>SCMS from RDC</v>
      </c>
    </row>
    <row r="615" spans="2:9" ht="15">
      <c r="B615" s="7" t="s">
        <v>1952</v>
      </c>
      <c r="C615" s="10">
        <v>40301</v>
      </c>
      <c r="D615" s="10">
        <v>40301</v>
      </c>
      <c r="E615" s="18">
        <v>0</v>
      </c>
      <c r="F615" s="13" t="str">
        <f t="shared" si="20"/>
        <v>On-time</v>
      </c>
      <c r="G615" s="19" t="str">
        <f>_xlfn.XLOOKUP(B615,tblARV[ASN/DN '#],tblARV[Country],"Not found")</f>
        <v>Uganda</v>
      </c>
      <c r="H615" s="19" t="str">
        <f>_xlfn.XLOOKUP($B615,tblARV[ASN/DN '#],tblARV[Fulfill Via],"Not found")</f>
        <v>From RDC</v>
      </c>
      <c r="I615" s="19" t="str">
        <f>_xlfn.XLOOKUP($B615,tblARV[ASN/DN '#],tblARV[Vendor],"Not found")</f>
        <v>SCMS from RDC</v>
      </c>
    </row>
    <row r="616" spans="2:9" ht="15">
      <c r="B616" s="7" t="s">
        <v>2443</v>
      </c>
      <c r="C616" s="10">
        <v>40301</v>
      </c>
      <c r="D616" s="10">
        <v>40301</v>
      </c>
      <c r="E616" s="18">
        <v>0</v>
      </c>
      <c r="F616" s="13" t="str">
        <f t="shared" si="20"/>
        <v>On-time</v>
      </c>
      <c r="G616" s="19" t="str">
        <f>_xlfn.XLOOKUP(B616,tblARV[ASN/DN '#],tblARV[Country],"Not found")</f>
        <v>Uganda</v>
      </c>
      <c r="H616" s="19" t="str">
        <f>_xlfn.XLOOKUP($B616,tblARV[ASN/DN '#],tblARV[Fulfill Via],"Not found")</f>
        <v>From RDC</v>
      </c>
      <c r="I616" s="19" t="str">
        <f>_xlfn.XLOOKUP($B616,tblARV[ASN/DN '#],tblARV[Vendor],"Not found")</f>
        <v>SCMS from RDC</v>
      </c>
    </row>
    <row r="617" spans="2:9" ht="15">
      <c r="B617" s="7" t="s">
        <v>1517</v>
      </c>
      <c r="C617" s="10">
        <v>40301</v>
      </c>
      <c r="D617" s="10">
        <v>40301</v>
      </c>
      <c r="E617" s="18">
        <v>0</v>
      </c>
      <c r="F617" s="13" t="str">
        <f t="shared" si="20"/>
        <v>On-time</v>
      </c>
      <c r="G617" s="19" t="str">
        <f>_xlfn.XLOOKUP(B617,tblARV[ASN/DN '#],tblARV[Country],"Not found")</f>
        <v>Uganda</v>
      </c>
      <c r="H617" s="19" t="str">
        <f>_xlfn.XLOOKUP($B617,tblARV[ASN/DN '#],tblARV[Fulfill Via],"Not found")</f>
        <v>From RDC</v>
      </c>
      <c r="I617" s="19" t="str">
        <f>_xlfn.XLOOKUP($B617,tblARV[ASN/DN '#],tblARV[Vendor],"Not found")</f>
        <v>SCMS from RDC</v>
      </c>
    </row>
    <row r="618" spans="2:9" ht="15">
      <c r="B618" s="7" t="s">
        <v>1743</v>
      </c>
      <c r="C618" s="10">
        <v>40331</v>
      </c>
      <c r="D618" s="10">
        <v>40301</v>
      </c>
      <c r="E618" s="18">
        <v>-30</v>
      </c>
      <c r="F618" s="13" t="str">
        <f t="shared" si="20"/>
        <v>On-time</v>
      </c>
      <c r="G618" s="19" t="str">
        <f>_xlfn.XLOOKUP(B618,tblARV[ASN/DN '#],tblARV[Country],"Not found")</f>
        <v>Uganda</v>
      </c>
      <c r="H618" s="19" t="str">
        <f>_xlfn.XLOOKUP($B618,tblARV[ASN/DN '#],tblARV[Fulfill Via],"Not found")</f>
        <v>From RDC</v>
      </c>
      <c r="I618" s="19" t="str">
        <f>_xlfn.XLOOKUP($B618,tblARV[ASN/DN '#],tblARV[Vendor],"Not found")</f>
        <v>SCMS from RDC</v>
      </c>
    </row>
    <row r="619" spans="2:9" ht="15">
      <c r="B619" s="7" t="s">
        <v>2323</v>
      </c>
      <c r="C619" s="10">
        <v>40368</v>
      </c>
      <c r="D619" s="10">
        <v>40301</v>
      </c>
      <c r="E619" s="18">
        <v>-67</v>
      </c>
      <c r="F619" s="13" t="str">
        <f t="shared" si="20"/>
        <v>On-time</v>
      </c>
      <c r="G619" s="19" t="str">
        <f>_xlfn.XLOOKUP(B619,tblARV[ASN/DN '#],tblARV[Country],"Not found")</f>
        <v>Uganda</v>
      </c>
      <c r="H619" s="19" t="str">
        <f>_xlfn.XLOOKUP($B619,tblARV[ASN/DN '#],tblARV[Fulfill Via],"Not found")</f>
        <v>From RDC</v>
      </c>
      <c r="I619" s="19" t="str">
        <f>_xlfn.XLOOKUP($B619,tblARV[ASN/DN '#],tblARV[Vendor],"Not found")</f>
        <v>SCMS from RDC</v>
      </c>
    </row>
    <row r="620" spans="2:9" ht="15">
      <c r="B620" s="7" t="s">
        <v>2445</v>
      </c>
      <c r="C620" s="10">
        <v>40340</v>
      </c>
      <c r="D620" s="10">
        <v>40301</v>
      </c>
      <c r="E620" s="18">
        <v>-39</v>
      </c>
      <c r="F620" s="13" t="str">
        <f t="shared" si="20"/>
        <v>On-time</v>
      </c>
      <c r="G620" s="19" t="str">
        <f>_xlfn.XLOOKUP(B620,tblARV[ASN/DN '#],tblARV[Country],"Not found")</f>
        <v>Uganda</v>
      </c>
      <c r="H620" s="19" t="str">
        <f>_xlfn.XLOOKUP($B620,tblARV[ASN/DN '#],tblARV[Fulfill Via],"Not found")</f>
        <v>From RDC</v>
      </c>
      <c r="I620" s="19" t="str">
        <f>_xlfn.XLOOKUP($B620,tblARV[ASN/DN '#],tblARV[Vendor],"Not found")</f>
        <v>SCMS from RDC</v>
      </c>
    </row>
    <row r="621" spans="2:9" ht="15">
      <c r="B621" s="7" t="s">
        <v>2447</v>
      </c>
      <c r="C621" s="10">
        <v>40388</v>
      </c>
      <c r="D621" s="10">
        <v>40323</v>
      </c>
      <c r="E621" s="18">
        <v>-65</v>
      </c>
      <c r="F621" s="13" t="str">
        <f t="shared" si="20"/>
        <v>On-time</v>
      </c>
      <c r="G621" s="19" t="str">
        <f>_xlfn.XLOOKUP(B621,tblARV[ASN/DN '#],tblARV[Country],"Not found")</f>
        <v>Tanzania</v>
      </c>
      <c r="H621" s="19" t="str">
        <f>_xlfn.XLOOKUP($B621,tblARV[ASN/DN '#],tblARV[Fulfill Via],"Not found")</f>
        <v>From RDC</v>
      </c>
      <c r="I621" s="19" t="str">
        <f>_xlfn.XLOOKUP($B621,tblARV[ASN/DN '#],tblARV[Vendor],"Not found")</f>
        <v>SCMS from RDC</v>
      </c>
    </row>
    <row r="622" spans="2:9" ht="15">
      <c r="B622" s="7" t="s">
        <v>1954</v>
      </c>
      <c r="C622" s="10">
        <v>40361</v>
      </c>
      <c r="D622" s="10">
        <v>40302</v>
      </c>
      <c r="E622" s="18">
        <v>-59</v>
      </c>
      <c r="F622" s="13" t="str">
        <f t="shared" si="20"/>
        <v>On-time</v>
      </c>
      <c r="G622" s="19" t="str">
        <f>_xlfn.XLOOKUP(B622,tblARV[ASN/DN '#],tblARV[Country],"Not found")</f>
        <v>Ethiopia</v>
      </c>
      <c r="H622" s="19" t="str">
        <f>_xlfn.XLOOKUP($B622,tblARV[ASN/DN '#],tblARV[Fulfill Via],"Not found")</f>
        <v>From RDC</v>
      </c>
      <c r="I622" s="19" t="str">
        <f>_xlfn.XLOOKUP($B622,tblARV[ASN/DN '#],tblARV[Vendor],"Not found")</f>
        <v>SCMS from RDC</v>
      </c>
    </row>
    <row r="623" spans="2:9" ht="15">
      <c r="B623" s="7" t="s">
        <v>2164</v>
      </c>
      <c r="C623" s="10">
        <v>40329</v>
      </c>
      <c r="D623" s="10">
        <v>40317</v>
      </c>
      <c r="E623" s="18">
        <v>-12</v>
      </c>
      <c r="F623" s="13" t="str">
        <f t="shared" si="20"/>
        <v>On-time</v>
      </c>
      <c r="G623" s="19" t="str">
        <f>_xlfn.XLOOKUP(B623,tblARV[ASN/DN '#],tblARV[Country],"Not found")</f>
        <v>Uganda</v>
      </c>
      <c r="H623" s="19" t="str">
        <f>_xlfn.XLOOKUP($B623,tblARV[ASN/DN '#],tblARV[Fulfill Via],"Not found")</f>
        <v>From RDC</v>
      </c>
      <c r="I623" s="19" t="str">
        <f>_xlfn.XLOOKUP($B623,tblARV[ASN/DN '#],tblARV[Vendor],"Not found")</f>
        <v>SCMS from RDC</v>
      </c>
    </row>
    <row r="624" spans="2:9" ht="15">
      <c r="B624" s="7" t="s">
        <v>1956</v>
      </c>
      <c r="C624" s="10">
        <v>40380</v>
      </c>
      <c r="D624" s="10">
        <v>40319</v>
      </c>
      <c r="E624" s="18">
        <v>-61</v>
      </c>
      <c r="F624" s="13" t="str">
        <f t="shared" si="20"/>
        <v>On-time</v>
      </c>
      <c r="G624" s="19" t="str">
        <f>_xlfn.XLOOKUP(B624,tblARV[ASN/DN '#],tblARV[Country],"Not found")</f>
        <v>Tanzania</v>
      </c>
      <c r="H624" s="19" t="str">
        <f>_xlfn.XLOOKUP($B624,tblARV[ASN/DN '#],tblARV[Fulfill Via],"Not found")</f>
        <v>From RDC</v>
      </c>
      <c r="I624" s="19" t="str">
        <f>_xlfn.XLOOKUP($B624,tblARV[ASN/DN '#],tblARV[Vendor],"Not found")</f>
        <v>SCMS from RDC</v>
      </c>
    </row>
    <row r="625" spans="2:9" ht="15">
      <c r="B625" s="7" t="s">
        <v>2325</v>
      </c>
      <c r="C625" s="10">
        <v>40324</v>
      </c>
      <c r="D625" s="10">
        <v>40325</v>
      </c>
      <c r="E625" s="18">
        <v>1</v>
      </c>
      <c r="F625" s="13" t="str">
        <f t="shared" si="20"/>
        <v>Late</v>
      </c>
      <c r="G625" s="19" t="str">
        <f>_xlfn.XLOOKUP(B625,tblARV[ASN/DN '#],tblARV[Country],"Not found")</f>
        <v>Uganda</v>
      </c>
      <c r="H625" s="19" t="str">
        <f>_xlfn.XLOOKUP($B625,tblARV[ASN/DN '#],tblARV[Fulfill Via],"Not found")</f>
        <v>From RDC</v>
      </c>
      <c r="I625" s="19" t="str">
        <f>_xlfn.XLOOKUP($B625,tblARV[ASN/DN '#],tblARV[Vendor],"Not found")</f>
        <v>SCMS from RDC</v>
      </c>
    </row>
    <row r="626" spans="2:9" ht="15">
      <c r="B626" s="7" t="s">
        <v>2166</v>
      </c>
      <c r="C626" s="10">
        <v>40338</v>
      </c>
      <c r="D626" s="10">
        <v>40323</v>
      </c>
      <c r="E626" s="18">
        <v>-15</v>
      </c>
      <c r="F626" s="13" t="str">
        <f t="shared" si="20"/>
        <v>On-time</v>
      </c>
      <c r="G626" s="19" t="str">
        <f>_xlfn.XLOOKUP(B626,tblARV[ASN/DN '#],tblARV[Country],"Not found")</f>
        <v>Uganda</v>
      </c>
      <c r="H626" s="19" t="str">
        <f>_xlfn.XLOOKUP($B626,tblARV[ASN/DN '#],tblARV[Fulfill Via],"Not found")</f>
        <v>From RDC</v>
      </c>
      <c r="I626" s="19" t="str">
        <f>_xlfn.XLOOKUP($B626,tblARV[ASN/DN '#],tblARV[Vendor],"Not found")</f>
        <v>SCMS from RDC</v>
      </c>
    </row>
    <row r="627" spans="2:9" ht="15">
      <c r="B627" s="7" t="s">
        <v>1745</v>
      </c>
      <c r="C627" s="10">
        <v>40344</v>
      </c>
      <c r="D627" s="10">
        <v>40330</v>
      </c>
      <c r="E627" s="18">
        <v>-14</v>
      </c>
      <c r="F627" s="13" t="str">
        <f t="shared" si="20"/>
        <v>On-time</v>
      </c>
      <c r="G627" s="19" t="str">
        <f>_xlfn.XLOOKUP(B627,tblARV[ASN/DN '#],tblARV[Country],"Not found")</f>
        <v>Ethiopia</v>
      </c>
      <c r="H627" s="19" t="str">
        <f>_xlfn.XLOOKUP($B627,tblARV[ASN/DN '#],tblARV[Fulfill Via],"Not found")</f>
        <v>From RDC</v>
      </c>
      <c r="I627" s="19" t="str">
        <f>_xlfn.XLOOKUP($B627,tblARV[ASN/DN '#],tblARV[Vendor],"Not found")</f>
        <v>SCMS from RDC</v>
      </c>
    </row>
    <row r="628" spans="2:9" ht="15">
      <c r="B628" s="7" t="s">
        <v>1521</v>
      </c>
      <c r="C628" s="10">
        <v>40330</v>
      </c>
      <c r="D628" s="10">
        <v>40329</v>
      </c>
      <c r="E628" s="18">
        <v>-1</v>
      </c>
      <c r="F628" s="13" t="str">
        <f t="shared" si="20"/>
        <v>On-time</v>
      </c>
      <c r="G628" s="19" t="str">
        <f>_xlfn.XLOOKUP(B628,tblARV[ASN/DN '#],tblARV[Country],"Not found")</f>
        <v>Ethiopia</v>
      </c>
      <c r="H628" s="19" t="str">
        <f>_xlfn.XLOOKUP($B628,tblARV[ASN/DN '#],tblARV[Fulfill Via],"Not found")</f>
        <v>From RDC</v>
      </c>
      <c r="I628" s="19" t="str">
        <f>_xlfn.XLOOKUP($B628,tblARV[ASN/DN '#],tblARV[Vendor],"Not found")</f>
        <v>SCMS from RDC</v>
      </c>
    </row>
    <row r="629" spans="2:9" ht="15">
      <c r="B629" s="7" t="s">
        <v>2577</v>
      </c>
      <c r="C629" s="10">
        <v>40359</v>
      </c>
      <c r="D629" s="10">
        <v>40351</v>
      </c>
      <c r="E629" s="18">
        <v>-8</v>
      </c>
      <c r="F629" s="13" t="str">
        <f t="shared" si="20"/>
        <v>On-time</v>
      </c>
      <c r="G629" s="19" t="str">
        <f>_xlfn.XLOOKUP(B629,tblARV[ASN/DN '#],tblARV[Country],"Not found")</f>
        <v>Uganda</v>
      </c>
      <c r="H629" s="19" t="str">
        <f>_xlfn.XLOOKUP($B629,tblARV[ASN/DN '#],tblARV[Fulfill Via],"Not found")</f>
        <v>From RDC</v>
      </c>
      <c r="I629" s="19" t="str">
        <f>_xlfn.XLOOKUP($B629,tblARV[ASN/DN '#],tblARV[Vendor],"Not found")</f>
        <v>SCMS from RDC</v>
      </c>
    </row>
    <row r="630" spans="2:9" ht="15">
      <c r="B630" s="7" t="s">
        <v>2449</v>
      </c>
      <c r="C630" s="10">
        <v>40359</v>
      </c>
      <c r="D630" s="10">
        <v>40351</v>
      </c>
      <c r="E630" s="18">
        <v>-8</v>
      </c>
      <c r="F630" s="13" t="str">
        <f t="shared" si="20"/>
        <v>On-time</v>
      </c>
      <c r="G630" s="19" t="str">
        <f>_xlfn.XLOOKUP(B630,tblARV[ASN/DN '#],tblARV[Country],"Not found")</f>
        <v>Uganda</v>
      </c>
      <c r="H630" s="19" t="str">
        <f>_xlfn.XLOOKUP($B630,tblARV[ASN/DN '#],tblARV[Fulfill Via],"Not found")</f>
        <v>From RDC</v>
      </c>
      <c r="I630" s="19" t="str">
        <f>_xlfn.XLOOKUP($B630,tblARV[ASN/DN '#],tblARV[Vendor],"Not found")</f>
        <v>SCMS from RDC</v>
      </c>
    </row>
    <row r="631" spans="2:9" ht="15">
      <c r="B631" s="7" t="s">
        <v>2168</v>
      </c>
      <c r="C631" s="10">
        <v>40338</v>
      </c>
      <c r="D631" s="10">
        <v>40344</v>
      </c>
      <c r="E631" s="18">
        <v>6</v>
      </c>
      <c r="F631" s="13" t="str">
        <f t="shared" si="20"/>
        <v>Late</v>
      </c>
      <c r="G631" s="19" t="str">
        <f>_xlfn.XLOOKUP(B631,tblARV[ASN/DN '#],tblARV[Country],"Not found")</f>
        <v>Uganda</v>
      </c>
      <c r="H631" s="19" t="str">
        <f>_xlfn.XLOOKUP($B631,tblARV[ASN/DN '#],tblARV[Fulfill Via],"Not found")</f>
        <v>From RDC</v>
      </c>
      <c r="I631" s="19" t="str">
        <f>_xlfn.XLOOKUP($B631,tblARV[ASN/DN '#],tblARV[Vendor],"Not found")</f>
        <v>SCMS from RDC</v>
      </c>
    </row>
    <row r="632" spans="2:9" ht="15">
      <c r="B632" s="7" t="s">
        <v>1747</v>
      </c>
      <c r="C632" s="10">
        <v>40359</v>
      </c>
      <c r="D632" s="10">
        <v>40351</v>
      </c>
      <c r="E632" s="18">
        <v>-16</v>
      </c>
      <c r="F632" s="13" t="str">
        <f t="shared" si="20"/>
        <v>On-time</v>
      </c>
      <c r="G632" s="19" t="str">
        <f>_xlfn.XLOOKUP(B632,tblARV[ASN/DN '#],tblARV[Country],"Not found")</f>
        <v>Uganda</v>
      </c>
      <c r="H632" s="19" t="str">
        <f>_xlfn.XLOOKUP($B632,tblARV[ASN/DN '#],tblARV[Fulfill Via],"Not found")</f>
        <v>From RDC</v>
      </c>
      <c r="I632" s="19" t="str">
        <f>_xlfn.XLOOKUP($B632,tblARV[ASN/DN '#],tblARV[Vendor],"Not found")</f>
        <v>SCMS from RDC</v>
      </c>
    </row>
    <row r="633" spans="2:9" ht="15">
      <c r="B633" s="7" t="s">
        <v>1749</v>
      </c>
      <c r="C633" s="10">
        <v>40350</v>
      </c>
      <c r="D633" s="10">
        <v>40330</v>
      </c>
      <c r="E633" s="18">
        <v>-40</v>
      </c>
      <c r="F633" s="13" t="str">
        <f t="shared" si="20"/>
        <v>On-time</v>
      </c>
      <c r="G633" s="19" t="str">
        <f>_xlfn.XLOOKUP(B633,tblARV[ASN/DN '#],tblARV[Country],"Not found")</f>
        <v>Ethiopia</v>
      </c>
      <c r="H633" s="19" t="str">
        <f>_xlfn.XLOOKUP($B633,tblARV[ASN/DN '#],tblARV[Fulfill Via],"Not found")</f>
        <v>From RDC</v>
      </c>
      <c r="I633" s="19" t="str">
        <f>_xlfn.XLOOKUP($B633,tblARV[ASN/DN '#],tblARV[Vendor],"Not found")</f>
        <v>SCMS from RDC</v>
      </c>
    </row>
    <row r="634" spans="2:9" ht="15">
      <c r="B634" s="7" t="s">
        <v>2451</v>
      </c>
      <c r="C634" s="10">
        <v>40359</v>
      </c>
      <c r="D634" s="10">
        <v>40344</v>
      </c>
      <c r="E634" s="18">
        <v>-15</v>
      </c>
      <c r="F634" s="13" t="str">
        <f t="shared" si="20"/>
        <v>On-time</v>
      </c>
      <c r="G634" s="19" t="str">
        <f>_xlfn.XLOOKUP(B634,tblARV[ASN/DN '#],tblARV[Country],"Not found")</f>
        <v>Uganda</v>
      </c>
      <c r="H634" s="19" t="str">
        <f>_xlfn.XLOOKUP($B634,tblARV[ASN/DN '#],tblARV[Fulfill Via],"Not found")</f>
        <v>From RDC</v>
      </c>
      <c r="I634" s="19" t="str">
        <f>_xlfn.XLOOKUP($B634,tblARV[ASN/DN '#],tblARV[Vendor],"Not found")</f>
        <v>SCMS from RDC</v>
      </c>
    </row>
    <row r="635" spans="2:9" ht="15">
      <c r="B635" s="7" t="s">
        <v>1958</v>
      </c>
      <c r="C635" s="10">
        <v>40359</v>
      </c>
      <c r="D635" s="10">
        <v>40351</v>
      </c>
      <c r="E635" s="18">
        <v>-8</v>
      </c>
      <c r="F635" s="13" t="str">
        <f t="shared" si="20"/>
        <v>On-time</v>
      </c>
      <c r="G635" s="19" t="str">
        <f>_xlfn.XLOOKUP(B635,tblARV[ASN/DN '#],tblARV[Country],"Not found")</f>
        <v>Uganda</v>
      </c>
      <c r="H635" s="19" t="str">
        <f>_xlfn.XLOOKUP($B635,tblARV[ASN/DN '#],tblARV[Fulfill Via],"Not found")</f>
        <v>From RDC</v>
      </c>
      <c r="I635" s="19" t="str">
        <f>_xlfn.XLOOKUP($B635,tblARV[ASN/DN '#],tblARV[Vendor],"Not found")</f>
        <v>SCMS from RDC</v>
      </c>
    </row>
    <row r="636" spans="2:9" ht="15">
      <c r="B636" s="7" t="s">
        <v>2327</v>
      </c>
      <c r="C636" s="10">
        <v>40359</v>
      </c>
      <c r="D636" s="10">
        <v>40351</v>
      </c>
      <c r="E636" s="18">
        <v>-8</v>
      </c>
      <c r="F636" s="13" t="str">
        <f t="shared" si="20"/>
        <v>On-time</v>
      </c>
      <c r="G636" s="19" t="str">
        <f>_xlfn.XLOOKUP(B636,tblARV[ASN/DN '#],tblARV[Country],"Not found")</f>
        <v>Uganda</v>
      </c>
      <c r="H636" s="19" t="str">
        <f>_xlfn.XLOOKUP($B636,tblARV[ASN/DN '#],tblARV[Fulfill Via],"Not found")</f>
        <v>From RDC</v>
      </c>
      <c r="I636" s="19" t="str">
        <f>_xlfn.XLOOKUP($B636,tblARV[ASN/DN '#],tblARV[Vendor],"Not found")</f>
        <v>SCMS from RDC</v>
      </c>
    </row>
    <row r="637" spans="2:9" ht="15">
      <c r="B637" s="7" t="s">
        <v>2170</v>
      </c>
      <c r="C637" s="10">
        <v>40359</v>
      </c>
      <c r="D637" s="10">
        <v>40347</v>
      </c>
      <c r="E637" s="18">
        <v>-12</v>
      </c>
      <c r="F637" s="13" t="str">
        <f t="shared" si="20"/>
        <v>On-time</v>
      </c>
      <c r="G637" s="19" t="str">
        <f>_xlfn.XLOOKUP(B637,tblARV[ASN/DN '#],tblARV[Country],"Not found")</f>
        <v>Ethiopia</v>
      </c>
      <c r="H637" s="19" t="str">
        <f>_xlfn.XLOOKUP($B637,tblARV[ASN/DN '#],tblARV[Fulfill Via],"Not found")</f>
        <v>From RDC</v>
      </c>
      <c r="I637" s="19" t="str">
        <f>_xlfn.XLOOKUP($B637,tblARV[ASN/DN '#],tblARV[Vendor],"Not found")</f>
        <v>SCMS from RDC</v>
      </c>
    </row>
    <row r="638" spans="2:9" ht="15">
      <c r="B638" s="7" t="s">
        <v>2172</v>
      </c>
      <c r="C638" s="10">
        <v>40374</v>
      </c>
      <c r="D638" s="10">
        <v>40366</v>
      </c>
      <c r="E638" s="18">
        <v>-8</v>
      </c>
      <c r="F638" s="13" t="str">
        <f t="shared" si="20"/>
        <v>On-time</v>
      </c>
      <c r="G638" s="19" t="str">
        <f>_xlfn.XLOOKUP(B638,tblARV[ASN/DN '#],tblARV[Country],"Not found")</f>
        <v>Rwanda</v>
      </c>
      <c r="H638" s="19" t="str">
        <f>_xlfn.XLOOKUP($B638,tblARV[ASN/DN '#],tblARV[Fulfill Via],"Not found")</f>
        <v>From RDC</v>
      </c>
      <c r="I638" s="19" t="str">
        <f>_xlfn.XLOOKUP($B638,tblARV[ASN/DN '#],tblARV[Vendor],"Not found")</f>
        <v>SCMS from RDC</v>
      </c>
    </row>
    <row r="639" spans="2:9" ht="15">
      <c r="B639" s="7" t="s">
        <v>2174</v>
      </c>
      <c r="C639" s="10">
        <v>40387</v>
      </c>
      <c r="D639" s="10">
        <v>40381</v>
      </c>
      <c r="E639" s="18">
        <v>-6</v>
      </c>
      <c r="F639" s="13" t="str">
        <f t="shared" si="20"/>
        <v>On-time</v>
      </c>
      <c r="G639" s="19" t="str">
        <f>_xlfn.XLOOKUP(B639,tblARV[ASN/DN '#],tblARV[Country],"Not found")</f>
        <v>Uganda</v>
      </c>
      <c r="H639" s="19" t="str">
        <f>_xlfn.XLOOKUP($B639,tblARV[ASN/DN '#],tblARV[Fulfill Via],"Not found")</f>
        <v>From RDC</v>
      </c>
      <c r="I639" s="19" t="str">
        <f>_xlfn.XLOOKUP($B639,tblARV[ASN/DN '#],tblARV[Vendor],"Not found")</f>
        <v>SCMS from RDC</v>
      </c>
    </row>
    <row r="640" spans="2:9" ht="15">
      <c r="B640" s="7" t="s">
        <v>2579</v>
      </c>
      <c r="C640" s="10">
        <v>40380</v>
      </c>
      <c r="D640" s="10">
        <v>40367</v>
      </c>
      <c r="E640" s="18">
        <v>-13</v>
      </c>
      <c r="F640" s="13" t="str">
        <f t="shared" si="20"/>
        <v>On-time</v>
      </c>
      <c r="G640" s="19" t="str">
        <f>_xlfn.XLOOKUP(B640,tblARV[ASN/DN '#],tblARV[Country],"Not found")</f>
        <v>Tanzania</v>
      </c>
      <c r="H640" s="19" t="str">
        <f>_xlfn.XLOOKUP($B640,tblARV[ASN/DN '#],tblARV[Fulfill Via],"Not found")</f>
        <v>From RDC</v>
      </c>
      <c r="I640" s="19" t="str">
        <f>_xlfn.XLOOKUP($B640,tblARV[ASN/DN '#],tblARV[Vendor],"Not found")</f>
        <v>SCMS from RDC</v>
      </c>
    </row>
    <row r="641" spans="2:9" ht="15">
      <c r="B641" s="7" t="s">
        <v>1523</v>
      </c>
      <c r="C641" s="10">
        <v>40374</v>
      </c>
      <c r="D641" s="10">
        <v>40367</v>
      </c>
      <c r="E641" s="18">
        <v>-7</v>
      </c>
      <c r="F641" s="13" t="str">
        <f t="shared" si="20"/>
        <v>On-time</v>
      </c>
      <c r="G641" s="19" t="str">
        <f>_xlfn.XLOOKUP(B641,tblARV[ASN/DN '#],tblARV[Country],"Not found")</f>
        <v>Ethiopia</v>
      </c>
      <c r="H641" s="19" t="str">
        <f>_xlfn.XLOOKUP($B641,tblARV[ASN/DN '#],tblARV[Fulfill Via],"Not found")</f>
        <v>From RDC</v>
      </c>
      <c r="I641" s="19" t="str">
        <f>_xlfn.XLOOKUP($B641,tblARV[ASN/DN '#],tblARV[Vendor],"Not found")</f>
        <v>SCMS from RDC</v>
      </c>
    </row>
    <row r="642" spans="2:9" ht="15">
      <c r="B642" s="7" t="s">
        <v>2176</v>
      </c>
      <c r="C642" s="10">
        <v>40378</v>
      </c>
      <c r="D642" s="10">
        <v>40394</v>
      </c>
      <c r="E642" s="18">
        <v>16</v>
      </c>
      <c r="F642" s="13" t="str">
        <f t="shared" si="20"/>
        <v>Late</v>
      </c>
      <c r="G642" s="19" t="str">
        <f>_xlfn.XLOOKUP(B642,tblARV[ASN/DN '#],tblARV[Country],"Not found")</f>
        <v>Tanzania</v>
      </c>
      <c r="H642" s="19" t="str">
        <f>_xlfn.XLOOKUP($B642,tblARV[ASN/DN '#],tblARV[Fulfill Via],"Not found")</f>
        <v>From RDC</v>
      </c>
      <c r="I642" s="19" t="str">
        <f>_xlfn.XLOOKUP($B642,tblARV[ASN/DN '#],tblARV[Vendor],"Not found")</f>
        <v>SCMS from RDC</v>
      </c>
    </row>
    <row r="643" spans="2:9" ht="15">
      <c r="B643" s="7" t="s">
        <v>1960</v>
      </c>
      <c r="C643" s="10">
        <v>40394</v>
      </c>
      <c r="D643" s="10">
        <v>40378</v>
      </c>
      <c r="E643" s="18">
        <v>-32</v>
      </c>
      <c r="F643" s="13" t="str">
        <f t="shared" si="20"/>
        <v>On-time</v>
      </c>
      <c r="G643" s="19" t="str">
        <f>_xlfn.XLOOKUP(B643,tblARV[ASN/DN '#],tblARV[Country],"Not found")</f>
        <v>Uganda</v>
      </c>
      <c r="H643" s="19" t="str">
        <f>_xlfn.XLOOKUP($B643,tblARV[ASN/DN '#],tblARV[Fulfill Via],"Not found")</f>
        <v>From RDC</v>
      </c>
      <c r="I643" s="19" t="str">
        <f>_xlfn.XLOOKUP($B643,tblARV[ASN/DN '#],tblARV[Vendor],"Not found")</f>
        <v>SCMS from RDC</v>
      </c>
    </row>
    <row r="644" spans="2:9" ht="15">
      <c r="B644" s="7" t="s">
        <v>2178</v>
      </c>
      <c r="C644" s="10">
        <v>40380</v>
      </c>
      <c r="D644" s="10">
        <v>40380</v>
      </c>
      <c r="E644" s="18">
        <v>0</v>
      </c>
      <c r="F644" s="13" t="str">
        <f t="shared" si="20"/>
        <v>On-time</v>
      </c>
      <c r="G644" s="19" t="str">
        <f>_xlfn.XLOOKUP(B644,tblARV[ASN/DN '#],tblARV[Country],"Not found")</f>
        <v>Tanzania</v>
      </c>
      <c r="H644" s="19" t="str">
        <f>_xlfn.XLOOKUP($B644,tblARV[ASN/DN '#],tblARV[Fulfill Via],"Not found")</f>
        <v>From RDC</v>
      </c>
      <c r="I644" s="19" t="str">
        <f>_xlfn.XLOOKUP($B644,tblARV[ASN/DN '#],tblARV[Vendor],"Not found")</f>
        <v>SCMS from RDC</v>
      </c>
    </row>
    <row r="645" spans="2:9" ht="15">
      <c r="B645" s="7" t="s">
        <v>1962</v>
      </c>
      <c r="C645" s="10">
        <v>40394</v>
      </c>
      <c r="D645" s="10">
        <v>40392</v>
      </c>
      <c r="E645" s="18">
        <v>-8</v>
      </c>
      <c r="F645" s="13" t="str">
        <f t="shared" si="20"/>
        <v>On-time</v>
      </c>
      <c r="G645" s="19" t="str">
        <f>_xlfn.XLOOKUP(B645,tblARV[ASN/DN '#],tblARV[Country],"Not found")</f>
        <v>Uganda</v>
      </c>
      <c r="H645" s="19" t="str">
        <f>_xlfn.XLOOKUP($B645,tblARV[ASN/DN '#],tblARV[Fulfill Via],"Not found")</f>
        <v>From RDC</v>
      </c>
      <c r="I645" s="19" t="str">
        <f>_xlfn.XLOOKUP($B645,tblARV[ASN/DN '#],tblARV[Vendor],"Not found")</f>
        <v>SCMS from RDC</v>
      </c>
    </row>
    <row r="646" spans="2:9" ht="15">
      <c r="B646" s="7" t="s">
        <v>1525</v>
      </c>
      <c r="C646" s="10">
        <v>40420</v>
      </c>
      <c r="D646" s="10">
        <v>40393</v>
      </c>
      <c r="E646" s="18">
        <v>-27</v>
      </c>
      <c r="F646" s="13" t="str">
        <f t="shared" si="20"/>
        <v>On-time</v>
      </c>
      <c r="G646" s="19" t="str">
        <f>_xlfn.XLOOKUP(B646,tblARV[ASN/DN '#],tblARV[Country],"Not found")</f>
        <v>Rwanda</v>
      </c>
      <c r="H646" s="19" t="str">
        <f>_xlfn.XLOOKUP($B646,tblARV[ASN/DN '#],tblARV[Fulfill Via],"Not found")</f>
        <v>From RDC</v>
      </c>
      <c r="I646" s="19" t="str">
        <f>_xlfn.XLOOKUP($B646,tblARV[ASN/DN '#],tblARV[Vendor],"Not found")</f>
        <v>SCMS from RDC</v>
      </c>
    </row>
    <row r="647" spans="2:9" ht="15">
      <c r="B647" s="7" t="s">
        <v>2180</v>
      </c>
      <c r="C647" s="10">
        <v>40442</v>
      </c>
      <c r="D647" s="10">
        <v>40378</v>
      </c>
      <c r="E647" s="18">
        <v>-128</v>
      </c>
      <c r="F647" s="13" t="str">
        <f t="shared" si="20"/>
        <v>On-time</v>
      </c>
      <c r="G647" s="19" t="str">
        <f>_xlfn.XLOOKUP(B647,tblARV[ASN/DN '#],tblARV[Country],"Not found")</f>
        <v>Ethiopia</v>
      </c>
      <c r="H647" s="19" t="str">
        <f>_xlfn.XLOOKUP($B647,tblARV[ASN/DN '#],tblARV[Fulfill Via],"Not found")</f>
        <v>From RDC</v>
      </c>
      <c r="I647" s="19" t="str">
        <f>_xlfn.XLOOKUP($B647,tblARV[ASN/DN '#],tblARV[Vendor],"Not found")</f>
        <v>SCMS from RDC</v>
      </c>
    </row>
    <row r="648" spans="2:9" ht="15">
      <c r="B648" s="7" t="s">
        <v>1751</v>
      </c>
      <c r="C648" s="10">
        <v>40442</v>
      </c>
      <c r="D648" s="10">
        <v>40373</v>
      </c>
      <c r="E648" s="18">
        <v>-138</v>
      </c>
      <c r="F648" s="13" t="str">
        <f t="shared" si="20"/>
        <v>On-time</v>
      </c>
      <c r="G648" s="19" t="str">
        <f>_xlfn.XLOOKUP(B648,tblARV[ASN/DN '#],tblARV[Country],"Not found")</f>
        <v>Ethiopia</v>
      </c>
      <c r="H648" s="19" t="str">
        <f>_xlfn.XLOOKUP($B648,tblARV[ASN/DN '#],tblARV[Fulfill Via],"Not found")</f>
        <v>From RDC</v>
      </c>
      <c r="I648" s="19" t="str">
        <f>_xlfn.XLOOKUP($B648,tblARV[ASN/DN '#],tblARV[Vendor],"Not found")</f>
        <v>SCMS from RDC</v>
      </c>
    </row>
    <row r="649" spans="2:9" ht="15">
      <c r="B649" s="7" t="s">
        <v>1527</v>
      </c>
      <c r="C649" s="10">
        <v>40416</v>
      </c>
      <c r="D649" s="10">
        <v>40413</v>
      </c>
      <c r="E649" s="18">
        <v>-3</v>
      </c>
      <c r="F649" s="13" t="str">
        <f t="shared" si="20"/>
        <v>On-time</v>
      </c>
      <c r="G649" s="19" t="str">
        <f>_xlfn.XLOOKUP(B649,tblARV[ASN/DN '#],tblARV[Country],"Not found")</f>
        <v>Tanzania</v>
      </c>
      <c r="H649" s="19" t="str">
        <f>_xlfn.XLOOKUP($B649,tblARV[ASN/DN '#],tblARV[Fulfill Via],"Not found")</f>
        <v>From RDC</v>
      </c>
      <c r="I649" s="19" t="str">
        <f>_xlfn.XLOOKUP($B649,tblARV[ASN/DN '#],tblARV[Vendor],"Not found")</f>
        <v>SCMS from RDC</v>
      </c>
    </row>
    <row r="650" spans="2:9" ht="15">
      <c r="B650" s="7" t="s">
        <v>1529</v>
      </c>
      <c r="C650" s="10">
        <v>40421</v>
      </c>
      <c r="D650" s="10">
        <v>40413</v>
      </c>
      <c r="E650" s="18">
        <v>-8</v>
      </c>
      <c r="F650" s="13" t="str">
        <f t="shared" si="20"/>
        <v>On-time</v>
      </c>
      <c r="G650" s="19" t="str">
        <f>_xlfn.XLOOKUP(B650,tblARV[ASN/DN '#],tblARV[Country],"Not found")</f>
        <v>Tanzania</v>
      </c>
      <c r="H650" s="19" t="str">
        <f>_xlfn.XLOOKUP($B650,tblARV[ASN/DN '#],tblARV[Fulfill Via],"Not found")</f>
        <v>From RDC</v>
      </c>
      <c r="I650" s="19" t="str">
        <f>_xlfn.XLOOKUP($B650,tblARV[ASN/DN '#],tblARV[Vendor],"Not found")</f>
        <v>SCMS from RDC</v>
      </c>
    </row>
    <row r="651" spans="2:9" ht="15">
      <c r="B651" s="7" t="s">
        <v>2182</v>
      </c>
      <c r="C651" s="10">
        <v>40407</v>
      </c>
      <c r="D651" s="10">
        <v>40399</v>
      </c>
      <c r="E651" s="18">
        <v>-8</v>
      </c>
      <c r="F651" s="13" t="str">
        <f t="shared" si="20"/>
        <v>On-time</v>
      </c>
      <c r="G651" s="19" t="str">
        <f>_xlfn.XLOOKUP(B651,tblARV[ASN/DN '#],tblARV[Country],"Not found")</f>
        <v>Ethiopia</v>
      </c>
      <c r="H651" s="19" t="str">
        <f>_xlfn.XLOOKUP($B651,tblARV[ASN/DN '#],tblARV[Fulfill Via],"Not found")</f>
        <v>From RDC</v>
      </c>
      <c r="I651" s="19" t="str">
        <f>_xlfn.XLOOKUP($B651,tblARV[ASN/DN '#],tblARV[Vendor],"Not found")</f>
        <v>SCMS from RDC</v>
      </c>
    </row>
    <row r="652" spans="2:9" ht="15">
      <c r="B652" s="7" t="s">
        <v>2453</v>
      </c>
      <c r="C652" s="10">
        <v>40419</v>
      </c>
      <c r="D652" s="10">
        <v>40417</v>
      </c>
      <c r="E652" s="18">
        <v>-2</v>
      </c>
      <c r="F652" s="13" t="str">
        <f t="shared" si="20"/>
        <v>On-time</v>
      </c>
      <c r="G652" s="19" t="str">
        <f>_xlfn.XLOOKUP(B652,tblARV[ASN/DN '#],tblARV[Country],"Not found")</f>
        <v>Uganda</v>
      </c>
      <c r="H652" s="19" t="str">
        <f>_xlfn.XLOOKUP($B652,tblARV[ASN/DN '#],tblARV[Fulfill Via],"Not found")</f>
        <v>From RDC</v>
      </c>
      <c r="I652" s="19" t="str">
        <f>_xlfn.XLOOKUP($B652,tblARV[ASN/DN '#],tblARV[Vendor],"Not found")</f>
        <v>SCMS from RDC</v>
      </c>
    </row>
    <row r="653" spans="2:9" ht="15">
      <c r="B653" s="7" t="s">
        <v>1964</v>
      </c>
      <c r="C653" s="10">
        <v>40424</v>
      </c>
      <c r="D653" s="10">
        <v>40417</v>
      </c>
      <c r="E653" s="18">
        <v>-7</v>
      </c>
      <c r="F653" s="13" t="str">
        <f t="shared" si="20"/>
        <v>On-time</v>
      </c>
      <c r="G653" s="19" t="str">
        <f>_xlfn.XLOOKUP(B653,tblARV[ASN/DN '#],tblARV[Country],"Not found")</f>
        <v>Uganda</v>
      </c>
      <c r="H653" s="19" t="str">
        <f>_xlfn.XLOOKUP($B653,tblARV[ASN/DN '#],tblARV[Fulfill Via],"Not found")</f>
        <v>From RDC</v>
      </c>
      <c r="I653" s="19" t="str">
        <f>_xlfn.XLOOKUP($B653,tblARV[ASN/DN '#],tblARV[Vendor],"Not found")</f>
        <v>SCMS from RDC</v>
      </c>
    </row>
    <row r="654" spans="2:9" ht="15">
      <c r="B654" s="7" t="s">
        <v>1753</v>
      </c>
      <c r="C654" s="10">
        <v>40420</v>
      </c>
      <c r="D654" s="10">
        <v>40413</v>
      </c>
      <c r="E654" s="18">
        <v>-7</v>
      </c>
      <c r="F654" s="13" t="str">
        <f t="shared" si="20"/>
        <v>On-time</v>
      </c>
      <c r="G654" s="19" t="str">
        <f>_xlfn.XLOOKUP(B654,tblARV[ASN/DN '#],tblARV[Country],"Not found")</f>
        <v>Uganda</v>
      </c>
      <c r="H654" s="19" t="str">
        <f>_xlfn.XLOOKUP($B654,tblARV[ASN/DN '#],tblARV[Fulfill Via],"Not found")</f>
        <v>From RDC</v>
      </c>
      <c r="I654" s="19" t="str">
        <f>_xlfn.XLOOKUP($B654,tblARV[ASN/DN '#],tblARV[Vendor],"Not found")</f>
        <v>SCMS from RDC</v>
      </c>
    </row>
    <row r="655" spans="2:9" ht="15">
      <c r="B655" s="7" t="s">
        <v>1755</v>
      </c>
      <c r="C655" s="10">
        <v>40480</v>
      </c>
      <c r="D655" s="10">
        <v>40448</v>
      </c>
      <c r="E655" s="18">
        <v>-128</v>
      </c>
      <c r="F655" s="13" t="str">
        <f t="shared" si="20"/>
        <v>On-time</v>
      </c>
      <c r="G655" s="19" t="str">
        <f>_xlfn.XLOOKUP(B655,tblARV[ASN/DN '#],tblARV[Country],"Not found")</f>
        <v>Uganda</v>
      </c>
      <c r="H655" s="19" t="str">
        <f>_xlfn.XLOOKUP($B655,tblARV[ASN/DN '#],tblARV[Fulfill Via],"Not found")</f>
        <v>From RDC</v>
      </c>
      <c r="I655" s="19" t="str">
        <f>_xlfn.XLOOKUP($B655,tblARV[ASN/DN '#],tblARV[Vendor],"Not found")</f>
        <v>SCMS from RDC</v>
      </c>
    </row>
    <row r="656" spans="2:9" ht="15">
      <c r="B656" s="7" t="s">
        <v>2329</v>
      </c>
      <c r="C656" s="10">
        <v>40451</v>
      </c>
      <c r="D656" s="10">
        <v>40413</v>
      </c>
      <c r="E656" s="18">
        <v>-152</v>
      </c>
      <c r="F656" s="13" t="str">
        <f t="shared" si="20"/>
        <v>On-time</v>
      </c>
      <c r="G656" s="19" t="str">
        <f>_xlfn.XLOOKUP(B656,tblARV[ASN/DN '#],tblARV[Country],"Not found")</f>
        <v>Uganda</v>
      </c>
      <c r="H656" s="19" t="str">
        <f>_xlfn.XLOOKUP($B656,tblARV[ASN/DN '#],tblARV[Fulfill Via],"Not found")</f>
        <v>From RDC</v>
      </c>
      <c r="I656" s="19" t="str">
        <f>_xlfn.XLOOKUP($B656,tblARV[ASN/DN '#],tblARV[Vendor],"Not found")</f>
        <v>SCMS from RDC</v>
      </c>
    </row>
    <row r="657" spans="2:9" ht="15">
      <c r="B657" s="7" t="s">
        <v>2723</v>
      </c>
      <c r="C657" s="10">
        <v>40442</v>
      </c>
      <c r="D657" s="10">
        <v>40414</v>
      </c>
      <c r="E657" s="18">
        <v>-28</v>
      </c>
      <c r="F657" s="13" t="str">
        <f t="shared" si="20"/>
        <v>On-time</v>
      </c>
      <c r="G657" s="19" t="str">
        <f>_xlfn.XLOOKUP(B657,tblARV[ASN/DN '#],tblARV[Country],"Not found")</f>
        <v>Ethiopia</v>
      </c>
      <c r="H657" s="19" t="str">
        <f>_xlfn.XLOOKUP($B657,tblARV[ASN/DN '#],tblARV[Fulfill Via],"Not found")</f>
        <v>From RDC</v>
      </c>
      <c r="I657" s="19" t="str">
        <f>_xlfn.XLOOKUP($B657,tblARV[ASN/DN '#],tblARV[Vendor],"Not found")</f>
        <v>SCMS from RDC</v>
      </c>
    </row>
    <row r="658" spans="2:9" ht="15">
      <c r="B658" s="7" t="s">
        <v>2455</v>
      </c>
      <c r="C658" s="10">
        <v>40451</v>
      </c>
      <c r="D658" s="10">
        <v>40423</v>
      </c>
      <c r="E658" s="18">
        <v>-28</v>
      </c>
      <c r="F658" s="13" t="str">
        <f t="shared" si="20"/>
        <v>On-time</v>
      </c>
      <c r="G658" s="19" t="str">
        <f>_xlfn.XLOOKUP(B658,tblARV[ASN/DN '#],tblARV[Country],"Not found")</f>
        <v>Uganda</v>
      </c>
      <c r="H658" s="19" t="str">
        <f>_xlfn.XLOOKUP($B658,tblARV[ASN/DN '#],tblARV[Fulfill Via],"Not found")</f>
        <v>From RDC</v>
      </c>
      <c r="I658" s="19" t="str">
        <f>_xlfn.XLOOKUP($B658,tblARV[ASN/DN '#],tblARV[Vendor],"Not found")</f>
        <v>SCMS from RDC</v>
      </c>
    </row>
    <row r="659" spans="2:9" ht="15">
      <c r="B659" s="7" t="s">
        <v>2581</v>
      </c>
      <c r="C659" s="10">
        <v>40436</v>
      </c>
      <c r="D659" s="10">
        <v>40434</v>
      </c>
      <c r="E659" s="18">
        <v>-2</v>
      </c>
      <c r="F659" s="13" t="str">
        <f t="shared" si="20"/>
        <v>On-time</v>
      </c>
      <c r="G659" s="19" t="str">
        <f>_xlfn.XLOOKUP(B659,tblARV[ASN/DN '#],tblARV[Country],"Not found")</f>
        <v>Ethiopia</v>
      </c>
      <c r="H659" s="19" t="str">
        <f>_xlfn.XLOOKUP($B659,tblARV[ASN/DN '#],tblARV[Fulfill Via],"Not found")</f>
        <v>From RDC</v>
      </c>
      <c r="I659" s="19" t="str">
        <f>_xlfn.XLOOKUP($B659,tblARV[ASN/DN '#],tblARV[Vendor],"Not found")</f>
        <v>SCMS from RDC</v>
      </c>
    </row>
    <row r="660" spans="2:9" ht="15">
      <c r="B660" s="7" t="s">
        <v>1531</v>
      </c>
      <c r="C660" s="10">
        <v>40420</v>
      </c>
      <c r="D660" s="10">
        <v>40434</v>
      </c>
      <c r="E660" s="18">
        <v>14</v>
      </c>
      <c r="F660" s="13" t="str">
        <f t="shared" si="20"/>
        <v>Late</v>
      </c>
      <c r="G660" s="19" t="str">
        <f>_xlfn.XLOOKUP(B660,tblARV[ASN/DN '#],tblARV[Country],"Not found")</f>
        <v>Ethiopia</v>
      </c>
      <c r="H660" s="19" t="str">
        <f>_xlfn.XLOOKUP($B660,tblARV[ASN/DN '#],tblARV[Fulfill Via],"Not found")</f>
        <v>From RDC</v>
      </c>
      <c r="I660" s="19" t="str">
        <f>_xlfn.XLOOKUP($B660,tblARV[ASN/DN '#],tblARV[Vendor],"Not found")</f>
        <v>SCMS from RDC</v>
      </c>
    </row>
    <row r="661" spans="2:9" ht="15">
      <c r="B661" s="7" t="s">
        <v>2184</v>
      </c>
      <c r="C661" s="10">
        <v>40451</v>
      </c>
      <c r="D661" s="10">
        <v>40431</v>
      </c>
      <c r="E661" s="18">
        <v>-40</v>
      </c>
      <c r="F661" s="13" t="str">
        <f t="shared" ref="F661:F724" si="21">IF($E661&lt;=0,"On-time","Late")</f>
        <v>On-time</v>
      </c>
      <c r="G661" s="19" t="str">
        <f>_xlfn.XLOOKUP(B661,tblARV[ASN/DN '#],tblARV[Country],"Not found")</f>
        <v>Tanzania</v>
      </c>
      <c r="H661" s="19" t="str">
        <f>_xlfn.XLOOKUP($B661,tblARV[ASN/DN '#],tblARV[Fulfill Via],"Not found")</f>
        <v>From RDC</v>
      </c>
      <c r="I661" s="19" t="str">
        <f>_xlfn.XLOOKUP($B661,tblARV[ASN/DN '#],tblARV[Vendor],"Not found")</f>
        <v>SCMS from RDC</v>
      </c>
    </row>
    <row r="662" spans="2:9" ht="15">
      <c r="B662" s="7" t="s">
        <v>1757</v>
      </c>
      <c r="C662" s="10">
        <v>40480</v>
      </c>
      <c r="D662" s="10">
        <v>40480</v>
      </c>
      <c r="E662" s="18">
        <v>0</v>
      </c>
      <c r="F662" s="13" t="str">
        <f t="shared" si="21"/>
        <v>On-time</v>
      </c>
      <c r="G662" s="19" t="str">
        <f>_xlfn.XLOOKUP(B662,tblARV[ASN/DN '#],tblARV[Country],"Not found")</f>
        <v>Tanzania</v>
      </c>
      <c r="H662" s="19" t="str">
        <f>_xlfn.XLOOKUP($B662,tblARV[ASN/DN '#],tblARV[Fulfill Via],"Not found")</f>
        <v>From RDC</v>
      </c>
      <c r="I662" s="19" t="str">
        <f>_xlfn.XLOOKUP($B662,tblARV[ASN/DN '#],tblARV[Vendor],"Not found")</f>
        <v>SCMS from RDC</v>
      </c>
    </row>
    <row r="663" spans="2:9" ht="15">
      <c r="B663" s="7" t="s">
        <v>2186</v>
      </c>
      <c r="C663" s="10">
        <v>40471</v>
      </c>
      <c r="D663" s="10">
        <v>40476</v>
      </c>
      <c r="E663" s="18">
        <v>25</v>
      </c>
      <c r="F663" s="13" t="str">
        <f t="shared" si="21"/>
        <v>Late</v>
      </c>
      <c r="G663" s="19" t="str">
        <f>_xlfn.XLOOKUP(B663,tblARV[ASN/DN '#],tblARV[Country],"Not found")</f>
        <v>Uganda</v>
      </c>
      <c r="H663" s="19" t="str">
        <f>_xlfn.XLOOKUP($B663,tblARV[ASN/DN '#],tblARV[Fulfill Via],"Not found")</f>
        <v>From RDC</v>
      </c>
      <c r="I663" s="19" t="str">
        <f>_xlfn.XLOOKUP($B663,tblARV[ASN/DN '#],tblARV[Vendor],"Not found")</f>
        <v>SCMS from RDC</v>
      </c>
    </row>
    <row r="664" spans="2:9" ht="15">
      <c r="B664" s="7" t="s">
        <v>2583</v>
      </c>
      <c r="C664" s="10">
        <v>40480</v>
      </c>
      <c r="D664" s="10">
        <v>40466</v>
      </c>
      <c r="E664" s="18">
        <v>-14</v>
      </c>
      <c r="F664" s="13" t="str">
        <f t="shared" si="21"/>
        <v>On-time</v>
      </c>
      <c r="G664" s="19" t="str">
        <f>_xlfn.XLOOKUP(B664,tblARV[ASN/DN '#],tblARV[Country],"Not found")</f>
        <v>Uganda</v>
      </c>
      <c r="H664" s="19" t="str">
        <f>_xlfn.XLOOKUP($B664,tblARV[ASN/DN '#],tblARV[Fulfill Via],"Not found")</f>
        <v>From RDC</v>
      </c>
      <c r="I664" s="19" t="str">
        <f>_xlfn.XLOOKUP($B664,tblARV[ASN/DN '#],tblARV[Vendor],"Not found")</f>
        <v>SCMS from RDC</v>
      </c>
    </row>
    <row r="665" spans="2:9" ht="15">
      <c r="B665" s="7" t="s">
        <v>1966</v>
      </c>
      <c r="C665" s="10">
        <v>40471</v>
      </c>
      <c r="D665" s="10">
        <v>40477</v>
      </c>
      <c r="E665" s="18">
        <v>12</v>
      </c>
      <c r="F665" s="13" t="str">
        <f t="shared" si="21"/>
        <v>Late</v>
      </c>
      <c r="G665" s="19" t="str">
        <f>_xlfn.XLOOKUP(B665,tblARV[ASN/DN '#],tblARV[Country],"Not found")</f>
        <v>Uganda</v>
      </c>
      <c r="H665" s="19" t="str">
        <f>_xlfn.XLOOKUP($B665,tblARV[ASN/DN '#],tblARV[Fulfill Via],"Not found")</f>
        <v>From RDC</v>
      </c>
      <c r="I665" s="19" t="str">
        <f>_xlfn.XLOOKUP($B665,tblARV[ASN/DN '#],tblARV[Vendor],"Not found")</f>
        <v>SCMS from RDC</v>
      </c>
    </row>
    <row r="666" spans="2:9" ht="15">
      <c r="B666" s="7" t="s">
        <v>2331</v>
      </c>
      <c r="C666" s="10">
        <v>40515</v>
      </c>
      <c r="D666" s="10">
        <v>40515</v>
      </c>
      <c r="E666" s="18">
        <v>0</v>
      </c>
      <c r="F666" s="13" t="str">
        <f t="shared" si="21"/>
        <v>On-time</v>
      </c>
      <c r="G666" s="19" t="str">
        <f>_xlfn.XLOOKUP(B666,tblARV[ASN/DN '#],tblARV[Country],"Not found")</f>
        <v>Tanzania</v>
      </c>
      <c r="H666" s="19" t="str">
        <f>_xlfn.XLOOKUP($B666,tblARV[ASN/DN '#],tblARV[Fulfill Via],"Not found")</f>
        <v>From RDC</v>
      </c>
      <c r="I666" s="19" t="str">
        <f>_xlfn.XLOOKUP($B666,tblARV[ASN/DN '#],tblARV[Vendor],"Not found")</f>
        <v>SCMS from RDC</v>
      </c>
    </row>
    <row r="667" spans="2:9" ht="15">
      <c r="B667" s="7" t="s">
        <v>2585</v>
      </c>
      <c r="C667" s="10">
        <v>40512</v>
      </c>
      <c r="D667" s="10">
        <v>40515</v>
      </c>
      <c r="E667" s="18">
        <v>3</v>
      </c>
      <c r="F667" s="13" t="str">
        <f t="shared" si="21"/>
        <v>Late</v>
      </c>
      <c r="G667" s="19" t="str">
        <f>_xlfn.XLOOKUP(B667,tblARV[ASN/DN '#],tblARV[Country],"Not found")</f>
        <v>Tanzania</v>
      </c>
      <c r="H667" s="19" t="str">
        <f>_xlfn.XLOOKUP($B667,tblARV[ASN/DN '#],tblARV[Fulfill Via],"Not found")</f>
        <v>From RDC</v>
      </c>
      <c r="I667" s="19" t="str">
        <f>_xlfn.XLOOKUP($B667,tblARV[ASN/DN '#],tblARV[Vendor],"Not found")</f>
        <v>SCMS from RDC</v>
      </c>
    </row>
    <row r="668" spans="2:9" ht="15">
      <c r="B668" s="7" t="s">
        <v>2587</v>
      </c>
      <c r="C668" s="10">
        <v>40508</v>
      </c>
      <c r="D668" s="10">
        <v>40505</v>
      </c>
      <c r="E668" s="18">
        <v>-3</v>
      </c>
      <c r="F668" s="13" t="str">
        <f t="shared" si="21"/>
        <v>On-time</v>
      </c>
      <c r="G668" s="19" t="str">
        <f>_xlfn.XLOOKUP(B668,tblARV[ASN/DN '#],tblARV[Country],"Not found")</f>
        <v>Uganda</v>
      </c>
      <c r="H668" s="19" t="str">
        <f>_xlfn.XLOOKUP($B668,tblARV[ASN/DN '#],tblARV[Fulfill Via],"Not found")</f>
        <v>From RDC</v>
      </c>
      <c r="I668" s="19" t="str">
        <f>_xlfn.XLOOKUP($B668,tblARV[ASN/DN '#],tblARV[Vendor],"Not found")</f>
        <v>SCMS from RDC</v>
      </c>
    </row>
    <row r="669" spans="2:9" ht="15">
      <c r="B669" s="7" t="s">
        <v>2188</v>
      </c>
      <c r="C669" s="10">
        <v>40501</v>
      </c>
      <c r="D669" s="10">
        <v>40499</v>
      </c>
      <c r="E669" s="18">
        <v>-2</v>
      </c>
      <c r="F669" s="13" t="str">
        <f t="shared" si="21"/>
        <v>On-time</v>
      </c>
      <c r="G669" s="19" t="str">
        <f>_xlfn.XLOOKUP(B669,tblARV[ASN/DN '#],tblARV[Country],"Not found")</f>
        <v>Ethiopia</v>
      </c>
      <c r="H669" s="19" t="str">
        <f>_xlfn.XLOOKUP($B669,tblARV[ASN/DN '#],tblARV[Fulfill Via],"Not found")</f>
        <v>From RDC</v>
      </c>
      <c r="I669" s="19" t="str">
        <f>_xlfn.XLOOKUP($B669,tblARV[ASN/DN '#],tblARV[Vendor],"Not found")</f>
        <v>SCMS from RDC</v>
      </c>
    </row>
    <row r="670" spans="2:9" ht="15">
      <c r="B670" s="7" t="s">
        <v>1759</v>
      </c>
      <c r="C670" s="10">
        <v>40501</v>
      </c>
      <c r="D670" s="10">
        <v>40490</v>
      </c>
      <c r="E670" s="18">
        <v>-22</v>
      </c>
      <c r="F670" s="13" t="str">
        <f t="shared" si="21"/>
        <v>On-time</v>
      </c>
      <c r="G670" s="19" t="str">
        <f>_xlfn.XLOOKUP(B670,tblARV[ASN/DN '#],tblARV[Country],"Not found")</f>
        <v>Ethiopia</v>
      </c>
      <c r="H670" s="19" t="str">
        <f>_xlfn.XLOOKUP($B670,tblARV[ASN/DN '#],tblARV[Fulfill Via],"Not found")</f>
        <v>From RDC</v>
      </c>
      <c r="I670" s="19" t="str">
        <f>_xlfn.XLOOKUP($B670,tblARV[ASN/DN '#],tblARV[Vendor],"Not found")</f>
        <v>SCMS from RDC</v>
      </c>
    </row>
    <row r="671" spans="2:9" ht="15">
      <c r="B671" s="7" t="s">
        <v>1968</v>
      </c>
      <c r="C671" s="10">
        <v>40514</v>
      </c>
      <c r="D671" s="10">
        <v>40514</v>
      </c>
      <c r="E671" s="18">
        <v>0</v>
      </c>
      <c r="F671" s="13" t="str">
        <f t="shared" si="21"/>
        <v>On-time</v>
      </c>
      <c r="G671" s="19" t="str">
        <f>_xlfn.XLOOKUP(B671,tblARV[ASN/DN '#],tblARV[Country],"Not found")</f>
        <v>Uganda</v>
      </c>
      <c r="H671" s="19" t="str">
        <f>_xlfn.XLOOKUP($B671,tblARV[ASN/DN '#],tblARV[Fulfill Via],"Not found")</f>
        <v>From RDC</v>
      </c>
      <c r="I671" s="19" t="str">
        <f>_xlfn.XLOOKUP($B671,tblARV[ASN/DN '#],tblARV[Vendor],"Not found")</f>
        <v>SCMS from RDC</v>
      </c>
    </row>
    <row r="672" spans="2:9" ht="15">
      <c r="B672" s="7" t="s">
        <v>2333</v>
      </c>
      <c r="C672" s="10">
        <v>40514</v>
      </c>
      <c r="D672" s="10">
        <v>40511</v>
      </c>
      <c r="E672" s="18">
        <v>-6</v>
      </c>
      <c r="F672" s="13" t="str">
        <f t="shared" si="21"/>
        <v>On-time</v>
      </c>
      <c r="G672" s="19" t="str">
        <f>_xlfn.XLOOKUP(B672,tblARV[ASN/DN '#],tblARV[Country],"Not found")</f>
        <v>Uganda</v>
      </c>
      <c r="H672" s="19" t="str">
        <f>_xlfn.XLOOKUP($B672,tblARV[ASN/DN '#],tblARV[Fulfill Via],"Not found")</f>
        <v>From RDC</v>
      </c>
      <c r="I672" s="19" t="str">
        <f>_xlfn.XLOOKUP($B672,tblARV[ASN/DN '#],tblARV[Vendor],"Not found")</f>
        <v>SCMS from RDC</v>
      </c>
    </row>
    <row r="673" spans="2:9" ht="15">
      <c r="B673" s="7" t="s">
        <v>1970</v>
      </c>
      <c r="C673" s="10">
        <v>40514</v>
      </c>
      <c r="D673" s="10">
        <v>40511</v>
      </c>
      <c r="E673" s="18">
        <v>-3</v>
      </c>
      <c r="F673" s="13" t="str">
        <f t="shared" si="21"/>
        <v>On-time</v>
      </c>
      <c r="G673" s="19" t="str">
        <f>_xlfn.XLOOKUP(B673,tblARV[ASN/DN '#],tblARV[Country],"Not found")</f>
        <v>Uganda</v>
      </c>
      <c r="H673" s="19" t="str">
        <f>_xlfn.XLOOKUP($B673,tblARV[ASN/DN '#],tblARV[Fulfill Via],"Not found")</f>
        <v>From RDC</v>
      </c>
      <c r="I673" s="19" t="str">
        <f>_xlfn.XLOOKUP($B673,tblARV[ASN/DN '#],tblARV[Vendor],"Not found")</f>
        <v>SCMS from RDC</v>
      </c>
    </row>
    <row r="674" spans="2:9" ht="15">
      <c r="B674" s="7" t="s">
        <v>2335</v>
      </c>
      <c r="C674" s="10">
        <v>40514</v>
      </c>
      <c r="D674" s="10">
        <v>40511</v>
      </c>
      <c r="E674" s="18">
        <v>-3</v>
      </c>
      <c r="F674" s="13" t="str">
        <f t="shared" si="21"/>
        <v>On-time</v>
      </c>
      <c r="G674" s="19" t="str">
        <f>_xlfn.XLOOKUP(B674,tblARV[ASN/DN '#],tblARV[Country],"Not found")</f>
        <v>Uganda</v>
      </c>
      <c r="H674" s="19" t="str">
        <f>_xlfn.XLOOKUP($B674,tblARV[ASN/DN '#],tblARV[Fulfill Via],"Not found")</f>
        <v>From RDC</v>
      </c>
      <c r="I674" s="19" t="str">
        <f>_xlfn.XLOOKUP($B674,tblARV[ASN/DN '#],tblARV[Vendor],"Not found")</f>
        <v>SCMS from RDC</v>
      </c>
    </row>
    <row r="675" spans="2:9" ht="15">
      <c r="B675" s="7" t="s">
        <v>1761</v>
      </c>
      <c r="C675" s="10">
        <v>40539</v>
      </c>
      <c r="D675" s="10">
        <v>40514</v>
      </c>
      <c r="E675" s="18">
        <v>-25</v>
      </c>
      <c r="F675" s="13" t="str">
        <f t="shared" si="21"/>
        <v>On-time</v>
      </c>
      <c r="G675" s="19" t="str">
        <f>_xlfn.XLOOKUP(B675,tblARV[ASN/DN '#],tblARV[Country],"Not found")</f>
        <v>Uganda</v>
      </c>
      <c r="H675" s="19" t="str">
        <f>_xlfn.XLOOKUP($B675,tblARV[ASN/DN '#],tblARV[Fulfill Via],"Not found")</f>
        <v>From RDC</v>
      </c>
      <c r="I675" s="19" t="str">
        <f>_xlfn.XLOOKUP($B675,tblARV[ASN/DN '#],tblARV[Vendor],"Not found")</f>
        <v>SCMS from RDC</v>
      </c>
    </row>
    <row r="676" spans="2:9" ht="15">
      <c r="B676" s="7" t="s">
        <v>2725</v>
      </c>
      <c r="C676" s="10">
        <v>40527</v>
      </c>
      <c r="D676" s="10">
        <v>40513</v>
      </c>
      <c r="E676" s="18">
        <v>-14</v>
      </c>
      <c r="F676" s="13" t="str">
        <f t="shared" si="21"/>
        <v>On-time</v>
      </c>
      <c r="G676" s="19" t="str">
        <f>_xlfn.XLOOKUP(B676,tblARV[ASN/DN '#],tblARV[Country],"Not found")</f>
        <v>Uganda</v>
      </c>
      <c r="H676" s="19" t="str">
        <f>_xlfn.XLOOKUP($B676,tblARV[ASN/DN '#],tblARV[Fulfill Via],"Not found")</f>
        <v>From RDC</v>
      </c>
      <c r="I676" s="19" t="str">
        <f>_xlfn.XLOOKUP($B676,tblARV[ASN/DN '#],tblARV[Vendor],"Not found")</f>
        <v>SCMS from RDC</v>
      </c>
    </row>
    <row r="677" spans="2:9" ht="15">
      <c r="B677" s="7" t="s">
        <v>1763</v>
      </c>
      <c r="C677" s="10">
        <v>40520</v>
      </c>
      <c r="D677" s="10">
        <v>40521</v>
      </c>
      <c r="E677" s="18">
        <v>1</v>
      </c>
      <c r="F677" s="13" t="str">
        <f t="shared" si="21"/>
        <v>Late</v>
      </c>
      <c r="G677" s="19" t="str">
        <f>_xlfn.XLOOKUP(B677,tblARV[ASN/DN '#],tblARV[Country],"Not found")</f>
        <v>Ethiopia</v>
      </c>
      <c r="H677" s="19" t="str">
        <f>_xlfn.XLOOKUP($B677,tblARV[ASN/DN '#],tblARV[Fulfill Via],"Not found")</f>
        <v>From RDC</v>
      </c>
      <c r="I677" s="19" t="str">
        <f>_xlfn.XLOOKUP($B677,tblARV[ASN/DN '#],tblARV[Vendor],"Not found")</f>
        <v>SCMS from RDC</v>
      </c>
    </row>
    <row r="678" spans="2:9" ht="15">
      <c r="B678" s="7" t="s">
        <v>1972</v>
      </c>
      <c r="C678" s="10">
        <v>40527</v>
      </c>
      <c r="D678" s="10">
        <v>40521</v>
      </c>
      <c r="E678" s="18">
        <v>-6</v>
      </c>
      <c r="F678" s="13" t="str">
        <f t="shared" si="21"/>
        <v>On-time</v>
      </c>
      <c r="G678" s="19" t="str">
        <f>_xlfn.XLOOKUP(B678,tblARV[ASN/DN '#],tblARV[Country],"Not found")</f>
        <v>Ethiopia</v>
      </c>
      <c r="H678" s="19" t="str">
        <f>_xlfn.XLOOKUP($B678,tblARV[ASN/DN '#],tblARV[Fulfill Via],"Not found")</f>
        <v>From RDC</v>
      </c>
      <c r="I678" s="19" t="str">
        <f>_xlfn.XLOOKUP($B678,tblARV[ASN/DN '#],tblARV[Vendor],"Not found")</f>
        <v>SCMS from RDC</v>
      </c>
    </row>
    <row r="679" spans="2:9" ht="15">
      <c r="B679" s="7" t="s">
        <v>1539</v>
      </c>
      <c r="C679" s="10">
        <v>40582</v>
      </c>
      <c r="D679" s="10">
        <v>40535</v>
      </c>
      <c r="E679" s="18">
        <v>-94</v>
      </c>
      <c r="F679" s="13" t="str">
        <f t="shared" si="21"/>
        <v>On-time</v>
      </c>
      <c r="G679" s="19" t="str">
        <f>_xlfn.XLOOKUP(B679,tblARV[ASN/DN '#],tblARV[Country],"Not found")</f>
        <v>Uganda</v>
      </c>
      <c r="H679" s="19" t="str">
        <f>_xlfn.XLOOKUP($B679,tblARV[ASN/DN '#],tblARV[Fulfill Via],"Not found")</f>
        <v>From RDC</v>
      </c>
      <c r="I679" s="19" t="str">
        <f>_xlfn.XLOOKUP($B679,tblARV[ASN/DN '#],tblARV[Vendor],"Not found")</f>
        <v>SCMS from RDC</v>
      </c>
    </row>
    <row r="680" spans="2:9" ht="15">
      <c r="B680" s="7" t="s">
        <v>1974</v>
      </c>
      <c r="C680" s="10">
        <v>40543</v>
      </c>
      <c r="D680" s="10">
        <v>40535</v>
      </c>
      <c r="E680" s="18">
        <v>-8</v>
      </c>
      <c r="F680" s="13" t="str">
        <f t="shared" si="21"/>
        <v>On-time</v>
      </c>
      <c r="G680" s="19" t="str">
        <f>_xlfn.XLOOKUP(B680,tblARV[ASN/DN '#],tblARV[Country],"Not found")</f>
        <v>Uganda</v>
      </c>
      <c r="H680" s="19" t="str">
        <f>_xlfn.XLOOKUP($B680,tblARV[ASN/DN '#],tblARV[Fulfill Via],"Not found")</f>
        <v>From RDC</v>
      </c>
      <c r="I680" s="19" t="str">
        <f>_xlfn.XLOOKUP($B680,tblARV[ASN/DN '#],tblARV[Vendor],"Not found")</f>
        <v>SCMS from RDC</v>
      </c>
    </row>
    <row r="681" spans="2:9" ht="15">
      <c r="B681" s="7" t="s">
        <v>2457</v>
      </c>
      <c r="C681" s="10">
        <v>40557</v>
      </c>
      <c r="D681" s="10">
        <v>40557</v>
      </c>
      <c r="E681" s="18">
        <v>0</v>
      </c>
      <c r="F681" s="13" t="str">
        <f t="shared" si="21"/>
        <v>On-time</v>
      </c>
      <c r="G681" s="19" t="str">
        <f>_xlfn.XLOOKUP(B681,tblARV[ASN/DN '#],tblARV[Country],"Not found")</f>
        <v>Uganda</v>
      </c>
      <c r="H681" s="19" t="str">
        <f>_xlfn.XLOOKUP($B681,tblARV[ASN/DN '#],tblARV[Fulfill Via],"Not found")</f>
        <v>From RDC</v>
      </c>
      <c r="I681" s="19" t="str">
        <f>_xlfn.XLOOKUP($B681,tblARV[ASN/DN '#],tblARV[Vendor],"Not found")</f>
        <v>SCMS from RDC</v>
      </c>
    </row>
    <row r="682" spans="2:9" ht="15">
      <c r="B682" s="7" t="s">
        <v>1533</v>
      </c>
      <c r="C682" s="10">
        <v>40582</v>
      </c>
      <c r="D682" s="10">
        <v>40560</v>
      </c>
      <c r="E682" s="18">
        <v>-22</v>
      </c>
      <c r="F682" s="13" t="str">
        <f t="shared" si="21"/>
        <v>On-time</v>
      </c>
      <c r="G682" s="19" t="str">
        <f>_xlfn.XLOOKUP(B682,tblARV[ASN/DN '#],tblARV[Country],"Not found")</f>
        <v>Uganda</v>
      </c>
      <c r="H682" s="19" t="str">
        <f>_xlfn.XLOOKUP($B682,tblARV[ASN/DN '#],tblARV[Fulfill Via],"Not found")</f>
        <v>From RDC</v>
      </c>
      <c r="I682" s="19" t="str">
        <f>_xlfn.XLOOKUP($B682,tblARV[ASN/DN '#],tblARV[Vendor],"Not found")</f>
        <v>SCMS from RDC</v>
      </c>
    </row>
    <row r="683" spans="2:9" ht="15">
      <c r="B683" s="7" t="s">
        <v>2190</v>
      </c>
      <c r="C683" s="10">
        <v>40581</v>
      </c>
      <c r="D683" s="10">
        <v>40557</v>
      </c>
      <c r="E683" s="18">
        <v>-24</v>
      </c>
      <c r="F683" s="13" t="str">
        <f t="shared" si="21"/>
        <v>On-time</v>
      </c>
      <c r="G683" s="19" t="str">
        <f>_xlfn.XLOOKUP(B683,tblARV[ASN/DN '#],tblARV[Country],"Not found")</f>
        <v>Uganda</v>
      </c>
      <c r="H683" s="19" t="str">
        <f>_xlfn.XLOOKUP($B683,tblARV[ASN/DN '#],tblARV[Fulfill Via],"Not found")</f>
        <v>From RDC</v>
      </c>
      <c r="I683" s="19" t="str">
        <f>_xlfn.XLOOKUP($B683,tblARV[ASN/DN '#],tblARV[Vendor],"Not found")</f>
        <v>SCMS from RDC</v>
      </c>
    </row>
    <row r="684" spans="2:9" ht="15">
      <c r="B684" s="7" t="s">
        <v>1535</v>
      </c>
      <c r="C684" s="10">
        <v>40564</v>
      </c>
      <c r="D684" s="10">
        <v>40555</v>
      </c>
      <c r="E684" s="18">
        <v>-9</v>
      </c>
      <c r="F684" s="13" t="str">
        <f t="shared" si="21"/>
        <v>On-time</v>
      </c>
      <c r="G684" s="19" t="str">
        <f>_xlfn.XLOOKUP(B684,tblARV[ASN/DN '#],tblARV[Country],"Not found")</f>
        <v>Ethiopia</v>
      </c>
      <c r="H684" s="19" t="str">
        <f>_xlfn.XLOOKUP($B684,tblARV[ASN/DN '#],tblARV[Fulfill Via],"Not found")</f>
        <v>From RDC</v>
      </c>
      <c r="I684" s="19" t="str">
        <f>_xlfn.XLOOKUP($B684,tblARV[ASN/DN '#],tblARV[Vendor],"Not found")</f>
        <v>SCMS from RDC</v>
      </c>
    </row>
    <row r="685" spans="2:9" ht="15">
      <c r="B685" s="7" t="s">
        <v>2459</v>
      </c>
      <c r="C685" s="10">
        <v>40602</v>
      </c>
      <c r="D685" s="10">
        <v>40602</v>
      </c>
      <c r="E685" s="18">
        <v>0</v>
      </c>
      <c r="F685" s="13" t="str">
        <f t="shared" si="21"/>
        <v>On-time</v>
      </c>
      <c r="G685" s="19" t="str">
        <f>_xlfn.XLOOKUP(B685,tblARV[ASN/DN '#],tblARV[Country],"Not found")</f>
        <v>Tanzania</v>
      </c>
      <c r="H685" s="19" t="str">
        <f>_xlfn.XLOOKUP($B685,tblARV[ASN/DN '#],tblARV[Fulfill Via],"Not found")</f>
        <v>From RDC</v>
      </c>
      <c r="I685" s="19" t="str">
        <f>_xlfn.XLOOKUP($B685,tblARV[ASN/DN '#],tblARV[Vendor],"Not found")</f>
        <v>SCMS from RDC</v>
      </c>
    </row>
    <row r="686" spans="2:9" ht="15">
      <c r="B686" s="7" t="s">
        <v>2589</v>
      </c>
      <c r="C686" s="10">
        <v>40602</v>
      </c>
      <c r="D686" s="10">
        <v>40602</v>
      </c>
      <c r="E686" s="18">
        <v>0</v>
      </c>
      <c r="F686" s="13" t="str">
        <f t="shared" si="21"/>
        <v>On-time</v>
      </c>
      <c r="G686" s="19" t="str">
        <f>_xlfn.XLOOKUP(B686,tblARV[ASN/DN '#],tblARV[Country],"Not found")</f>
        <v>Tanzania</v>
      </c>
      <c r="H686" s="19" t="str">
        <f>_xlfn.XLOOKUP($B686,tblARV[ASN/DN '#],tblARV[Fulfill Via],"Not found")</f>
        <v>From RDC</v>
      </c>
      <c r="I686" s="19" t="str">
        <f>_xlfn.XLOOKUP($B686,tblARV[ASN/DN '#],tblARV[Vendor],"Not found")</f>
        <v>SCMS from RDC</v>
      </c>
    </row>
    <row r="687" spans="2:9" ht="15">
      <c r="B687" s="7" t="s">
        <v>1537</v>
      </c>
      <c r="C687" s="10">
        <v>40588</v>
      </c>
      <c r="D687" s="10">
        <v>40571</v>
      </c>
      <c r="E687" s="18">
        <v>-17</v>
      </c>
      <c r="F687" s="13" t="str">
        <f t="shared" si="21"/>
        <v>On-time</v>
      </c>
      <c r="G687" s="19" t="str">
        <f>_xlfn.XLOOKUP(B687,tblARV[ASN/DN '#],tblARV[Country],"Not found")</f>
        <v>Ethiopia</v>
      </c>
      <c r="H687" s="19" t="str">
        <f>_xlfn.XLOOKUP($B687,tblARV[ASN/DN '#],tblARV[Fulfill Via],"Not found")</f>
        <v>From RDC</v>
      </c>
      <c r="I687" s="19" t="str">
        <f>_xlfn.XLOOKUP($B687,tblARV[ASN/DN '#],tblARV[Vendor],"Not found")</f>
        <v>SCMS from RDC</v>
      </c>
    </row>
    <row r="688" spans="2:9" ht="15">
      <c r="B688" s="7" t="s">
        <v>1765</v>
      </c>
      <c r="C688" s="10">
        <v>40596</v>
      </c>
      <c r="D688" s="10">
        <v>40602</v>
      </c>
      <c r="E688" s="18">
        <v>6</v>
      </c>
      <c r="F688" s="13" t="str">
        <f t="shared" si="21"/>
        <v>Late</v>
      </c>
      <c r="G688" s="19" t="str">
        <f>_xlfn.XLOOKUP(B688,tblARV[ASN/DN '#],tblARV[Country],"Not found")</f>
        <v>Uganda</v>
      </c>
      <c r="H688" s="19" t="str">
        <f>_xlfn.XLOOKUP($B688,tblARV[ASN/DN '#],tblARV[Fulfill Via],"Not found")</f>
        <v>From RDC</v>
      </c>
      <c r="I688" s="19" t="str">
        <f>_xlfn.XLOOKUP($B688,tblARV[ASN/DN '#],tblARV[Vendor],"Not found")</f>
        <v>SCMS from RDC</v>
      </c>
    </row>
    <row r="689" spans="2:9" ht="15">
      <c r="B689" s="7" t="s">
        <v>2192</v>
      </c>
      <c r="C689" s="10">
        <v>40583</v>
      </c>
      <c r="D689" s="10">
        <v>40581</v>
      </c>
      <c r="E689" s="18">
        <v>-2</v>
      </c>
      <c r="F689" s="13" t="str">
        <f t="shared" si="21"/>
        <v>On-time</v>
      </c>
      <c r="G689" s="19" t="str">
        <f>_xlfn.XLOOKUP(B689,tblARV[ASN/DN '#],tblARV[Country],"Not found")</f>
        <v>Ethiopia</v>
      </c>
      <c r="H689" s="19" t="str">
        <f>_xlfn.XLOOKUP($B689,tblARV[ASN/DN '#],tblARV[Fulfill Via],"Not found")</f>
        <v>From RDC</v>
      </c>
      <c r="I689" s="19" t="str">
        <f>_xlfn.XLOOKUP($B689,tblARV[ASN/DN '#],tblARV[Vendor],"Not found")</f>
        <v>SCMS from RDC</v>
      </c>
    </row>
    <row r="690" spans="2:9" ht="15">
      <c r="B690" s="7" t="s">
        <v>1541</v>
      </c>
      <c r="C690" s="10">
        <v>40602</v>
      </c>
      <c r="D690" s="10">
        <v>40624</v>
      </c>
      <c r="E690" s="18">
        <v>66</v>
      </c>
      <c r="F690" s="13" t="str">
        <f t="shared" si="21"/>
        <v>Late</v>
      </c>
      <c r="G690" s="19" t="str">
        <f>_xlfn.XLOOKUP(B690,tblARV[ASN/DN '#],tblARV[Country],"Not found")</f>
        <v>Uganda</v>
      </c>
      <c r="H690" s="19" t="str">
        <f>_xlfn.XLOOKUP($B690,tblARV[ASN/DN '#],tblARV[Fulfill Via],"Not found")</f>
        <v>From RDC</v>
      </c>
      <c r="I690" s="19" t="str">
        <f>_xlfn.XLOOKUP($B690,tblARV[ASN/DN '#],tblARV[Vendor],"Not found")</f>
        <v>SCMS from RDC</v>
      </c>
    </row>
    <row r="691" spans="2:9" ht="15">
      <c r="B691" s="7" t="s">
        <v>2337</v>
      </c>
      <c r="C691" s="10">
        <v>40612</v>
      </c>
      <c r="D691" s="10">
        <v>40613</v>
      </c>
      <c r="E691" s="18">
        <v>1</v>
      </c>
      <c r="F691" s="13" t="str">
        <f t="shared" si="21"/>
        <v>Late</v>
      </c>
      <c r="G691" s="19" t="str">
        <f>_xlfn.XLOOKUP(B691,tblARV[ASN/DN '#],tblARV[Country],"Not found")</f>
        <v>Ethiopia</v>
      </c>
      <c r="H691" s="19" t="str">
        <f>_xlfn.XLOOKUP($B691,tblARV[ASN/DN '#],tblARV[Fulfill Via],"Not found")</f>
        <v>From RDC</v>
      </c>
      <c r="I691" s="19" t="str">
        <f>_xlfn.XLOOKUP($B691,tblARV[ASN/DN '#],tblARV[Vendor],"Not found")</f>
        <v>SCMS from RDC</v>
      </c>
    </row>
    <row r="692" spans="2:9" ht="15">
      <c r="B692" s="7" t="s">
        <v>2591</v>
      </c>
      <c r="C692" s="10">
        <v>40612</v>
      </c>
      <c r="D692" s="10">
        <v>40613</v>
      </c>
      <c r="E692" s="18">
        <v>1</v>
      </c>
      <c r="F692" s="13" t="str">
        <f t="shared" si="21"/>
        <v>Late</v>
      </c>
      <c r="G692" s="19" t="str">
        <f>_xlfn.XLOOKUP(B692,tblARV[ASN/DN '#],tblARV[Country],"Not found")</f>
        <v>Ethiopia</v>
      </c>
      <c r="H692" s="19" t="str">
        <f>_xlfn.XLOOKUP($B692,tblARV[ASN/DN '#],tblARV[Fulfill Via],"Not found")</f>
        <v>From RDC</v>
      </c>
      <c r="I692" s="19" t="str">
        <f>_xlfn.XLOOKUP($B692,tblARV[ASN/DN '#],tblARV[Vendor],"Not found")</f>
        <v>SCMS from RDC</v>
      </c>
    </row>
    <row r="693" spans="2:9" ht="15">
      <c r="B693" s="7" t="s">
        <v>2593</v>
      </c>
      <c r="C693" s="10">
        <v>40613</v>
      </c>
      <c r="D693" s="10">
        <v>40624</v>
      </c>
      <c r="E693" s="18">
        <v>11</v>
      </c>
      <c r="F693" s="13" t="str">
        <f t="shared" si="21"/>
        <v>Late</v>
      </c>
      <c r="G693" s="19" t="str">
        <f>_xlfn.XLOOKUP(B693,tblARV[ASN/DN '#],tblARV[Country],"Not found")</f>
        <v>Uganda</v>
      </c>
      <c r="H693" s="19" t="str">
        <f>_xlfn.XLOOKUP($B693,tblARV[ASN/DN '#],tblARV[Fulfill Via],"Not found")</f>
        <v>From RDC</v>
      </c>
      <c r="I693" s="19" t="str">
        <f>_xlfn.XLOOKUP($B693,tblARV[ASN/DN '#],tblARV[Vendor],"Not found")</f>
        <v>SCMS from RDC</v>
      </c>
    </row>
    <row r="694" spans="2:9" ht="15">
      <c r="B694" s="7" t="s">
        <v>1543</v>
      </c>
      <c r="C694" s="10">
        <v>40611</v>
      </c>
      <c r="D694" s="10">
        <v>40617</v>
      </c>
      <c r="E694" s="18">
        <v>6</v>
      </c>
      <c r="F694" s="13" t="str">
        <f t="shared" si="21"/>
        <v>Late</v>
      </c>
      <c r="G694" s="19" t="str">
        <f>_xlfn.XLOOKUP(B694,tblARV[ASN/DN '#],tblARV[Country],"Not found")</f>
        <v>Uganda</v>
      </c>
      <c r="H694" s="19" t="str">
        <f>_xlfn.XLOOKUP($B694,tblARV[ASN/DN '#],tblARV[Fulfill Via],"Not found")</f>
        <v>From RDC</v>
      </c>
      <c r="I694" s="19" t="str">
        <f>_xlfn.XLOOKUP($B694,tblARV[ASN/DN '#],tblARV[Vendor],"Not found")</f>
        <v>SCMS from RDC</v>
      </c>
    </row>
    <row r="695" spans="2:9" ht="15">
      <c r="B695" s="7" t="s">
        <v>2339</v>
      </c>
      <c r="C695" s="10">
        <v>40651</v>
      </c>
      <c r="D695" s="10">
        <v>40617</v>
      </c>
      <c r="E695" s="18">
        <v>-34</v>
      </c>
      <c r="F695" s="13" t="str">
        <f t="shared" si="21"/>
        <v>On-time</v>
      </c>
      <c r="G695" s="19" t="str">
        <f>_xlfn.XLOOKUP(B695,tblARV[ASN/DN '#],tblARV[Country],"Not found")</f>
        <v>Uganda</v>
      </c>
      <c r="H695" s="19" t="str">
        <f>_xlfn.XLOOKUP($B695,tblARV[ASN/DN '#],tblARV[Fulfill Via],"Not found")</f>
        <v>From RDC</v>
      </c>
      <c r="I695" s="19" t="str">
        <f>_xlfn.XLOOKUP($B695,tblARV[ASN/DN '#],tblARV[Vendor],"Not found")</f>
        <v>SCMS from RDC</v>
      </c>
    </row>
    <row r="696" spans="2:9" ht="15">
      <c r="B696" s="7" t="s">
        <v>1767</v>
      </c>
      <c r="C696" s="10">
        <v>40620</v>
      </c>
      <c r="D696" s="10">
        <v>40615</v>
      </c>
      <c r="E696" s="18">
        <v>-5</v>
      </c>
      <c r="F696" s="13" t="str">
        <f t="shared" si="21"/>
        <v>On-time</v>
      </c>
      <c r="G696" s="19" t="str">
        <f>_xlfn.XLOOKUP(B696,tblARV[ASN/DN '#],tblARV[Country],"Not found")</f>
        <v>Rwanda</v>
      </c>
      <c r="H696" s="19" t="str">
        <f>_xlfn.XLOOKUP($B696,tblARV[ASN/DN '#],tblARV[Fulfill Via],"Not found")</f>
        <v>From RDC</v>
      </c>
      <c r="I696" s="19" t="str">
        <f>_xlfn.XLOOKUP($B696,tblARV[ASN/DN '#],tblARV[Vendor],"Not found")</f>
        <v>SCMS from RDC</v>
      </c>
    </row>
    <row r="697" spans="2:9" ht="15">
      <c r="B697" s="7" t="s">
        <v>1976</v>
      </c>
      <c r="C697" s="10">
        <v>40633</v>
      </c>
      <c r="D697" s="10">
        <v>40634</v>
      </c>
      <c r="E697" s="18">
        <v>2</v>
      </c>
      <c r="F697" s="13" t="str">
        <f t="shared" si="21"/>
        <v>Late</v>
      </c>
      <c r="G697" s="19" t="str">
        <f>_xlfn.XLOOKUP(B697,tblARV[ASN/DN '#],tblARV[Country],"Not found")</f>
        <v>Uganda</v>
      </c>
      <c r="H697" s="19" t="str">
        <f>_xlfn.XLOOKUP($B697,tblARV[ASN/DN '#],tblARV[Fulfill Via],"Not found")</f>
        <v>From RDC</v>
      </c>
      <c r="I697" s="19" t="str">
        <f>_xlfn.XLOOKUP($B697,tblARV[ASN/DN '#],tblARV[Vendor],"Not found")</f>
        <v>SCMS from RDC</v>
      </c>
    </row>
    <row r="698" spans="2:9" ht="15">
      <c r="B698" s="7" t="s">
        <v>2727</v>
      </c>
      <c r="C698" s="10">
        <v>40638</v>
      </c>
      <c r="D698" s="10">
        <v>40634</v>
      </c>
      <c r="E698" s="18">
        <v>-4</v>
      </c>
      <c r="F698" s="13" t="str">
        <f t="shared" si="21"/>
        <v>On-time</v>
      </c>
      <c r="G698" s="19" t="str">
        <f>_xlfn.XLOOKUP(B698,tblARV[ASN/DN '#],tblARV[Country],"Not found")</f>
        <v>Uganda</v>
      </c>
      <c r="H698" s="19" t="str">
        <f>_xlfn.XLOOKUP($B698,tblARV[ASN/DN '#],tblARV[Fulfill Via],"Not found")</f>
        <v>From RDC</v>
      </c>
      <c r="I698" s="19" t="str">
        <f>_xlfn.XLOOKUP($B698,tblARV[ASN/DN '#],tblARV[Vendor],"Not found")</f>
        <v>SCMS from RDC</v>
      </c>
    </row>
    <row r="699" spans="2:9" ht="15">
      <c r="B699" s="7" t="s">
        <v>1545</v>
      </c>
      <c r="C699" s="10">
        <v>40663</v>
      </c>
      <c r="D699" s="10">
        <v>40620</v>
      </c>
      <c r="E699" s="18">
        <v>-43</v>
      </c>
      <c r="F699" s="13" t="str">
        <f t="shared" si="21"/>
        <v>On-time</v>
      </c>
      <c r="G699" s="19" t="str">
        <f>_xlfn.XLOOKUP(B699,tblARV[ASN/DN '#],tblARV[Country],"Not found")</f>
        <v>Ethiopia</v>
      </c>
      <c r="H699" s="19" t="str">
        <f>_xlfn.XLOOKUP($B699,tblARV[ASN/DN '#],tblARV[Fulfill Via],"Not found")</f>
        <v>From RDC</v>
      </c>
      <c r="I699" s="19" t="str">
        <f>_xlfn.XLOOKUP($B699,tblARV[ASN/DN '#],tblARV[Vendor],"Not found")</f>
        <v>SCMS from RDC</v>
      </c>
    </row>
    <row r="700" spans="2:9" ht="15">
      <c r="B700" s="7" t="s">
        <v>2194</v>
      </c>
      <c r="C700" s="10">
        <v>40640</v>
      </c>
      <c r="D700" s="10">
        <v>40633</v>
      </c>
      <c r="E700" s="18">
        <v>-21</v>
      </c>
      <c r="F700" s="13" t="str">
        <f t="shared" si="21"/>
        <v>On-time</v>
      </c>
      <c r="G700" s="19" t="str">
        <f>_xlfn.XLOOKUP(B700,tblARV[ASN/DN '#],tblARV[Country],"Not found")</f>
        <v>Tanzania</v>
      </c>
      <c r="H700" s="19" t="str">
        <f>_xlfn.XLOOKUP($B700,tblARV[ASN/DN '#],tblARV[Fulfill Via],"Not found")</f>
        <v>From RDC</v>
      </c>
      <c r="I700" s="19" t="str">
        <f>_xlfn.XLOOKUP($B700,tblARV[ASN/DN '#],tblARV[Vendor],"Not found")</f>
        <v>SCMS from RDC</v>
      </c>
    </row>
    <row r="701" spans="2:9" ht="15">
      <c r="B701" s="7" t="s">
        <v>1978</v>
      </c>
      <c r="C701" s="10">
        <v>40640</v>
      </c>
      <c r="D701" s="10">
        <v>40630</v>
      </c>
      <c r="E701" s="18">
        <v>-10</v>
      </c>
      <c r="F701" s="13" t="str">
        <f t="shared" si="21"/>
        <v>On-time</v>
      </c>
      <c r="G701" s="19" t="str">
        <f>_xlfn.XLOOKUP(B701,tblARV[ASN/DN '#],tblARV[Country],"Not found")</f>
        <v>Tanzania</v>
      </c>
      <c r="H701" s="19" t="str">
        <f>_xlfn.XLOOKUP($B701,tblARV[ASN/DN '#],tblARV[Fulfill Via],"Not found")</f>
        <v>From RDC</v>
      </c>
      <c r="I701" s="19" t="str">
        <f>_xlfn.XLOOKUP($B701,tblARV[ASN/DN '#],tblARV[Vendor],"Not found")</f>
        <v>SCMS from RDC</v>
      </c>
    </row>
    <row r="702" spans="2:9" ht="15">
      <c r="B702" s="7" t="s">
        <v>1980</v>
      </c>
      <c r="C702" s="10">
        <v>40613</v>
      </c>
      <c r="D702" s="10">
        <v>40666</v>
      </c>
      <c r="E702" s="18">
        <v>53</v>
      </c>
      <c r="F702" s="13" t="str">
        <f t="shared" si="21"/>
        <v>Late</v>
      </c>
      <c r="G702" s="19" t="str">
        <f>_xlfn.XLOOKUP(B702,tblARV[ASN/DN '#],tblARV[Country],"Not found")</f>
        <v>Uganda</v>
      </c>
      <c r="H702" s="19" t="str">
        <f>_xlfn.XLOOKUP($B702,tblARV[ASN/DN '#],tblARV[Fulfill Via],"Not found")</f>
        <v>From RDC</v>
      </c>
      <c r="I702" s="19" t="str">
        <f>_xlfn.XLOOKUP($B702,tblARV[ASN/DN '#],tblARV[Vendor],"Not found")</f>
        <v>SCMS from RDC</v>
      </c>
    </row>
    <row r="703" spans="2:9" ht="15">
      <c r="B703" s="7" t="s">
        <v>2341</v>
      </c>
      <c r="C703" s="10">
        <v>40653</v>
      </c>
      <c r="D703" s="10">
        <v>40666</v>
      </c>
      <c r="E703" s="18">
        <v>13</v>
      </c>
      <c r="F703" s="13" t="str">
        <f t="shared" si="21"/>
        <v>Late</v>
      </c>
      <c r="G703" s="19" t="str">
        <f>_xlfn.XLOOKUP(B703,tblARV[ASN/DN '#],tblARV[Country],"Not found")</f>
        <v>Uganda</v>
      </c>
      <c r="H703" s="19" t="str">
        <f>_xlfn.XLOOKUP($B703,tblARV[ASN/DN '#],tblARV[Fulfill Via],"Not found")</f>
        <v>From RDC</v>
      </c>
      <c r="I703" s="19" t="str">
        <f>_xlfn.XLOOKUP($B703,tblARV[ASN/DN '#],tblARV[Vendor],"Not found")</f>
        <v>SCMS from RDC</v>
      </c>
    </row>
    <row r="704" spans="2:9" ht="15">
      <c r="B704" s="7" t="s">
        <v>1547</v>
      </c>
      <c r="C704" s="10">
        <v>40674</v>
      </c>
      <c r="D704" s="10">
        <v>40687</v>
      </c>
      <c r="E704" s="18">
        <v>26</v>
      </c>
      <c r="F704" s="13" t="str">
        <f t="shared" si="21"/>
        <v>Late</v>
      </c>
      <c r="G704" s="19" t="str">
        <f>_xlfn.XLOOKUP(B704,tblARV[ASN/DN '#],tblARV[Country],"Not found")</f>
        <v>Uganda</v>
      </c>
      <c r="H704" s="19" t="str">
        <f>_xlfn.XLOOKUP($B704,tblARV[ASN/DN '#],tblARV[Fulfill Via],"Not found")</f>
        <v>From RDC</v>
      </c>
      <c r="I704" s="19" t="str">
        <f>_xlfn.XLOOKUP($B704,tblARV[ASN/DN '#],tblARV[Vendor],"Not found")</f>
        <v>SCMS from RDC</v>
      </c>
    </row>
    <row r="705" spans="2:9" ht="15">
      <c r="B705" s="7" t="s">
        <v>2461</v>
      </c>
      <c r="C705" s="10">
        <v>40674</v>
      </c>
      <c r="D705" s="10">
        <v>40687</v>
      </c>
      <c r="E705" s="18">
        <v>26</v>
      </c>
      <c r="F705" s="13" t="str">
        <f t="shared" si="21"/>
        <v>Late</v>
      </c>
      <c r="G705" s="19" t="str">
        <f>_xlfn.XLOOKUP(B705,tblARV[ASN/DN '#],tblARV[Country],"Not found")</f>
        <v>Uganda</v>
      </c>
      <c r="H705" s="19" t="str">
        <f>_xlfn.XLOOKUP($B705,tblARV[ASN/DN '#],tblARV[Fulfill Via],"Not found")</f>
        <v>From RDC</v>
      </c>
      <c r="I705" s="19" t="str">
        <f>_xlfn.XLOOKUP($B705,tblARV[ASN/DN '#],tblARV[Vendor],"Not found")</f>
        <v>SCMS from RDC</v>
      </c>
    </row>
    <row r="706" spans="2:9" ht="15">
      <c r="B706" s="7" t="s">
        <v>2196</v>
      </c>
      <c r="C706" s="10">
        <v>40694</v>
      </c>
      <c r="D706" s="10">
        <v>40693</v>
      </c>
      <c r="E706" s="18">
        <v>-1</v>
      </c>
      <c r="F706" s="13" t="str">
        <f t="shared" si="21"/>
        <v>On-time</v>
      </c>
      <c r="G706" s="19" t="str">
        <f>_xlfn.XLOOKUP(B706,tblARV[ASN/DN '#],tblARV[Country],"Not found")</f>
        <v>Ethiopia</v>
      </c>
      <c r="H706" s="19" t="str">
        <f>_xlfn.XLOOKUP($B706,tblARV[ASN/DN '#],tblARV[Fulfill Via],"Not found")</f>
        <v>From RDC</v>
      </c>
      <c r="I706" s="19" t="str">
        <f>_xlfn.XLOOKUP($B706,tblARV[ASN/DN '#],tblARV[Vendor],"Not found")</f>
        <v>SCMS from RDC</v>
      </c>
    </row>
    <row r="707" spans="2:9" ht="15">
      <c r="B707" s="7" t="s">
        <v>1769</v>
      </c>
      <c r="C707" s="10">
        <v>40673</v>
      </c>
      <c r="D707" s="10">
        <v>40681</v>
      </c>
      <c r="E707" s="18">
        <v>16</v>
      </c>
      <c r="F707" s="13" t="str">
        <f t="shared" si="21"/>
        <v>Late</v>
      </c>
      <c r="G707" s="19" t="str">
        <f>_xlfn.XLOOKUP(B707,tblARV[ASN/DN '#],tblARV[Country],"Not found")</f>
        <v>Ethiopia</v>
      </c>
      <c r="H707" s="19" t="str">
        <f>_xlfn.XLOOKUP($B707,tblARV[ASN/DN '#],tblARV[Fulfill Via],"Not found")</f>
        <v>From RDC</v>
      </c>
      <c r="I707" s="19" t="str">
        <f>_xlfn.XLOOKUP($B707,tblARV[ASN/DN '#],tblARV[Vendor],"Not found")</f>
        <v>SCMS from RDC</v>
      </c>
    </row>
    <row r="708" spans="2:9" ht="15">
      <c r="B708" s="7" t="s">
        <v>2343</v>
      </c>
      <c r="C708" s="10">
        <v>40700</v>
      </c>
      <c r="D708" s="10">
        <v>40695</v>
      </c>
      <c r="E708" s="18">
        <v>-10</v>
      </c>
      <c r="F708" s="13" t="str">
        <f t="shared" si="21"/>
        <v>On-time</v>
      </c>
      <c r="G708" s="19" t="str">
        <f>_xlfn.XLOOKUP(B708,tblARV[ASN/DN '#],tblARV[Country],"Not found")</f>
        <v>Uganda</v>
      </c>
      <c r="H708" s="19" t="str">
        <f>_xlfn.XLOOKUP($B708,tblARV[ASN/DN '#],tblARV[Fulfill Via],"Not found")</f>
        <v>From RDC</v>
      </c>
      <c r="I708" s="19" t="str">
        <f>_xlfn.XLOOKUP($B708,tblARV[ASN/DN '#],tblARV[Vendor],"Not found")</f>
        <v>SCMS from RDC</v>
      </c>
    </row>
    <row r="709" spans="2:9" ht="15">
      <c r="B709" s="7" t="s">
        <v>2463</v>
      </c>
      <c r="C709" s="10">
        <v>40661</v>
      </c>
      <c r="D709" s="10">
        <v>40695</v>
      </c>
      <c r="E709" s="18">
        <v>34</v>
      </c>
      <c r="F709" s="13" t="str">
        <f t="shared" si="21"/>
        <v>Late</v>
      </c>
      <c r="G709" s="19" t="str">
        <f>_xlfn.XLOOKUP(B709,tblARV[ASN/DN '#],tblARV[Country],"Not found")</f>
        <v>Tanzania</v>
      </c>
      <c r="H709" s="19" t="str">
        <f>_xlfn.XLOOKUP($B709,tblARV[ASN/DN '#],tblARV[Fulfill Via],"Not found")</f>
        <v>From RDC</v>
      </c>
      <c r="I709" s="19" t="str">
        <f>_xlfn.XLOOKUP($B709,tblARV[ASN/DN '#],tblARV[Vendor],"Not found")</f>
        <v>SCMS from RDC</v>
      </c>
    </row>
    <row r="710" spans="2:9" ht="15">
      <c r="B710" s="7" t="s">
        <v>2595</v>
      </c>
      <c r="C710" s="10">
        <v>40709</v>
      </c>
      <c r="D710" s="10">
        <v>40694</v>
      </c>
      <c r="E710" s="18">
        <v>-15</v>
      </c>
      <c r="F710" s="13" t="str">
        <f t="shared" si="21"/>
        <v>On-time</v>
      </c>
      <c r="G710" s="19" t="str">
        <f>_xlfn.XLOOKUP(B710,tblARV[ASN/DN '#],tblARV[Country],"Not found")</f>
        <v>Uganda</v>
      </c>
      <c r="H710" s="19" t="str">
        <f>_xlfn.XLOOKUP($B710,tblARV[ASN/DN '#],tblARV[Fulfill Via],"Not found")</f>
        <v>From RDC</v>
      </c>
      <c r="I710" s="19" t="str">
        <f>_xlfn.XLOOKUP($B710,tblARV[ASN/DN '#],tblARV[Vendor],"Not found")</f>
        <v>SCMS from RDC</v>
      </c>
    </row>
    <row r="711" spans="2:9" ht="15">
      <c r="B711" s="7" t="s">
        <v>2198</v>
      </c>
      <c r="C711" s="10">
        <v>40769</v>
      </c>
      <c r="D711" s="10">
        <v>40688</v>
      </c>
      <c r="E711" s="18">
        <v>-81</v>
      </c>
      <c r="F711" s="13" t="str">
        <f t="shared" si="21"/>
        <v>On-time</v>
      </c>
      <c r="G711" s="19" t="str">
        <f>_xlfn.XLOOKUP(B711,tblARV[ASN/DN '#],tblARV[Country],"Not found")</f>
        <v>Rwanda</v>
      </c>
      <c r="H711" s="19" t="str">
        <f>_xlfn.XLOOKUP($B711,tblARV[ASN/DN '#],tblARV[Fulfill Via],"Not found")</f>
        <v>From RDC</v>
      </c>
      <c r="I711" s="19" t="str">
        <f>_xlfn.XLOOKUP($B711,tblARV[ASN/DN '#],tblARV[Vendor],"Not found")</f>
        <v>SCMS from RDC</v>
      </c>
    </row>
    <row r="712" spans="2:9" ht="15">
      <c r="B712" s="7" t="s">
        <v>1549</v>
      </c>
      <c r="C712" s="10">
        <v>40715</v>
      </c>
      <c r="D712" s="10">
        <v>40695</v>
      </c>
      <c r="E712" s="18">
        <v>-40</v>
      </c>
      <c r="F712" s="13" t="str">
        <f t="shared" si="21"/>
        <v>On-time</v>
      </c>
      <c r="G712" s="19" t="str">
        <f>_xlfn.XLOOKUP(B712,tblARV[ASN/DN '#],tblARV[Country],"Not found")</f>
        <v>Ethiopia</v>
      </c>
      <c r="H712" s="19" t="str">
        <f>_xlfn.XLOOKUP($B712,tblARV[ASN/DN '#],tblARV[Fulfill Via],"Not found")</f>
        <v>From RDC</v>
      </c>
      <c r="I712" s="19" t="str">
        <f>_xlfn.XLOOKUP($B712,tblARV[ASN/DN '#],tblARV[Vendor],"Not found")</f>
        <v>SCMS from RDC</v>
      </c>
    </row>
    <row r="713" spans="2:9" ht="15">
      <c r="B713" s="7" t="s">
        <v>2465</v>
      </c>
      <c r="C713" s="10">
        <v>40715</v>
      </c>
      <c r="D713" s="10">
        <v>40695</v>
      </c>
      <c r="E713" s="18">
        <v>-20</v>
      </c>
      <c r="F713" s="13" t="str">
        <f t="shared" si="21"/>
        <v>On-time</v>
      </c>
      <c r="G713" s="19" t="str">
        <f>_xlfn.XLOOKUP(B713,tblARV[ASN/DN '#],tblARV[Country],"Not found")</f>
        <v>Ethiopia</v>
      </c>
      <c r="H713" s="19" t="str">
        <f>_xlfn.XLOOKUP($B713,tblARV[ASN/DN '#],tblARV[Fulfill Via],"Not found")</f>
        <v>From RDC</v>
      </c>
      <c r="I713" s="19" t="str">
        <f>_xlfn.XLOOKUP($B713,tblARV[ASN/DN '#],tblARV[Vendor],"Not found")</f>
        <v>SCMS from RDC</v>
      </c>
    </row>
    <row r="714" spans="2:9" ht="15">
      <c r="B714" s="7" t="s">
        <v>2345</v>
      </c>
      <c r="C714" s="10">
        <v>40756</v>
      </c>
      <c r="D714" s="10">
        <v>40722</v>
      </c>
      <c r="E714" s="18">
        <v>-34</v>
      </c>
      <c r="F714" s="13" t="str">
        <f t="shared" si="21"/>
        <v>On-time</v>
      </c>
      <c r="G714" s="19" t="str">
        <f>_xlfn.XLOOKUP(B714,tblARV[ASN/DN '#],tblARV[Country],"Not found")</f>
        <v>Uganda</v>
      </c>
      <c r="H714" s="19" t="str">
        <f>_xlfn.XLOOKUP($B714,tblARV[ASN/DN '#],tblARV[Fulfill Via],"Not found")</f>
        <v>From RDC</v>
      </c>
      <c r="I714" s="19" t="str">
        <f>_xlfn.XLOOKUP($B714,tblARV[ASN/DN '#],tblARV[Vendor],"Not found")</f>
        <v>SCMS from RDC</v>
      </c>
    </row>
    <row r="715" spans="2:9" ht="15">
      <c r="B715" s="7" t="s">
        <v>2347</v>
      </c>
      <c r="C715" s="10">
        <v>40661</v>
      </c>
      <c r="D715" s="10">
        <v>40739</v>
      </c>
      <c r="E715" s="18">
        <v>78</v>
      </c>
      <c r="F715" s="13" t="str">
        <f t="shared" si="21"/>
        <v>Late</v>
      </c>
      <c r="G715" s="19" t="str">
        <f>_xlfn.XLOOKUP(B715,tblARV[ASN/DN '#],tblARV[Country],"Not found")</f>
        <v>Tanzania</v>
      </c>
      <c r="H715" s="19" t="str">
        <f>_xlfn.XLOOKUP($B715,tblARV[ASN/DN '#],tblARV[Fulfill Via],"Not found")</f>
        <v>From RDC</v>
      </c>
      <c r="I715" s="19" t="str">
        <f>_xlfn.XLOOKUP($B715,tblARV[ASN/DN '#],tblARV[Vendor],"Not found")</f>
        <v>SCMS from RDC</v>
      </c>
    </row>
    <row r="716" spans="2:9" ht="15">
      <c r="B716" s="7" t="s">
        <v>1982</v>
      </c>
      <c r="C716" s="10">
        <v>40786</v>
      </c>
      <c r="D716" s="10">
        <v>40742</v>
      </c>
      <c r="E716" s="18">
        <v>-44</v>
      </c>
      <c r="F716" s="13" t="str">
        <f t="shared" si="21"/>
        <v>On-time</v>
      </c>
      <c r="G716" s="19" t="str">
        <f>_xlfn.XLOOKUP(B716,tblARV[ASN/DN '#],tblARV[Country],"Not found")</f>
        <v>Tanzania</v>
      </c>
      <c r="H716" s="19" t="str">
        <f>_xlfn.XLOOKUP($B716,tblARV[ASN/DN '#],tblARV[Fulfill Via],"Not found")</f>
        <v>From RDC</v>
      </c>
      <c r="I716" s="19" t="str">
        <f>_xlfn.XLOOKUP($B716,tblARV[ASN/DN '#],tblARV[Vendor],"Not found")</f>
        <v>SCMS from RDC</v>
      </c>
    </row>
    <row r="717" spans="2:9" ht="15">
      <c r="B717" s="7" t="s">
        <v>1771</v>
      </c>
      <c r="C717" s="10">
        <v>40791</v>
      </c>
      <c r="D717" s="10">
        <v>40738</v>
      </c>
      <c r="E717" s="18">
        <v>-53</v>
      </c>
      <c r="F717" s="13" t="str">
        <f t="shared" si="21"/>
        <v>On-time</v>
      </c>
      <c r="G717" s="19" t="str">
        <f>_xlfn.XLOOKUP(B717,tblARV[ASN/DN '#],tblARV[Country],"Not found")</f>
        <v>Uganda</v>
      </c>
      <c r="H717" s="19" t="str">
        <f>_xlfn.XLOOKUP($B717,tblARV[ASN/DN '#],tblARV[Fulfill Via],"Not found")</f>
        <v>From RDC</v>
      </c>
      <c r="I717" s="19" t="str">
        <f>_xlfn.XLOOKUP($B717,tblARV[ASN/DN '#],tblARV[Vendor],"Not found")</f>
        <v>SCMS from RDC</v>
      </c>
    </row>
    <row r="718" spans="2:9" ht="15">
      <c r="B718" s="7" t="s">
        <v>1984</v>
      </c>
      <c r="C718" s="10">
        <v>40724</v>
      </c>
      <c r="D718" s="10">
        <v>40738</v>
      </c>
      <c r="E718" s="18">
        <v>14</v>
      </c>
      <c r="F718" s="13" t="str">
        <f t="shared" si="21"/>
        <v>Late</v>
      </c>
      <c r="G718" s="19" t="str">
        <f>_xlfn.XLOOKUP(B718,tblARV[ASN/DN '#],tblARV[Country],"Not found")</f>
        <v>Uganda</v>
      </c>
      <c r="H718" s="19" t="str">
        <f>_xlfn.XLOOKUP($B718,tblARV[ASN/DN '#],tblARV[Fulfill Via],"Not found")</f>
        <v>From RDC</v>
      </c>
      <c r="I718" s="19" t="str">
        <f>_xlfn.XLOOKUP($B718,tblARV[ASN/DN '#],tblARV[Vendor],"Not found")</f>
        <v>SCMS from RDC</v>
      </c>
    </row>
    <row r="719" spans="2:9" ht="15">
      <c r="B719" s="7" t="s">
        <v>1551</v>
      </c>
      <c r="C719" s="10">
        <v>40760</v>
      </c>
      <c r="D719" s="10">
        <v>40760</v>
      </c>
      <c r="E719" s="18">
        <v>0</v>
      </c>
      <c r="F719" s="13" t="str">
        <f t="shared" si="21"/>
        <v>On-time</v>
      </c>
      <c r="G719" s="19" t="str">
        <f>_xlfn.XLOOKUP(B719,tblARV[ASN/DN '#],tblARV[Country],"Not found")</f>
        <v>Uganda</v>
      </c>
      <c r="H719" s="19" t="str">
        <f>_xlfn.XLOOKUP($B719,tblARV[ASN/DN '#],tblARV[Fulfill Via],"Not found")</f>
        <v>From RDC</v>
      </c>
      <c r="I719" s="19" t="str">
        <f>_xlfn.XLOOKUP($B719,tblARV[ASN/DN '#],tblARV[Vendor],"Not found")</f>
        <v>SCMS from RDC</v>
      </c>
    </row>
    <row r="720" spans="2:9" ht="15">
      <c r="B720" s="7" t="s">
        <v>1553</v>
      </c>
      <c r="C720" s="10">
        <v>40753</v>
      </c>
      <c r="D720" s="10">
        <v>40757</v>
      </c>
      <c r="E720" s="18">
        <v>4</v>
      </c>
      <c r="F720" s="13" t="str">
        <f t="shared" si="21"/>
        <v>Late</v>
      </c>
      <c r="G720" s="19" t="str">
        <f>_xlfn.XLOOKUP(B720,tblARV[ASN/DN '#],tblARV[Country],"Not found")</f>
        <v>Uganda</v>
      </c>
      <c r="H720" s="19" t="str">
        <f>_xlfn.XLOOKUP($B720,tblARV[ASN/DN '#],tblARV[Fulfill Via],"Not found")</f>
        <v>From RDC</v>
      </c>
      <c r="I720" s="19" t="str">
        <f>_xlfn.XLOOKUP($B720,tblARV[ASN/DN '#],tblARV[Vendor],"Not found")</f>
        <v>SCMS from RDC</v>
      </c>
    </row>
    <row r="721" spans="2:9" ht="15">
      <c r="B721" s="7" t="s">
        <v>2349</v>
      </c>
      <c r="C721" s="10">
        <v>40760</v>
      </c>
      <c r="D721" s="10">
        <v>40771</v>
      </c>
      <c r="E721" s="18">
        <v>11</v>
      </c>
      <c r="F721" s="13" t="str">
        <f t="shared" si="21"/>
        <v>Late</v>
      </c>
      <c r="G721" s="19" t="str">
        <f>_xlfn.XLOOKUP(B721,tblARV[ASN/DN '#],tblARV[Country],"Not found")</f>
        <v>Tanzania</v>
      </c>
      <c r="H721" s="19" t="str">
        <f>_xlfn.XLOOKUP($B721,tblARV[ASN/DN '#],tblARV[Fulfill Via],"Not found")</f>
        <v>From RDC</v>
      </c>
      <c r="I721" s="19" t="str">
        <f>_xlfn.XLOOKUP($B721,tblARV[ASN/DN '#],tblARV[Vendor],"Not found")</f>
        <v>SCMS from RDC</v>
      </c>
    </row>
    <row r="722" spans="2:9" ht="15">
      <c r="B722" s="7" t="s">
        <v>1986</v>
      </c>
      <c r="C722" s="10">
        <v>40755</v>
      </c>
      <c r="D722" s="10">
        <v>40767</v>
      </c>
      <c r="E722" s="18">
        <v>12</v>
      </c>
      <c r="F722" s="13" t="str">
        <f t="shared" si="21"/>
        <v>Late</v>
      </c>
      <c r="G722" s="19" t="str">
        <f>_xlfn.XLOOKUP(B722,tblARV[ASN/DN '#],tblARV[Country],"Not found")</f>
        <v>Uganda</v>
      </c>
      <c r="H722" s="19" t="str">
        <f>_xlfn.XLOOKUP($B722,tblARV[ASN/DN '#],tblARV[Fulfill Via],"Not found")</f>
        <v>From RDC</v>
      </c>
      <c r="I722" s="19" t="str">
        <f>_xlfn.XLOOKUP($B722,tblARV[ASN/DN '#],tblARV[Vendor],"Not found")</f>
        <v>SCMS from RDC</v>
      </c>
    </row>
    <row r="723" spans="2:9" ht="15">
      <c r="B723" s="7" t="s">
        <v>2597</v>
      </c>
      <c r="C723" s="10">
        <v>40808</v>
      </c>
      <c r="D723" s="10">
        <v>40781</v>
      </c>
      <c r="E723" s="18">
        <v>-54</v>
      </c>
      <c r="F723" s="13" t="str">
        <f t="shared" si="21"/>
        <v>On-time</v>
      </c>
      <c r="G723" s="19" t="str">
        <f>_xlfn.XLOOKUP(B723,tblARV[ASN/DN '#],tblARV[Country],"Not found")</f>
        <v>Uganda</v>
      </c>
      <c r="H723" s="19" t="str">
        <f>_xlfn.XLOOKUP($B723,tblARV[ASN/DN '#],tblARV[Fulfill Via],"Not found")</f>
        <v>From RDC</v>
      </c>
      <c r="I723" s="19" t="str">
        <f>_xlfn.XLOOKUP($B723,tblARV[ASN/DN '#],tblARV[Vendor],"Not found")</f>
        <v>SCMS from RDC</v>
      </c>
    </row>
    <row r="724" spans="2:9" ht="15">
      <c r="B724" s="7" t="s">
        <v>2599</v>
      </c>
      <c r="C724" s="10">
        <v>40816</v>
      </c>
      <c r="D724" s="10">
        <v>40785</v>
      </c>
      <c r="E724" s="18">
        <v>-31</v>
      </c>
      <c r="F724" s="13" t="str">
        <f t="shared" si="21"/>
        <v>On-time</v>
      </c>
      <c r="G724" s="19" t="str">
        <f>_xlfn.XLOOKUP(B724,tblARV[ASN/DN '#],tblARV[Country],"Not found")</f>
        <v>Tanzania</v>
      </c>
      <c r="H724" s="19" t="str">
        <f>_xlfn.XLOOKUP($B724,tblARV[ASN/DN '#],tblARV[Fulfill Via],"Not found")</f>
        <v>From RDC</v>
      </c>
      <c r="I724" s="19" t="str">
        <f>_xlfn.XLOOKUP($B724,tblARV[ASN/DN '#],tblARV[Vendor],"Not found")</f>
        <v>SCMS from RDC</v>
      </c>
    </row>
    <row r="725" spans="2:9" ht="15">
      <c r="B725" s="7" t="s">
        <v>2601</v>
      </c>
      <c r="C725" s="10">
        <v>40760</v>
      </c>
      <c r="D725" s="10">
        <v>40779</v>
      </c>
      <c r="E725" s="18">
        <v>19</v>
      </c>
      <c r="F725" s="13" t="str">
        <f t="shared" ref="F725:F788" si="22">IF($E725&lt;=0,"On-time","Late")</f>
        <v>Late</v>
      </c>
      <c r="G725" s="19" t="str">
        <f>_xlfn.XLOOKUP(B725,tblARV[ASN/DN '#],tblARV[Country],"Not found")</f>
        <v>Uganda</v>
      </c>
      <c r="H725" s="19" t="str">
        <f>_xlfn.XLOOKUP($B725,tblARV[ASN/DN '#],tblARV[Fulfill Via],"Not found")</f>
        <v>From RDC</v>
      </c>
      <c r="I725" s="19" t="str">
        <f>_xlfn.XLOOKUP($B725,tblARV[ASN/DN '#],tblARV[Vendor],"Not found")</f>
        <v>SCMS from RDC</v>
      </c>
    </row>
    <row r="726" spans="2:9" ht="15">
      <c r="B726" s="7" t="s">
        <v>1988</v>
      </c>
      <c r="C726" s="10">
        <v>40791</v>
      </c>
      <c r="D726" s="10">
        <v>40778</v>
      </c>
      <c r="E726" s="18">
        <v>-13</v>
      </c>
      <c r="F726" s="13" t="str">
        <f t="shared" si="22"/>
        <v>On-time</v>
      </c>
      <c r="G726" s="19" t="str">
        <f>_xlfn.XLOOKUP(B726,tblARV[ASN/DN '#],tblARV[Country],"Not found")</f>
        <v>Uganda</v>
      </c>
      <c r="H726" s="19" t="str">
        <f>_xlfn.XLOOKUP($B726,tblARV[ASN/DN '#],tblARV[Fulfill Via],"Not found")</f>
        <v>From RDC</v>
      </c>
      <c r="I726" s="19" t="str">
        <f>_xlfn.XLOOKUP($B726,tblARV[ASN/DN '#],tblARV[Vendor],"Not found")</f>
        <v>SCMS from RDC</v>
      </c>
    </row>
    <row r="727" spans="2:9" ht="15">
      <c r="B727" s="7" t="s">
        <v>1555</v>
      </c>
      <c r="C727" s="10">
        <v>40850</v>
      </c>
      <c r="D727" s="10">
        <v>40776</v>
      </c>
      <c r="E727" s="18">
        <v>-74</v>
      </c>
      <c r="F727" s="13" t="str">
        <f t="shared" si="22"/>
        <v>On-time</v>
      </c>
      <c r="G727" s="19" t="str">
        <f>_xlfn.XLOOKUP(B727,tblARV[ASN/DN '#],tblARV[Country],"Not found")</f>
        <v>Uganda</v>
      </c>
      <c r="H727" s="19" t="str">
        <f>_xlfn.XLOOKUP($B727,tblARV[ASN/DN '#],tblARV[Fulfill Via],"Not found")</f>
        <v>From RDC</v>
      </c>
      <c r="I727" s="19" t="str">
        <f>_xlfn.XLOOKUP($B727,tblARV[ASN/DN '#],tblARV[Vendor],"Not found")</f>
        <v>SCMS from RDC</v>
      </c>
    </row>
    <row r="728" spans="2:9" ht="15">
      <c r="B728" s="7" t="s">
        <v>1990</v>
      </c>
      <c r="C728" s="10">
        <v>40808</v>
      </c>
      <c r="D728" s="10">
        <v>40779</v>
      </c>
      <c r="E728" s="18">
        <v>-29</v>
      </c>
      <c r="F728" s="13" t="str">
        <f t="shared" si="22"/>
        <v>On-time</v>
      </c>
      <c r="G728" s="19" t="str">
        <f>_xlfn.XLOOKUP(B728,tblARV[ASN/DN '#],tblARV[Country],"Not found")</f>
        <v>Uganda</v>
      </c>
      <c r="H728" s="19" t="str">
        <f>_xlfn.XLOOKUP($B728,tblARV[ASN/DN '#],tblARV[Fulfill Via],"Not found")</f>
        <v>From RDC</v>
      </c>
      <c r="I728" s="19" t="str">
        <f>_xlfn.XLOOKUP($B728,tblARV[ASN/DN '#],tblARV[Vendor],"Not found")</f>
        <v>SCMS from RDC</v>
      </c>
    </row>
    <row r="729" spans="2:9" ht="15">
      <c r="B729" s="7" t="s">
        <v>1773</v>
      </c>
      <c r="C729" s="10">
        <v>40760</v>
      </c>
      <c r="D729" s="10">
        <v>40779</v>
      </c>
      <c r="E729" s="18">
        <v>57</v>
      </c>
      <c r="F729" s="13" t="str">
        <f t="shared" si="22"/>
        <v>Late</v>
      </c>
      <c r="G729" s="19" t="str">
        <f>_xlfn.XLOOKUP(B729,tblARV[ASN/DN '#],tblARV[Country],"Not found")</f>
        <v>Uganda</v>
      </c>
      <c r="H729" s="19" t="str">
        <f>_xlfn.XLOOKUP($B729,tblARV[ASN/DN '#],tblARV[Fulfill Via],"Not found")</f>
        <v>From RDC</v>
      </c>
      <c r="I729" s="19" t="str">
        <f>_xlfn.XLOOKUP($B729,tblARV[ASN/DN '#],tblARV[Vendor],"Not found")</f>
        <v>SCMS from RDC</v>
      </c>
    </row>
    <row r="730" spans="2:9" ht="15">
      <c r="B730" s="7" t="s">
        <v>2729</v>
      </c>
      <c r="C730" s="10">
        <v>40806</v>
      </c>
      <c r="D730" s="10">
        <v>40792</v>
      </c>
      <c r="E730" s="18">
        <v>-14</v>
      </c>
      <c r="F730" s="13" t="str">
        <f t="shared" si="22"/>
        <v>On-time</v>
      </c>
      <c r="G730" s="19" t="str">
        <f>_xlfn.XLOOKUP(B730,tblARV[ASN/DN '#],tblARV[Country],"Not found")</f>
        <v>Uganda</v>
      </c>
      <c r="H730" s="19" t="str">
        <f>_xlfn.XLOOKUP($B730,tblARV[ASN/DN '#],tblARV[Fulfill Via],"Not found")</f>
        <v>From RDC</v>
      </c>
      <c r="I730" s="19" t="str">
        <f>_xlfn.XLOOKUP($B730,tblARV[ASN/DN '#],tblARV[Vendor],"Not found")</f>
        <v>SCMS from RDC</v>
      </c>
    </row>
    <row r="731" spans="2:9" ht="15">
      <c r="B731" s="7" t="s">
        <v>1557</v>
      </c>
      <c r="C731" s="10">
        <v>40786</v>
      </c>
      <c r="D731" s="10">
        <v>40800</v>
      </c>
      <c r="E731" s="18">
        <v>14</v>
      </c>
      <c r="F731" s="13" t="str">
        <f t="shared" si="22"/>
        <v>Late</v>
      </c>
      <c r="G731" s="19" t="str">
        <f>_xlfn.XLOOKUP(B731,tblARV[ASN/DN '#],tblARV[Country],"Not found")</f>
        <v>Uganda</v>
      </c>
      <c r="H731" s="19" t="str">
        <f>_xlfn.XLOOKUP($B731,tblARV[ASN/DN '#],tblARV[Fulfill Via],"Not found")</f>
        <v>From RDC</v>
      </c>
      <c r="I731" s="19" t="str">
        <f>_xlfn.XLOOKUP($B731,tblARV[ASN/DN '#],tblARV[Vendor],"Not found")</f>
        <v>SCMS from RDC</v>
      </c>
    </row>
    <row r="732" spans="2:9" ht="15">
      <c r="B732" s="7" t="s">
        <v>2603</v>
      </c>
      <c r="C732" s="10">
        <v>40816</v>
      </c>
      <c r="D732" s="10">
        <v>40812</v>
      </c>
      <c r="E732" s="18">
        <v>-8</v>
      </c>
      <c r="F732" s="13" t="str">
        <f t="shared" si="22"/>
        <v>On-time</v>
      </c>
      <c r="G732" s="19" t="str">
        <f>_xlfn.XLOOKUP(B732,tblARV[ASN/DN '#],tblARV[Country],"Not found")</f>
        <v>Uganda</v>
      </c>
      <c r="H732" s="19" t="str">
        <f>_xlfn.XLOOKUP($B732,tblARV[ASN/DN '#],tblARV[Fulfill Via],"Not found")</f>
        <v>From RDC</v>
      </c>
      <c r="I732" s="19" t="str">
        <f>_xlfn.XLOOKUP($B732,tblARV[ASN/DN '#],tblARV[Vendor],"Not found")</f>
        <v>SCMS from RDC</v>
      </c>
    </row>
    <row r="733" spans="2:9" ht="15">
      <c r="B733" s="7" t="s">
        <v>1992</v>
      </c>
      <c r="C733" s="10">
        <v>40819</v>
      </c>
      <c r="D733" s="10">
        <v>40802</v>
      </c>
      <c r="E733" s="18">
        <v>-17</v>
      </c>
      <c r="F733" s="13" t="str">
        <f t="shared" si="22"/>
        <v>On-time</v>
      </c>
      <c r="G733" s="19" t="str">
        <f>_xlfn.XLOOKUP(B733,tblARV[ASN/DN '#],tblARV[Country],"Not found")</f>
        <v>Tanzania</v>
      </c>
      <c r="H733" s="19" t="str">
        <f>_xlfn.XLOOKUP($B733,tblARV[ASN/DN '#],tblARV[Fulfill Via],"Not found")</f>
        <v>From RDC</v>
      </c>
      <c r="I733" s="19" t="str">
        <f>_xlfn.XLOOKUP($B733,tblARV[ASN/DN '#],tblARV[Vendor],"Not found")</f>
        <v>SCMS from RDC</v>
      </c>
    </row>
    <row r="734" spans="2:9" ht="15">
      <c r="B734" s="7" t="s">
        <v>1994</v>
      </c>
      <c r="C734" s="10">
        <v>40819</v>
      </c>
      <c r="D734" s="10">
        <v>40809</v>
      </c>
      <c r="E734" s="18">
        <v>-10</v>
      </c>
      <c r="F734" s="13" t="str">
        <f t="shared" si="22"/>
        <v>On-time</v>
      </c>
      <c r="G734" s="19" t="str">
        <f>_xlfn.XLOOKUP(B734,tblARV[ASN/DN '#],tblARV[Country],"Not found")</f>
        <v>Tanzania</v>
      </c>
      <c r="H734" s="19" t="str">
        <f>_xlfn.XLOOKUP($B734,tblARV[ASN/DN '#],tblARV[Fulfill Via],"Not found")</f>
        <v>From RDC</v>
      </c>
      <c r="I734" s="19" t="str">
        <f>_xlfn.XLOOKUP($B734,tblARV[ASN/DN '#],tblARV[Vendor],"Not found")</f>
        <v>SCMS from RDC</v>
      </c>
    </row>
    <row r="735" spans="2:9" ht="15">
      <c r="B735" s="7" t="s">
        <v>2467</v>
      </c>
      <c r="C735" s="10">
        <v>40819</v>
      </c>
      <c r="D735" s="10">
        <v>40809</v>
      </c>
      <c r="E735" s="18">
        <v>-10</v>
      </c>
      <c r="F735" s="13" t="str">
        <f t="shared" si="22"/>
        <v>On-time</v>
      </c>
      <c r="G735" s="19" t="str">
        <f>_xlfn.XLOOKUP(B735,tblARV[ASN/DN '#],tblARV[Country],"Not found")</f>
        <v>Tanzania</v>
      </c>
      <c r="H735" s="19" t="str">
        <f>_xlfn.XLOOKUP($B735,tblARV[ASN/DN '#],tblARV[Fulfill Via],"Not found")</f>
        <v>From RDC</v>
      </c>
      <c r="I735" s="19" t="str">
        <f>_xlfn.XLOOKUP($B735,tblARV[ASN/DN '#],tblARV[Vendor],"Not found")</f>
        <v>SCMS from RDC</v>
      </c>
    </row>
    <row r="736" spans="2:9" ht="15">
      <c r="B736" s="7" t="s">
        <v>2605</v>
      </c>
      <c r="C736" s="10">
        <v>40816</v>
      </c>
      <c r="D736" s="10">
        <v>40809</v>
      </c>
      <c r="E736" s="18">
        <v>-7</v>
      </c>
      <c r="F736" s="13" t="str">
        <f t="shared" si="22"/>
        <v>On-time</v>
      </c>
      <c r="G736" s="19" t="str">
        <f>_xlfn.XLOOKUP(B736,tblARV[ASN/DN '#],tblARV[Country],"Not found")</f>
        <v>Tanzania</v>
      </c>
      <c r="H736" s="19" t="str">
        <f>_xlfn.XLOOKUP($B736,tblARV[ASN/DN '#],tblARV[Fulfill Via],"Not found")</f>
        <v>From RDC</v>
      </c>
      <c r="I736" s="19" t="str">
        <f>_xlfn.XLOOKUP($B736,tblARV[ASN/DN '#],tblARV[Vendor],"Not found")</f>
        <v>SCMS from RDC</v>
      </c>
    </row>
    <row r="737" spans="2:9" ht="15">
      <c r="B737" s="7" t="s">
        <v>2351</v>
      </c>
      <c r="C737" s="10">
        <v>40815</v>
      </c>
      <c r="D737" s="10">
        <v>40809</v>
      </c>
      <c r="E737" s="18">
        <v>-6</v>
      </c>
      <c r="F737" s="13" t="str">
        <f t="shared" si="22"/>
        <v>On-time</v>
      </c>
      <c r="G737" s="19" t="str">
        <f>_xlfn.XLOOKUP(B737,tblARV[ASN/DN '#],tblARV[Country],"Not found")</f>
        <v>Tanzania</v>
      </c>
      <c r="H737" s="19" t="str">
        <f>_xlfn.XLOOKUP($B737,tblARV[ASN/DN '#],tblARV[Fulfill Via],"Not found")</f>
        <v>From RDC</v>
      </c>
      <c r="I737" s="19" t="str">
        <f>_xlfn.XLOOKUP($B737,tblARV[ASN/DN '#],tblARV[Vendor],"Not found")</f>
        <v>SCMS from RDC</v>
      </c>
    </row>
    <row r="738" spans="2:9" ht="15">
      <c r="B738" s="7" t="s">
        <v>1559</v>
      </c>
      <c r="C738" s="10">
        <v>40846</v>
      </c>
      <c r="D738" s="10">
        <v>40848</v>
      </c>
      <c r="E738" s="18">
        <v>2</v>
      </c>
      <c r="F738" s="13" t="str">
        <f t="shared" si="22"/>
        <v>Late</v>
      </c>
      <c r="G738" s="19" t="str">
        <f>_xlfn.XLOOKUP(B738,tblARV[ASN/DN '#],tblARV[Country],"Not found")</f>
        <v>Uganda</v>
      </c>
      <c r="H738" s="19" t="str">
        <f>_xlfn.XLOOKUP($B738,tblARV[ASN/DN '#],tblARV[Fulfill Via],"Not found")</f>
        <v>From RDC</v>
      </c>
      <c r="I738" s="19" t="str">
        <f>_xlfn.XLOOKUP($B738,tblARV[ASN/DN '#],tblARV[Vendor],"Not found")</f>
        <v>SCMS from RDC</v>
      </c>
    </row>
    <row r="739" spans="2:9" ht="15">
      <c r="B739" s="7" t="s">
        <v>1561</v>
      </c>
      <c r="C739" s="10">
        <v>40876</v>
      </c>
      <c r="D739" s="10">
        <v>40876</v>
      </c>
      <c r="E739" s="18">
        <v>0</v>
      </c>
      <c r="F739" s="13" t="str">
        <f t="shared" si="22"/>
        <v>On-time</v>
      </c>
      <c r="G739" s="19" t="str">
        <f>_xlfn.XLOOKUP(B739,tblARV[ASN/DN '#],tblARV[Country],"Not found")</f>
        <v>Tanzania</v>
      </c>
      <c r="H739" s="19" t="str">
        <f>_xlfn.XLOOKUP($B739,tblARV[ASN/DN '#],tblARV[Fulfill Via],"Not found")</f>
        <v>From RDC</v>
      </c>
      <c r="I739" s="19" t="str">
        <f>_xlfn.XLOOKUP($B739,tblARV[ASN/DN '#],tblARV[Vendor],"Not found")</f>
        <v>SCMS from RDC</v>
      </c>
    </row>
    <row r="740" spans="2:9" ht="15">
      <c r="B740" s="7" t="s">
        <v>1996</v>
      </c>
      <c r="C740" s="10">
        <v>40862</v>
      </c>
      <c r="D740" s="10">
        <v>40848</v>
      </c>
      <c r="E740" s="18">
        <v>-14</v>
      </c>
      <c r="F740" s="13" t="str">
        <f t="shared" si="22"/>
        <v>On-time</v>
      </c>
      <c r="G740" s="19" t="str">
        <f>_xlfn.XLOOKUP(B740,tblARV[ASN/DN '#],tblARV[Country],"Not found")</f>
        <v>Uganda</v>
      </c>
      <c r="H740" s="19" t="str">
        <f>_xlfn.XLOOKUP($B740,tblARV[ASN/DN '#],tblARV[Fulfill Via],"Not found")</f>
        <v>From RDC</v>
      </c>
      <c r="I740" s="19" t="str">
        <f>_xlfn.XLOOKUP($B740,tblARV[ASN/DN '#],tblARV[Vendor],"Not found")</f>
        <v>SCMS from RDC</v>
      </c>
    </row>
    <row r="741" spans="2:9" ht="15">
      <c r="B741" s="7" t="s">
        <v>618</v>
      </c>
      <c r="C741" s="10">
        <v>39293</v>
      </c>
      <c r="D741" s="10">
        <v>39293</v>
      </c>
      <c r="E741" s="18">
        <v>0</v>
      </c>
      <c r="F741" s="13" t="str">
        <f t="shared" si="22"/>
        <v>On-time</v>
      </c>
      <c r="G741" s="19" t="str">
        <f>_xlfn.XLOOKUP(B741,tblARV[ASN/DN '#],tblARV[Country],"Not found")</f>
        <v>Tanzania</v>
      </c>
      <c r="H741" s="19" t="str">
        <f>_xlfn.XLOOKUP($B741,tblARV[ASN/DN '#],tblARV[Fulfill Via],"Not found")</f>
        <v>From RDC</v>
      </c>
      <c r="I741" s="19" t="str">
        <f>_xlfn.XLOOKUP($B741,tblARV[ASN/DN '#],tblARV[Vendor],"Not found")</f>
        <v>SCMS from RDC</v>
      </c>
    </row>
    <row r="742" spans="2:9" ht="15">
      <c r="B742" s="7" t="s">
        <v>518</v>
      </c>
      <c r="C742" s="10">
        <v>39293</v>
      </c>
      <c r="D742" s="10">
        <v>39293</v>
      </c>
      <c r="E742" s="18">
        <v>0</v>
      </c>
      <c r="F742" s="13" t="str">
        <f t="shared" si="22"/>
        <v>On-time</v>
      </c>
      <c r="G742" s="19" t="str">
        <f>_xlfn.XLOOKUP(B742,tblARV[ASN/DN '#],tblARV[Country],"Not found")</f>
        <v>Tanzania</v>
      </c>
      <c r="H742" s="19" t="str">
        <f>_xlfn.XLOOKUP($B742,tblARV[ASN/DN '#],tblARV[Fulfill Via],"Not found")</f>
        <v>From RDC</v>
      </c>
      <c r="I742" s="19" t="str">
        <f>_xlfn.XLOOKUP($B742,tblARV[ASN/DN '#],tblARV[Vendor],"Not found")</f>
        <v>SCMS from RDC</v>
      </c>
    </row>
    <row r="743" spans="2:9" ht="15">
      <c r="B743" s="7" t="s">
        <v>1998</v>
      </c>
      <c r="C743" s="10">
        <v>40906</v>
      </c>
      <c r="D743" s="10">
        <v>40889</v>
      </c>
      <c r="E743" s="18">
        <v>-17</v>
      </c>
      <c r="F743" s="13" t="str">
        <f t="shared" si="22"/>
        <v>On-time</v>
      </c>
      <c r="G743" s="19" t="str">
        <f>_xlfn.XLOOKUP(B743,tblARV[ASN/DN '#],tblARV[Country],"Not found")</f>
        <v>Tanzania</v>
      </c>
      <c r="H743" s="19" t="str">
        <f>_xlfn.XLOOKUP($B743,tblARV[ASN/DN '#],tblARV[Fulfill Via],"Not found")</f>
        <v>From RDC</v>
      </c>
      <c r="I743" s="19" t="str">
        <f>_xlfn.XLOOKUP($B743,tblARV[ASN/DN '#],tblARV[Vendor],"Not found")</f>
        <v>SCMS from RDC</v>
      </c>
    </row>
    <row r="744" spans="2:9" ht="15">
      <c r="B744" s="7" t="s">
        <v>2731</v>
      </c>
      <c r="C744" s="10">
        <v>40906</v>
      </c>
      <c r="D744" s="10">
        <v>40862</v>
      </c>
      <c r="E744" s="18">
        <v>-44</v>
      </c>
      <c r="F744" s="13" t="str">
        <f t="shared" si="22"/>
        <v>On-time</v>
      </c>
      <c r="G744" s="19" t="str">
        <f>_xlfn.XLOOKUP(B744,tblARV[ASN/DN '#],tblARV[Country],"Not found")</f>
        <v>Tanzania</v>
      </c>
      <c r="H744" s="19" t="str">
        <f>_xlfn.XLOOKUP($B744,tblARV[ASN/DN '#],tblARV[Fulfill Via],"Not found")</f>
        <v>From RDC</v>
      </c>
      <c r="I744" s="19" t="str">
        <f>_xlfn.XLOOKUP($B744,tblARV[ASN/DN '#],tblARV[Vendor],"Not found")</f>
        <v>SCMS from RDC</v>
      </c>
    </row>
    <row r="745" spans="2:9" ht="15">
      <c r="B745" s="7" t="s">
        <v>2469</v>
      </c>
      <c r="C745" s="10">
        <v>40897</v>
      </c>
      <c r="D745" s="10">
        <v>40889</v>
      </c>
      <c r="E745" s="18">
        <v>-8</v>
      </c>
      <c r="F745" s="13" t="str">
        <f t="shared" si="22"/>
        <v>On-time</v>
      </c>
      <c r="G745" s="19" t="str">
        <f>_xlfn.XLOOKUP(B745,tblARV[ASN/DN '#],tblARV[Country],"Not found")</f>
        <v>Tanzania</v>
      </c>
      <c r="H745" s="19" t="str">
        <f>_xlfn.XLOOKUP($B745,tblARV[ASN/DN '#],tblARV[Fulfill Via],"Not found")</f>
        <v>From RDC</v>
      </c>
      <c r="I745" s="19" t="str">
        <f>_xlfn.XLOOKUP($B745,tblARV[ASN/DN '#],tblARV[Vendor],"Not found")</f>
        <v>SCMS from RDC</v>
      </c>
    </row>
    <row r="746" spans="2:9" ht="15">
      <c r="B746" s="7" t="s">
        <v>1775</v>
      </c>
      <c r="C746" s="10">
        <v>40871</v>
      </c>
      <c r="D746" s="10">
        <v>40858</v>
      </c>
      <c r="E746" s="18">
        <v>-13</v>
      </c>
      <c r="F746" s="13" t="str">
        <f t="shared" si="22"/>
        <v>On-time</v>
      </c>
      <c r="G746" s="19" t="str">
        <f>_xlfn.XLOOKUP(B746,tblARV[ASN/DN '#],tblARV[Country],"Not found")</f>
        <v>Rwanda</v>
      </c>
      <c r="H746" s="19" t="str">
        <f>_xlfn.XLOOKUP($B746,tblARV[ASN/DN '#],tblARV[Fulfill Via],"Not found")</f>
        <v>From RDC</v>
      </c>
      <c r="I746" s="19" t="str">
        <f>_xlfn.XLOOKUP($B746,tblARV[ASN/DN '#],tblARV[Vendor],"Not found")</f>
        <v>SCMS from RDC</v>
      </c>
    </row>
    <row r="747" spans="2:9" ht="15">
      <c r="B747" s="7" t="s">
        <v>520</v>
      </c>
      <c r="C747" s="10">
        <v>39293</v>
      </c>
      <c r="D747" s="10">
        <v>39293</v>
      </c>
      <c r="E747" s="18">
        <v>0</v>
      </c>
      <c r="F747" s="13" t="str">
        <f t="shared" si="22"/>
        <v>On-time</v>
      </c>
      <c r="G747" s="19" t="str">
        <f>_xlfn.XLOOKUP(B747,tblARV[ASN/DN '#],tblARV[Country],"Not found")</f>
        <v>Tanzania</v>
      </c>
      <c r="H747" s="19" t="str">
        <f>_xlfn.XLOOKUP($B747,tblARV[ASN/DN '#],tblARV[Fulfill Via],"Not found")</f>
        <v>From RDC</v>
      </c>
      <c r="I747" s="19" t="str">
        <f>_xlfn.XLOOKUP($B747,tblARV[ASN/DN '#],tblARV[Vendor],"Not found")</f>
        <v>SCMS from RDC</v>
      </c>
    </row>
    <row r="748" spans="2:9" ht="15">
      <c r="B748" s="7" t="s">
        <v>2471</v>
      </c>
      <c r="C748" s="10">
        <v>40885</v>
      </c>
      <c r="D748" s="10">
        <v>40872</v>
      </c>
      <c r="E748" s="18">
        <v>-13</v>
      </c>
      <c r="F748" s="13" t="str">
        <f t="shared" si="22"/>
        <v>On-time</v>
      </c>
      <c r="G748" s="19" t="str">
        <f>_xlfn.XLOOKUP(B748,tblARV[ASN/DN '#],tblARV[Country],"Not found")</f>
        <v>Rwanda</v>
      </c>
      <c r="H748" s="19" t="str">
        <f>_xlfn.XLOOKUP($B748,tblARV[ASN/DN '#],tblARV[Fulfill Via],"Not found")</f>
        <v>From RDC</v>
      </c>
      <c r="I748" s="19" t="str">
        <f>_xlfn.XLOOKUP($B748,tblARV[ASN/DN '#],tblARV[Vendor],"Not found")</f>
        <v>SCMS from RDC</v>
      </c>
    </row>
    <row r="749" spans="2:9" ht="15">
      <c r="B749" s="7" t="s">
        <v>2201</v>
      </c>
      <c r="C749" s="10">
        <v>40917</v>
      </c>
      <c r="D749" s="10">
        <v>40878</v>
      </c>
      <c r="E749" s="18">
        <v>-156</v>
      </c>
      <c r="F749" s="13" t="str">
        <f t="shared" si="22"/>
        <v>On-time</v>
      </c>
      <c r="G749" s="19" t="str">
        <f>_xlfn.XLOOKUP(B749,tblARV[ASN/DN '#],tblARV[Country],"Not found")</f>
        <v>Uganda</v>
      </c>
      <c r="H749" s="19" t="str">
        <f>_xlfn.XLOOKUP($B749,tblARV[ASN/DN '#],tblARV[Fulfill Via],"Not found")</f>
        <v>From RDC</v>
      </c>
      <c r="I749" s="19" t="str">
        <f>_xlfn.XLOOKUP($B749,tblARV[ASN/DN '#],tblARV[Vendor],"Not found")</f>
        <v>SCMS from RDC</v>
      </c>
    </row>
    <row r="750" spans="2:9" ht="15">
      <c r="B750" s="7" t="s">
        <v>2473</v>
      </c>
      <c r="C750" s="10">
        <v>40877</v>
      </c>
      <c r="D750" s="10">
        <v>40858</v>
      </c>
      <c r="E750" s="18">
        <v>-19</v>
      </c>
      <c r="F750" s="13" t="str">
        <f t="shared" si="22"/>
        <v>On-time</v>
      </c>
      <c r="G750" s="19" t="str">
        <f>_xlfn.XLOOKUP(B750,tblARV[ASN/DN '#],tblARV[Country],"Not found")</f>
        <v>Kenya</v>
      </c>
      <c r="H750" s="19" t="str">
        <f>_xlfn.XLOOKUP($B750,tblARV[ASN/DN '#],tblARV[Fulfill Via],"Not found")</f>
        <v>From RDC</v>
      </c>
      <c r="I750" s="19" t="str">
        <f>_xlfn.XLOOKUP($B750,tblARV[ASN/DN '#],tblARV[Vendor],"Not found")</f>
        <v>SCMS from RDC</v>
      </c>
    </row>
    <row r="751" spans="2:9" ht="15">
      <c r="B751" s="7" t="s">
        <v>2733</v>
      </c>
      <c r="C751" s="10">
        <v>40882</v>
      </c>
      <c r="D751" s="10">
        <v>40867</v>
      </c>
      <c r="E751" s="18">
        <v>-15</v>
      </c>
      <c r="F751" s="13" t="str">
        <f t="shared" si="22"/>
        <v>On-time</v>
      </c>
      <c r="G751" s="19" t="str">
        <f>_xlfn.XLOOKUP(B751,tblARV[ASN/DN '#],tblARV[Country],"Not found")</f>
        <v>Rwanda</v>
      </c>
      <c r="H751" s="19" t="str">
        <f>_xlfn.XLOOKUP($B751,tblARV[ASN/DN '#],tblARV[Fulfill Via],"Not found")</f>
        <v>From RDC</v>
      </c>
      <c r="I751" s="19" t="str">
        <f>_xlfn.XLOOKUP($B751,tblARV[ASN/DN '#],tblARV[Vendor],"Not found")</f>
        <v>SCMS from RDC</v>
      </c>
    </row>
    <row r="752" spans="2:9" ht="15">
      <c r="B752" s="7" t="s">
        <v>1777</v>
      </c>
      <c r="C752" s="10">
        <v>40882</v>
      </c>
      <c r="D752" s="10">
        <v>40879</v>
      </c>
      <c r="E752" s="18">
        <v>-6</v>
      </c>
      <c r="F752" s="13" t="str">
        <f t="shared" si="22"/>
        <v>On-time</v>
      </c>
      <c r="G752" s="19" t="str">
        <f>_xlfn.XLOOKUP(B752,tblARV[ASN/DN '#],tblARV[Country],"Not found")</f>
        <v>Rwanda</v>
      </c>
      <c r="H752" s="19" t="str">
        <f>_xlfn.XLOOKUP($B752,tblARV[ASN/DN '#],tblARV[Fulfill Via],"Not found")</f>
        <v>From RDC</v>
      </c>
      <c r="I752" s="19" t="str">
        <f>_xlfn.XLOOKUP($B752,tblARV[ASN/DN '#],tblARV[Vendor],"Not found")</f>
        <v>SCMS from RDC</v>
      </c>
    </row>
    <row r="753" spans="2:9" ht="15">
      <c r="B753" s="7" t="s">
        <v>2203</v>
      </c>
      <c r="C753" s="10">
        <v>40918</v>
      </c>
      <c r="D753" s="10">
        <v>40899</v>
      </c>
      <c r="E753" s="18">
        <v>-19</v>
      </c>
      <c r="F753" s="13" t="str">
        <f t="shared" si="22"/>
        <v>On-time</v>
      </c>
      <c r="G753" s="19" t="str">
        <f>_xlfn.XLOOKUP(B753,tblARV[ASN/DN '#],tblARV[Country],"Not found")</f>
        <v>Tanzania</v>
      </c>
      <c r="H753" s="19" t="str">
        <f>_xlfn.XLOOKUP($B753,tblARV[ASN/DN '#],tblARV[Fulfill Via],"Not found")</f>
        <v>From RDC</v>
      </c>
      <c r="I753" s="19" t="str">
        <f>_xlfn.XLOOKUP($B753,tblARV[ASN/DN '#],tblARV[Vendor],"Not found")</f>
        <v>SCMS from RDC</v>
      </c>
    </row>
    <row r="754" spans="2:9" ht="15">
      <c r="B754" s="7" t="s">
        <v>2205</v>
      </c>
      <c r="C754" s="10">
        <v>40946</v>
      </c>
      <c r="D754" s="10">
        <v>40896</v>
      </c>
      <c r="E754" s="18">
        <v>-50</v>
      </c>
      <c r="F754" s="13" t="str">
        <f t="shared" si="22"/>
        <v>On-time</v>
      </c>
      <c r="G754" s="19" t="str">
        <f>_xlfn.XLOOKUP(B754,tblARV[ASN/DN '#],tblARV[Country],"Not found")</f>
        <v>Tanzania</v>
      </c>
      <c r="H754" s="19" t="str">
        <f>_xlfn.XLOOKUP($B754,tblARV[ASN/DN '#],tblARV[Fulfill Via],"Not found")</f>
        <v>From RDC</v>
      </c>
      <c r="I754" s="19" t="str">
        <f>_xlfn.XLOOKUP($B754,tblARV[ASN/DN '#],tblARV[Vendor],"Not found")</f>
        <v>SCMS from RDC</v>
      </c>
    </row>
    <row r="755" spans="2:9" ht="15">
      <c r="B755" s="7" t="s">
        <v>1563</v>
      </c>
      <c r="C755" s="10">
        <v>40938</v>
      </c>
      <c r="D755" s="10">
        <v>40899</v>
      </c>
      <c r="E755" s="18">
        <v>-78</v>
      </c>
      <c r="F755" s="13" t="str">
        <f t="shared" si="22"/>
        <v>On-time</v>
      </c>
      <c r="G755" s="19" t="str">
        <f>_xlfn.XLOOKUP(B755,tblARV[ASN/DN '#],tblARV[Country],"Not found")</f>
        <v>Tanzania</v>
      </c>
      <c r="H755" s="19" t="str">
        <f>_xlfn.XLOOKUP($B755,tblARV[ASN/DN '#],tblARV[Fulfill Via],"Not found")</f>
        <v>From RDC</v>
      </c>
      <c r="I755" s="19" t="str">
        <f>_xlfn.XLOOKUP($B755,tblARV[ASN/DN '#],tblARV[Vendor],"Not found")</f>
        <v>SCMS from RDC</v>
      </c>
    </row>
    <row r="756" spans="2:9" ht="15">
      <c r="B756" s="7" t="s">
        <v>2207</v>
      </c>
      <c r="C756" s="10">
        <v>40918</v>
      </c>
      <c r="D756" s="10">
        <v>40899</v>
      </c>
      <c r="E756" s="18">
        <v>-19</v>
      </c>
      <c r="F756" s="13" t="str">
        <f t="shared" si="22"/>
        <v>On-time</v>
      </c>
      <c r="G756" s="19" t="str">
        <f>_xlfn.XLOOKUP(B756,tblARV[ASN/DN '#],tblARV[Country],"Not found")</f>
        <v>Tanzania</v>
      </c>
      <c r="H756" s="19" t="str">
        <f>_xlfn.XLOOKUP($B756,tblARV[ASN/DN '#],tblARV[Fulfill Via],"Not found")</f>
        <v>From RDC</v>
      </c>
      <c r="I756" s="19" t="str">
        <f>_xlfn.XLOOKUP($B756,tblARV[ASN/DN '#],tblARV[Vendor],"Not found")</f>
        <v>SCMS from RDC</v>
      </c>
    </row>
    <row r="757" spans="2:9" ht="15">
      <c r="B757" s="7" t="s">
        <v>1566</v>
      </c>
      <c r="C757" s="10">
        <v>40939</v>
      </c>
      <c r="D757" s="10">
        <v>40899</v>
      </c>
      <c r="E757" s="18">
        <v>-40</v>
      </c>
      <c r="F757" s="13" t="str">
        <f t="shared" si="22"/>
        <v>On-time</v>
      </c>
      <c r="G757" s="19" t="str">
        <f>_xlfn.XLOOKUP(B757,tblARV[ASN/DN '#],tblARV[Country],"Not found")</f>
        <v>Tanzania</v>
      </c>
      <c r="H757" s="19" t="str">
        <f>_xlfn.XLOOKUP($B757,tblARV[ASN/DN '#],tblARV[Fulfill Via],"Not found")</f>
        <v>From RDC</v>
      </c>
      <c r="I757" s="19" t="str">
        <f>_xlfn.XLOOKUP($B757,tblARV[ASN/DN '#],tblARV[Vendor],"Not found")</f>
        <v>SCMS from RDC</v>
      </c>
    </row>
    <row r="758" spans="2:9" ht="15">
      <c r="B758" s="7" t="s">
        <v>381</v>
      </c>
      <c r="C758" s="10">
        <v>39307</v>
      </c>
      <c r="D758" s="10">
        <v>39307</v>
      </c>
      <c r="E758" s="18">
        <v>0</v>
      </c>
      <c r="F758" s="13" t="str">
        <f t="shared" si="22"/>
        <v>On-time</v>
      </c>
      <c r="G758" s="19" t="str">
        <f>_xlfn.XLOOKUP(B758,tblARV[ASN/DN '#],tblARV[Country],"Not found")</f>
        <v>Tanzania</v>
      </c>
      <c r="H758" s="19" t="str">
        <f>_xlfn.XLOOKUP($B758,tblARV[ASN/DN '#],tblARV[Fulfill Via],"Not found")</f>
        <v>From RDC</v>
      </c>
      <c r="I758" s="19" t="str">
        <f>_xlfn.XLOOKUP($B758,tblARV[ASN/DN '#],tblARV[Vendor],"Not found")</f>
        <v>SCMS from RDC</v>
      </c>
    </row>
    <row r="759" spans="2:9" ht="15">
      <c r="B759" s="7" t="s">
        <v>2000</v>
      </c>
      <c r="C759" s="10">
        <v>40949</v>
      </c>
      <c r="D759" s="10">
        <v>40927</v>
      </c>
      <c r="E759" s="18">
        <v>-22</v>
      </c>
      <c r="F759" s="13" t="str">
        <f t="shared" si="22"/>
        <v>On-time</v>
      </c>
      <c r="G759" s="19" t="str">
        <f>_xlfn.XLOOKUP(B759,tblARV[ASN/DN '#],tblARV[Country],"Not found")</f>
        <v>Uganda</v>
      </c>
      <c r="H759" s="19" t="str">
        <f>_xlfn.XLOOKUP($B759,tblARV[ASN/DN '#],tblARV[Fulfill Via],"Not found")</f>
        <v>From RDC</v>
      </c>
      <c r="I759" s="19" t="str">
        <f>_xlfn.XLOOKUP($B759,tblARV[ASN/DN '#],tblARV[Vendor],"Not found")</f>
        <v>SCMS from RDC</v>
      </c>
    </row>
    <row r="760" spans="2:9" ht="15">
      <c r="B760" s="7" t="s">
        <v>1779</v>
      </c>
      <c r="C760" s="10">
        <v>40939</v>
      </c>
      <c r="D760" s="10">
        <v>40927</v>
      </c>
      <c r="E760" s="18">
        <v>-36</v>
      </c>
      <c r="F760" s="13" t="str">
        <f t="shared" si="22"/>
        <v>On-time</v>
      </c>
      <c r="G760" s="19" t="str">
        <f>_xlfn.XLOOKUP(B760,tblARV[ASN/DN '#],tblARV[Country],"Not found")</f>
        <v>Uganda</v>
      </c>
      <c r="H760" s="19" t="str">
        <f>_xlfn.XLOOKUP($B760,tblARV[ASN/DN '#],tblARV[Fulfill Via],"Not found")</f>
        <v>From RDC</v>
      </c>
      <c r="I760" s="19" t="str">
        <f>_xlfn.XLOOKUP($B760,tblARV[ASN/DN '#],tblARV[Vendor],"Not found")</f>
        <v>SCMS from RDC</v>
      </c>
    </row>
    <row r="761" spans="2:9" ht="15">
      <c r="B761" s="7" t="s">
        <v>2002</v>
      </c>
      <c r="C761" s="10">
        <v>40931</v>
      </c>
      <c r="D761" s="10">
        <v>40931</v>
      </c>
      <c r="E761" s="18">
        <v>0</v>
      </c>
      <c r="F761" s="13" t="str">
        <f t="shared" si="22"/>
        <v>On-time</v>
      </c>
      <c r="G761" s="19" t="str">
        <f>_xlfn.XLOOKUP(B761,tblARV[ASN/DN '#],tblARV[Country],"Not found")</f>
        <v>Rwanda</v>
      </c>
      <c r="H761" s="19" t="str">
        <f>_xlfn.XLOOKUP($B761,tblARV[ASN/DN '#],tblARV[Fulfill Via],"Not found")</f>
        <v>From RDC</v>
      </c>
      <c r="I761" s="19" t="str">
        <f>_xlfn.XLOOKUP($B761,tblARV[ASN/DN '#],tblARV[Vendor],"Not found")</f>
        <v>SCMS from RDC</v>
      </c>
    </row>
    <row r="762" spans="2:9" ht="15">
      <c r="B762" s="7" t="s">
        <v>383</v>
      </c>
      <c r="C762" s="10">
        <v>39293</v>
      </c>
      <c r="D762" s="10">
        <v>39293</v>
      </c>
      <c r="E762" s="18">
        <v>0</v>
      </c>
      <c r="F762" s="13" t="str">
        <f t="shared" si="22"/>
        <v>On-time</v>
      </c>
      <c r="G762" s="19" t="str">
        <f>_xlfn.XLOOKUP(B762,tblARV[ASN/DN '#],tblARV[Country],"Not found")</f>
        <v>Tanzania</v>
      </c>
      <c r="H762" s="19" t="str">
        <f>_xlfn.XLOOKUP($B762,tblARV[ASN/DN '#],tblARV[Fulfill Via],"Not found")</f>
        <v>From RDC</v>
      </c>
      <c r="I762" s="19" t="str">
        <f>_xlfn.XLOOKUP($B762,tblARV[ASN/DN '#],tblARV[Vendor],"Not found")</f>
        <v>SCMS from RDC</v>
      </c>
    </row>
    <row r="763" spans="2:9" ht="15">
      <c r="B763" s="7" t="s">
        <v>1781</v>
      </c>
      <c r="C763" s="10">
        <v>40954</v>
      </c>
      <c r="D763" s="10">
        <v>40944</v>
      </c>
      <c r="E763" s="18">
        <v>-10</v>
      </c>
      <c r="F763" s="13" t="str">
        <f t="shared" si="22"/>
        <v>On-time</v>
      </c>
      <c r="G763" s="19" t="str">
        <f>_xlfn.XLOOKUP(B763,tblARV[ASN/DN '#],tblARV[Country],"Not found")</f>
        <v>Tanzania</v>
      </c>
      <c r="H763" s="19" t="str">
        <f>_xlfn.XLOOKUP($B763,tblARV[ASN/DN '#],tblARV[Fulfill Via],"Not found")</f>
        <v>From RDC</v>
      </c>
      <c r="I763" s="19" t="str">
        <f>_xlfn.XLOOKUP($B763,tblARV[ASN/DN '#],tblARV[Vendor],"Not found")</f>
        <v>SCMS from RDC</v>
      </c>
    </row>
    <row r="764" spans="2:9" ht="15">
      <c r="B764" s="7" t="s">
        <v>666</v>
      </c>
      <c r="C764" s="10">
        <v>39289</v>
      </c>
      <c r="D764" s="10">
        <v>39289</v>
      </c>
      <c r="E764" s="18">
        <v>0</v>
      </c>
      <c r="F764" s="13" t="str">
        <f t="shared" si="22"/>
        <v>On-time</v>
      </c>
      <c r="G764" s="19" t="str">
        <f>_xlfn.XLOOKUP(B764,tblARV[ASN/DN '#],tblARV[Country],"Not found")</f>
        <v>Rwanda</v>
      </c>
      <c r="H764" s="19" t="str">
        <f>_xlfn.XLOOKUP($B764,tblARV[ASN/DN '#],tblARV[Fulfill Via],"Not found")</f>
        <v>From RDC</v>
      </c>
      <c r="I764" s="19" t="str">
        <f>_xlfn.XLOOKUP($B764,tblARV[ASN/DN '#],tblARV[Vendor],"Not found")</f>
        <v>SCMS from RDC</v>
      </c>
    </row>
    <row r="765" spans="2:9" ht="15">
      <c r="B765" s="7" t="s">
        <v>1568</v>
      </c>
      <c r="C765" s="10">
        <v>40968</v>
      </c>
      <c r="D765" s="10">
        <v>40944</v>
      </c>
      <c r="E765" s="18">
        <v>-48</v>
      </c>
      <c r="F765" s="13" t="str">
        <f t="shared" si="22"/>
        <v>On-time</v>
      </c>
      <c r="G765" s="19" t="str">
        <f>_xlfn.XLOOKUP(B765,tblARV[ASN/DN '#],tblARV[Country],"Not found")</f>
        <v>Tanzania</v>
      </c>
      <c r="H765" s="19" t="str">
        <f>_xlfn.XLOOKUP($B765,tblARV[ASN/DN '#],tblARV[Fulfill Via],"Not found")</f>
        <v>From RDC</v>
      </c>
      <c r="I765" s="19" t="str">
        <f>_xlfn.XLOOKUP($B765,tblARV[ASN/DN '#],tblARV[Vendor],"Not found")</f>
        <v>SCMS from RDC</v>
      </c>
    </row>
    <row r="766" spans="2:9" ht="15">
      <c r="B766" s="7" t="s">
        <v>2353</v>
      </c>
      <c r="C766" s="10">
        <v>40980</v>
      </c>
      <c r="D766" s="10">
        <v>40980</v>
      </c>
      <c r="E766" s="18">
        <v>0</v>
      </c>
      <c r="F766" s="13" t="str">
        <f t="shared" si="22"/>
        <v>On-time</v>
      </c>
      <c r="G766" s="19" t="str">
        <f>_xlfn.XLOOKUP(B766,tblARV[ASN/DN '#],tblARV[Country],"Not found")</f>
        <v>Tanzania</v>
      </c>
      <c r="H766" s="19" t="str">
        <f>_xlfn.XLOOKUP($B766,tblARV[ASN/DN '#],tblARV[Fulfill Via],"Not found")</f>
        <v>From RDC</v>
      </c>
      <c r="I766" s="19" t="str">
        <f>_xlfn.XLOOKUP($B766,tblARV[ASN/DN '#],tblARV[Vendor],"Not found")</f>
        <v>SCMS from RDC</v>
      </c>
    </row>
    <row r="767" spans="2:9" ht="15">
      <c r="B767" s="7" t="s">
        <v>2735</v>
      </c>
      <c r="C767" s="10">
        <v>40955</v>
      </c>
      <c r="D767" s="10">
        <v>40942</v>
      </c>
      <c r="E767" s="18">
        <v>-13</v>
      </c>
      <c r="F767" s="13" t="str">
        <f t="shared" si="22"/>
        <v>On-time</v>
      </c>
      <c r="G767" s="19" t="str">
        <f>_xlfn.XLOOKUP(B767,tblARV[ASN/DN '#],tblARV[Country],"Not found")</f>
        <v>Uganda</v>
      </c>
      <c r="H767" s="19" t="str">
        <f>_xlfn.XLOOKUP($B767,tblARV[ASN/DN '#],tblARV[Fulfill Via],"Not found")</f>
        <v>From RDC</v>
      </c>
      <c r="I767" s="19" t="str">
        <f>_xlfn.XLOOKUP($B767,tblARV[ASN/DN '#],tblARV[Vendor],"Not found")</f>
        <v>SCMS from RDC</v>
      </c>
    </row>
    <row r="768" spans="2:9" ht="15">
      <c r="B768" s="7" t="s">
        <v>434</v>
      </c>
      <c r="C768" s="10">
        <v>39158</v>
      </c>
      <c r="D768" s="10">
        <v>39158</v>
      </c>
      <c r="E768" s="18">
        <v>0</v>
      </c>
      <c r="F768" s="13" t="str">
        <f t="shared" si="22"/>
        <v>On-time</v>
      </c>
      <c r="G768" s="19" t="str">
        <f>_xlfn.XLOOKUP(B768,tblARV[ASN/DN '#],tblARV[Country],"Not found")</f>
        <v>Rwanda</v>
      </c>
      <c r="H768" s="19" t="str">
        <f>_xlfn.XLOOKUP($B768,tblARV[ASN/DN '#],tblARV[Fulfill Via],"Not found")</f>
        <v>From RDC</v>
      </c>
      <c r="I768" s="19" t="str">
        <f>_xlfn.XLOOKUP($B768,tblARV[ASN/DN '#],tblARV[Vendor],"Not found")</f>
        <v>SCMS from RDC</v>
      </c>
    </row>
    <row r="769" spans="2:9" ht="15">
      <c r="B769" s="7" t="s">
        <v>2607</v>
      </c>
      <c r="C769" s="10">
        <v>40998</v>
      </c>
      <c r="D769" s="10">
        <v>40980</v>
      </c>
      <c r="E769" s="18">
        <v>-18</v>
      </c>
      <c r="F769" s="13" t="str">
        <f t="shared" si="22"/>
        <v>On-time</v>
      </c>
      <c r="G769" s="19" t="str">
        <f>_xlfn.XLOOKUP(B769,tblARV[ASN/DN '#],tblARV[Country],"Not found")</f>
        <v>Tanzania</v>
      </c>
      <c r="H769" s="19" t="str">
        <f>_xlfn.XLOOKUP($B769,tblARV[ASN/DN '#],tblARV[Fulfill Via],"Not found")</f>
        <v>From RDC</v>
      </c>
      <c r="I769" s="19" t="str">
        <f>_xlfn.XLOOKUP($B769,tblARV[ASN/DN '#],tblARV[Vendor],"Not found")</f>
        <v>SCMS from RDC</v>
      </c>
    </row>
    <row r="770" spans="2:9" ht="15">
      <c r="B770" s="7" t="s">
        <v>1783</v>
      </c>
      <c r="C770" s="10">
        <v>40998</v>
      </c>
      <c r="D770" s="10">
        <v>40980</v>
      </c>
      <c r="E770" s="18">
        <v>-18</v>
      </c>
      <c r="F770" s="13" t="str">
        <f t="shared" si="22"/>
        <v>On-time</v>
      </c>
      <c r="G770" s="19" t="str">
        <f>_xlfn.XLOOKUP(B770,tblARV[ASN/DN '#],tblARV[Country],"Not found")</f>
        <v>Tanzania</v>
      </c>
      <c r="H770" s="19" t="str">
        <f>_xlfn.XLOOKUP($B770,tblARV[ASN/DN '#],tblARV[Fulfill Via],"Not found")</f>
        <v>From RDC</v>
      </c>
      <c r="I770" s="19" t="str">
        <f>_xlfn.XLOOKUP($B770,tblARV[ASN/DN '#],tblARV[Vendor],"Not found")</f>
        <v>SCMS from RDC</v>
      </c>
    </row>
    <row r="771" spans="2:9" ht="15">
      <c r="B771" s="7" t="s">
        <v>2475</v>
      </c>
      <c r="C771" s="10">
        <v>40998</v>
      </c>
      <c r="D771" s="10">
        <v>40980</v>
      </c>
      <c r="E771" s="18">
        <v>-18</v>
      </c>
      <c r="F771" s="13" t="str">
        <f t="shared" si="22"/>
        <v>On-time</v>
      </c>
      <c r="G771" s="19" t="str">
        <f>_xlfn.XLOOKUP(B771,tblARV[ASN/DN '#],tblARV[Country],"Not found")</f>
        <v>Tanzania</v>
      </c>
      <c r="H771" s="19" t="str">
        <f>_xlfn.XLOOKUP($B771,tblARV[ASN/DN '#],tblARV[Fulfill Via],"Not found")</f>
        <v>From RDC</v>
      </c>
      <c r="I771" s="19" t="str">
        <f>_xlfn.XLOOKUP($B771,tblARV[ASN/DN '#],tblARV[Vendor],"Not found")</f>
        <v>SCMS from RDC</v>
      </c>
    </row>
    <row r="772" spans="2:9" ht="15">
      <c r="B772" s="7" t="s">
        <v>1570</v>
      </c>
      <c r="C772" s="10">
        <v>40983</v>
      </c>
      <c r="D772" s="10">
        <v>40980</v>
      </c>
      <c r="E772" s="18">
        <v>-3</v>
      </c>
      <c r="F772" s="13" t="str">
        <f t="shared" si="22"/>
        <v>On-time</v>
      </c>
      <c r="G772" s="19" t="str">
        <f>_xlfn.XLOOKUP(B772,tblARV[ASN/DN '#],tblARV[Country],"Not found")</f>
        <v>Tanzania</v>
      </c>
      <c r="H772" s="19" t="str">
        <f>_xlfn.XLOOKUP($B772,tblARV[ASN/DN '#],tblARV[Fulfill Via],"Not found")</f>
        <v>From RDC</v>
      </c>
      <c r="I772" s="19" t="str">
        <f>_xlfn.XLOOKUP($B772,tblARV[ASN/DN '#],tblARV[Vendor],"Not found")</f>
        <v>SCMS from RDC</v>
      </c>
    </row>
    <row r="773" spans="2:9" ht="15">
      <c r="B773" s="7" t="s">
        <v>1785</v>
      </c>
      <c r="C773" s="10">
        <v>40991</v>
      </c>
      <c r="D773" s="10">
        <v>40980</v>
      </c>
      <c r="E773" s="18">
        <v>-11</v>
      </c>
      <c r="F773" s="13" t="str">
        <f t="shared" si="22"/>
        <v>On-time</v>
      </c>
      <c r="G773" s="19" t="str">
        <f>_xlfn.XLOOKUP(B773,tblARV[ASN/DN '#],tblARV[Country],"Not found")</f>
        <v>Tanzania</v>
      </c>
      <c r="H773" s="19" t="str">
        <f>_xlfn.XLOOKUP($B773,tblARV[ASN/DN '#],tblARV[Fulfill Via],"Not found")</f>
        <v>From RDC</v>
      </c>
      <c r="I773" s="19" t="str">
        <f>_xlfn.XLOOKUP($B773,tblARV[ASN/DN '#],tblARV[Vendor],"Not found")</f>
        <v>SCMS from RDC</v>
      </c>
    </row>
    <row r="774" spans="2:9" ht="15">
      <c r="B774" s="7" t="s">
        <v>1787</v>
      </c>
      <c r="C774" s="10">
        <v>40991</v>
      </c>
      <c r="D774" s="10">
        <v>40980</v>
      </c>
      <c r="E774" s="18">
        <v>-11</v>
      </c>
      <c r="F774" s="13" t="str">
        <f t="shared" si="22"/>
        <v>On-time</v>
      </c>
      <c r="G774" s="19" t="str">
        <f>_xlfn.XLOOKUP(B774,tblARV[ASN/DN '#],tblARV[Country],"Not found")</f>
        <v>Tanzania</v>
      </c>
      <c r="H774" s="19" t="str">
        <f>_xlfn.XLOOKUP($B774,tblARV[ASN/DN '#],tblARV[Fulfill Via],"Not found")</f>
        <v>From RDC</v>
      </c>
      <c r="I774" s="19" t="str">
        <f>_xlfn.XLOOKUP($B774,tblARV[ASN/DN '#],tblARV[Vendor],"Not found")</f>
        <v>SCMS from RDC</v>
      </c>
    </row>
    <row r="775" spans="2:9" ht="15">
      <c r="B775" s="7" t="s">
        <v>2737</v>
      </c>
      <c r="C775" s="10">
        <v>40998</v>
      </c>
      <c r="D775" s="10">
        <v>40953</v>
      </c>
      <c r="E775" s="18">
        <v>-45</v>
      </c>
      <c r="F775" s="13" t="str">
        <f t="shared" si="22"/>
        <v>On-time</v>
      </c>
      <c r="G775" s="19" t="str">
        <f>_xlfn.XLOOKUP(B775,tblARV[ASN/DN '#],tblARV[Country],"Not found")</f>
        <v>Tanzania</v>
      </c>
      <c r="H775" s="19" t="str">
        <f>_xlfn.XLOOKUP($B775,tblARV[ASN/DN '#],tblARV[Fulfill Via],"Not found")</f>
        <v>From RDC</v>
      </c>
      <c r="I775" s="19" t="str">
        <f>_xlfn.XLOOKUP($B775,tblARV[ASN/DN '#],tblARV[Vendor],"Not found")</f>
        <v>SCMS from RDC</v>
      </c>
    </row>
    <row r="776" spans="2:9" ht="15">
      <c r="B776" s="7" t="s">
        <v>2209</v>
      </c>
      <c r="C776" s="10">
        <v>40998</v>
      </c>
      <c r="D776" s="10">
        <v>40980</v>
      </c>
      <c r="E776" s="18">
        <v>-36</v>
      </c>
      <c r="F776" s="13" t="str">
        <f t="shared" si="22"/>
        <v>On-time</v>
      </c>
      <c r="G776" s="19" t="str">
        <f>_xlfn.XLOOKUP(B776,tblARV[ASN/DN '#],tblARV[Country],"Not found")</f>
        <v>Tanzania</v>
      </c>
      <c r="H776" s="19" t="str">
        <f>_xlfn.XLOOKUP($B776,tblARV[ASN/DN '#],tblARV[Fulfill Via],"Not found")</f>
        <v>From RDC</v>
      </c>
      <c r="I776" s="19" t="str">
        <f>_xlfn.XLOOKUP($B776,tblARV[ASN/DN '#],tblARV[Vendor],"Not found")</f>
        <v>SCMS from RDC</v>
      </c>
    </row>
    <row r="777" spans="2:9" ht="15">
      <c r="B777" s="7" t="s">
        <v>2211</v>
      </c>
      <c r="C777" s="10">
        <v>40977</v>
      </c>
      <c r="D777" s="10">
        <v>40954</v>
      </c>
      <c r="E777" s="18">
        <v>-23</v>
      </c>
      <c r="F777" s="13" t="str">
        <f t="shared" si="22"/>
        <v>On-time</v>
      </c>
      <c r="G777" s="19" t="str">
        <f>_xlfn.XLOOKUP(B777,tblARV[ASN/DN '#],tblARV[Country],"Not found")</f>
        <v>Uganda</v>
      </c>
      <c r="H777" s="19" t="str">
        <f>_xlfn.XLOOKUP($B777,tblARV[ASN/DN '#],tblARV[Fulfill Via],"Not found")</f>
        <v>From RDC</v>
      </c>
      <c r="I777" s="19" t="str">
        <f>_xlfn.XLOOKUP($B777,tblARV[ASN/DN '#],tblARV[Vendor],"Not found")</f>
        <v>SCMS from RDC</v>
      </c>
    </row>
    <row r="778" spans="2:9" ht="15">
      <c r="B778" s="7" t="s">
        <v>2739</v>
      </c>
      <c r="C778" s="10">
        <v>40987</v>
      </c>
      <c r="D778" s="10">
        <v>40954</v>
      </c>
      <c r="E778" s="18">
        <v>-33</v>
      </c>
      <c r="F778" s="13" t="str">
        <f t="shared" si="22"/>
        <v>On-time</v>
      </c>
      <c r="G778" s="19" t="str">
        <f>_xlfn.XLOOKUP(B778,tblARV[ASN/DN '#],tblARV[Country],"Not found")</f>
        <v>Uganda</v>
      </c>
      <c r="H778" s="19" t="str">
        <f>_xlfn.XLOOKUP($B778,tblARV[ASN/DN '#],tblARV[Fulfill Via],"Not found")</f>
        <v>From RDC</v>
      </c>
      <c r="I778" s="19" t="str">
        <f>_xlfn.XLOOKUP($B778,tblARV[ASN/DN '#],tblARV[Vendor],"Not found")</f>
        <v>SCMS from RDC</v>
      </c>
    </row>
    <row r="779" spans="2:9" ht="15">
      <c r="B779" s="7" t="s">
        <v>2355</v>
      </c>
      <c r="C779" s="10">
        <v>40998</v>
      </c>
      <c r="D779" s="10">
        <v>40956</v>
      </c>
      <c r="E779" s="18">
        <v>-42</v>
      </c>
      <c r="F779" s="13" t="str">
        <f t="shared" si="22"/>
        <v>On-time</v>
      </c>
      <c r="G779" s="19" t="str">
        <f>_xlfn.XLOOKUP(B779,tblARV[ASN/DN '#],tblARV[Country],"Not found")</f>
        <v>Uganda</v>
      </c>
      <c r="H779" s="19" t="str">
        <f>_xlfn.XLOOKUP($B779,tblARV[ASN/DN '#],tblARV[Fulfill Via],"Not found")</f>
        <v>From RDC</v>
      </c>
      <c r="I779" s="19" t="str">
        <f>_xlfn.XLOOKUP($B779,tblARV[ASN/DN '#],tblARV[Vendor],"Not found")</f>
        <v>SCMS from RDC</v>
      </c>
    </row>
    <row r="780" spans="2:9" ht="15">
      <c r="B780" s="7" t="s">
        <v>1572</v>
      </c>
      <c r="C780" s="10">
        <v>40983</v>
      </c>
      <c r="D780" s="10">
        <v>40980</v>
      </c>
      <c r="E780" s="18">
        <v>-3</v>
      </c>
      <c r="F780" s="13" t="str">
        <f t="shared" si="22"/>
        <v>On-time</v>
      </c>
      <c r="G780" s="19" t="str">
        <f>_xlfn.XLOOKUP(B780,tblARV[ASN/DN '#],tblARV[Country],"Not found")</f>
        <v>Tanzania</v>
      </c>
      <c r="H780" s="19" t="str">
        <f>_xlfn.XLOOKUP($B780,tblARV[ASN/DN '#],tblARV[Fulfill Via],"Not found")</f>
        <v>From RDC</v>
      </c>
      <c r="I780" s="19" t="str">
        <f>_xlfn.XLOOKUP($B780,tblARV[ASN/DN '#],tblARV[Vendor],"Not found")</f>
        <v>SCMS from RDC</v>
      </c>
    </row>
    <row r="781" spans="2:9" ht="15">
      <c r="B781" s="7" t="s">
        <v>1574</v>
      </c>
      <c r="C781" s="10">
        <v>41005</v>
      </c>
      <c r="D781" s="10">
        <v>40953</v>
      </c>
      <c r="E781" s="18">
        <v>-104</v>
      </c>
      <c r="F781" s="13" t="str">
        <f t="shared" si="22"/>
        <v>On-time</v>
      </c>
      <c r="G781" s="19" t="str">
        <f>_xlfn.XLOOKUP(B781,tblARV[ASN/DN '#],tblARV[Country],"Not found")</f>
        <v>Tanzania</v>
      </c>
      <c r="H781" s="19" t="str">
        <f>_xlfn.XLOOKUP($B781,tblARV[ASN/DN '#],tblARV[Fulfill Via],"Not found")</f>
        <v>From RDC</v>
      </c>
      <c r="I781" s="19" t="str">
        <f>_xlfn.XLOOKUP($B781,tblARV[ASN/DN '#],tblARV[Vendor],"Not found")</f>
        <v>SCMS from RDC</v>
      </c>
    </row>
    <row r="782" spans="2:9" ht="15">
      <c r="B782" s="7" t="s">
        <v>2609</v>
      </c>
      <c r="C782" s="10">
        <v>40998</v>
      </c>
      <c r="D782" s="10">
        <v>40966</v>
      </c>
      <c r="E782" s="18">
        <v>-32</v>
      </c>
      <c r="F782" s="13" t="str">
        <f t="shared" si="22"/>
        <v>On-time</v>
      </c>
      <c r="G782" s="19" t="str">
        <f>_xlfn.XLOOKUP(B782,tblARV[ASN/DN '#],tblARV[Country],"Not found")</f>
        <v>Uganda</v>
      </c>
      <c r="H782" s="19" t="str">
        <f>_xlfn.XLOOKUP($B782,tblARV[ASN/DN '#],tblARV[Fulfill Via],"Not found")</f>
        <v>From RDC</v>
      </c>
      <c r="I782" s="19" t="str">
        <f>_xlfn.XLOOKUP($B782,tblARV[ASN/DN '#],tblARV[Vendor],"Not found")</f>
        <v>SCMS from RDC</v>
      </c>
    </row>
    <row r="783" spans="2:9" ht="15">
      <c r="B783" s="7" t="s">
        <v>2477</v>
      </c>
      <c r="C783" s="10">
        <v>41010</v>
      </c>
      <c r="D783" s="10">
        <v>41010</v>
      </c>
      <c r="E783" s="18">
        <v>0</v>
      </c>
      <c r="F783" s="13" t="str">
        <f t="shared" si="22"/>
        <v>On-time</v>
      </c>
      <c r="G783" s="19" t="str">
        <f>_xlfn.XLOOKUP(B783,tblARV[ASN/DN '#],tblARV[Country],"Not found")</f>
        <v>Tanzania</v>
      </c>
      <c r="H783" s="19" t="str">
        <f>_xlfn.XLOOKUP($B783,tblARV[ASN/DN '#],tblARV[Fulfill Via],"Not found")</f>
        <v>From RDC</v>
      </c>
      <c r="I783" s="19" t="str">
        <f>_xlfn.XLOOKUP($B783,tblARV[ASN/DN '#],tblARV[Vendor],"Not found")</f>
        <v>SCMS from RDC</v>
      </c>
    </row>
    <row r="784" spans="2:9" ht="15">
      <c r="B784" s="7" t="s">
        <v>2357</v>
      </c>
      <c r="C784" s="10">
        <v>41010</v>
      </c>
      <c r="D784" s="10">
        <v>41010</v>
      </c>
      <c r="E784" s="18">
        <v>0</v>
      </c>
      <c r="F784" s="13" t="str">
        <f t="shared" si="22"/>
        <v>On-time</v>
      </c>
      <c r="G784" s="19" t="str">
        <f>_xlfn.XLOOKUP(B784,tblARV[ASN/DN '#],tblARV[Country],"Not found")</f>
        <v>Tanzania</v>
      </c>
      <c r="H784" s="19" t="str">
        <f>_xlfn.XLOOKUP($B784,tblARV[ASN/DN '#],tblARV[Fulfill Via],"Not found")</f>
        <v>From RDC</v>
      </c>
      <c r="I784" s="19" t="str">
        <f>_xlfn.XLOOKUP($B784,tblARV[ASN/DN '#],tblARV[Vendor],"Not found")</f>
        <v>SCMS from RDC</v>
      </c>
    </row>
    <row r="785" spans="2:9" ht="15">
      <c r="B785" s="7" t="s">
        <v>2213</v>
      </c>
      <c r="C785" s="10">
        <v>41010</v>
      </c>
      <c r="D785" s="10">
        <v>41010</v>
      </c>
      <c r="E785" s="18">
        <v>0</v>
      </c>
      <c r="F785" s="13" t="str">
        <f t="shared" si="22"/>
        <v>On-time</v>
      </c>
      <c r="G785" s="19" t="str">
        <f>_xlfn.XLOOKUP(B785,tblARV[ASN/DN '#],tblARV[Country],"Not found")</f>
        <v>Tanzania</v>
      </c>
      <c r="H785" s="19" t="str">
        <f>_xlfn.XLOOKUP($B785,tblARV[ASN/DN '#],tblARV[Fulfill Via],"Not found")</f>
        <v>From RDC</v>
      </c>
      <c r="I785" s="19" t="str">
        <f>_xlfn.XLOOKUP($B785,tblARV[ASN/DN '#],tblARV[Vendor],"Not found")</f>
        <v>SCMS from RDC</v>
      </c>
    </row>
    <row r="786" spans="2:9" ht="15">
      <c r="B786" s="7" t="s">
        <v>2215</v>
      </c>
      <c r="C786" s="10">
        <v>40998</v>
      </c>
      <c r="D786" s="10">
        <v>40980</v>
      </c>
      <c r="E786" s="18">
        <v>-18</v>
      </c>
      <c r="F786" s="13" t="str">
        <f t="shared" si="22"/>
        <v>On-time</v>
      </c>
      <c r="G786" s="19" t="str">
        <f>_xlfn.XLOOKUP(B786,tblARV[ASN/DN '#],tblARV[Country],"Not found")</f>
        <v>Tanzania</v>
      </c>
      <c r="H786" s="19" t="str">
        <f>_xlfn.XLOOKUP($B786,tblARV[ASN/DN '#],tblARV[Fulfill Via],"Not found")</f>
        <v>From RDC</v>
      </c>
      <c r="I786" s="19" t="str">
        <f>_xlfn.XLOOKUP($B786,tblARV[ASN/DN '#],tblARV[Vendor],"Not found")</f>
        <v>SCMS from RDC</v>
      </c>
    </row>
    <row r="787" spans="2:9" ht="15">
      <c r="B787" s="7" t="s">
        <v>2611</v>
      </c>
      <c r="C787" s="10">
        <v>40998</v>
      </c>
      <c r="D787" s="10">
        <v>40977</v>
      </c>
      <c r="E787" s="18">
        <v>-21</v>
      </c>
      <c r="F787" s="13" t="str">
        <f t="shared" si="22"/>
        <v>On-time</v>
      </c>
      <c r="G787" s="19" t="str">
        <f>_xlfn.XLOOKUP(B787,tblARV[ASN/DN '#],tblARV[Country],"Not found")</f>
        <v>Uganda</v>
      </c>
      <c r="H787" s="19" t="str">
        <f>_xlfn.XLOOKUP($B787,tblARV[ASN/DN '#],tblARV[Fulfill Via],"Not found")</f>
        <v>From RDC</v>
      </c>
      <c r="I787" s="19" t="str">
        <f>_xlfn.XLOOKUP($B787,tblARV[ASN/DN '#],tblARV[Vendor],"Not found")</f>
        <v>SCMS from RDC</v>
      </c>
    </row>
    <row r="788" spans="2:9" ht="15">
      <c r="B788" s="7" t="s">
        <v>2823</v>
      </c>
      <c r="C788" s="10">
        <v>40989</v>
      </c>
      <c r="D788" s="10">
        <v>40976</v>
      </c>
      <c r="E788" s="18">
        <v>-65</v>
      </c>
      <c r="F788" s="13" t="str">
        <f t="shared" si="22"/>
        <v>On-time</v>
      </c>
      <c r="G788" s="19" t="str">
        <f>_xlfn.XLOOKUP(B788,tblARV[ASN/DN '#],tblARV[Country],"Not found")</f>
        <v>South Sudan</v>
      </c>
      <c r="H788" s="19" t="str">
        <f>_xlfn.XLOOKUP($B788,tblARV[ASN/DN '#],tblARV[Fulfill Via],"Not found")</f>
        <v>From RDC</v>
      </c>
      <c r="I788" s="19" t="str">
        <f>_xlfn.XLOOKUP($B788,tblARV[ASN/DN '#],tblARV[Vendor],"Not found")</f>
        <v>SCMS from RDC</v>
      </c>
    </row>
    <row r="789" spans="2:9" ht="15">
      <c r="B789" s="7" t="s">
        <v>2615</v>
      </c>
      <c r="C789" s="10">
        <v>40980</v>
      </c>
      <c r="D789" s="10">
        <v>40967</v>
      </c>
      <c r="E789" s="18">
        <v>-13</v>
      </c>
      <c r="F789" s="13" t="str">
        <f t="shared" ref="F789:F852" si="23">IF($E789&lt;=0,"On-time","Late")</f>
        <v>On-time</v>
      </c>
      <c r="G789" s="19" t="str">
        <f>_xlfn.XLOOKUP(B789,tblARV[ASN/DN '#],tblARV[Country],"Not found")</f>
        <v>Rwanda</v>
      </c>
      <c r="H789" s="19" t="str">
        <f>_xlfn.XLOOKUP($B789,tblARV[ASN/DN '#],tblARV[Fulfill Via],"Not found")</f>
        <v>From RDC</v>
      </c>
      <c r="I789" s="19" t="str">
        <f>_xlfn.XLOOKUP($B789,tblARV[ASN/DN '#],tblARV[Vendor],"Not found")</f>
        <v>SCMS from RDC</v>
      </c>
    </row>
    <row r="790" spans="2:9" ht="15">
      <c r="B790" s="7" t="s">
        <v>1789</v>
      </c>
      <c r="C790" s="10">
        <v>41033</v>
      </c>
      <c r="D790" s="10">
        <v>40981</v>
      </c>
      <c r="E790" s="18">
        <v>-52</v>
      </c>
      <c r="F790" s="13" t="str">
        <f t="shared" si="23"/>
        <v>On-time</v>
      </c>
      <c r="G790" s="19" t="str">
        <f>_xlfn.XLOOKUP(B790,tblARV[ASN/DN '#],tblARV[Country],"Not found")</f>
        <v>Tanzania</v>
      </c>
      <c r="H790" s="19" t="str">
        <f>_xlfn.XLOOKUP($B790,tblARV[ASN/DN '#],tblARV[Fulfill Via],"Not found")</f>
        <v>From RDC</v>
      </c>
      <c r="I790" s="19" t="str">
        <f>_xlfn.XLOOKUP($B790,tblARV[ASN/DN '#],tblARV[Vendor],"Not found")</f>
        <v>SCMS from RDC</v>
      </c>
    </row>
    <row r="791" spans="2:9" ht="15">
      <c r="B791" s="7" t="s">
        <v>1791</v>
      </c>
      <c r="C791" s="10">
        <v>41029</v>
      </c>
      <c r="D791" s="10">
        <v>41010</v>
      </c>
      <c r="E791" s="18">
        <v>-19</v>
      </c>
      <c r="F791" s="13" t="str">
        <f t="shared" si="23"/>
        <v>On-time</v>
      </c>
      <c r="G791" s="19" t="str">
        <f>_xlfn.XLOOKUP(B791,tblARV[ASN/DN '#],tblARV[Country],"Not found")</f>
        <v>Tanzania</v>
      </c>
      <c r="H791" s="19" t="str">
        <f>_xlfn.XLOOKUP($B791,tblARV[ASN/DN '#],tblARV[Fulfill Via],"Not found")</f>
        <v>From RDC</v>
      </c>
      <c r="I791" s="19" t="str">
        <f>_xlfn.XLOOKUP($B791,tblARV[ASN/DN '#],tblARV[Vendor],"Not found")</f>
        <v>SCMS from RDC</v>
      </c>
    </row>
    <row r="792" spans="2:9" ht="15">
      <c r="B792" s="7" t="s">
        <v>2617</v>
      </c>
      <c r="C792" s="10">
        <v>41037</v>
      </c>
      <c r="D792" s="10">
        <v>41010</v>
      </c>
      <c r="E792" s="18">
        <v>-27</v>
      </c>
      <c r="F792" s="13" t="str">
        <f t="shared" si="23"/>
        <v>On-time</v>
      </c>
      <c r="G792" s="19" t="str">
        <f>_xlfn.XLOOKUP(B792,tblARV[ASN/DN '#],tblARV[Country],"Not found")</f>
        <v>Tanzania</v>
      </c>
      <c r="H792" s="19" t="str">
        <f>_xlfn.XLOOKUP($B792,tblARV[ASN/DN '#],tblARV[Fulfill Via],"Not found")</f>
        <v>From RDC</v>
      </c>
      <c r="I792" s="19" t="str">
        <f>_xlfn.XLOOKUP($B792,tblARV[ASN/DN '#],tblARV[Vendor],"Not found")</f>
        <v>SCMS from RDC</v>
      </c>
    </row>
    <row r="793" spans="2:9" ht="15">
      <c r="B793" s="7" t="s">
        <v>2613</v>
      </c>
      <c r="C793" s="10">
        <v>41029</v>
      </c>
      <c r="D793" s="10">
        <v>41010</v>
      </c>
      <c r="E793" s="18">
        <v>-19</v>
      </c>
      <c r="F793" s="13" t="str">
        <f t="shared" si="23"/>
        <v>On-time</v>
      </c>
      <c r="G793" s="19" t="str">
        <f>_xlfn.XLOOKUP(B793,tblARV[ASN/DN '#],tblARV[Country],"Not found")</f>
        <v>Tanzania</v>
      </c>
      <c r="H793" s="19" t="str">
        <f>_xlfn.XLOOKUP($B793,tblARV[ASN/DN '#],tblARV[Fulfill Via],"Not found")</f>
        <v>From RDC</v>
      </c>
      <c r="I793" s="19" t="str">
        <f>_xlfn.XLOOKUP($B793,tblARV[ASN/DN '#],tblARV[Vendor],"Not found")</f>
        <v>SCMS from RDC</v>
      </c>
    </row>
    <row r="794" spans="2:9" ht="15">
      <c r="B794" s="7" t="s">
        <v>1793</v>
      </c>
      <c r="C794" s="10">
        <v>41025</v>
      </c>
      <c r="D794" s="10">
        <v>41033</v>
      </c>
      <c r="E794" s="18">
        <v>64</v>
      </c>
      <c r="F794" s="13" t="str">
        <f t="shared" si="23"/>
        <v>Late</v>
      </c>
      <c r="G794" s="19" t="str">
        <f>_xlfn.XLOOKUP(B794,tblARV[ASN/DN '#],tblARV[Country],"Not found")</f>
        <v>Burundi</v>
      </c>
      <c r="H794" s="19" t="str">
        <f>_xlfn.XLOOKUP($B794,tblARV[ASN/DN '#],tblARV[Fulfill Via],"Not found")</f>
        <v>From RDC</v>
      </c>
      <c r="I794" s="19" t="str">
        <f>_xlfn.XLOOKUP($B794,tblARV[ASN/DN '#],tblARV[Vendor],"Not found")</f>
        <v>SCMS from RDC</v>
      </c>
    </row>
    <row r="795" spans="2:9" ht="15">
      <c r="B795" s="7" t="s">
        <v>2004</v>
      </c>
      <c r="C795" s="10">
        <v>41025</v>
      </c>
      <c r="D795" s="10">
        <v>41008</v>
      </c>
      <c r="E795" s="18">
        <v>-51</v>
      </c>
      <c r="F795" s="13" t="str">
        <f t="shared" si="23"/>
        <v>On-time</v>
      </c>
      <c r="G795" s="19" t="str">
        <f>_xlfn.XLOOKUP(B795,tblARV[ASN/DN '#],tblARV[Country],"Not found")</f>
        <v>Burundi</v>
      </c>
      <c r="H795" s="19" t="str">
        <f>_xlfn.XLOOKUP($B795,tblARV[ASN/DN '#],tblARV[Fulfill Via],"Not found")</f>
        <v>From RDC</v>
      </c>
      <c r="I795" s="19" t="str">
        <f>_xlfn.XLOOKUP($B795,tblARV[ASN/DN '#],tblARV[Vendor],"Not found")</f>
        <v>SCMS from RDC</v>
      </c>
    </row>
    <row r="796" spans="2:9" ht="15">
      <c r="B796" s="7" t="s">
        <v>2741</v>
      </c>
      <c r="C796" s="10">
        <v>41023</v>
      </c>
      <c r="D796" s="10">
        <v>41002</v>
      </c>
      <c r="E796" s="18">
        <v>-21</v>
      </c>
      <c r="F796" s="13" t="str">
        <f t="shared" si="23"/>
        <v>On-time</v>
      </c>
      <c r="G796" s="19" t="str">
        <f>_xlfn.XLOOKUP(B796,tblARV[ASN/DN '#],tblARV[Country],"Not found")</f>
        <v>Uganda</v>
      </c>
      <c r="H796" s="19" t="str">
        <f>_xlfn.XLOOKUP($B796,tblARV[ASN/DN '#],tblARV[Fulfill Via],"Not found")</f>
        <v>From RDC</v>
      </c>
      <c r="I796" s="19" t="str">
        <f>_xlfn.XLOOKUP($B796,tblARV[ASN/DN '#],tblARV[Vendor],"Not found")</f>
        <v>SCMS from RDC</v>
      </c>
    </row>
    <row r="797" spans="2:9" ht="15">
      <c r="B797" s="7" t="s">
        <v>1576</v>
      </c>
      <c r="C797" s="10">
        <v>41023</v>
      </c>
      <c r="D797" s="10">
        <v>40966</v>
      </c>
      <c r="E797" s="18">
        <v>-228</v>
      </c>
      <c r="F797" s="13" t="str">
        <f t="shared" si="23"/>
        <v>On-time</v>
      </c>
      <c r="G797" s="19" t="str">
        <f>_xlfn.XLOOKUP(B797,tblARV[ASN/DN '#],tblARV[Country],"Not found")</f>
        <v>Uganda</v>
      </c>
      <c r="H797" s="19" t="str">
        <f>_xlfn.XLOOKUP($B797,tblARV[ASN/DN '#],tblARV[Fulfill Via],"Not found")</f>
        <v>From RDC</v>
      </c>
      <c r="I797" s="19" t="str">
        <f>_xlfn.XLOOKUP($B797,tblARV[ASN/DN '#],tblARV[Vendor],"Not found")</f>
        <v>SCMS from RDC</v>
      </c>
    </row>
    <row r="798" spans="2:9" ht="15">
      <c r="B798" s="7" t="s">
        <v>1578</v>
      </c>
      <c r="C798" s="10">
        <v>41033</v>
      </c>
      <c r="D798" s="10">
        <v>41010</v>
      </c>
      <c r="E798" s="18">
        <v>-69</v>
      </c>
      <c r="F798" s="13" t="str">
        <f t="shared" si="23"/>
        <v>On-time</v>
      </c>
      <c r="G798" s="19" t="str">
        <f>_xlfn.XLOOKUP(B798,tblARV[ASN/DN '#],tblARV[Country],"Not found")</f>
        <v>Tanzania</v>
      </c>
      <c r="H798" s="19" t="str">
        <f>_xlfn.XLOOKUP($B798,tblARV[ASN/DN '#],tblARV[Fulfill Via],"Not found")</f>
        <v>From RDC</v>
      </c>
      <c r="I798" s="19" t="str">
        <f>_xlfn.XLOOKUP($B798,tblARV[ASN/DN '#],tblARV[Vendor],"Not found")</f>
        <v>SCMS from RDC</v>
      </c>
    </row>
    <row r="799" spans="2:9" ht="15">
      <c r="B799" s="7" t="s">
        <v>2359</v>
      </c>
      <c r="C799" s="10">
        <v>41015</v>
      </c>
      <c r="D799" s="10">
        <v>40995</v>
      </c>
      <c r="E799" s="18">
        <v>-20</v>
      </c>
      <c r="F799" s="13" t="str">
        <f t="shared" si="23"/>
        <v>On-time</v>
      </c>
      <c r="G799" s="19" t="str">
        <f>_xlfn.XLOOKUP(B799,tblARV[ASN/DN '#],tblARV[Country],"Not found")</f>
        <v>Uganda</v>
      </c>
      <c r="H799" s="19" t="str">
        <f>_xlfn.XLOOKUP($B799,tblARV[ASN/DN '#],tblARV[Fulfill Via],"Not found")</f>
        <v>From RDC</v>
      </c>
      <c r="I799" s="19" t="str">
        <f>_xlfn.XLOOKUP($B799,tblARV[ASN/DN '#],tblARV[Vendor],"Not found")</f>
        <v>SCMS from RDC</v>
      </c>
    </row>
    <row r="800" spans="2:9" ht="15">
      <c r="B800" s="7" t="s">
        <v>1795</v>
      </c>
      <c r="C800" s="10">
        <v>41032</v>
      </c>
      <c r="D800" s="10">
        <v>40995</v>
      </c>
      <c r="E800" s="18">
        <v>-111</v>
      </c>
      <c r="F800" s="13" t="str">
        <f t="shared" si="23"/>
        <v>On-time</v>
      </c>
      <c r="G800" s="19" t="str">
        <f>_xlfn.XLOOKUP(B800,tblARV[ASN/DN '#],tblARV[Country],"Not found")</f>
        <v>Uganda</v>
      </c>
      <c r="H800" s="19" t="str">
        <f>_xlfn.XLOOKUP($B800,tblARV[ASN/DN '#],tblARV[Fulfill Via],"Not found")</f>
        <v>From RDC</v>
      </c>
      <c r="I800" s="19" t="str">
        <f>_xlfn.XLOOKUP($B800,tblARV[ASN/DN '#],tblARV[Vendor],"Not found")</f>
        <v>SCMS from RDC</v>
      </c>
    </row>
    <row r="801" spans="2:9" ht="15">
      <c r="B801" s="7" t="s">
        <v>2006</v>
      </c>
      <c r="C801" s="10">
        <v>41045</v>
      </c>
      <c r="D801" s="10">
        <v>40995</v>
      </c>
      <c r="E801" s="18">
        <v>-150</v>
      </c>
      <c r="F801" s="13" t="str">
        <f t="shared" si="23"/>
        <v>On-time</v>
      </c>
      <c r="G801" s="19" t="str">
        <f>_xlfn.XLOOKUP(B801,tblARV[ASN/DN '#],tblARV[Country],"Not found")</f>
        <v>Uganda</v>
      </c>
      <c r="H801" s="19" t="str">
        <f>_xlfn.XLOOKUP($B801,tblARV[ASN/DN '#],tblARV[Fulfill Via],"Not found")</f>
        <v>From RDC</v>
      </c>
      <c r="I801" s="19" t="str">
        <f>_xlfn.XLOOKUP($B801,tblARV[ASN/DN '#],tblARV[Vendor],"Not found")</f>
        <v>SCMS from RDC</v>
      </c>
    </row>
    <row r="802" spans="2:9" ht="15">
      <c r="B802" s="7" t="s">
        <v>2361</v>
      </c>
      <c r="C802" s="10">
        <v>41081</v>
      </c>
      <c r="D802" s="10">
        <v>40995</v>
      </c>
      <c r="E802" s="18">
        <v>-86</v>
      </c>
      <c r="F802" s="13" t="str">
        <f t="shared" si="23"/>
        <v>On-time</v>
      </c>
      <c r="G802" s="19" t="str">
        <f>_xlfn.XLOOKUP(B802,tblARV[ASN/DN '#],tblARV[Country],"Not found")</f>
        <v>Uganda</v>
      </c>
      <c r="H802" s="19" t="str">
        <f>_xlfn.XLOOKUP($B802,tblARV[ASN/DN '#],tblARV[Fulfill Via],"Not found")</f>
        <v>From RDC</v>
      </c>
      <c r="I802" s="19" t="str">
        <f>_xlfn.XLOOKUP($B802,tblARV[ASN/DN '#],tblARV[Vendor],"Not found")</f>
        <v>SCMS from RDC</v>
      </c>
    </row>
    <row r="803" spans="2:9" ht="15">
      <c r="B803" s="7" t="s">
        <v>2217</v>
      </c>
      <c r="C803" s="10">
        <v>41008</v>
      </c>
      <c r="D803" s="10">
        <v>40997</v>
      </c>
      <c r="E803" s="18">
        <v>-11</v>
      </c>
      <c r="F803" s="13" t="str">
        <f t="shared" si="23"/>
        <v>On-time</v>
      </c>
      <c r="G803" s="19" t="str">
        <f>_xlfn.XLOOKUP(B803,tblARV[ASN/DN '#],tblARV[Country],"Not found")</f>
        <v>Rwanda</v>
      </c>
      <c r="H803" s="19" t="str">
        <f>_xlfn.XLOOKUP($B803,tblARV[ASN/DN '#],tblARV[Fulfill Via],"Not found")</f>
        <v>From RDC</v>
      </c>
      <c r="I803" s="19" t="str">
        <f>_xlfn.XLOOKUP($B803,tblARV[ASN/DN '#],tblARV[Vendor],"Not found")</f>
        <v>SCMS from RDC</v>
      </c>
    </row>
    <row r="804" spans="2:9" ht="15">
      <c r="B804" s="7" t="s">
        <v>2363</v>
      </c>
      <c r="C804" s="10">
        <v>41089</v>
      </c>
      <c r="D804" s="10">
        <v>41016</v>
      </c>
      <c r="E804" s="18">
        <v>-73</v>
      </c>
      <c r="F804" s="13" t="str">
        <f t="shared" si="23"/>
        <v>On-time</v>
      </c>
      <c r="G804" s="19" t="str">
        <f>_xlfn.XLOOKUP(B804,tblARV[ASN/DN '#],tblARV[Country],"Not found")</f>
        <v>Rwanda</v>
      </c>
      <c r="H804" s="19" t="str">
        <f>_xlfn.XLOOKUP($B804,tblARV[ASN/DN '#],tblARV[Fulfill Via],"Not found")</f>
        <v>From RDC</v>
      </c>
      <c r="I804" s="19" t="str">
        <f>_xlfn.XLOOKUP($B804,tblARV[ASN/DN '#],tblARV[Vendor],"Not found")</f>
        <v>SCMS from RDC</v>
      </c>
    </row>
    <row r="805" spans="2:9" ht="15">
      <c r="B805" s="7" t="s">
        <v>2219</v>
      </c>
      <c r="C805" s="10">
        <v>41089</v>
      </c>
      <c r="D805" s="10">
        <v>41025</v>
      </c>
      <c r="E805" s="18">
        <v>-64</v>
      </c>
      <c r="F805" s="13" t="str">
        <f t="shared" si="23"/>
        <v>On-time</v>
      </c>
      <c r="G805" s="19" t="str">
        <f>_xlfn.XLOOKUP(B805,tblARV[ASN/DN '#],tblARV[Country],"Not found")</f>
        <v>Rwanda</v>
      </c>
      <c r="H805" s="19" t="str">
        <f>_xlfn.XLOOKUP($B805,tblARV[ASN/DN '#],tblARV[Fulfill Via],"Not found")</f>
        <v>From RDC</v>
      </c>
      <c r="I805" s="19" t="str">
        <f>_xlfn.XLOOKUP($B805,tblARV[ASN/DN '#],tblARV[Vendor],"Not found")</f>
        <v>SCMS from RDC</v>
      </c>
    </row>
    <row r="806" spans="2:9" ht="15">
      <c r="B806" s="7" t="s">
        <v>2008</v>
      </c>
      <c r="C806" s="10">
        <v>41130</v>
      </c>
      <c r="D806" s="10">
        <v>41016</v>
      </c>
      <c r="E806" s="18">
        <v>-114</v>
      </c>
      <c r="F806" s="13" t="str">
        <f t="shared" si="23"/>
        <v>On-time</v>
      </c>
      <c r="G806" s="19" t="str">
        <f>_xlfn.XLOOKUP(B806,tblARV[ASN/DN '#],tblARV[Country],"Not found")</f>
        <v>Rwanda</v>
      </c>
      <c r="H806" s="19" t="str">
        <f>_xlfn.XLOOKUP($B806,tblARV[ASN/DN '#],tblARV[Fulfill Via],"Not found")</f>
        <v>From RDC</v>
      </c>
      <c r="I806" s="19" t="str">
        <f>_xlfn.XLOOKUP($B806,tblARV[ASN/DN '#],tblARV[Vendor],"Not found")</f>
        <v>SCMS from RDC</v>
      </c>
    </row>
    <row r="807" spans="2:9" ht="15">
      <c r="B807" s="7" t="s">
        <v>2743</v>
      </c>
      <c r="C807" s="10">
        <v>41025</v>
      </c>
      <c r="D807" s="10">
        <v>41007</v>
      </c>
      <c r="E807" s="18">
        <v>-18</v>
      </c>
      <c r="F807" s="13" t="str">
        <f t="shared" si="23"/>
        <v>On-time</v>
      </c>
      <c r="G807" s="19" t="str">
        <f>_xlfn.XLOOKUP(B807,tblARV[ASN/DN '#],tblARV[Country],"Not found")</f>
        <v>Rwanda</v>
      </c>
      <c r="H807" s="19" t="str">
        <f>_xlfn.XLOOKUP($B807,tblARV[ASN/DN '#],tblARV[Fulfill Via],"Not found")</f>
        <v>From RDC</v>
      </c>
      <c r="I807" s="19" t="str">
        <f>_xlfn.XLOOKUP($B807,tblARV[ASN/DN '#],tblARV[Vendor],"Not found")</f>
        <v>SCMS from RDC</v>
      </c>
    </row>
    <row r="808" spans="2:9" ht="15">
      <c r="B808" s="7" t="s">
        <v>567</v>
      </c>
      <c r="C808" s="10">
        <v>39300</v>
      </c>
      <c r="D808" s="10">
        <v>39300</v>
      </c>
      <c r="E808" s="18">
        <v>0</v>
      </c>
      <c r="F808" s="13" t="str">
        <f t="shared" si="23"/>
        <v>On-time</v>
      </c>
      <c r="G808" s="19" t="str">
        <f>_xlfn.XLOOKUP(B808,tblARV[ASN/DN '#],tblARV[Country],"Not found")</f>
        <v>Rwanda</v>
      </c>
      <c r="H808" s="19" t="str">
        <f>_xlfn.XLOOKUP($B808,tblARV[ASN/DN '#],tblARV[Fulfill Via],"Not found")</f>
        <v>From RDC</v>
      </c>
      <c r="I808" s="19" t="str">
        <f>_xlfn.XLOOKUP($B808,tblARV[ASN/DN '#],tblARV[Vendor],"Not found")</f>
        <v>SCMS from RDC</v>
      </c>
    </row>
    <row r="809" spans="2:9" ht="15">
      <c r="B809" s="7" t="s">
        <v>2010</v>
      </c>
      <c r="C809" s="10">
        <v>41060</v>
      </c>
      <c r="D809" s="10">
        <v>41045</v>
      </c>
      <c r="E809" s="18">
        <v>-15</v>
      </c>
      <c r="F809" s="13" t="str">
        <f t="shared" si="23"/>
        <v>On-time</v>
      </c>
      <c r="G809" s="19" t="str">
        <f>_xlfn.XLOOKUP(B809,tblARV[ASN/DN '#],tblARV[Country],"Not found")</f>
        <v>Tanzania</v>
      </c>
      <c r="H809" s="19" t="str">
        <f>_xlfn.XLOOKUP($B809,tblARV[ASN/DN '#],tblARV[Fulfill Via],"Not found")</f>
        <v>From RDC</v>
      </c>
      <c r="I809" s="19" t="str">
        <f>_xlfn.XLOOKUP($B809,tblARV[ASN/DN '#],tblARV[Vendor],"Not found")</f>
        <v>SCMS from RDC</v>
      </c>
    </row>
    <row r="810" spans="2:9" ht="15">
      <c r="B810" s="7" t="s">
        <v>2221</v>
      </c>
      <c r="C810" s="10">
        <v>41061</v>
      </c>
      <c r="D810" s="10">
        <v>41061</v>
      </c>
      <c r="E810" s="18">
        <v>0</v>
      </c>
      <c r="F810" s="13" t="str">
        <f t="shared" si="23"/>
        <v>On-time</v>
      </c>
      <c r="G810" s="19" t="str">
        <f>_xlfn.XLOOKUP(B810,tblARV[ASN/DN '#],tblARV[Country],"Not found")</f>
        <v>Tanzania</v>
      </c>
      <c r="H810" s="19" t="str">
        <f>_xlfn.XLOOKUP($B810,tblARV[ASN/DN '#],tblARV[Fulfill Via],"Not found")</f>
        <v>From RDC</v>
      </c>
      <c r="I810" s="19" t="str">
        <f>_xlfn.XLOOKUP($B810,tblARV[ASN/DN '#],tblARV[Vendor],"Not found")</f>
        <v>SCMS from RDC</v>
      </c>
    </row>
    <row r="811" spans="2:9" ht="15">
      <c r="B811" s="7" t="s">
        <v>2223</v>
      </c>
      <c r="C811" s="10">
        <v>41060</v>
      </c>
      <c r="D811" s="10">
        <v>41029</v>
      </c>
      <c r="E811" s="18">
        <v>-31</v>
      </c>
      <c r="F811" s="13" t="str">
        <f t="shared" si="23"/>
        <v>On-time</v>
      </c>
      <c r="G811" s="19" t="str">
        <f>_xlfn.XLOOKUP(B811,tblARV[ASN/DN '#],tblARV[Country],"Not found")</f>
        <v>Tanzania</v>
      </c>
      <c r="H811" s="19" t="str">
        <f>_xlfn.XLOOKUP($B811,tblARV[ASN/DN '#],tblARV[Fulfill Via],"Not found")</f>
        <v>From RDC</v>
      </c>
      <c r="I811" s="19" t="str">
        <f>_xlfn.XLOOKUP($B811,tblARV[ASN/DN '#],tblARV[Vendor],"Not found")</f>
        <v>SCMS from RDC</v>
      </c>
    </row>
    <row r="812" spans="2:9" ht="15">
      <c r="B812" s="7" t="s">
        <v>2012</v>
      </c>
      <c r="C812" s="10">
        <v>41025</v>
      </c>
      <c r="D812" s="10">
        <v>41033</v>
      </c>
      <c r="E812" s="18">
        <v>8</v>
      </c>
      <c r="F812" s="13" t="str">
        <f t="shared" si="23"/>
        <v>Late</v>
      </c>
      <c r="G812" s="19" t="str">
        <f>_xlfn.XLOOKUP(B812,tblARV[ASN/DN '#],tblARV[Country],"Not found")</f>
        <v>Burundi</v>
      </c>
      <c r="H812" s="19" t="str">
        <f>_xlfn.XLOOKUP($B812,tblARV[ASN/DN '#],tblARV[Fulfill Via],"Not found")</f>
        <v>From RDC</v>
      </c>
      <c r="I812" s="19" t="str">
        <f>_xlfn.XLOOKUP($B812,tblARV[ASN/DN '#],tblARV[Vendor],"Not found")</f>
        <v>SCMS from RDC</v>
      </c>
    </row>
    <row r="813" spans="2:9" ht="15">
      <c r="B813" s="7" t="s">
        <v>1580</v>
      </c>
      <c r="C813" s="10">
        <v>41025</v>
      </c>
      <c r="D813" s="10">
        <v>41029</v>
      </c>
      <c r="E813" s="18">
        <v>4</v>
      </c>
      <c r="F813" s="13" t="str">
        <f t="shared" si="23"/>
        <v>Late</v>
      </c>
      <c r="G813" s="19" t="str">
        <f>_xlfn.XLOOKUP(B813,tblARV[ASN/DN '#],tblARV[Country],"Not found")</f>
        <v>Burundi</v>
      </c>
      <c r="H813" s="19" t="str">
        <f>_xlfn.XLOOKUP($B813,tblARV[ASN/DN '#],tblARV[Fulfill Via],"Not found")</f>
        <v>From RDC</v>
      </c>
      <c r="I813" s="19" t="str">
        <f>_xlfn.XLOOKUP($B813,tblARV[ASN/DN '#],tblARV[Vendor],"Not found")</f>
        <v>SCMS from RDC</v>
      </c>
    </row>
    <row r="814" spans="2:9" ht="15">
      <c r="B814" s="7" t="s">
        <v>1583</v>
      </c>
      <c r="C814" s="10">
        <v>41093</v>
      </c>
      <c r="D814" s="10">
        <v>41047</v>
      </c>
      <c r="E814" s="18">
        <v>-184</v>
      </c>
      <c r="F814" s="13" t="str">
        <f t="shared" si="23"/>
        <v>On-time</v>
      </c>
      <c r="G814" s="19" t="str">
        <f>_xlfn.XLOOKUP(B814,tblARV[ASN/DN '#],tblARV[Country],"Not found")</f>
        <v>Uganda</v>
      </c>
      <c r="H814" s="19" t="str">
        <f>_xlfn.XLOOKUP($B814,tblARV[ASN/DN '#],tblARV[Fulfill Via],"Not found")</f>
        <v>From RDC</v>
      </c>
      <c r="I814" s="19" t="str">
        <f>_xlfn.XLOOKUP($B814,tblARV[ASN/DN '#],tblARV[Vendor],"Not found")</f>
        <v>SCMS from RDC</v>
      </c>
    </row>
    <row r="815" spans="2:9" ht="15">
      <c r="B815" s="7" t="s">
        <v>2365</v>
      </c>
      <c r="C815" s="10">
        <v>41089</v>
      </c>
      <c r="D815" s="10">
        <v>41044</v>
      </c>
      <c r="E815" s="18">
        <v>-45</v>
      </c>
      <c r="F815" s="13" t="str">
        <f t="shared" si="23"/>
        <v>On-time</v>
      </c>
      <c r="G815" s="19" t="str">
        <f>_xlfn.XLOOKUP(B815,tblARV[ASN/DN '#],tblARV[Country],"Not found")</f>
        <v>Rwanda</v>
      </c>
      <c r="H815" s="19" t="str">
        <f>_xlfn.XLOOKUP($B815,tblARV[ASN/DN '#],tblARV[Fulfill Via],"Not found")</f>
        <v>From RDC</v>
      </c>
      <c r="I815" s="19" t="str">
        <f>_xlfn.XLOOKUP($B815,tblARV[ASN/DN '#],tblARV[Vendor],"Not found")</f>
        <v>SCMS from RDC</v>
      </c>
    </row>
    <row r="816" spans="2:9" ht="15">
      <c r="B816" s="7" t="s">
        <v>1585</v>
      </c>
      <c r="C816" s="10">
        <v>41089</v>
      </c>
      <c r="D816" s="10">
        <v>41051</v>
      </c>
      <c r="E816" s="18">
        <v>-76</v>
      </c>
      <c r="F816" s="13" t="str">
        <f t="shared" si="23"/>
        <v>On-time</v>
      </c>
      <c r="G816" s="19" t="str">
        <f>_xlfn.XLOOKUP(B816,tblARV[ASN/DN '#],tblARV[Country],"Not found")</f>
        <v>Uganda</v>
      </c>
      <c r="H816" s="19" t="str">
        <f>_xlfn.XLOOKUP($B816,tblARV[ASN/DN '#],tblARV[Fulfill Via],"Not found")</f>
        <v>From RDC</v>
      </c>
      <c r="I816" s="19" t="str">
        <f>_xlfn.XLOOKUP($B816,tblARV[ASN/DN '#],tblARV[Vendor],"Not found")</f>
        <v>SCMS from RDC</v>
      </c>
    </row>
    <row r="817" spans="2:9" ht="15">
      <c r="B817" s="7" t="s">
        <v>2367</v>
      </c>
      <c r="C817" s="10">
        <v>41068</v>
      </c>
      <c r="D817" s="10">
        <v>41061</v>
      </c>
      <c r="E817" s="18">
        <v>-7</v>
      </c>
      <c r="F817" s="13" t="str">
        <f t="shared" si="23"/>
        <v>On-time</v>
      </c>
      <c r="G817" s="19" t="str">
        <f>_xlfn.XLOOKUP(B817,tblARV[ASN/DN '#],tblARV[Country],"Not found")</f>
        <v>Rwanda</v>
      </c>
      <c r="H817" s="19" t="str">
        <f>_xlfn.XLOOKUP($B817,tblARV[ASN/DN '#],tblARV[Fulfill Via],"Not found")</f>
        <v>From RDC</v>
      </c>
      <c r="I817" s="19" t="str">
        <f>_xlfn.XLOOKUP($B817,tblARV[ASN/DN '#],tblARV[Vendor],"Not found")</f>
        <v>SCMS from RDC</v>
      </c>
    </row>
    <row r="818" spans="2:9" ht="15">
      <c r="B818" s="7" t="s">
        <v>2745</v>
      </c>
      <c r="C818" s="10">
        <v>41145</v>
      </c>
      <c r="D818" s="10">
        <v>41064</v>
      </c>
      <c r="E818" s="18">
        <v>-81</v>
      </c>
      <c r="F818" s="13" t="str">
        <f t="shared" si="23"/>
        <v>On-time</v>
      </c>
      <c r="G818" s="19" t="str">
        <f>_xlfn.XLOOKUP(B818,tblARV[ASN/DN '#],tblARV[Country],"Not found")</f>
        <v>Rwanda</v>
      </c>
      <c r="H818" s="19" t="str">
        <f>_xlfn.XLOOKUP($B818,tblARV[ASN/DN '#],tblARV[Fulfill Via],"Not found")</f>
        <v>From RDC</v>
      </c>
      <c r="I818" s="19" t="str">
        <f>_xlfn.XLOOKUP($B818,tblARV[ASN/DN '#],tblARV[Vendor],"Not found")</f>
        <v>SCMS from RDC</v>
      </c>
    </row>
    <row r="819" spans="2:9" ht="15">
      <c r="B819" s="7" t="s">
        <v>2371</v>
      </c>
      <c r="C819" s="10">
        <v>41075</v>
      </c>
      <c r="D819" s="10">
        <v>41061</v>
      </c>
      <c r="E819" s="18">
        <v>-14</v>
      </c>
      <c r="F819" s="13" t="str">
        <f t="shared" si="23"/>
        <v>On-time</v>
      </c>
      <c r="G819" s="19" t="str">
        <f>_xlfn.XLOOKUP(B819,tblARV[ASN/DN '#],tblARV[Country],"Not found")</f>
        <v>Rwanda</v>
      </c>
      <c r="H819" s="19" t="str">
        <f>_xlfn.XLOOKUP($B819,tblARV[ASN/DN '#],tblARV[Fulfill Via],"Not found")</f>
        <v>From RDC</v>
      </c>
      <c r="I819" s="19" t="str">
        <f>_xlfn.XLOOKUP($B819,tblARV[ASN/DN '#],tblARV[Vendor],"Not found")</f>
        <v>SCMS from RDC</v>
      </c>
    </row>
    <row r="820" spans="2:9" ht="15">
      <c r="B820" s="7" t="s">
        <v>2369</v>
      </c>
      <c r="C820" s="10">
        <v>41089</v>
      </c>
      <c r="D820" s="10">
        <v>41061</v>
      </c>
      <c r="E820" s="18">
        <v>-28</v>
      </c>
      <c r="F820" s="13" t="str">
        <f t="shared" si="23"/>
        <v>On-time</v>
      </c>
      <c r="G820" s="19" t="str">
        <f>_xlfn.XLOOKUP(B820,tblARV[ASN/DN '#],tblARV[Country],"Not found")</f>
        <v>Rwanda</v>
      </c>
      <c r="H820" s="19" t="str">
        <f>_xlfn.XLOOKUP($B820,tblARV[ASN/DN '#],tblARV[Fulfill Via],"Not found")</f>
        <v>From RDC</v>
      </c>
      <c r="I820" s="19" t="str">
        <f>_xlfn.XLOOKUP($B820,tblARV[ASN/DN '#],tblARV[Vendor],"Not found")</f>
        <v>SCMS from RDC</v>
      </c>
    </row>
    <row r="821" spans="2:9" ht="15">
      <c r="B821" s="7" t="s">
        <v>1797</v>
      </c>
      <c r="C821" s="10">
        <v>41094</v>
      </c>
      <c r="D821" s="10">
        <v>41072</v>
      </c>
      <c r="E821" s="18">
        <v>-44</v>
      </c>
      <c r="F821" s="13" t="str">
        <f t="shared" si="23"/>
        <v>On-time</v>
      </c>
      <c r="G821" s="19" t="str">
        <f>_xlfn.XLOOKUP(B821,tblARV[ASN/DN '#],tblARV[Country],"Not found")</f>
        <v>Uganda</v>
      </c>
      <c r="H821" s="19" t="str">
        <f>_xlfn.XLOOKUP($B821,tblARV[ASN/DN '#],tblARV[Fulfill Via],"Not found")</f>
        <v>From RDC</v>
      </c>
      <c r="I821" s="19" t="str">
        <f>_xlfn.XLOOKUP($B821,tblARV[ASN/DN '#],tblARV[Vendor],"Not found")</f>
        <v>SCMS from RDC</v>
      </c>
    </row>
    <row r="822" spans="2:9" ht="15">
      <c r="B822" s="7" t="s">
        <v>2014</v>
      </c>
      <c r="C822" s="10">
        <v>41094</v>
      </c>
      <c r="D822" s="10">
        <v>41068</v>
      </c>
      <c r="E822" s="18">
        <v>-26</v>
      </c>
      <c r="F822" s="13" t="str">
        <f t="shared" si="23"/>
        <v>On-time</v>
      </c>
      <c r="G822" s="19" t="str">
        <f>_xlfn.XLOOKUP(B822,tblARV[ASN/DN '#],tblARV[Country],"Not found")</f>
        <v>Uganda</v>
      </c>
      <c r="H822" s="19" t="str">
        <f>_xlfn.XLOOKUP($B822,tblARV[ASN/DN '#],tblARV[Fulfill Via],"Not found")</f>
        <v>From RDC</v>
      </c>
      <c r="I822" s="19" t="str">
        <f>_xlfn.XLOOKUP($B822,tblARV[ASN/DN '#],tblARV[Vendor],"Not found")</f>
        <v>SCMS from RDC</v>
      </c>
    </row>
    <row r="823" spans="2:9" ht="15">
      <c r="B823" s="7" t="s">
        <v>1799</v>
      </c>
      <c r="C823" s="10">
        <v>41138</v>
      </c>
      <c r="D823" s="10">
        <v>41068</v>
      </c>
      <c r="E823" s="18">
        <v>-140</v>
      </c>
      <c r="F823" s="13" t="str">
        <f t="shared" si="23"/>
        <v>On-time</v>
      </c>
      <c r="G823" s="19" t="str">
        <f>_xlfn.XLOOKUP(B823,tblARV[ASN/DN '#],tblARV[Country],"Not found")</f>
        <v>Uganda</v>
      </c>
      <c r="H823" s="19" t="str">
        <f>_xlfn.XLOOKUP($B823,tblARV[ASN/DN '#],tblARV[Fulfill Via],"Not found")</f>
        <v>From RDC</v>
      </c>
      <c r="I823" s="19" t="str">
        <f>_xlfn.XLOOKUP($B823,tblARV[ASN/DN '#],tblARV[Vendor],"Not found")</f>
        <v>SCMS from RDC</v>
      </c>
    </row>
    <row r="824" spans="2:9" ht="15">
      <c r="B824" s="7" t="s">
        <v>1801</v>
      </c>
      <c r="C824" s="10">
        <v>41121</v>
      </c>
      <c r="D824" s="10">
        <v>41075</v>
      </c>
      <c r="E824" s="18">
        <v>-46</v>
      </c>
      <c r="F824" s="13" t="str">
        <f t="shared" si="23"/>
        <v>On-time</v>
      </c>
      <c r="G824" s="19" t="str">
        <f>_xlfn.XLOOKUP(B824,tblARV[ASN/DN '#],tblARV[Country],"Not found")</f>
        <v>Rwanda</v>
      </c>
      <c r="H824" s="19" t="str">
        <f>_xlfn.XLOOKUP($B824,tblARV[ASN/DN '#],tblARV[Fulfill Via],"Not found")</f>
        <v>From RDC</v>
      </c>
      <c r="I824" s="19" t="str">
        <f>_xlfn.XLOOKUP($B824,tblARV[ASN/DN '#],tblARV[Vendor],"Not found")</f>
        <v>SCMS from RDC</v>
      </c>
    </row>
    <row r="825" spans="2:9" ht="15">
      <c r="B825" s="7" t="s">
        <v>1803</v>
      </c>
      <c r="C825" s="10">
        <v>41110</v>
      </c>
      <c r="D825" s="10">
        <v>41103</v>
      </c>
      <c r="E825" s="18">
        <v>-7</v>
      </c>
      <c r="F825" s="13" t="str">
        <f t="shared" si="23"/>
        <v>On-time</v>
      </c>
      <c r="G825" s="19" t="str">
        <f>_xlfn.XLOOKUP(B825,tblARV[ASN/DN '#],tblARV[Country],"Not found")</f>
        <v>Uganda</v>
      </c>
      <c r="H825" s="19" t="str">
        <f>_xlfn.XLOOKUP($B825,tblARV[ASN/DN '#],tblARV[Fulfill Via],"Not found")</f>
        <v>From RDC</v>
      </c>
      <c r="I825" s="19" t="str">
        <f>_xlfn.XLOOKUP($B825,tblARV[ASN/DN '#],tblARV[Vendor],"Not found")</f>
        <v>SCMS from RDC</v>
      </c>
    </row>
    <row r="826" spans="2:9" ht="15">
      <c r="B826" s="7" t="s">
        <v>2747</v>
      </c>
      <c r="C826" s="10">
        <v>41128</v>
      </c>
      <c r="D826" s="10">
        <v>41115</v>
      </c>
      <c r="E826" s="18">
        <v>-13</v>
      </c>
      <c r="F826" s="13" t="str">
        <f t="shared" si="23"/>
        <v>On-time</v>
      </c>
      <c r="G826" s="19" t="str">
        <f>_xlfn.XLOOKUP(B826,tblARV[ASN/DN '#],tblARV[Country],"Not found")</f>
        <v>Tanzania</v>
      </c>
      <c r="H826" s="19" t="str">
        <f>_xlfn.XLOOKUP($B826,tblARV[ASN/DN '#],tblARV[Fulfill Via],"Not found")</f>
        <v>From RDC</v>
      </c>
      <c r="I826" s="19" t="str">
        <f>_xlfn.XLOOKUP($B826,tblARV[ASN/DN '#],tblARV[Vendor],"Not found")</f>
        <v>SCMS from RDC</v>
      </c>
    </row>
    <row r="827" spans="2:9" ht="15">
      <c r="B827" s="7" t="s">
        <v>2225</v>
      </c>
      <c r="C827" s="10">
        <v>41122</v>
      </c>
      <c r="D827" s="10">
        <v>41115</v>
      </c>
      <c r="E827" s="18">
        <v>-14</v>
      </c>
      <c r="F827" s="13" t="str">
        <f t="shared" si="23"/>
        <v>On-time</v>
      </c>
      <c r="G827" s="19" t="str">
        <f>_xlfn.XLOOKUP(B827,tblARV[ASN/DN '#],tblARV[Country],"Not found")</f>
        <v>Tanzania</v>
      </c>
      <c r="H827" s="19" t="str">
        <f>_xlfn.XLOOKUP($B827,tblARV[ASN/DN '#],tblARV[Fulfill Via],"Not found")</f>
        <v>From RDC</v>
      </c>
      <c r="I827" s="19" t="str">
        <f>_xlfn.XLOOKUP($B827,tblARV[ASN/DN '#],tblARV[Vendor],"Not found")</f>
        <v>SCMS from RDC</v>
      </c>
    </row>
    <row r="828" spans="2:9" ht="15">
      <c r="B828" s="7" t="s">
        <v>2016</v>
      </c>
      <c r="C828" s="10">
        <v>41101</v>
      </c>
      <c r="D828" s="10">
        <v>41089</v>
      </c>
      <c r="E828" s="18">
        <v>-12</v>
      </c>
      <c r="F828" s="13" t="str">
        <f t="shared" si="23"/>
        <v>On-time</v>
      </c>
      <c r="G828" s="19" t="str">
        <f>_xlfn.XLOOKUP(B828,tblARV[ASN/DN '#],tblARV[Country],"Not found")</f>
        <v>Uganda</v>
      </c>
      <c r="H828" s="19" t="str">
        <f>_xlfn.XLOOKUP($B828,tblARV[ASN/DN '#],tblARV[Fulfill Via],"Not found")</f>
        <v>From RDC</v>
      </c>
      <c r="I828" s="19" t="str">
        <f>_xlfn.XLOOKUP($B828,tblARV[ASN/DN '#],tblARV[Vendor],"Not found")</f>
        <v>SCMS from RDC</v>
      </c>
    </row>
    <row r="829" spans="2:9" ht="15">
      <c r="B829" s="7" t="s">
        <v>2619</v>
      </c>
      <c r="C829" s="10">
        <v>41136</v>
      </c>
      <c r="D829" s="10">
        <v>41115</v>
      </c>
      <c r="E829" s="18">
        <v>-21</v>
      </c>
      <c r="F829" s="13" t="str">
        <f t="shared" si="23"/>
        <v>On-time</v>
      </c>
      <c r="G829" s="19" t="str">
        <f>_xlfn.XLOOKUP(B829,tblARV[ASN/DN '#],tblARV[Country],"Not found")</f>
        <v>Tanzania</v>
      </c>
      <c r="H829" s="19" t="str">
        <f>_xlfn.XLOOKUP($B829,tblARV[ASN/DN '#],tblARV[Fulfill Via],"Not found")</f>
        <v>From RDC</v>
      </c>
      <c r="I829" s="19" t="str">
        <f>_xlfn.XLOOKUP($B829,tblARV[ASN/DN '#],tblARV[Vendor],"Not found")</f>
        <v>SCMS from RDC</v>
      </c>
    </row>
    <row r="830" spans="2:9" ht="15">
      <c r="B830" s="7" t="s">
        <v>2227</v>
      </c>
      <c r="C830" s="10">
        <v>41157</v>
      </c>
      <c r="D830" s="10">
        <v>41089</v>
      </c>
      <c r="E830" s="18">
        <v>-68</v>
      </c>
      <c r="F830" s="13" t="str">
        <f t="shared" si="23"/>
        <v>On-time</v>
      </c>
      <c r="G830" s="19" t="str">
        <f>_xlfn.XLOOKUP(B830,tblARV[ASN/DN '#],tblARV[Country],"Not found")</f>
        <v>Uganda</v>
      </c>
      <c r="H830" s="19" t="str">
        <f>_xlfn.XLOOKUP($B830,tblARV[ASN/DN '#],tblARV[Fulfill Via],"Not found")</f>
        <v>From RDC</v>
      </c>
      <c r="I830" s="19" t="str">
        <f>_xlfn.XLOOKUP($B830,tblARV[ASN/DN '#],tblARV[Vendor],"Not found")</f>
        <v>SCMS from RDC</v>
      </c>
    </row>
    <row r="831" spans="2:9" ht="15">
      <c r="B831" s="7" t="s">
        <v>1587</v>
      </c>
      <c r="C831" s="10">
        <v>41093</v>
      </c>
      <c r="D831" s="10">
        <v>41080</v>
      </c>
      <c r="E831" s="18">
        <v>-13</v>
      </c>
      <c r="F831" s="13" t="str">
        <f t="shared" si="23"/>
        <v>On-time</v>
      </c>
      <c r="G831" s="19" t="str">
        <f>_xlfn.XLOOKUP(B831,tblARV[ASN/DN '#],tblARV[Country],"Not found")</f>
        <v>Rwanda</v>
      </c>
      <c r="H831" s="19" t="str">
        <f>_xlfn.XLOOKUP($B831,tblARV[ASN/DN '#],tblARV[Fulfill Via],"Not found")</f>
        <v>From RDC</v>
      </c>
      <c r="I831" s="19" t="str">
        <f>_xlfn.XLOOKUP($B831,tblARV[ASN/DN '#],tblARV[Vendor],"Not found")</f>
        <v>SCMS from RDC</v>
      </c>
    </row>
    <row r="832" spans="2:9" ht="15">
      <c r="B832" s="7" t="s">
        <v>1589</v>
      </c>
      <c r="C832" s="10">
        <v>41095</v>
      </c>
      <c r="D832" s="10">
        <v>41106</v>
      </c>
      <c r="E832" s="18">
        <v>22</v>
      </c>
      <c r="F832" s="13" t="str">
        <f t="shared" si="23"/>
        <v>Late</v>
      </c>
      <c r="G832" s="19" t="str">
        <f>_xlfn.XLOOKUP(B832,tblARV[ASN/DN '#],tblARV[Country],"Not found")</f>
        <v>Uganda</v>
      </c>
      <c r="H832" s="19" t="str">
        <f>_xlfn.XLOOKUP($B832,tblARV[ASN/DN '#],tblARV[Fulfill Via],"Not found")</f>
        <v>From RDC</v>
      </c>
      <c r="I832" s="19" t="str">
        <f>_xlfn.XLOOKUP($B832,tblARV[ASN/DN '#],tblARV[Vendor],"Not found")</f>
        <v>SCMS from RDC</v>
      </c>
    </row>
    <row r="833" spans="2:9" ht="15">
      <c r="B833" s="7" t="s">
        <v>2018</v>
      </c>
      <c r="C833" s="10">
        <v>41155</v>
      </c>
      <c r="D833" s="10">
        <v>41102</v>
      </c>
      <c r="E833" s="18">
        <v>-53</v>
      </c>
      <c r="F833" s="13" t="str">
        <f t="shared" si="23"/>
        <v>On-time</v>
      </c>
      <c r="G833" s="19" t="str">
        <f>_xlfn.XLOOKUP(B833,tblARV[ASN/DN '#],tblARV[Country],"Not found")</f>
        <v>Rwanda</v>
      </c>
      <c r="H833" s="19" t="str">
        <f>_xlfn.XLOOKUP($B833,tblARV[ASN/DN '#],tblARV[Fulfill Via],"Not found")</f>
        <v>From RDC</v>
      </c>
      <c r="I833" s="19" t="str">
        <f>_xlfn.XLOOKUP($B833,tblARV[ASN/DN '#],tblARV[Vendor],"Not found")</f>
        <v>SCMS from RDC</v>
      </c>
    </row>
    <row r="834" spans="2:9" ht="15">
      <c r="B834" s="7" t="s">
        <v>1805</v>
      </c>
      <c r="C834" s="10">
        <v>41180</v>
      </c>
      <c r="D834" s="10">
        <v>41111</v>
      </c>
      <c r="E834" s="18">
        <v>-69</v>
      </c>
      <c r="F834" s="13" t="str">
        <f t="shared" si="23"/>
        <v>On-time</v>
      </c>
      <c r="G834" s="19" t="str">
        <f>_xlfn.XLOOKUP(B834,tblARV[ASN/DN '#],tblARV[Country],"Not found")</f>
        <v>Rwanda</v>
      </c>
      <c r="H834" s="19" t="str">
        <f>_xlfn.XLOOKUP($B834,tblARV[ASN/DN '#],tblARV[Fulfill Via],"Not found")</f>
        <v>From RDC</v>
      </c>
      <c r="I834" s="19" t="str">
        <f>_xlfn.XLOOKUP($B834,tblARV[ASN/DN '#],tblARV[Vendor],"Not found")</f>
        <v>SCMS from RDC</v>
      </c>
    </row>
    <row r="835" spans="2:9" ht="15">
      <c r="B835" s="7" t="s">
        <v>2621</v>
      </c>
      <c r="C835" s="10">
        <v>41157</v>
      </c>
      <c r="D835" s="10">
        <v>41120</v>
      </c>
      <c r="E835" s="18">
        <v>-37</v>
      </c>
      <c r="F835" s="13" t="str">
        <f t="shared" si="23"/>
        <v>On-time</v>
      </c>
      <c r="G835" s="19" t="str">
        <f>_xlfn.XLOOKUP(B835,tblARV[ASN/DN '#],tblARV[Country],"Not found")</f>
        <v>Uganda</v>
      </c>
      <c r="H835" s="19" t="str">
        <f>_xlfn.XLOOKUP($B835,tblARV[ASN/DN '#],tblARV[Fulfill Via],"Not found")</f>
        <v>From RDC</v>
      </c>
      <c r="I835" s="19" t="str">
        <f>_xlfn.XLOOKUP($B835,tblARV[ASN/DN '#],tblARV[Vendor],"Not found")</f>
        <v>SCMS from RDC</v>
      </c>
    </row>
    <row r="836" spans="2:9" ht="15">
      <c r="B836" s="7" t="s">
        <v>1591</v>
      </c>
      <c r="C836" s="10">
        <v>41138</v>
      </c>
      <c r="D836" s="10">
        <v>41122</v>
      </c>
      <c r="E836" s="18">
        <v>-16</v>
      </c>
      <c r="F836" s="13" t="str">
        <f t="shared" si="23"/>
        <v>On-time</v>
      </c>
      <c r="G836" s="19" t="str">
        <f>_xlfn.XLOOKUP(B836,tblARV[ASN/DN '#],tblARV[Country],"Not found")</f>
        <v>Uganda</v>
      </c>
      <c r="H836" s="19" t="str">
        <f>_xlfn.XLOOKUP($B836,tblARV[ASN/DN '#],tblARV[Fulfill Via],"Not found")</f>
        <v>From RDC</v>
      </c>
      <c r="I836" s="19" t="str">
        <f>_xlfn.XLOOKUP($B836,tblARV[ASN/DN '#],tblARV[Vendor],"Not found")</f>
        <v>SCMS from RDC</v>
      </c>
    </row>
    <row r="837" spans="2:9" ht="15">
      <c r="B837" s="7" t="s">
        <v>1593</v>
      </c>
      <c r="C837" s="10">
        <v>41157</v>
      </c>
      <c r="D837" s="10">
        <v>41116</v>
      </c>
      <c r="E837" s="18">
        <v>-164</v>
      </c>
      <c r="F837" s="13" t="str">
        <f t="shared" si="23"/>
        <v>On-time</v>
      </c>
      <c r="G837" s="19" t="str">
        <f>_xlfn.XLOOKUP(B837,tblARV[ASN/DN '#],tblARV[Country],"Not found")</f>
        <v>Uganda</v>
      </c>
      <c r="H837" s="19" t="str">
        <f>_xlfn.XLOOKUP($B837,tblARV[ASN/DN '#],tblARV[Fulfill Via],"Not found")</f>
        <v>From RDC</v>
      </c>
      <c r="I837" s="19" t="str">
        <f>_xlfn.XLOOKUP($B837,tblARV[ASN/DN '#],tblARV[Vendor],"Not found")</f>
        <v>SCMS from RDC</v>
      </c>
    </row>
    <row r="838" spans="2:9" ht="15">
      <c r="B838" s="7" t="s">
        <v>1807</v>
      </c>
      <c r="C838" s="10">
        <v>41128</v>
      </c>
      <c r="D838" s="10">
        <v>41128</v>
      </c>
      <c r="E838" s="18">
        <v>0</v>
      </c>
      <c r="F838" s="13" t="str">
        <f t="shared" si="23"/>
        <v>On-time</v>
      </c>
      <c r="G838" s="19" t="str">
        <f>_xlfn.XLOOKUP(B838,tblARV[ASN/DN '#],tblARV[Country],"Not found")</f>
        <v>Uganda</v>
      </c>
      <c r="H838" s="19" t="str">
        <f>_xlfn.XLOOKUP($B838,tblARV[ASN/DN '#],tblARV[Fulfill Via],"Not found")</f>
        <v>From RDC</v>
      </c>
      <c r="I838" s="19" t="str">
        <f>_xlfn.XLOOKUP($B838,tblARV[ASN/DN '#],tblARV[Vendor],"Not found")</f>
        <v>SCMS from RDC</v>
      </c>
    </row>
    <row r="839" spans="2:9" ht="15">
      <c r="B839" s="7" t="s">
        <v>1809</v>
      </c>
      <c r="C839" s="10">
        <v>41128</v>
      </c>
      <c r="D839" s="10">
        <v>41128</v>
      </c>
      <c r="E839" s="18">
        <v>0</v>
      </c>
      <c r="F839" s="13" t="str">
        <f t="shared" si="23"/>
        <v>On-time</v>
      </c>
      <c r="G839" s="19" t="str">
        <f>_xlfn.XLOOKUP(B839,tblARV[ASN/DN '#],tblARV[Country],"Not found")</f>
        <v>Uganda</v>
      </c>
      <c r="H839" s="19" t="str">
        <f>_xlfn.XLOOKUP($B839,tblARV[ASN/DN '#],tblARV[Fulfill Via],"Not found")</f>
        <v>From RDC</v>
      </c>
      <c r="I839" s="19" t="str">
        <f>_xlfn.XLOOKUP($B839,tblARV[ASN/DN '#],tblARV[Vendor],"Not found")</f>
        <v>SCMS from RDC</v>
      </c>
    </row>
    <row r="840" spans="2:9" ht="15">
      <c r="B840" s="7" t="s">
        <v>2479</v>
      </c>
      <c r="C840" s="10">
        <v>41138</v>
      </c>
      <c r="D840" s="10">
        <v>41128</v>
      </c>
      <c r="E840" s="18">
        <v>-10</v>
      </c>
      <c r="F840" s="13" t="str">
        <f t="shared" si="23"/>
        <v>On-time</v>
      </c>
      <c r="G840" s="19" t="str">
        <f>_xlfn.XLOOKUP(B840,tblARV[ASN/DN '#],tblARV[Country],"Not found")</f>
        <v>Uganda</v>
      </c>
      <c r="H840" s="19" t="str">
        <f>_xlfn.XLOOKUP($B840,tblARV[ASN/DN '#],tblARV[Fulfill Via],"Not found")</f>
        <v>From RDC</v>
      </c>
      <c r="I840" s="19" t="str">
        <f>_xlfn.XLOOKUP($B840,tblARV[ASN/DN '#],tblARV[Vendor],"Not found")</f>
        <v>SCMS from RDC</v>
      </c>
    </row>
    <row r="841" spans="2:9" ht="15">
      <c r="B841" s="7" t="s">
        <v>516</v>
      </c>
      <c r="C841" s="10">
        <v>39316</v>
      </c>
      <c r="D841" s="10">
        <v>39316</v>
      </c>
      <c r="E841" s="18">
        <v>0</v>
      </c>
      <c r="F841" s="13" t="str">
        <f t="shared" si="23"/>
        <v>On-time</v>
      </c>
      <c r="G841" s="19" t="str">
        <f>_xlfn.XLOOKUP(B841,tblARV[ASN/DN '#],tblARV[Country],"Not found")</f>
        <v>Tanzania</v>
      </c>
      <c r="H841" s="19" t="str">
        <f>_xlfn.XLOOKUP($B841,tblARV[ASN/DN '#],tblARV[Fulfill Via],"Not found")</f>
        <v>From RDC</v>
      </c>
      <c r="I841" s="19" t="str">
        <f>_xlfn.XLOOKUP($B841,tblARV[ASN/DN '#],tblARV[Vendor],"Not found")</f>
        <v>SCMS from RDC</v>
      </c>
    </row>
    <row r="842" spans="2:9" ht="15">
      <c r="B842" s="7" t="s">
        <v>2020</v>
      </c>
      <c r="C842" s="10">
        <v>41137</v>
      </c>
      <c r="D842" s="10">
        <v>41137</v>
      </c>
      <c r="E842" s="18">
        <v>0</v>
      </c>
      <c r="F842" s="13" t="str">
        <f t="shared" si="23"/>
        <v>On-time</v>
      </c>
      <c r="G842" s="19" t="str">
        <f>_xlfn.XLOOKUP(B842,tblARV[ASN/DN '#],tblARV[Country],"Not found")</f>
        <v>Rwanda</v>
      </c>
      <c r="H842" s="19" t="str">
        <f>_xlfn.XLOOKUP($B842,tblARV[ASN/DN '#],tblARV[Fulfill Via],"Not found")</f>
        <v>From RDC</v>
      </c>
      <c r="I842" s="19" t="str">
        <f>_xlfn.XLOOKUP($B842,tblARV[ASN/DN '#],tblARV[Vendor],"Not found")</f>
        <v>SCMS from RDC</v>
      </c>
    </row>
    <row r="843" spans="2:9" ht="15">
      <c r="B843" s="7" t="s">
        <v>2022</v>
      </c>
      <c r="C843" s="10">
        <v>41152</v>
      </c>
      <c r="D843" s="10">
        <v>41143</v>
      </c>
      <c r="E843" s="18">
        <v>-27</v>
      </c>
      <c r="F843" s="13" t="str">
        <f t="shared" si="23"/>
        <v>On-time</v>
      </c>
      <c r="G843" s="19" t="str">
        <f>_xlfn.XLOOKUP(B843,tblARV[ASN/DN '#],tblARV[Country],"Not found")</f>
        <v>Tanzania</v>
      </c>
      <c r="H843" s="19" t="str">
        <f>_xlfn.XLOOKUP($B843,tblARV[ASN/DN '#],tblARV[Fulfill Via],"Not found")</f>
        <v>From RDC</v>
      </c>
      <c r="I843" s="19" t="str">
        <f>_xlfn.XLOOKUP($B843,tblARV[ASN/DN '#],tblARV[Vendor],"Not found")</f>
        <v>SCMS from RDC</v>
      </c>
    </row>
    <row r="844" spans="2:9" ht="15">
      <c r="B844" s="7" t="s">
        <v>2481</v>
      </c>
      <c r="C844" s="10">
        <v>41156</v>
      </c>
      <c r="D844" s="10">
        <v>41143</v>
      </c>
      <c r="E844" s="18">
        <v>-13</v>
      </c>
      <c r="F844" s="13" t="str">
        <f t="shared" si="23"/>
        <v>On-time</v>
      </c>
      <c r="G844" s="19" t="str">
        <f>_xlfn.XLOOKUP(B844,tblARV[ASN/DN '#],tblARV[Country],"Not found")</f>
        <v>Tanzania</v>
      </c>
      <c r="H844" s="19" t="str">
        <f>_xlfn.XLOOKUP($B844,tblARV[ASN/DN '#],tblARV[Fulfill Via],"Not found")</f>
        <v>From RDC</v>
      </c>
      <c r="I844" s="19" t="str">
        <f>_xlfn.XLOOKUP($B844,tblARV[ASN/DN '#],tblARV[Vendor],"Not found")</f>
        <v>SCMS from RDC</v>
      </c>
    </row>
    <row r="845" spans="2:9" ht="15">
      <c r="B845" s="7" t="s">
        <v>1595</v>
      </c>
      <c r="C845" s="10">
        <v>41169</v>
      </c>
      <c r="D845" s="10">
        <v>41135</v>
      </c>
      <c r="E845" s="18">
        <v>-34</v>
      </c>
      <c r="F845" s="13" t="str">
        <f t="shared" si="23"/>
        <v>On-time</v>
      </c>
      <c r="G845" s="19" t="str">
        <f>_xlfn.XLOOKUP(B845,tblARV[ASN/DN '#],tblARV[Country],"Not found")</f>
        <v>Uganda</v>
      </c>
      <c r="H845" s="19" t="str">
        <f>_xlfn.XLOOKUP($B845,tblARV[ASN/DN '#],tblARV[Fulfill Via],"Not found")</f>
        <v>From RDC</v>
      </c>
      <c r="I845" s="19" t="str">
        <f>_xlfn.XLOOKUP($B845,tblARV[ASN/DN '#],tblARV[Vendor],"Not found")</f>
        <v>SCMS from RDC</v>
      </c>
    </row>
    <row r="846" spans="2:9" ht="15">
      <c r="B846" s="7" t="s">
        <v>2623</v>
      </c>
      <c r="C846" s="10">
        <v>41152</v>
      </c>
      <c r="D846" s="10">
        <v>41137</v>
      </c>
      <c r="E846" s="18">
        <v>-15</v>
      </c>
      <c r="F846" s="13" t="str">
        <f t="shared" si="23"/>
        <v>On-time</v>
      </c>
      <c r="G846" s="19" t="str">
        <f>_xlfn.XLOOKUP(B846,tblARV[ASN/DN '#],tblARV[Country],"Not found")</f>
        <v>Rwanda</v>
      </c>
      <c r="H846" s="19" t="str">
        <f>_xlfn.XLOOKUP($B846,tblARV[ASN/DN '#],tblARV[Fulfill Via],"Not found")</f>
        <v>From RDC</v>
      </c>
      <c r="I846" s="19" t="str">
        <f>_xlfn.XLOOKUP($B846,tblARV[ASN/DN '#],tblARV[Vendor],"Not found")</f>
        <v>SCMS from RDC</v>
      </c>
    </row>
    <row r="847" spans="2:9" ht="15">
      <c r="B847" s="7" t="s">
        <v>2749</v>
      </c>
      <c r="C847" s="10">
        <v>41145</v>
      </c>
      <c r="D847" s="10">
        <v>41121</v>
      </c>
      <c r="E847" s="18">
        <v>-24</v>
      </c>
      <c r="F847" s="13" t="str">
        <f t="shared" si="23"/>
        <v>On-time</v>
      </c>
      <c r="G847" s="19" t="str">
        <f>_xlfn.XLOOKUP(B847,tblARV[ASN/DN '#],tblARV[Country],"Not found")</f>
        <v>Rwanda</v>
      </c>
      <c r="H847" s="19" t="str">
        <f>_xlfn.XLOOKUP($B847,tblARV[ASN/DN '#],tblARV[Fulfill Via],"Not found")</f>
        <v>From RDC</v>
      </c>
      <c r="I847" s="19" t="str">
        <f>_xlfn.XLOOKUP($B847,tblARV[ASN/DN '#],tblARV[Vendor],"Not found")</f>
        <v>SCMS from RDC</v>
      </c>
    </row>
    <row r="848" spans="2:9" ht="15">
      <c r="B848" s="7" t="s">
        <v>2751</v>
      </c>
      <c r="C848" s="10">
        <v>41163</v>
      </c>
      <c r="D848" s="10">
        <v>41129</v>
      </c>
      <c r="E848" s="18">
        <v>-34</v>
      </c>
      <c r="F848" s="13" t="str">
        <f t="shared" si="23"/>
        <v>On-time</v>
      </c>
      <c r="G848" s="19" t="str">
        <f>_xlfn.XLOOKUP(B848,tblARV[ASN/DN '#],tblARV[Country],"Not found")</f>
        <v>Uganda</v>
      </c>
      <c r="H848" s="19" t="str">
        <f>_xlfn.XLOOKUP($B848,tblARV[ASN/DN '#],tblARV[Fulfill Via],"Not found")</f>
        <v>From RDC</v>
      </c>
      <c r="I848" s="19" t="str">
        <f>_xlfn.XLOOKUP($B848,tblARV[ASN/DN '#],tblARV[Vendor],"Not found")</f>
        <v>SCMS from RDC</v>
      </c>
    </row>
    <row r="849" spans="2:9" ht="15">
      <c r="B849" s="7" t="s">
        <v>1811</v>
      </c>
      <c r="C849" s="10">
        <v>41212</v>
      </c>
      <c r="D849" s="10">
        <v>41212</v>
      </c>
      <c r="E849" s="18">
        <v>0</v>
      </c>
      <c r="F849" s="13" t="str">
        <f t="shared" si="23"/>
        <v>On-time</v>
      </c>
      <c r="G849" s="19" t="str">
        <f>_xlfn.XLOOKUP(B849,tblARV[ASN/DN '#],tblARV[Country],"Not found")</f>
        <v>Uganda</v>
      </c>
      <c r="H849" s="19" t="str">
        <f>_xlfn.XLOOKUP($B849,tblARV[ASN/DN '#],tblARV[Fulfill Via],"Not found")</f>
        <v>From RDC</v>
      </c>
      <c r="I849" s="19" t="str">
        <f>_xlfn.XLOOKUP($B849,tblARV[ASN/DN '#],tblARV[Vendor],"Not found")</f>
        <v>SCMS from RDC</v>
      </c>
    </row>
    <row r="850" spans="2:9" ht="15">
      <c r="B850" s="7" t="s">
        <v>1813</v>
      </c>
      <c r="C850" s="10">
        <v>41212</v>
      </c>
      <c r="D850" s="10">
        <v>41212</v>
      </c>
      <c r="E850" s="18">
        <v>0</v>
      </c>
      <c r="F850" s="13" t="str">
        <f t="shared" si="23"/>
        <v>On-time</v>
      </c>
      <c r="G850" s="19" t="str">
        <f>_xlfn.XLOOKUP(B850,tblARV[ASN/DN '#],tblARV[Country],"Not found")</f>
        <v>Uganda</v>
      </c>
      <c r="H850" s="19" t="str">
        <f>_xlfn.XLOOKUP($B850,tblARV[ASN/DN '#],tblARV[Fulfill Via],"Not found")</f>
        <v>From RDC</v>
      </c>
      <c r="I850" s="19" t="str">
        <f>_xlfn.XLOOKUP($B850,tblARV[ASN/DN '#],tblARV[Vendor],"Not found")</f>
        <v>SCMS from RDC</v>
      </c>
    </row>
    <row r="851" spans="2:9" ht="15">
      <c r="B851" s="7" t="s">
        <v>2024</v>
      </c>
      <c r="C851" s="10">
        <v>41180</v>
      </c>
      <c r="D851" s="10">
        <v>41138</v>
      </c>
      <c r="E851" s="18">
        <v>-42</v>
      </c>
      <c r="F851" s="13" t="str">
        <f t="shared" si="23"/>
        <v>On-time</v>
      </c>
      <c r="G851" s="19" t="str">
        <f>_xlfn.XLOOKUP(B851,tblARV[ASN/DN '#],tblARV[Country],"Not found")</f>
        <v>Rwanda</v>
      </c>
      <c r="H851" s="19" t="str">
        <f>_xlfn.XLOOKUP($B851,tblARV[ASN/DN '#],tblARV[Fulfill Via],"Not found")</f>
        <v>From RDC</v>
      </c>
      <c r="I851" s="19" t="str">
        <f>_xlfn.XLOOKUP($B851,tblARV[ASN/DN '#],tblARV[Vendor],"Not found")</f>
        <v>SCMS from RDC</v>
      </c>
    </row>
    <row r="852" spans="2:9" ht="15">
      <c r="B852" s="7" t="s">
        <v>2483</v>
      </c>
      <c r="C852" s="10">
        <v>41213</v>
      </c>
      <c r="D852" s="10">
        <v>41127</v>
      </c>
      <c r="E852" s="18">
        <v>-86</v>
      </c>
      <c r="F852" s="13" t="str">
        <f t="shared" si="23"/>
        <v>On-time</v>
      </c>
      <c r="G852" s="19" t="str">
        <f>_xlfn.XLOOKUP(B852,tblARV[ASN/DN '#],tblARV[Country],"Not found")</f>
        <v>Rwanda</v>
      </c>
      <c r="H852" s="19" t="str">
        <f>_xlfn.XLOOKUP($B852,tblARV[ASN/DN '#],tblARV[Fulfill Via],"Not found")</f>
        <v>From RDC</v>
      </c>
      <c r="I852" s="19" t="str">
        <f>_xlfn.XLOOKUP($B852,tblARV[ASN/DN '#],tblARV[Vendor],"Not found")</f>
        <v>SCMS from RDC</v>
      </c>
    </row>
    <row r="853" spans="2:9" ht="15">
      <c r="B853" s="7" t="s">
        <v>2753</v>
      </c>
      <c r="C853" s="10">
        <v>41152</v>
      </c>
      <c r="D853" s="10">
        <v>41137</v>
      </c>
      <c r="E853" s="18">
        <v>-15</v>
      </c>
      <c r="F853" s="13" t="str">
        <f t="shared" ref="F853:F916" si="24">IF($E853&lt;=0,"On-time","Late")</f>
        <v>On-time</v>
      </c>
      <c r="G853" s="19" t="str">
        <f>_xlfn.XLOOKUP(B853,tblARV[ASN/DN '#],tblARV[Country],"Not found")</f>
        <v>Rwanda</v>
      </c>
      <c r="H853" s="19" t="str">
        <f>_xlfn.XLOOKUP($B853,tblARV[ASN/DN '#],tblARV[Fulfill Via],"Not found")</f>
        <v>From RDC</v>
      </c>
      <c r="I853" s="19" t="str">
        <f>_xlfn.XLOOKUP($B853,tblARV[ASN/DN '#],tblARV[Vendor],"Not found")</f>
        <v>SCMS from RDC</v>
      </c>
    </row>
    <row r="854" spans="2:9" ht="15">
      <c r="B854" s="7" t="s">
        <v>2625</v>
      </c>
      <c r="C854" s="10">
        <v>41145</v>
      </c>
      <c r="D854" s="10">
        <v>41137</v>
      </c>
      <c r="E854" s="18">
        <v>-8</v>
      </c>
      <c r="F854" s="13" t="str">
        <f t="shared" si="24"/>
        <v>On-time</v>
      </c>
      <c r="G854" s="19" t="str">
        <f>_xlfn.XLOOKUP(B854,tblARV[ASN/DN '#],tblARV[Country],"Not found")</f>
        <v>Rwanda</v>
      </c>
      <c r="H854" s="19" t="str">
        <f>_xlfn.XLOOKUP($B854,tblARV[ASN/DN '#],tblARV[Fulfill Via],"Not found")</f>
        <v>From RDC</v>
      </c>
      <c r="I854" s="19" t="str">
        <f>_xlfn.XLOOKUP($B854,tblARV[ASN/DN '#],tblARV[Vendor],"Not found")</f>
        <v>SCMS from RDC</v>
      </c>
    </row>
    <row r="855" spans="2:9" ht="15">
      <c r="B855" s="7" t="s">
        <v>2755</v>
      </c>
      <c r="C855" s="10">
        <v>41151</v>
      </c>
      <c r="D855" s="10">
        <v>41151</v>
      </c>
      <c r="E855" s="18">
        <v>0</v>
      </c>
      <c r="F855" s="13" t="str">
        <f t="shared" si="24"/>
        <v>On-time</v>
      </c>
      <c r="G855" s="19" t="str">
        <f>_xlfn.XLOOKUP(B855,tblARV[ASN/DN '#],tblARV[Country],"Not found")</f>
        <v>Ethiopia</v>
      </c>
      <c r="H855" s="19" t="str">
        <f>_xlfn.XLOOKUP($B855,tblARV[ASN/DN '#],tblARV[Fulfill Via],"Not found")</f>
        <v>From RDC</v>
      </c>
      <c r="I855" s="19" t="str">
        <f>_xlfn.XLOOKUP($B855,tblARV[ASN/DN '#],tblARV[Vendor],"Not found")</f>
        <v>SCMS from RDC</v>
      </c>
    </row>
    <row r="856" spans="2:9" ht="15">
      <c r="B856" s="7" t="s">
        <v>2627</v>
      </c>
      <c r="C856" s="10">
        <v>41243</v>
      </c>
      <c r="D856" s="10">
        <v>41166</v>
      </c>
      <c r="E856" s="18">
        <v>-77</v>
      </c>
      <c r="F856" s="13" t="str">
        <f t="shared" si="24"/>
        <v>On-time</v>
      </c>
      <c r="G856" s="19" t="str">
        <f>_xlfn.XLOOKUP(B856,tblARV[ASN/DN '#],tblARV[Country],"Not found")</f>
        <v>Rwanda</v>
      </c>
      <c r="H856" s="19" t="str">
        <f>_xlfn.XLOOKUP($B856,tblARV[ASN/DN '#],tblARV[Fulfill Via],"Not found")</f>
        <v>From RDC</v>
      </c>
      <c r="I856" s="19" t="str">
        <f>_xlfn.XLOOKUP($B856,tblARV[ASN/DN '#],tblARV[Vendor],"Not found")</f>
        <v>SCMS from RDC</v>
      </c>
    </row>
    <row r="857" spans="2:9" ht="15">
      <c r="B857" s="7" t="s">
        <v>2373</v>
      </c>
      <c r="C857" s="10">
        <v>41152</v>
      </c>
      <c r="D857" s="10">
        <v>41144</v>
      </c>
      <c r="E857" s="18">
        <v>-8</v>
      </c>
      <c r="F857" s="13" t="str">
        <f t="shared" si="24"/>
        <v>On-time</v>
      </c>
      <c r="G857" s="19" t="str">
        <f>_xlfn.XLOOKUP(B857,tblARV[ASN/DN '#],tblARV[Country],"Not found")</f>
        <v>Rwanda</v>
      </c>
      <c r="H857" s="19" t="str">
        <f>_xlfn.XLOOKUP($B857,tblARV[ASN/DN '#],tblARV[Fulfill Via],"Not found")</f>
        <v>From RDC</v>
      </c>
      <c r="I857" s="19" t="str">
        <f>_xlfn.XLOOKUP($B857,tblARV[ASN/DN '#],tblARV[Vendor],"Not found")</f>
        <v>SCMS from RDC</v>
      </c>
    </row>
    <row r="858" spans="2:9" ht="15">
      <c r="B858" s="7" t="s">
        <v>1815</v>
      </c>
      <c r="C858" s="10">
        <v>41152</v>
      </c>
      <c r="D858" s="10">
        <v>41144</v>
      </c>
      <c r="E858" s="18">
        <v>-16</v>
      </c>
      <c r="F858" s="13" t="str">
        <f t="shared" si="24"/>
        <v>On-time</v>
      </c>
      <c r="G858" s="19" t="str">
        <f>_xlfn.XLOOKUP(B858,tblARV[ASN/DN '#],tblARV[Country],"Not found")</f>
        <v>Rwanda</v>
      </c>
      <c r="H858" s="19" t="str">
        <f>_xlfn.XLOOKUP($B858,tblARV[ASN/DN '#],tblARV[Fulfill Via],"Not found")</f>
        <v>From RDC</v>
      </c>
      <c r="I858" s="19" t="str">
        <f>_xlfn.XLOOKUP($B858,tblARV[ASN/DN '#],tblARV[Vendor],"Not found")</f>
        <v>SCMS from RDC</v>
      </c>
    </row>
    <row r="859" spans="2:9" ht="15">
      <c r="B859" s="7" t="s">
        <v>1817</v>
      </c>
      <c r="C859" s="10">
        <v>41179</v>
      </c>
      <c r="D859" s="10">
        <v>41179</v>
      </c>
      <c r="E859" s="18">
        <v>0</v>
      </c>
      <c r="F859" s="13" t="str">
        <f t="shared" si="24"/>
        <v>On-time</v>
      </c>
      <c r="G859" s="19" t="str">
        <f>_xlfn.XLOOKUP(B859,tblARV[ASN/DN '#],tblARV[Country],"Not found")</f>
        <v>Uganda</v>
      </c>
      <c r="H859" s="19" t="str">
        <f>_xlfn.XLOOKUP($B859,tblARV[ASN/DN '#],tblARV[Fulfill Via],"Not found")</f>
        <v>From RDC</v>
      </c>
      <c r="I859" s="19" t="str">
        <f>_xlfn.XLOOKUP($B859,tblARV[ASN/DN '#],tblARV[Vendor],"Not found")</f>
        <v>SCMS from RDC</v>
      </c>
    </row>
    <row r="860" spans="2:9" ht="15">
      <c r="B860" s="7" t="s">
        <v>2026</v>
      </c>
      <c r="C860" s="10">
        <v>41185</v>
      </c>
      <c r="D860" s="10">
        <v>41138</v>
      </c>
      <c r="E860" s="18">
        <v>-47</v>
      </c>
      <c r="F860" s="13" t="str">
        <f t="shared" si="24"/>
        <v>On-time</v>
      </c>
      <c r="G860" s="19" t="str">
        <f>_xlfn.XLOOKUP(B860,tblARV[ASN/DN '#],tblARV[Country],"Not found")</f>
        <v>Rwanda</v>
      </c>
      <c r="H860" s="19" t="str">
        <f>_xlfn.XLOOKUP($B860,tblARV[ASN/DN '#],tblARV[Fulfill Via],"Not found")</f>
        <v>From RDC</v>
      </c>
      <c r="I860" s="19" t="str">
        <f>_xlfn.XLOOKUP($B860,tblARV[ASN/DN '#],tblARV[Vendor],"Not found")</f>
        <v>SCMS from RDC</v>
      </c>
    </row>
    <row r="861" spans="2:9" ht="15">
      <c r="B861" s="7" t="s">
        <v>2028</v>
      </c>
      <c r="C861" s="10">
        <v>41152</v>
      </c>
      <c r="D861" s="10">
        <v>41142</v>
      </c>
      <c r="E861" s="18">
        <v>-10</v>
      </c>
      <c r="F861" s="13" t="str">
        <f t="shared" si="24"/>
        <v>On-time</v>
      </c>
      <c r="G861" s="19" t="str">
        <f>_xlfn.XLOOKUP(B861,tblARV[ASN/DN '#],tblARV[Country],"Not found")</f>
        <v>Rwanda</v>
      </c>
      <c r="H861" s="19" t="str">
        <f>_xlfn.XLOOKUP($B861,tblARV[ASN/DN '#],tblARV[Fulfill Via],"Not found")</f>
        <v>From RDC</v>
      </c>
      <c r="I861" s="19" t="str">
        <f>_xlfn.XLOOKUP($B861,tblARV[ASN/DN '#],tblARV[Vendor],"Not found")</f>
        <v>SCMS from RDC</v>
      </c>
    </row>
    <row r="862" spans="2:9" ht="15">
      <c r="B862" s="7" t="s">
        <v>297</v>
      </c>
      <c r="C862" s="10">
        <v>39316</v>
      </c>
      <c r="D862" s="10">
        <v>39316</v>
      </c>
      <c r="E862" s="18">
        <v>0</v>
      </c>
      <c r="F862" s="13" t="str">
        <f t="shared" si="24"/>
        <v>On-time</v>
      </c>
      <c r="G862" s="19" t="str">
        <f>_xlfn.XLOOKUP(B862,tblARV[ASN/DN '#],tblARV[Country],"Not found")</f>
        <v>Tanzania</v>
      </c>
      <c r="H862" s="19" t="str">
        <f>_xlfn.XLOOKUP($B862,tblARV[ASN/DN '#],tblARV[Fulfill Via],"Not found")</f>
        <v>From RDC</v>
      </c>
      <c r="I862" s="19" t="str">
        <f>_xlfn.XLOOKUP($B862,tblARV[ASN/DN '#],tblARV[Vendor],"Not found")</f>
        <v>SCMS from RDC</v>
      </c>
    </row>
    <row r="863" spans="2:9" ht="15">
      <c r="B863" s="7" t="s">
        <v>2375</v>
      </c>
      <c r="C863" s="10">
        <v>41212</v>
      </c>
      <c r="D863" s="10">
        <v>41212</v>
      </c>
      <c r="E863" s="18">
        <v>0</v>
      </c>
      <c r="F863" s="13" t="str">
        <f t="shared" si="24"/>
        <v>On-time</v>
      </c>
      <c r="G863" s="19" t="str">
        <f>_xlfn.XLOOKUP(B863,tblARV[ASN/DN '#],tblARV[Country],"Not found")</f>
        <v>Uganda</v>
      </c>
      <c r="H863" s="19" t="str">
        <f>_xlfn.XLOOKUP($B863,tblARV[ASN/DN '#],tblARV[Fulfill Via],"Not found")</f>
        <v>From RDC</v>
      </c>
      <c r="I863" s="19" t="str">
        <f>_xlfn.XLOOKUP($B863,tblARV[ASN/DN '#],tblARV[Vendor],"Not found")</f>
        <v>SCMS from RDC</v>
      </c>
    </row>
    <row r="864" spans="2:9" ht="15">
      <c r="B864" s="7" t="s">
        <v>1597</v>
      </c>
      <c r="C864" s="10">
        <v>41208</v>
      </c>
      <c r="D864" s="10">
        <v>41208</v>
      </c>
      <c r="E864" s="18">
        <v>0</v>
      </c>
      <c r="F864" s="13" t="str">
        <f t="shared" si="24"/>
        <v>On-time</v>
      </c>
      <c r="G864" s="19" t="str">
        <f>_xlfn.XLOOKUP(B864,tblARV[ASN/DN '#],tblARV[Country],"Not found")</f>
        <v>Tanzania</v>
      </c>
      <c r="H864" s="19" t="str">
        <f>_xlfn.XLOOKUP($B864,tblARV[ASN/DN '#],tblARV[Fulfill Via],"Not found")</f>
        <v>From RDC</v>
      </c>
      <c r="I864" s="19" t="str">
        <f>_xlfn.XLOOKUP($B864,tblARV[ASN/DN '#],tblARV[Vendor],"Not found")</f>
        <v>SCMS from RDC</v>
      </c>
    </row>
    <row r="865" spans="2:9" ht="15">
      <c r="B865" s="7" t="s">
        <v>2377</v>
      </c>
      <c r="C865" s="10">
        <v>41208</v>
      </c>
      <c r="D865" s="10">
        <v>41208</v>
      </c>
      <c r="E865" s="18">
        <v>0</v>
      </c>
      <c r="F865" s="13" t="str">
        <f t="shared" si="24"/>
        <v>On-time</v>
      </c>
      <c r="G865" s="19" t="str">
        <f>_xlfn.XLOOKUP(B865,tblARV[ASN/DN '#],tblARV[Country],"Not found")</f>
        <v>Tanzania</v>
      </c>
      <c r="H865" s="19" t="str">
        <f>_xlfn.XLOOKUP($B865,tblARV[ASN/DN '#],tblARV[Fulfill Via],"Not found")</f>
        <v>From RDC</v>
      </c>
      <c r="I865" s="19" t="str">
        <f>_xlfn.XLOOKUP($B865,tblARV[ASN/DN '#],tblARV[Vendor],"Not found")</f>
        <v>SCMS from RDC</v>
      </c>
    </row>
    <row r="866" spans="2:9" ht="15">
      <c r="B866" s="7" t="s">
        <v>2379</v>
      </c>
      <c r="C866" s="10">
        <v>41212</v>
      </c>
      <c r="D866" s="10">
        <v>41212</v>
      </c>
      <c r="E866" s="18">
        <v>0</v>
      </c>
      <c r="F866" s="13" t="str">
        <f t="shared" si="24"/>
        <v>On-time</v>
      </c>
      <c r="G866" s="19" t="str">
        <f>_xlfn.XLOOKUP(B866,tblARV[ASN/DN '#],tblARV[Country],"Not found")</f>
        <v>Uganda</v>
      </c>
      <c r="H866" s="19" t="str">
        <f>_xlfn.XLOOKUP($B866,tblARV[ASN/DN '#],tblARV[Fulfill Via],"Not found")</f>
        <v>From RDC</v>
      </c>
      <c r="I866" s="19" t="str">
        <f>_xlfn.XLOOKUP($B866,tblARV[ASN/DN '#],tblARV[Vendor],"Not found")</f>
        <v>SCMS from RDC</v>
      </c>
    </row>
    <row r="867" spans="2:9" ht="15">
      <c r="B867" s="7" t="s">
        <v>2629</v>
      </c>
      <c r="C867" s="10">
        <v>41176</v>
      </c>
      <c r="D867" s="10">
        <v>41176</v>
      </c>
      <c r="E867" s="18">
        <v>0</v>
      </c>
      <c r="F867" s="13" t="str">
        <f t="shared" si="24"/>
        <v>On-time</v>
      </c>
      <c r="G867" s="19" t="str">
        <f>_xlfn.XLOOKUP(B867,tblARV[ASN/DN '#],tblARV[Country],"Not found")</f>
        <v>Uganda</v>
      </c>
      <c r="H867" s="19" t="str">
        <f>_xlfn.XLOOKUP($B867,tblARV[ASN/DN '#],tblARV[Fulfill Via],"Not found")</f>
        <v>From RDC</v>
      </c>
      <c r="I867" s="19" t="str">
        <f>_xlfn.XLOOKUP($B867,tblARV[ASN/DN '#],tblARV[Vendor],"Not found")</f>
        <v>SCMS from RDC</v>
      </c>
    </row>
    <row r="868" spans="2:9" ht="15">
      <c r="B868" s="7" t="s">
        <v>1599</v>
      </c>
      <c r="C868" s="10">
        <v>41211</v>
      </c>
      <c r="D868" s="10">
        <v>41211</v>
      </c>
      <c r="E868" s="18">
        <v>0</v>
      </c>
      <c r="F868" s="13" t="str">
        <f t="shared" si="24"/>
        <v>On-time</v>
      </c>
      <c r="G868" s="19" t="str">
        <f>_xlfn.XLOOKUP(B868,tblARV[ASN/DN '#],tblARV[Country],"Not found")</f>
        <v>Uganda</v>
      </c>
      <c r="H868" s="19" t="str">
        <f>_xlfn.XLOOKUP($B868,tblARV[ASN/DN '#],tblARV[Fulfill Via],"Not found")</f>
        <v>From RDC</v>
      </c>
      <c r="I868" s="19" t="str">
        <f>_xlfn.XLOOKUP($B868,tblARV[ASN/DN '#],tblARV[Vendor],"Not found")</f>
        <v>SCMS from RDC</v>
      </c>
    </row>
    <row r="869" spans="2:9" ht="15">
      <c r="B869" s="7" t="s">
        <v>2381</v>
      </c>
      <c r="C869" s="10">
        <v>41200</v>
      </c>
      <c r="D869" s="10">
        <v>41200</v>
      </c>
      <c r="E869" s="18">
        <v>0</v>
      </c>
      <c r="F869" s="13" t="str">
        <f t="shared" si="24"/>
        <v>On-time</v>
      </c>
      <c r="G869" s="19" t="str">
        <f>_xlfn.XLOOKUP(B869,tblARV[ASN/DN '#],tblARV[Country],"Not found")</f>
        <v>Uganda</v>
      </c>
      <c r="H869" s="19" t="str">
        <f>_xlfn.XLOOKUP($B869,tblARV[ASN/DN '#],tblARV[Fulfill Via],"Not found")</f>
        <v>From RDC</v>
      </c>
      <c r="I869" s="19" t="str">
        <f>_xlfn.XLOOKUP($B869,tblARV[ASN/DN '#],tblARV[Vendor],"Not found")</f>
        <v>SCMS from RDC</v>
      </c>
    </row>
    <row r="870" spans="2:9" ht="15">
      <c r="B870" s="7" t="s">
        <v>2757</v>
      </c>
      <c r="C870" s="10">
        <v>41213</v>
      </c>
      <c r="D870" s="10">
        <v>41213</v>
      </c>
      <c r="E870" s="18">
        <v>0</v>
      </c>
      <c r="F870" s="13" t="str">
        <f t="shared" si="24"/>
        <v>On-time</v>
      </c>
      <c r="G870" s="19" t="str">
        <f>_xlfn.XLOOKUP(B870,tblARV[ASN/DN '#],tblARV[Country],"Not found")</f>
        <v>Uganda</v>
      </c>
      <c r="H870" s="19" t="str">
        <f>_xlfn.XLOOKUP($B870,tblARV[ASN/DN '#],tblARV[Fulfill Via],"Not found")</f>
        <v>From RDC</v>
      </c>
      <c r="I870" s="19" t="str">
        <f>_xlfn.XLOOKUP($B870,tblARV[ASN/DN '#],tblARV[Vendor],"Not found")</f>
        <v>SCMS from RDC</v>
      </c>
    </row>
    <row r="871" spans="2:9" ht="15">
      <c r="B871" s="7" t="s">
        <v>2229</v>
      </c>
      <c r="C871" s="10">
        <v>41180</v>
      </c>
      <c r="D871" s="10">
        <v>41188</v>
      </c>
      <c r="E871" s="18">
        <v>16</v>
      </c>
      <c r="F871" s="13" t="str">
        <f t="shared" si="24"/>
        <v>Late</v>
      </c>
      <c r="G871" s="19" t="str">
        <f>_xlfn.XLOOKUP(B871,tblARV[ASN/DN '#],tblARV[Country],"Not found")</f>
        <v>Uganda</v>
      </c>
      <c r="H871" s="19" t="str">
        <f>_xlfn.XLOOKUP($B871,tblARV[ASN/DN '#],tblARV[Fulfill Via],"Not found")</f>
        <v>From RDC</v>
      </c>
      <c r="I871" s="19" t="str">
        <f>_xlfn.XLOOKUP($B871,tblARV[ASN/DN '#],tblARV[Vendor],"Not found")</f>
        <v>SCMS from RDC</v>
      </c>
    </row>
    <row r="872" spans="2:9" ht="15">
      <c r="B872" s="7" t="s">
        <v>2231</v>
      </c>
      <c r="C872" s="10">
        <v>41187</v>
      </c>
      <c r="D872" s="10">
        <v>41176</v>
      </c>
      <c r="E872" s="18">
        <v>-11</v>
      </c>
      <c r="F872" s="13" t="str">
        <f t="shared" si="24"/>
        <v>On-time</v>
      </c>
      <c r="G872" s="19" t="str">
        <f>_xlfn.XLOOKUP(B872,tblARV[ASN/DN '#],tblARV[Country],"Not found")</f>
        <v>Uganda</v>
      </c>
      <c r="H872" s="19" t="str">
        <f>_xlfn.XLOOKUP($B872,tblARV[ASN/DN '#],tblARV[Fulfill Via],"Not found")</f>
        <v>From RDC</v>
      </c>
      <c r="I872" s="19" t="str">
        <f>_xlfn.XLOOKUP($B872,tblARV[ASN/DN '#],tblARV[Vendor],"Not found")</f>
        <v>SCMS from RDC</v>
      </c>
    </row>
    <row r="873" spans="2:9" ht="15">
      <c r="B873" s="7" t="s">
        <v>1819</v>
      </c>
      <c r="C873" s="10">
        <v>41187</v>
      </c>
      <c r="D873" s="10">
        <v>41188</v>
      </c>
      <c r="E873" s="18">
        <v>1</v>
      </c>
      <c r="F873" s="13" t="str">
        <f t="shared" si="24"/>
        <v>Late</v>
      </c>
      <c r="G873" s="19" t="str">
        <f>_xlfn.XLOOKUP(B873,tblARV[ASN/DN '#],tblARV[Country],"Not found")</f>
        <v>Uganda</v>
      </c>
      <c r="H873" s="19" t="str">
        <f>_xlfn.XLOOKUP($B873,tblARV[ASN/DN '#],tblARV[Fulfill Via],"Not found")</f>
        <v>From RDC</v>
      </c>
      <c r="I873" s="19" t="str">
        <f>_xlfn.XLOOKUP($B873,tblARV[ASN/DN '#],tblARV[Vendor],"Not found")</f>
        <v>SCMS from RDC</v>
      </c>
    </row>
    <row r="874" spans="2:9" ht="15">
      <c r="B874" s="7" t="s">
        <v>1821</v>
      </c>
      <c r="C874" s="10">
        <v>41180</v>
      </c>
      <c r="D874" s="10">
        <v>41176</v>
      </c>
      <c r="E874" s="18">
        <v>-4</v>
      </c>
      <c r="F874" s="13" t="str">
        <f t="shared" si="24"/>
        <v>On-time</v>
      </c>
      <c r="G874" s="19" t="str">
        <f>_xlfn.XLOOKUP(B874,tblARV[ASN/DN '#],tblARV[Country],"Not found")</f>
        <v>Uganda</v>
      </c>
      <c r="H874" s="19" t="str">
        <f>_xlfn.XLOOKUP($B874,tblARV[ASN/DN '#],tblARV[Fulfill Via],"Not found")</f>
        <v>From RDC</v>
      </c>
      <c r="I874" s="19" t="str">
        <f>_xlfn.XLOOKUP($B874,tblARV[ASN/DN '#],tblARV[Vendor],"Not found")</f>
        <v>SCMS from RDC</v>
      </c>
    </row>
    <row r="875" spans="2:9" ht="15">
      <c r="B875" s="7" t="s">
        <v>2485</v>
      </c>
      <c r="C875" s="10">
        <v>41194</v>
      </c>
      <c r="D875" s="10">
        <v>41177</v>
      </c>
      <c r="E875" s="18">
        <v>-17</v>
      </c>
      <c r="F875" s="13" t="str">
        <f t="shared" si="24"/>
        <v>On-time</v>
      </c>
      <c r="G875" s="19" t="str">
        <f>_xlfn.XLOOKUP(B875,tblARV[ASN/DN '#],tblARV[Country],"Not found")</f>
        <v>Uganda</v>
      </c>
      <c r="H875" s="19" t="str">
        <f>_xlfn.XLOOKUP($B875,tblARV[ASN/DN '#],tblARV[Fulfill Via],"Not found")</f>
        <v>From RDC</v>
      </c>
      <c r="I875" s="19" t="str">
        <f>_xlfn.XLOOKUP($B875,tblARV[ASN/DN '#],tblARV[Vendor],"Not found")</f>
        <v>SCMS from RDC</v>
      </c>
    </row>
    <row r="876" spans="2:9" ht="15">
      <c r="B876" s="7" t="s">
        <v>2487</v>
      </c>
      <c r="C876" s="10">
        <v>41197</v>
      </c>
      <c r="D876" s="10">
        <v>41194</v>
      </c>
      <c r="E876" s="18">
        <v>-3</v>
      </c>
      <c r="F876" s="13" t="str">
        <f t="shared" si="24"/>
        <v>On-time</v>
      </c>
      <c r="G876" s="19" t="str">
        <f>_xlfn.XLOOKUP(B876,tblARV[ASN/DN '#],tblARV[Country],"Not found")</f>
        <v>Uganda</v>
      </c>
      <c r="H876" s="19" t="str">
        <f>_xlfn.XLOOKUP($B876,tblARV[ASN/DN '#],tblARV[Fulfill Via],"Not found")</f>
        <v>From RDC</v>
      </c>
      <c r="I876" s="19" t="str">
        <f>_xlfn.XLOOKUP($B876,tblARV[ASN/DN '#],tblARV[Vendor],"Not found")</f>
        <v>SCMS from RDC</v>
      </c>
    </row>
    <row r="877" spans="2:9" ht="15">
      <c r="B877" s="7" t="s">
        <v>2759</v>
      </c>
      <c r="C877" s="10">
        <v>41228</v>
      </c>
      <c r="D877" s="10">
        <v>41228</v>
      </c>
      <c r="E877" s="18">
        <v>0</v>
      </c>
      <c r="F877" s="13" t="str">
        <f t="shared" si="24"/>
        <v>On-time</v>
      </c>
      <c r="G877" s="19" t="str">
        <f>_xlfn.XLOOKUP(B877,tblARV[ASN/DN '#],tblARV[Country],"Not found")</f>
        <v>Tanzania</v>
      </c>
      <c r="H877" s="19" t="str">
        <f>_xlfn.XLOOKUP($B877,tblARV[ASN/DN '#],tblARV[Fulfill Via],"Not found")</f>
        <v>From RDC</v>
      </c>
      <c r="I877" s="19" t="str">
        <f>_xlfn.XLOOKUP($B877,tblARV[ASN/DN '#],tblARV[Vendor],"Not found")</f>
        <v>SCMS from RDC</v>
      </c>
    </row>
    <row r="878" spans="2:9" ht="15">
      <c r="B878" s="7" t="s">
        <v>1823</v>
      </c>
      <c r="C878" s="10">
        <v>41213</v>
      </c>
      <c r="D878" s="10">
        <v>41212</v>
      </c>
      <c r="E878" s="18">
        <v>-1</v>
      </c>
      <c r="F878" s="13" t="str">
        <f t="shared" si="24"/>
        <v>On-time</v>
      </c>
      <c r="G878" s="19" t="str">
        <f>_xlfn.XLOOKUP(B878,tblARV[ASN/DN '#],tblARV[Country],"Not found")</f>
        <v>Rwanda</v>
      </c>
      <c r="H878" s="19" t="str">
        <f>_xlfn.XLOOKUP($B878,tblARV[ASN/DN '#],tblARV[Fulfill Via],"Not found")</f>
        <v>From RDC</v>
      </c>
      <c r="I878" s="19" t="str">
        <f>_xlfn.XLOOKUP($B878,tblARV[ASN/DN '#],tblARV[Vendor],"Not found")</f>
        <v>SCMS from RDC</v>
      </c>
    </row>
    <row r="879" spans="2:9" ht="15">
      <c r="B879" s="7" t="s">
        <v>1825</v>
      </c>
      <c r="C879" s="10">
        <v>41180</v>
      </c>
      <c r="D879" s="10">
        <v>41165</v>
      </c>
      <c r="E879" s="18">
        <v>-30</v>
      </c>
      <c r="F879" s="13" t="str">
        <f t="shared" si="24"/>
        <v>On-time</v>
      </c>
      <c r="G879" s="19" t="str">
        <f>_xlfn.XLOOKUP(B879,tblARV[ASN/DN '#],tblARV[Country],"Not found")</f>
        <v>Rwanda</v>
      </c>
      <c r="H879" s="19" t="str">
        <f>_xlfn.XLOOKUP($B879,tblARV[ASN/DN '#],tblARV[Fulfill Via],"Not found")</f>
        <v>From RDC</v>
      </c>
      <c r="I879" s="19" t="str">
        <f>_xlfn.XLOOKUP($B879,tblARV[ASN/DN '#],tblARV[Vendor],"Not found")</f>
        <v>SCMS from RDC</v>
      </c>
    </row>
    <row r="880" spans="2:9" ht="15">
      <c r="B880" s="7" t="s">
        <v>1601</v>
      </c>
      <c r="C880" s="10">
        <v>41212</v>
      </c>
      <c r="D880" s="10">
        <v>41212</v>
      </c>
      <c r="E880" s="18">
        <v>0</v>
      </c>
      <c r="F880" s="13" t="str">
        <f t="shared" si="24"/>
        <v>On-time</v>
      </c>
      <c r="G880" s="19" t="str">
        <f>_xlfn.XLOOKUP(B880,tblARV[ASN/DN '#],tblARV[Country],"Not found")</f>
        <v>Uganda</v>
      </c>
      <c r="H880" s="19" t="str">
        <f>_xlfn.XLOOKUP($B880,tblARV[ASN/DN '#],tblARV[Fulfill Via],"Not found")</f>
        <v>From RDC</v>
      </c>
      <c r="I880" s="19" t="str">
        <f>_xlfn.XLOOKUP($B880,tblARV[ASN/DN '#],tblARV[Vendor],"Not found")</f>
        <v>SCMS from RDC</v>
      </c>
    </row>
    <row r="881" spans="2:9" ht="15">
      <c r="B881" s="7" t="s">
        <v>2489</v>
      </c>
      <c r="C881" s="10">
        <v>41180</v>
      </c>
      <c r="D881" s="10">
        <v>41192</v>
      </c>
      <c r="E881" s="18">
        <v>12</v>
      </c>
      <c r="F881" s="13" t="str">
        <f t="shared" si="24"/>
        <v>Late</v>
      </c>
      <c r="G881" s="19" t="str">
        <f>_xlfn.XLOOKUP(B881,tblARV[ASN/DN '#],tblARV[Country],"Not found")</f>
        <v>Rwanda</v>
      </c>
      <c r="H881" s="19" t="str">
        <f>_xlfn.XLOOKUP($B881,tblARV[ASN/DN '#],tblARV[Fulfill Via],"Not found")</f>
        <v>From RDC</v>
      </c>
      <c r="I881" s="19" t="str">
        <f>_xlfn.XLOOKUP($B881,tblARV[ASN/DN '#],tblARV[Vendor],"Not found")</f>
        <v>SCMS from RDC</v>
      </c>
    </row>
    <row r="882" spans="2:9" ht="15">
      <c r="B882" s="7" t="s">
        <v>1827</v>
      </c>
      <c r="C882" s="10">
        <v>41180</v>
      </c>
      <c r="D882" s="10">
        <v>41187</v>
      </c>
      <c r="E882" s="18">
        <v>7</v>
      </c>
      <c r="F882" s="13" t="str">
        <f t="shared" si="24"/>
        <v>Late</v>
      </c>
      <c r="G882" s="19" t="str">
        <f>_xlfn.XLOOKUP(B882,tblARV[ASN/DN '#],tblARV[Country],"Not found")</f>
        <v>Rwanda</v>
      </c>
      <c r="H882" s="19" t="str">
        <f>_xlfn.XLOOKUP($B882,tblARV[ASN/DN '#],tblARV[Fulfill Via],"Not found")</f>
        <v>From RDC</v>
      </c>
      <c r="I882" s="19" t="str">
        <f>_xlfn.XLOOKUP($B882,tblARV[ASN/DN '#],tblARV[Vendor],"Not found")</f>
        <v>SCMS from RDC</v>
      </c>
    </row>
    <row r="883" spans="2:9" ht="15">
      <c r="B883" s="7" t="s">
        <v>1829</v>
      </c>
      <c r="C883" s="10">
        <v>41208</v>
      </c>
      <c r="D883" s="10">
        <v>41208</v>
      </c>
      <c r="E883" s="18">
        <v>0</v>
      </c>
      <c r="F883" s="13" t="str">
        <f t="shared" si="24"/>
        <v>On-time</v>
      </c>
      <c r="G883" s="19" t="str">
        <f>_xlfn.XLOOKUP(B883,tblARV[ASN/DN '#],tblARV[Country],"Not found")</f>
        <v>Rwanda</v>
      </c>
      <c r="H883" s="19" t="str">
        <f>_xlfn.XLOOKUP($B883,tblARV[ASN/DN '#],tblARV[Fulfill Via],"Not found")</f>
        <v>From RDC</v>
      </c>
      <c r="I883" s="19" t="str">
        <f>_xlfn.XLOOKUP($B883,tblARV[ASN/DN '#],tblARV[Vendor],"Not found")</f>
        <v>SCMS from RDC</v>
      </c>
    </row>
    <row r="884" spans="2:9" ht="15">
      <c r="B884" s="7" t="s">
        <v>1603</v>
      </c>
      <c r="C884" s="10">
        <v>41212</v>
      </c>
      <c r="D884" s="10">
        <v>41212</v>
      </c>
      <c r="E884" s="18">
        <v>0</v>
      </c>
      <c r="F884" s="13" t="str">
        <f t="shared" si="24"/>
        <v>On-time</v>
      </c>
      <c r="G884" s="19" t="str">
        <f>_xlfn.XLOOKUP(B884,tblARV[ASN/DN '#],tblARV[Country],"Not found")</f>
        <v>Rwanda</v>
      </c>
      <c r="H884" s="19" t="str">
        <f>_xlfn.XLOOKUP($B884,tblARV[ASN/DN '#],tblARV[Fulfill Via],"Not found")</f>
        <v>From RDC</v>
      </c>
      <c r="I884" s="19" t="str">
        <f>_xlfn.XLOOKUP($B884,tblARV[ASN/DN '#],tblARV[Vendor],"Not found")</f>
        <v>SCMS from RDC</v>
      </c>
    </row>
    <row r="885" spans="2:9" ht="15">
      <c r="B885" s="7" t="s">
        <v>2846</v>
      </c>
      <c r="C885" s="10">
        <v>41200</v>
      </c>
      <c r="D885" s="10">
        <v>41185</v>
      </c>
      <c r="E885" s="18">
        <v>-30</v>
      </c>
      <c r="F885" s="13" t="str">
        <f t="shared" si="24"/>
        <v>On-time</v>
      </c>
      <c r="G885" s="19" t="str">
        <f>_xlfn.XLOOKUP(B885,tblARV[ASN/DN '#],tblARV[Country],"Not found")</f>
        <v>South Sudan</v>
      </c>
      <c r="H885" s="19" t="str">
        <f>_xlfn.XLOOKUP($B885,tblARV[ASN/DN '#],tblARV[Fulfill Via],"Not found")</f>
        <v>From RDC</v>
      </c>
      <c r="I885" s="19" t="str">
        <f>_xlfn.XLOOKUP($B885,tblARV[ASN/DN '#],tblARV[Vendor],"Not found")</f>
        <v>SCMS from RDC</v>
      </c>
    </row>
    <row r="886" spans="2:9" ht="15">
      <c r="B886" s="7" t="s">
        <v>2825</v>
      </c>
      <c r="C886" s="10">
        <v>41228</v>
      </c>
      <c r="D886" s="10">
        <v>41205</v>
      </c>
      <c r="E886" s="18">
        <v>-69</v>
      </c>
      <c r="F886" s="13" t="str">
        <f t="shared" si="24"/>
        <v>On-time</v>
      </c>
      <c r="G886" s="19" t="str">
        <f>_xlfn.XLOOKUP(B886,tblARV[ASN/DN '#],tblARV[Country],"Not found")</f>
        <v>South Sudan</v>
      </c>
      <c r="H886" s="19" t="str">
        <f>_xlfn.XLOOKUP($B886,tblARV[ASN/DN '#],tblARV[Fulfill Via],"Not found")</f>
        <v>From RDC</v>
      </c>
      <c r="I886" s="19" t="str">
        <f>_xlfn.XLOOKUP($B886,tblARV[ASN/DN '#],tblARV[Vendor],"Not found")</f>
        <v>SCMS from RDC</v>
      </c>
    </row>
    <row r="887" spans="2:9" ht="15">
      <c r="B887" s="7" t="s">
        <v>1605</v>
      </c>
      <c r="C887" s="10">
        <v>41201</v>
      </c>
      <c r="D887" s="10">
        <v>41200</v>
      </c>
      <c r="E887" s="18">
        <v>-2</v>
      </c>
      <c r="F887" s="13" t="str">
        <f t="shared" si="24"/>
        <v>On-time</v>
      </c>
      <c r="G887" s="19" t="str">
        <f>_xlfn.XLOOKUP(B887,tblARV[ASN/DN '#],tblARV[Country],"Not found")</f>
        <v>Rwanda</v>
      </c>
      <c r="H887" s="19" t="str">
        <f>_xlfn.XLOOKUP($B887,tblARV[ASN/DN '#],tblARV[Fulfill Via],"Not found")</f>
        <v>From RDC</v>
      </c>
      <c r="I887" s="19" t="str">
        <f>_xlfn.XLOOKUP($B887,tblARV[ASN/DN '#],tblARV[Vendor],"Not found")</f>
        <v>SCMS from RDC</v>
      </c>
    </row>
    <row r="888" spans="2:9" ht="15">
      <c r="B888" s="7" t="s">
        <v>1831</v>
      </c>
      <c r="C888" s="10">
        <v>41209</v>
      </c>
      <c r="D888" s="10">
        <v>41209</v>
      </c>
      <c r="E888" s="18">
        <v>0</v>
      </c>
      <c r="F888" s="13" t="str">
        <f t="shared" si="24"/>
        <v>On-time</v>
      </c>
      <c r="G888" s="19" t="str">
        <f>_xlfn.XLOOKUP(B888,tblARV[ASN/DN '#],tblARV[Country],"Not found")</f>
        <v>Uganda</v>
      </c>
      <c r="H888" s="19" t="str">
        <f>_xlfn.XLOOKUP($B888,tblARV[ASN/DN '#],tblARV[Fulfill Via],"Not found")</f>
        <v>From RDC</v>
      </c>
      <c r="I888" s="19" t="str">
        <f>_xlfn.XLOOKUP($B888,tblARV[ASN/DN '#],tblARV[Vendor],"Not found")</f>
        <v>SCMS from RDC</v>
      </c>
    </row>
    <row r="889" spans="2:9" ht="15">
      <c r="B889" s="7" t="s">
        <v>2848</v>
      </c>
      <c r="C889" s="10">
        <v>41243</v>
      </c>
      <c r="D889" s="10">
        <v>41243</v>
      </c>
      <c r="E889" s="18">
        <v>0</v>
      </c>
      <c r="F889" s="13" t="str">
        <f t="shared" si="24"/>
        <v>On-time</v>
      </c>
      <c r="G889" s="19" t="str">
        <f>_xlfn.XLOOKUP(B889,tblARV[ASN/DN '#],tblARV[Country],"Not found")</f>
        <v>South Sudan</v>
      </c>
      <c r="H889" s="19" t="str">
        <f>_xlfn.XLOOKUP($B889,tblARV[ASN/DN '#],tblARV[Fulfill Via],"Not found")</f>
        <v>From RDC</v>
      </c>
      <c r="I889" s="19" t="str">
        <f>_xlfn.XLOOKUP($B889,tblARV[ASN/DN '#],tblARV[Vendor],"Not found")</f>
        <v>SCMS from RDC</v>
      </c>
    </row>
    <row r="890" spans="2:9" ht="15">
      <c r="B890" s="7" t="s">
        <v>2864</v>
      </c>
      <c r="C890" s="10">
        <v>41243</v>
      </c>
      <c r="D890" s="10">
        <v>41243</v>
      </c>
      <c r="E890" s="18">
        <v>0</v>
      </c>
      <c r="F890" s="13" t="str">
        <f t="shared" si="24"/>
        <v>On-time</v>
      </c>
      <c r="G890" s="19" t="str">
        <f>_xlfn.XLOOKUP(B890,tblARV[ASN/DN '#],tblARV[Country],"Not found")</f>
        <v>South Sudan</v>
      </c>
      <c r="H890" s="19" t="str">
        <f>_xlfn.XLOOKUP($B890,tblARV[ASN/DN '#],tblARV[Fulfill Via],"Not found")</f>
        <v>From RDC</v>
      </c>
      <c r="I890" s="19" t="str">
        <f>_xlfn.XLOOKUP($B890,tblARV[ASN/DN '#],tblARV[Vendor],"Not found")</f>
        <v>SCMS from RDC</v>
      </c>
    </row>
    <row r="891" spans="2:9" ht="15">
      <c r="B891" s="7" t="s">
        <v>1607</v>
      </c>
      <c r="C891" s="10">
        <v>41207</v>
      </c>
      <c r="D891" s="10">
        <v>41204</v>
      </c>
      <c r="E891" s="18">
        <v>-9</v>
      </c>
      <c r="F891" s="13" t="str">
        <f t="shared" si="24"/>
        <v>On-time</v>
      </c>
      <c r="G891" s="19" t="str">
        <f>_xlfn.XLOOKUP(B891,tblARV[ASN/DN '#],tblARV[Country],"Not found")</f>
        <v>Uganda</v>
      </c>
      <c r="H891" s="19" t="str">
        <f>_xlfn.XLOOKUP($B891,tblARV[ASN/DN '#],tblARV[Fulfill Via],"Not found")</f>
        <v>From RDC</v>
      </c>
      <c r="I891" s="19" t="str">
        <f>_xlfn.XLOOKUP($B891,tblARV[ASN/DN '#],tblARV[Vendor],"Not found")</f>
        <v>SCMS from RDC</v>
      </c>
    </row>
    <row r="892" spans="2:9" ht="15">
      <c r="B892" s="7" t="s">
        <v>2030</v>
      </c>
      <c r="C892" s="10">
        <v>41200</v>
      </c>
      <c r="D892" s="10">
        <v>41213</v>
      </c>
      <c r="E892" s="18">
        <v>13</v>
      </c>
      <c r="F892" s="13" t="str">
        <f t="shared" si="24"/>
        <v>Late</v>
      </c>
      <c r="G892" s="19" t="str">
        <f>_xlfn.XLOOKUP(B892,tblARV[ASN/DN '#],tblARV[Country],"Not found")</f>
        <v>Tanzania</v>
      </c>
      <c r="H892" s="19" t="str">
        <f>_xlfn.XLOOKUP($B892,tblARV[ASN/DN '#],tblARV[Fulfill Via],"Not found")</f>
        <v>From RDC</v>
      </c>
      <c r="I892" s="19" t="str">
        <f>_xlfn.XLOOKUP($B892,tblARV[ASN/DN '#],tblARV[Vendor],"Not found")</f>
        <v>SCMS from RDC</v>
      </c>
    </row>
    <row r="893" spans="2:9" ht="15">
      <c r="B893" s="7" t="s">
        <v>2032</v>
      </c>
      <c r="C893" s="10">
        <v>41199</v>
      </c>
      <c r="D893" s="10">
        <v>41193</v>
      </c>
      <c r="E893" s="18">
        <v>-6</v>
      </c>
      <c r="F893" s="13" t="str">
        <f t="shared" si="24"/>
        <v>On-time</v>
      </c>
      <c r="G893" s="19" t="str">
        <f>_xlfn.XLOOKUP(B893,tblARV[ASN/DN '#],tblARV[Country],"Not found")</f>
        <v>Uganda</v>
      </c>
      <c r="H893" s="19" t="str">
        <f>_xlfn.XLOOKUP($B893,tblARV[ASN/DN '#],tblARV[Fulfill Via],"Not found")</f>
        <v>From RDC</v>
      </c>
      <c r="I893" s="19" t="str">
        <f>_xlfn.XLOOKUP($B893,tblARV[ASN/DN '#],tblARV[Vendor],"Not found")</f>
        <v>SCMS from RDC</v>
      </c>
    </row>
    <row r="894" spans="2:9" ht="15">
      <c r="B894" s="7" t="s">
        <v>2233</v>
      </c>
      <c r="C894" s="10">
        <v>41221</v>
      </c>
      <c r="D894" s="10">
        <v>41221</v>
      </c>
      <c r="E894" s="18">
        <v>0</v>
      </c>
      <c r="F894" s="13" t="str">
        <f t="shared" si="24"/>
        <v>On-time</v>
      </c>
      <c r="G894" s="19" t="str">
        <f>_xlfn.XLOOKUP(B894,tblARV[ASN/DN '#],tblARV[Country],"Not found")</f>
        <v>Uganda</v>
      </c>
      <c r="H894" s="19" t="str">
        <f>_xlfn.XLOOKUP($B894,tblARV[ASN/DN '#],tblARV[Fulfill Via],"Not found")</f>
        <v>From RDC</v>
      </c>
      <c r="I894" s="19" t="str">
        <f>_xlfn.XLOOKUP($B894,tblARV[ASN/DN '#],tblARV[Vendor],"Not found")</f>
        <v>SCMS from RDC</v>
      </c>
    </row>
    <row r="895" spans="2:9" ht="15">
      <c r="B895" s="7" t="s">
        <v>2034</v>
      </c>
      <c r="C895" s="10">
        <v>41243</v>
      </c>
      <c r="D895" s="10">
        <v>41213</v>
      </c>
      <c r="E895" s="18">
        <v>-120</v>
      </c>
      <c r="F895" s="13" t="str">
        <f t="shared" si="24"/>
        <v>On-time</v>
      </c>
      <c r="G895" s="19" t="str">
        <f>_xlfn.XLOOKUP(B895,tblARV[ASN/DN '#],tblARV[Country],"Not found")</f>
        <v>Tanzania</v>
      </c>
      <c r="H895" s="19" t="str">
        <f>_xlfn.XLOOKUP($B895,tblARV[ASN/DN '#],tblARV[Fulfill Via],"Not found")</f>
        <v>From RDC</v>
      </c>
      <c r="I895" s="19" t="str">
        <f>_xlfn.XLOOKUP($B895,tblARV[ASN/DN '#],tblARV[Vendor],"Not found")</f>
        <v>SCMS from RDC</v>
      </c>
    </row>
    <row r="896" spans="2:9" ht="15">
      <c r="B896" s="7" t="s">
        <v>1609</v>
      </c>
      <c r="C896" s="10">
        <v>41213</v>
      </c>
      <c r="D896" s="10">
        <v>41212</v>
      </c>
      <c r="E896" s="18">
        <v>-2</v>
      </c>
      <c r="F896" s="13" t="str">
        <f t="shared" si="24"/>
        <v>On-time</v>
      </c>
      <c r="G896" s="19" t="str">
        <f>_xlfn.XLOOKUP(B896,tblARV[ASN/DN '#],tblARV[Country],"Not found")</f>
        <v>Rwanda</v>
      </c>
      <c r="H896" s="19" t="str">
        <f>_xlfn.XLOOKUP($B896,tblARV[ASN/DN '#],tblARV[Fulfill Via],"Not found")</f>
        <v>From RDC</v>
      </c>
      <c r="I896" s="19" t="str">
        <f>_xlfn.XLOOKUP($B896,tblARV[ASN/DN '#],tblARV[Vendor],"Not found")</f>
        <v>SCMS from RDC</v>
      </c>
    </row>
    <row r="897" spans="2:9" ht="15">
      <c r="B897" s="7" t="s">
        <v>2631</v>
      </c>
      <c r="C897" s="10">
        <v>41243</v>
      </c>
      <c r="D897" s="10">
        <v>41219</v>
      </c>
      <c r="E897" s="18">
        <v>-48</v>
      </c>
      <c r="F897" s="13" t="str">
        <f t="shared" si="24"/>
        <v>On-time</v>
      </c>
      <c r="G897" s="19" t="str">
        <f>_xlfn.XLOOKUP(B897,tblARV[ASN/DN '#],tblARV[Country],"Not found")</f>
        <v>Tanzania</v>
      </c>
      <c r="H897" s="19" t="str">
        <f>_xlfn.XLOOKUP($B897,tblARV[ASN/DN '#],tblARV[Fulfill Via],"Not found")</f>
        <v>From RDC</v>
      </c>
      <c r="I897" s="19" t="str">
        <f>_xlfn.XLOOKUP($B897,tblARV[ASN/DN '#],tblARV[Vendor],"Not found")</f>
        <v>SCMS from RDC</v>
      </c>
    </row>
    <row r="898" spans="2:9" ht="15">
      <c r="B898" s="7" t="s">
        <v>2036</v>
      </c>
      <c r="C898" s="10">
        <v>41243</v>
      </c>
      <c r="D898" s="10">
        <v>41219</v>
      </c>
      <c r="E898" s="18">
        <v>-48</v>
      </c>
      <c r="F898" s="13" t="str">
        <f t="shared" si="24"/>
        <v>On-time</v>
      </c>
      <c r="G898" s="19" t="str">
        <f>_xlfn.XLOOKUP(B898,tblARV[ASN/DN '#],tblARV[Country],"Not found")</f>
        <v>Tanzania</v>
      </c>
      <c r="H898" s="19" t="str">
        <f>_xlfn.XLOOKUP($B898,tblARV[ASN/DN '#],tblARV[Fulfill Via],"Not found")</f>
        <v>From RDC</v>
      </c>
      <c r="I898" s="19" t="str">
        <f>_xlfn.XLOOKUP($B898,tblARV[ASN/DN '#],tblARV[Vendor],"Not found")</f>
        <v>SCMS from RDC</v>
      </c>
    </row>
    <row r="899" spans="2:9" ht="15">
      <c r="B899" s="7" t="s">
        <v>2761</v>
      </c>
      <c r="C899" s="10">
        <v>41221</v>
      </c>
      <c r="D899" s="10">
        <v>41211</v>
      </c>
      <c r="E899" s="18">
        <v>-10</v>
      </c>
      <c r="F899" s="13" t="str">
        <f t="shared" si="24"/>
        <v>On-time</v>
      </c>
      <c r="G899" s="19" t="str">
        <f>_xlfn.XLOOKUP(B899,tblARV[ASN/DN '#],tblARV[Country],"Not found")</f>
        <v>Uganda</v>
      </c>
      <c r="H899" s="19" t="str">
        <f>_xlfn.XLOOKUP($B899,tblARV[ASN/DN '#],tblARV[Fulfill Via],"Not found")</f>
        <v>From RDC</v>
      </c>
      <c r="I899" s="19" t="str">
        <f>_xlfn.XLOOKUP($B899,tblARV[ASN/DN '#],tblARV[Vendor],"Not found")</f>
        <v>SCMS from RDC</v>
      </c>
    </row>
    <row r="900" spans="2:9" ht="15">
      <c r="B900" s="7" t="s">
        <v>2235</v>
      </c>
      <c r="C900" s="10">
        <v>41249</v>
      </c>
      <c r="D900" s="10">
        <v>41211</v>
      </c>
      <c r="E900" s="18">
        <v>-76</v>
      </c>
      <c r="F900" s="13" t="str">
        <f t="shared" si="24"/>
        <v>On-time</v>
      </c>
      <c r="G900" s="19" t="str">
        <f>_xlfn.XLOOKUP(B900,tblARV[ASN/DN '#],tblARV[Country],"Not found")</f>
        <v>Uganda</v>
      </c>
      <c r="H900" s="19" t="str">
        <f>_xlfn.XLOOKUP($B900,tblARV[ASN/DN '#],tblARV[Fulfill Via],"Not found")</f>
        <v>From RDC</v>
      </c>
      <c r="I900" s="19" t="str">
        <f>_xlfn.XLOOKUP($B900,tblARV[ASN/DN '#],tblARV[Vendor],"Not found")</f>
        <v>SCMS from RDC</v>
      </c>
    </row>
    <row r="901" spans="2:9" ht="15">
      <c r="B901" s="7" t="s">
        <v>299</v>
      </c>
      <c r="C901" s="10">
        <v>39335</v>
      </c>
      <c r="D901" s="10">
        <v>39335</v>
      </c>
      <c r="E901" s="18">
        <v>0</v>
      </c>
      <c r="F901" s="13" t="str">
        <f t="shared" si="24"/>
        <v>On-time</v>
      </c>
      <c r="G901" s="19" t="str">
        <f>_xlfn.XLOOKUP(B901,tblARV[ASN/DN '#],tblARV[Country],"Not found")</f>
        <v>Tanzania</v>
      </c>
      <c r="H901" s="19" t="str">
        <f>_xlfn.XLOOKUP($B901,tblARV[ASN/DN '#],tblARV[Fulfill Via],"Not found")</f>
        <v>From RDC</v>
      </c>
      <c r="I901" s="19" t="str">
        <f>_xlfn.XLOOKUP($B901,tblARV[ASN/DN '#],tblARV[Vendor],"Not found")</f>
        <v>SCMS from RDC</v>
      </c>
    </row>
    <row r="902" spans="2:9" ht="15">
      <c r="B902" s="7" t="s">
        <v>388</v>
      </c>
      <c r="C902" s="10">
        <v>39323</v>
      </c>
      <c r="D902" s="10">
        <v>39323</v>
      </c>
      <c r="E902" s="18">
        <v>0</v>
      </c>
      <c r="F902" s="13" t="str">
        <f t="shared" si="24"/>
        <v>On-time</v>
      </c>
      <c r="G902" s="19" t="str">
        <f>_xlfn.XLOOKUP(B902,tblARV[ASN/DN '#],tblARV[Country],"Not found")</f>
        <v>Tanzania</v>
      </c>
      <c r="H902" s="19" t="str">
        <f>_xlfn.XLOOKUP($B902,tblARV[ASN/DN '#],tblARV[Fulfill Via],"Not found")</f>
        <v>From RDC</v>
      </c>
      <c r="I902" s="19" t="str">
        <f>_xlfn.XLOOKUP($B902,tblARV[ASN/DN '#],tblARV[Vendor],"Not found")</f>
        <v>SCMS from RDC</v>
      </c>
    </row>
    <row r="903" spans="2:9" ht="15">
      <c r="B903" s="7" t="s">
        <v>2633</v>
      </c>
      <c r="C903" s="10">
        <v>41290</v>
      </c>
      <c r="D903" s="10">
        <v>41290</v>
      </c>
      <c r="E903" s="18">
        <v>0</v>
      </c>
      <c r="F903" s="13" t="str">
        <f t="shared" si="24"/>
        <v>On-time</v>
      </c>
      <c r="G903" s="19" t="str">
        <f>_xlfn.XLOOKUP(B903,tblARV[ASN/DN '#],tblARV[Country],"Not found")</f>
        <v>Rwanda</v>
      </c>
      <c r="H903" s="19" t="str">
        <f>_xlfn.XLOOKUP($B903,tblARV[ASN/DN '#],tblARV[Fulfill Via],"Not found")</f>
        <v>From RDC</v>
      </c>
      <c r="I903" s="19" t="str">
        <f>_xlfn.XLOOKUP($B903,tblARV[ASN/DN '#],tblARV[Vendor],"Not found")</f>
        <v>SCMS from RDC</v>
      </c>
    </row>
    <row r="904" spans="2:9" ht="15">
      <c r="B904" s="7" t="s">
        <v>2635</v>
      </c>
      <c r="C904" s="10">
        <v>41290</v>
      </c>
      <c r="D904" s="10">
        <v>41290</v>
      </c>
      <c r="E904" s="18">
        <v>0</v>
      </c>
      <c r="F904" s="13" t="str">
        <f t="shared" si="24"/>
        <v>On-time</v>
      </c>
      <c r="G904" s="19" t="str">
        <f>_xlfn.XLOOKUP(B904,tblARV[ASN/DN '#],tblARV[Country],"Not found")</f>
        <v>Rwanda</v>
      </c>
      <c r="H904" s="19" t="str">
        <f>_xlfn.XLOOKUP($B904,tblARV[ASN/DN '#],tblARV[Fulfill Via],"Not found")</f>
        <v>From RDC</v>
      </c>
      <c r="I904" s="19" t="str">
        <f>_xlfn.XLOOKUP($B904,tblARV[ASN/DN '#],tblARV[Vendor],"Not found")</f>
        <v>SCMS from RDC</v>
      </c>
    </row>
    <row r="905" spans="2:9" ht="15">
      <c r="B905" s="7" t="s">
        <v>1611</v>
      </c>
      <c r="C905" s="10">
        <v>41274</v>
      </c>
      <c r="D905" s="10">
        <v>41232</v>
      </c>
      <c r="E905" s="18">
        <v>-42</v>
      </c>
      <c r="F905" s="13" t="str">
        <f t="shared" si="24"/>
        <v>On-time</v>
      </c>
      <c r="G905" s="19" t="str">
        <f>_xlfn.XLOOKUP(B905,tblARV[ASN/DN '#],tblARV[Country],"Not found")</f>
        <v>Uganda</v>
      </c>
      <c r="H905" s="19" t="str">
        <f>_xlfn.XLOOKUP($B905,tblARV[ASN/DN '#],tblARV[Fulfill Via],"Not found")</f>
        <v>From RDC</v>
      </c>
      <c r="I905" s="19" t="str">
        <f>_xlfn.XLOOKUP($B905,tblARV[ASN/DN '#],tblARV[Vendor],"Not found")</f>
        <v>SCMS from RDC</v>
      </c>
    </row>
    <row r="906" spans="2:9" ht="15">
      <c r="B906" s="7" t="s">
        <v>572</v>
      </c>
      <c r="C906" s="10">
        <v>39323</v>
      </c>
      <c r="D906" s="10">
        <v>39323</v>
      </c>
      <c r="E906" s="18">
        <v>0</v>
      </c>
      <c r="F906" s="13" t="str">
        <f t="shared" si="24"/>
        <v>On-time</v>
      </c>
      <c r="G906" s="19" t="str">
        <f>_xlfn.XLOOKUP(B906,tblARV[ASN/DN '#],tblARV[Country],"Not found")</f>
        <v>Tanzania</v>
      </c>
      <c r="H906" s="19" t="str">
        <f>_xlfn.XLOOKUP($B906,tblARV[ASN/DN '#],tblARV[Fulfill Via],"Not found")</f>
        <v>From RDC</v>
      </c>
      <c r="I906" s="19" t="str">
        <f>_xlfn.XLOOKUP($B906,tblARV[ASN/DN '#],tblARV[Vendor],"Not found")</f>
        <v>SCMS from RDC</v>
      </c>
    </row>
    <row r="907" spans="2:9" ht="15">
      <c r="B907" s="7" t="s">
        <v>1613</v>
      </c>
      <c r="C907" s="10">
        <v>41253</v>
      </c>
      <c r="D907" s="10">
        <v>41232</v>
      </c>
      <c r="E907" s="18">
        <v>-42</v>
      </c>
      <c r="F907" s="13" t="str">
        <f t="shared" si="24"/>
        <v>On-time</v>
      </c>
      <c r="G907" s="19" t="str">
        <f>_xlfn.XLOOKUP(B907,tblARV[ASN/DN '#],tblARV[Country],"Not found")</f>
        <v>Uganda</v>
      </c>
      <c r="H907" s="19" t="str">
        <f>_xlfn.XLOOKUP($B907,tblARV[ASN/DN '#],tblARV[Fulfill Via],"Not found")</f>
        <v>From RDC</v>
      </c>
      <c r="I907" s="19" t="str">
        <f>_xlfn.XLOOKUP($B907,tblARV[ASN/DN '#],tblARV[Vendor],"Not found")</f>
        <v>SCMS from RDC</v>
      </c>
    </row>
    <row r="908" spans="2:9" ht="15">
      <c r="B908" s="7" t="s">
        <v>2763</v>
      </c>
      <c r="C908" s="10">
        <v>41249</v>
      </c>
      <c r="D908" s="10">
        <v>41233</v>
      </c>
      <c r="E908" s="18">
        <v>-16</v>
      </c>
      <c r="F908" s="13" t="str">
        <f t="shared" si="24"/>
        <v>On-time</v>
      </c>
      <c r="G908" s="19" t="str">
        <f>_xlfn.XLOOKUP(B908,tblARV[ASN/DN '#],tblARV[Country],"Not found")</f>
        <v>Uganda</v>
      </c>
      <c r="H908" s="19" t="str">
        <f>_xlfn.XLOOKUP($B908,tblARV[ASN/DN '#],tblARV[Fulfill Via],"Not found")</f>
        <v>From RDC</v>
      </c>
      <c r="I908" s="19" t="str">
        <f>_xlfn.XLOOKUP($B908,tblARV[ASN/DN '#],tblARV[Vendor],"Not found")</f>
        <v>SCMS from RDC</v>
      </c>
    </row>
    <row r="909" spans="2:9" ht="15">
      <c r="B909" s="7" t="s">
        <v>2765</v>
      </c>
      <c r="C909" s="10">
        <v>41250</v>
      </c>
      <c r="D909" s="10">
        <v>41241</v>
      </c>
      <c r="E909" s="18">
        <v>-9</v>
      </c>
      <c r="F909" s="13" t="str">
        <f t="shared" si="24"/>
        <v>On-time</v>
      </c>
      <c r="G909" s="19" t="str">
        <f>_xlfn.XLOOKUP(B909,tblARV[ASN/DN '#],tblARV[Country],"Not found")</f>
        <v>Uganda</v>
      </c>
      <c r="H909" s="19" t="str">
        <f>_xlfn.XLOOKUP($B909,tblARV[ASN/DN '#],tblARV[Fulfill Via],"Not found")</f>
        <v>From RDC</v>
      </c>
      <c r="I909" s="19" t="str">
        <f>_xlfn.XLOOKUP($B909,tblARV[ASN/DN '#],tblARV[Vendor],"Not found")</f>
        <v>SCMS from RDC</v>
      </c>
    </row>
    <row r="910" spans="2:9" ht="15">
      <c r="B910" s="7" t="s">
        <v>2383</v>
      </c>
      <c r="C910" s="10">
        <v>41263</v>
      </c>
      <c r="D910" s="10">
        <v>41241</v>
      </c>
      <c r="E910" s="18">
        <v>-22</v>
      </c>
      <c r="F910" s="13" t="str">
        <f t="shared" si="24"/>
        <v>On-time</v>
      </c>
      <c r="G910" s="19" t="str">
        <f>_xlfn.XLOOKUP(B910,tblARV[ASN/DN '#],tblARV[Country],"Not found")</f>
        <v>Uganda</v>
      </c>
      <c r="H910" s="19" t="str">
        <f>_xlfn.XLOOKUP($B910,tblARV[ASN/DN '#],tblARV[Fulfill Via],"Not found")</f>
        <v>From RDC</v>
      </c>
      <c r="I910" s="19" t="str">
        <f>_xlfn.XLOOKUP($B910,tblARV[ASN/DN '#],tblARV[Vendor],"Not found")</f>
        <v>SCMS from RDC</v>
      </c>
    </row>
    <row r="911" spans="2:9" ht="15">
      <c r="B911" s="7" t="s">
        <v>2040</v>
      </c>
      <c r="C911" s="10">
        <v>41277</v>
      </c>
      <c r="D911" s="10">
        <v>41241</v>
      </c>
      <c r="E911" s="18">
        <v>-36</v>
      </c>
      <c r="F911" s="13" t="str">
        <f t="shared" si="24"/>
        <v>On-time</v>
      </c>
      <c r="G911" s="19" t="str">
        <f>_xlfn.XLOOKUP(B911,tblARV[ASN/DN '#],tblARV[Country],"Not found")</f>
        <v>Uganda</v>
      </c>
      <c r="H911" s="19" t="str">
        <f>_xlfn.XLOOKUP($B911,tblARV[ASN/DN '#],tblARV[Fulfill Via],"Not found")</f>
        <v>From RDC</v>
      </c>
      <c r="I911" s="19" t="str">
        <f>_xlfn.XLOOKUP($B911,tblARV[ASN/DN '#],tblARV[Vendor],"Not found")</f>
        <v>SCMS from RDC</v>
      </c>
    </row>
    <row r="912" spans="2:9" ht="15">
      <c r="B912" s="7" t="s">
        <v>522</v>
      </c>
      <c r="C912" s="10">
        <v>39351</v>
      </c>
      <c r="D912" s="10">
        <v>39351</v>
      </c>
      <c r="E912" s="18">
        <v>0</v>
      </c>
      <c r="F912" s="13" t="str">
        <f t="shared" si="24"/>
        <v>On-time</v>
      </c>
      <c r="G912" s="19" t="str">
        <f>_xlfn.XLOOKUP(B912,tblARV[ASN/DN '#],tblARV[Country],"Not found")</f>
        <v>Tanzania</v>
      </c>
      <c r="H912" s="19" t="str">
        <f>_xlfn.XLOOKUP($B912,tblARV[ASN/DN '#],tblARV[Fulfill Via],"Not found")</f>
        <v>From RDC</v>
      </c>
      <c r="I912" s="19" t="str">
        <f>_xlfn.XLOOKUP($B912,tblARV[ASN/DN '#],tblARV[Vendor],"Not found")</f>
        <v>SCMS from RDC</v>
      </c>
    </row>
    <row r="913" spans="2:9" ht="15">
      <c r="B913" s="7" t="s">
        <v>1615</v>
      </c>
      <c r="C913" s="10">
        <v>41306</v>
      </c>
      <c r="D913" s="10">
        <v>41306</v>
      </c>
      <c r="E913" s="18">
        <v>0</v>
      </c>
      <c r="F913" s="13" t="str">
        <f t="shared" si="24"/>
        <v>On-time</v>
      </c>
      <c r="G913" s="19" t="str">
        <f>_xlfn.XLOOKUP(B913,tblARV[ASN/DN '#],tblARV[Country],"Not found")</f>
        <v>Uganda</v>
      </c>
      <c r="H913" s="19" t="str">
        <f>_xlfn.XLOOKUP($B913,tblARV[ASN/DN '#],tblARV[Fulfill Via],"Not found")</f>
        <v>From RDC</v>
      </c>
      <c r="I913" s="19" t="str">
        <f>_xlfn.XLOOKUP($B913,tblARV[ASN/DN '#],tblARV[Vendor],"Not found")</f>
        <v>SCMS from RDC</v>
      </c>
    </row>
    <row r="914" spans="2:9" ht="15">
      <c r="B914" s="7" t="s">
        <v>1617</v>
      </c>
      <c r="C914" s="10">
        <v>41307</v>
      </c>
      <c r="D914" s="10">
        <v>41307</v>
      </c>
      <c r="E914" s="18">
        <v>0</v>
      </c>
      <c r="F914" s="13" t="str">
        <f t="shared" si="24"/>
        <v>On-time</v>
      </c>
      <c r="G914" s="19" t="str">
        <f>_xlfn.XLOOKUP(B914,tblARV[ASN/DN '#],tblARV[Country],"Not found")</f>
        <v>Uganda</v>
      </c>
      <c r="H914" s="19" t="str">
        <f>_xlfn.XLOOKUP($B914,tblARV[ASN/DN '#],tblARV[Fulfill Via],"Not found")</f>
        <v>From RDC</v>
      </c>
      <c r="I914" s="19" t="str">
        <f>_xlfn.XLOOKUP($B914,tblARV[ASN/DN '#],tblARV[Vendor],"Not found")</f>
        <v>SCMS from RDC</v>
      </c>
    </row>
    <row r="915" spans="2:9" ht="15">
      <c r="B915" s="7" t="s">
        <v>2491</v>
      </c>
      <c r="C915" s="10">
        <v>41307</v>
      </c>
      <c r="D915" s="10">
        <v>41307</v>
      </c>
      <c r="E915" s="18">
        <v>0</v>
      </c>
      <c r="F915" s="13" t="str">
        <f t="shared" si="24"/>
        <v>On-time</v>
      </c>
      <c r="G915" s="19" t="str">
        <f>_xlfn.XLOOKUP(B915,tblARV[ASN/DN '#],tblARV[Country],"Not found")</f>
        <v>Uganda</v>
      </c>
      <c r="H915" s="19" t="str">
        <f>_xlfn.XLOOKUP($B915,tblARV[ASN/DN '#],tblARV[Fulfill Via],"Not found")</f>
        <v>From RDC</v>
      </c>
      <c r="I915" s="19" t="str">
        <f>_xlfn.XLOOKUP($B915,tblARV[ASN/DN '#],tblARV[Vendor],"Not found")</f>
        <v>SCMS from RDC</v>
      </c>
    </row>
    <row r="916" spans="2:9" ht="15">
      <c r="B916" s="7" t="s">
        <v>1833</v>
      </c>
      <c r="C916" s="10">
        <v>41311</v>
      </c>
      <c r="D916" s="10">
        <v>41311</v>
      </c>
      <c r="E916" s="18">
        <v>0</v>
      </c>
      <c r="F916" s="13" t="str">
        <f t="shared" si="24"/>
        <v>On-time</v>
      </c>
      <c r="G916" s="19" t="str">
        <f>_xlfn.XLOOKUP(B916,tblARV[ASN/DN '#],tblARV[Country],"Not found")</f>
        <v>Rwanda</v>
      </c>
      <c r="H916" s="19" t="str">
        <f>_xlfn.XLOOKUP($B916,tblARV[ASN/DN '#],tblARV[Fulfill Via],"Not found")</f>
        <v>From RDC</v>
      </c>
      <c r="I916" s="19" t="str">
        <f>_xlfn.XLOOKUP($B916,tblARV[ASN/DN '#],tblARV[Vendor],"Not found")</f>
        <v>SCMS from RDC</v>
      </c>
    </row>
    <row r="917" spans="2:9" ht="15">
      <c r="B917" s="7" t="s">
        <v>2493</v>
      </c>
      <c r="C917" s="10">
        <v>41337</v>
      </c>
      <c r="D917" s="10">
        <v>41337</v>
      </c>
      <c r="E917" s="18">
        <v>0</v>
      </c>
      <c r="F917" s="13" t="str">
        <f t="shared" ref="F917:F980" si="25">IF($E917&lt;=0,"On-time","Late")</f>
        <v>On-time</v>
      </c>
      <c r="G917" s="19" t="str">
        <f>_xlfn.XLOOKUP(B917,tblARV[ASN/DN '#],tblARV[Country],"Not found")</f>
        <v>Tanzania</v>
      </c>
      <c r="H917" s="19" t="str">
        <f>_xlfn.XLOOKUP($B917,tblARV[ASN/DN '#],tblARV[Fulfill Via],"Not found")</f>
        <v>From RDC</v>
      </c>
      <c r="I917" s="19" t="str">
        <f>_xlfn.XLOOKUP($B917,tblARV[ASN/DN '#],tblARV[Vendor],"Not found")</f>
        <v>SCMS from RDC</v>
      </c>
    </row>
    <row r="918" spans="2:9" ht="15">
      <c r="B918" s="7" t="s">
        <v>2385</v>
      </c>
      <c r="C918" s="10">
        <v>41333</v>
      </c>
      <c r="D918" s="10">
        <v>41323</v>
      </c>
      <c r="E918" s="18">
        <v>-10</v>
      </c>
      <c r="F918" s="13" t="str">
        <f t="shared" si="25"/>
        <v>On-time</v>
      </c>
      <c r="G918" s="19" t="str">
        <f>_xlfn.XLOOKUP(B918,tblARV[ASN/DN '#],tblARV[Country],"Not found")</f>
        <v>Tanzania</v>
      </c>
      <c r="H918" s="19" t="str">
        <f>_xlfn.XLOOKUP($B918,tblARV[ASN/DN '#],tblARV[Fulfill Via],"Not found")</f>
        <v>From RDC</v>
      </c>
      <c r="I918" s="19" t="str">
        <f>_xlfn.XLOOKUP($B918,tblARV[ASN/DN '#],tblARV[Vendor],"Not found")</f>
        <v>SCMS from RDC</v>
      </c>
    </row>
    <row r="919" spans="2:9" ht="15">
      <c r="B919" s="7" t="s">
        <v>2637</v>
      </c>
      <c r="C919" s="10">
        <v>41310</v>
      </c>
      <c r="D919" s="10">
        <v>41310</v>
      </c>
      <c r="E919" s="18">
        <v>0</v>
      </c>
      <c r="F919" s="13" t="str">
        <f t="shared" si="25"/>
        <v>On-time</v>
      </c>
      <c r="G919" s="19" t="str">
        <f>_xlfn.XLOOKUP(B919,tblARV[ASN/DN '#],tblARV[Country],"Not found")</f>
        <v>Uganda</v>
      </c>
      <c r="H919" s="19" t="str">
        <f>_xlfn.XLOOKUP($B919,tblARV[ASN/DN '#],tblARV[Fulfill Via],"Not found")</f>
        <v>From RDC</v>
      </c>
      <c r="I919" s="19" t="str">
        <f>_xlfn.XLOOKUP($B919,tblARV[ASN/DN '#],tblARV[Vendor],"Not found")</f>
        <v>SCMS from RDC</v>
      </c>
    </row>
    <row r="920" spans="2:9" ht="15">
      <c r="B920" s="7" t="s">
        <v>390</v>
      </c>
      <c r="C920" s="10">
        <v>39372</v>
      </c>
      <c r="D920" s="10">
        <v>39372</v>
      </c>
      <c r="E920" s="18">
        <v>0</v>
      </c>
      <c r="F920" s="13" t="str">
        <f t="shared" si="25"/>
        <v>On-time</v>
      </c>
      <c r="G920" s="19" t="str">
        <f>_xlfn.XLOOKUP(B920,tblARV[ASN/DN '#],tblARV[Country],"Not found")</f>
        <v>Uganda</v>
      </c>
      <c r="H920" s="19" t="str">
        <f>_xlfn.XLOOKUP($B920,tblARV[ASN/DN '#],tblARV[Fulfill Via],"Not found")</f>
        <v>From RDC</v>
      </c>
      <c r="I920" s="19" t="str">
        <f>_xlfn.XLOOKUP($B920,tblARV[ASN/DN '#],tblARV[Vendor],"Not found")</f>
        <v>SCMS from RDC</v>
      </c>
    </row>
    <row r="921" spans="2:9" ht="15">
      <c r="B921" s="7" t="s">
        <v>2237</v>
      </c>
      <c r="C921" s="10">
        <v>41305</v>
      </c>
      <c r="D921" s="10">
        <v>41306</v>
      </c>
      <c r="E921" s="18">
        <v>2</v>
      </c>
      <c r="F921" s="13" t="str">
        <f t="shared" si="25"/>
        <v>Late</v>
      </c>
      <c r="G921" s="19" t="str">
        <f>_xlfn.XLOOKUP(B921,tblARV[ASN/DN '#],tblARV[Country],"Not found")</f>
        <v>Uganda</v>
      </c>
      <c r="H921" s="19" t="str">
        <f>_xlfn.XLOOKUP($B921,tblARV[ASN/DN '#],tblARV[Fulfill Via],"Not found")</f>
        <v>From RDC</v>
      </c>
      <c r="I921" s="19" t="str">
        <f>_xlfn.XLOOKUP($B921,tblARV[ASN/DN '#],tblARV[Vendor],"Not found")</f>
        <v>SCMS from RDC</v>
      </c>
    </row>
    <row r="922" spans="2:9" ht="15">
      <c r="B922" s="7" t="s">
        <v>1835</v>
      </c>
      <c r="C922" s="10">
        <v>41333</v>
      </c>
      <c r="D922" s="10">
        <v>40965</v>
      </c>
      <c r="E922" s="18">
        <v>-368</v>
      </c>
      <c r="F922" s="13" t="str">
        <f t="shared" si="25"/>
        <v>On-time</v>
      </c>
      <c r="G922" s="19" t="str">
        <f>_xlfn.XLOOKUP(B922,tblARV[ASN/DN '#],tblARV[Country],"Not found")</f>
        <v>Tanzania</v>
      </c>
      <c r="H922" s="19" t="str">
        <f>_xlfn.XLOOKUP($B922,tblARV[ASN/DN '#],tblARV[Fulfill Via],"Not found")</f>
        <v>From RDC</v>
      </c>
      <c r="I922" s="19" t="str">
        <f>_xlfn.XLOOKUP($B922,tblARV[ASN/DN '#],tblARV[Vendor],"Not found")</f>
        <v>SCMS from RDC</v>
      </c>
    </row>
    <row r="923" spans="2:9" ht="15">
      <c r="B923" s="7" t="s">
        <v>2239</v>
      </c>
      <c r="C923" s="10">
        <v>41312</v>
      </c>
      <c r="D923" s="10">
        <v>41312</v>
      </c>
      <c r="E923" s="18">
        <v>0</v>
      </c>
      <c r="F923" s="13" t="str">
        <f t="shared" si="25"/>
        <v>On-time</v>
      </c>
      <c r="G923" s="19" t="str">
        <f>_xlfn.XLOOKUP(B923,tblARV[ASN/DN '#],tblARV[Country],"Not found")</f>
        <v>Rwanda</v>
      </c>
      <c r="H923" s="19" t="str">
        <f>_xlfn.XLOOKUP($B923,tblARV[ASN/DN '#],tblARV[Fulfill Via],"Not found")</f>
        <v>From RDC</v>
      </c>
      <c r="I923" s="19" t="str">
        <f>_xlfn.XLOOKUP($B923,tblARV[ASN/DN '#],tblARV[Vendor],"Not found")</f>
        <v>SCMS from RDC</v>
      </c>
    </row>
    <row r="924" spans="2:9" ht="15">
      <c r="B924" s="7" t="s">
        <v>2241</v>
      </c>
      <c r="C924" s="10">
        <v>41310</v>
      </c>
      <c r="D924" s="10">
        <v>41310</v>
      </c>
      <c r="E924" s="18">
        <v>0</v>
      </c>
      <c r="F924" s="13" t="str">
        <f t="shared" si="25"/>
        <v>On-time</v>
      </c>
      <c r="G924" s="19" t="str">
        <f>_xlfn.XLOOKUP(B924,tblARV[ASN/DN '#],tblARV[Country],"Not found")</f>
        <v>Uganda</v>
      </c>
      <c r="H924" s="19" t="str">
        <f>_xlfn.XLOOKUP($B924,tblARV[ASN/DN '#],tblARV[Fulfill Via],"Not found")</f>
        <v>From RDC</v>
      </c>
      <c r="I924" s="19" t="str">
        <f>_xlfn.XLOOKUP($B924,tblARV[ASN/DN '#],tblARV[Vendor],"Not found")</f>
        <v>SCMS from RDC</v>
      </c>
    </row>
    <row r="925" spans="2:9" ht="15">
      <c r="B925" s="7" t="s">
        <v>301</v>
      </c>
      <c r="C925" s="10">
        <v>39321</v>
      </c>
      <c r="D925" s="10">
        <v>39321</v>
      </c>
      <c r="E925" s="18">
        <v>0</v>
      </c>
      <c r="F925" s="13" t="str">
        <f t="shared" si="25"/>
        <v>On-time</v>
      </c>
      <c r="G925" s="19" t="str">
        <f>_xlfn.XLOOKUP(B925,tblARV[ASN/DN '#],tblARV[Country],"Not found")</f>
        <v>Uganda</v>
      </c>
      <c r="H925" s="19" t="str">
        <f>_xlfn.XLOOKUP($B925,tblARV[ASN/DN '#],tblARV[Fulfill Via],"Not found")</f>
        <v>From RDC</v>
      </c>
      <c r="I925" s="19" t="str">
        <f>_xlfn.XLOOKUP($B925,tblARV[ASN/DN '#],tblARV[Vendor],"Not found")</f>
        <v>SCMS from RDC</v>
      </c>
    </row>
    <row r="926" spans="2:9" ht="15">
      <c r="B926" s="7" t="s">
        <v>2639</v>
      </c>
      <c r="C926" s="10">
        <v>41344</v>
      </c>
      <c r="D926" s="10">
        <v>41323</v>
      </c>
      <c r="E926" s="18">
        <v>-21</v>
      </c>
      <c r="F926" s="13" t="str">
        <f t="shared" si="25"/>
        <v>On-time</v>
      </c>
      <c r="G926" s="19" t="str">
        <f>_xlfn.XLOOKUP(B926,tblARV[ASN/DN '#],tblARV[Country],"Not found")</f>
        <v>Tanzania</v>
      </c>
      <c r="H926" s="19" t="str">
        <f>_xlfn.XLOOKUP($B926,tblARV[ASN/DN '#],tblARV[Fulfill Via],"Not found")</f>
        <v>From RDC</v>
      </c>
      <c r="I926" s="19" t="str">
        <f>_xlfn.XLOOKUP($B926,tblARV[ASN/DN '#],tblARV[Vendor],"Not found")</f>
        <v>SCMS from RDC</v>
      </c>
    </row>
    <row r="927" spans="2:9" ht="15">
      <c r="B927" s="7" t="s">
        <v>2641</v>
      </c>
      <c r="C927" s="10">
        <v>41327</v>
      </c>
      <c r="D927" s="10">
        <v>41330</v>
      </c>
      <c r="E927" s="18">
        <v>6</v>
      </c>
      <c r="F927" s="13" t="str">
        <f t="shared" si="25"/>
        <v>Late</v>
      </c>
      <c r="G927" s="19" t="str">
        <f>_xlfn.XLOOKUP(B927,tblARV[ASN/DN '#],tblARV[Country],"Not found")</f>
        <v>Uganda</v>
      </c>
      <c r="H927" s="19" t="str">
        <f>_xlfn.XLOOKUP($B927,tblARV[ASN/DN '#],tblARV[Fulfill Via],"Not found")</f>
        <v>From RDC</v>
      </c>
      <c r="I927" s="19" t="str">
        <f>_xlfn.XLOOKUP($B927,tblARV[ASN/DN '#],tblARV[Vendor],"Not found")</f>
        <v>SCMS from RDC</v>
      </c>
    </row>
    <row r="928" spans="2:9" ht="15">
      <c r="B928" s="7" t="s">
        <v>2042</v>
      </c>
      <c r="C928" s="10">
        <v>41327</v>
      </c>
      <c r="D928" s="10">
        <v>41333</v>
      </c>
      <c r="E928" s="18">
        <v>6</v>
      </c>
      <c r="F928" s="13" t="str">
        <f t="shared" si="25"/>
        <v>Late</v>
      </c>
      <c r="G928" s="19" t="str">
        <f>_xlfn.XLOOKUP(B928,tblARV[ASN/DN '#],tblARV[Country],"Not found")</f>
        <v>Uganda</v>
      </c>
      <c r="H928" s="19" t="str">
        <f>_xlfn.XLOOKUP($B928,tblARV[ASN/DN '#],tblARV[Fulfill Via],"Not found")</f>
        <v>From RDC</v>
      </c>
      <c r="I928" s="19" t="str">
        <f>_xlfn.XLOOKUP($B928,tblARV[ASN/DN '#],tblARV[Vendor],"Not found")</f>
        <v>SCMS from RDC</v>
      </c>
    </row>
    <row r="929" spans="2:9" ht="15">
      <c r="B929" s="7" t="s">
        <v>1619</v>
      </c>
      <c r="C929" s="10">
        <v>41316</v>
      </c>
      <c r="D929" s="10">
        <v>41340</v>
      </c>
      <c r="E929" s="18">
        <v>48</v>
      </c>
      <c r="F929" s="13" t="str">
        <f t="shared" si="25"/>
        <v>Late</v>
      </c>
      <c r="G929" s="19" t="str">
        <f>_xlfn.XLOOKUP(B929,tblARV[ASN/DN '#],tblARV[Country],"Not found")</f>
        <v>Uganda</v>
      </c>
      <c r="H929" s="19" t="str">
        <f>_xlfn.XLOOKUP($B929,tblARV[ASN/DN '#],tblARV[Fulfill Via],"Not found")</f>
        <v>From RDC</v>
      </c>
      <c r="I929" s="19" t="str">
        <f>_xlfn.XLOOKUP($B929,tblARV[ASN/DN '#],tblARV[Vendor],"Not found")</f>
        <v>SCMS from RDC</v>
      </c>
    </row>
    <row r="930" spans="2:9" ht="15">
      <c r="B930" s="7" t="s">
        <v>2044</v>
      </c>
      <c r="C930" s="10">
        <v>41327</v>
      </c>
      <c r="D930" s="10">
        <v>41325</v>
      </c>
      <c r="E930" s="18">
        <v>-8</v>
      </c>
      <c r="F930" s="13" t="str">
        <f t="shared" si="25"/>
        <v>On-time</v>
      </c>
      <c r="G930" s="19" t="str">
        <f>_xlfn.XLOOKUP(B930,tblARV[ASN/DN '#],tblARV[Country],"Not found")</f>
        <v>Uganda</v>
      </c>
      <c r="H930" s="19" t="str">
        <f>_xlfn.XLOOKUP($B930,tblARV[ASN/DN '#],tblARV[Fulfill Via],"Not found")</f>
        <v>From RDC</v>
      </c>
      <c r="I930" s="19" t="str">
        <f>_xlfn.XLOOKUP($B930,tblARV[ASN/DN '#],tblARV[Vendor],"Not found")</f>
        <v>SCMS from RDC</v>
      </c>
    </row>
    <row r="931" spans="2:9" ht="15">
      <c r="B931" s="7" t="s">
        <v>2643</v>
      </c>
      <c r="C931" s="10">
        <v>41337</v>
      </c>
      <c r="D931" s="10">
        <v>41337</v>
      </c>
      <c r="E931" s="18">
        <v>0</v>
      </c>
      <c r="F931" s="13" t="str">
        <f t="shared" si="25"/>
        <v>On-time</v>
      </c>
      <c r="G931" s="19" t="str">
        <f>_xlfn.XLOOKUP(B931,tblARV[ASN/DN '#],tblARV[Country],"Not found")</f>
        <v>Uganda</v>
      </c>
      <c r="H931" s="19" t="str">
        <f>_xlfn.XLOOKUP($B931,tblARV[ASN/DN '#],tblARV[Fulfill Via],"Not found")</f>
        <v>From RDC</v>
      </c>
      <c r="I931" s="19" t="str">
        <f>_xlfn.XLOOKUP($B931,tblARV[ASN/DN '#],tblARV[Vendor],"Not found")</f>
        <v>SCMS from RDC</v>
      </c>
    </row>
    <row r="932" spans="2:9" ht="15">
      <c r="B932" s="7" t="s">
        <v>1837</v>
      </c>
      <c r="C932" s="10">
        <v>41351</v>
      </c>
      <c r="D932" s="10">
        <v>41340</v>
      </c>
      <c r="E932" s="18">
        <v>-22</v>
      </c>
      <c r="F932" s="13" t="str">
        <f t="shared" si="25"/>
        <v>On-time</v>
      </c>
      <c r="G932" s="19" t="str">
        <f>_xlfn.XLOOKUP(B932,tblARV[ASN/DN '#],tblARV[Country],"Not found")</f>
        <v>Uganda</v>
      </c>
      <c r="H932" s="19" t="str">
        <f>_xlfn.XLOOKUP($B932,tblARV[ASN/DN '#],tblARV[Fulfill Via],"Not found")</f>
        <v>From RDC</v>
      </c>
      <c r="I932" s="19" t="str">
        <f>_xlfn.XLOOKUP($B932,tblARV[ASN/DN '#],tblARV[Vendor],"Not found")</f>
        <v>SCMS from RDC</v>
      </c>
    </row>
    <row r="933" spans="2:9" ht="15">
      <c r="B933" s="7" t="s">
        <v>1621</v>
      </c>
      <c r="C933" s="10">
        <v>41368</v>
      </c>
      <c r="D933" s="10">
        <v>41340</v>
      </c>
      <c r="E933" s="18">
        <v>-56</v>
      </c>
      <c r="F933" s="13" t="str">
        <f t="shared" si="25"/>
        <v>On-time</v>
      </c>
      <c r="G933" s="19" t="str">
        <f>_xlfn.XLOOKUP(B933,tblARV[ASN/DN '#],tblARV[Country],"Not found")</f>
        <v>Uganda</v>
      </c>
      <c r="H933" s="19" t="str">
        <f>_xlfn.XLOOKUP($B933,tblARV[ASN/DN '#],tblARV[Fulfill Via],"Not found")</f>
        <v>From RDC</v>
      </c>
      <c r="I933" s="19" t="str">
        <f>_xlfn.XLOOKUP($B933,tblARV[ASN/DN '#],tblARV[Vendor],"Not found")</f>
        <v>SCMS from RDC</v>
      </c>
    </row>
    <row r="934" spans="2:9" ht="15">
      <c r="B934" s="7" t="s">
        <v>2827</v>
      </c>
      <c r="C934" s="10">
        <v>41364</v>
      </c>
      <c r="D934" s="10">
        <v>41355</v>
      </c>
      <c r="E934" s="18">
        <v>-9</v>
      </c>
      <c r="F934" s="13" t="str">
        <f t="shared" si="25"/>
        <v>On-time</v>
      </c>
      <c r="G934" s="19" t="str">
        <f>_xlfn.XLOOKUP(B934,tblARV[ASN/DN '#],tblARV[Country],"Not found")</f>
        <v>South Sudan</v>
      </c>
      <c r="H934" s="19" t="str">
        <f>_xlfn.XLOOKUP($B934,tblARV[ASN/DN '#],tblARV[Fulfill Via],"Not found")</f>
        <v>From RDC</v>
      </c>
      <c r="I934" s="19" t="str">
        <f>_xlfn.XLOOKUP($B934,tblARV[ASN/DN '#],tblARV[Vendor],"Not found")</f>
        <v>SCMS from RDC</v>
      </c>
    </row>
    <row r="935" spans="2:9" ht="15">
      <c r="B935" s="7" t="s">
        <v>2387</v>
      </c>
      <c r="C935" s="10">
        <v>41362</v>
      </c>
      <c r="D935" s="10">
        <v>41334</v>
      </c>
      <c r="E935" s="18">
        <v>-84</v>
      </c>
      <c r="F935" s="13" t="str">
        <f t="shared" si="25"/>
        <v>On-time</v>
      </c>
      <c r="G935" s="19" t="str">
        <f>_xlfn.XLOOKUP(B935,tblARV[ASN/DN '#],tblARV[Country],"Not found")</f>
        <v>Uganda</v>
      </c>
      <c r="H935" s="19" t="str">
        <f>_xlfn.XLOOKUP($B935,tblARV[ASN/DN '#],tblARV[Fulfill Via],"Not found")</f>
        <v>From RDC</v>
      </c>
      <c r="I935" s="19" t="str">
        <f>_xlfn.XLOOKUP($B935,tblARV[ASN/DN '#],tblARV[Vendor],"Not found")</f>
        <v>SCMS from RDC</v>
      </c>
    </row>
    <row r="936" spans="2:9" ht="15">
      <c r="B936" s="7" t="s">
        <v>2046</v>
      </c>
      <c r="C936" s="10">
        <v>41348</v>
      </c>
      <c r="D936" s="10">
        <v>41334</v>
      </c>
      <c r="E936" s="18">
        <v>-14</v>
      </c>
      <c r="F936" s="13" t="str">
        <f t="shared" si="25"/>
        <v>On-time</v>
      </c>
      <c r="G936" s="19" t="str">
        <f>_xlfn.XLOOKUP(B936,tblARV[ASN/DN '#],tblARV[Country],"Not found")</f>
        <v>Uganda</v>
      </c>
      <c r="H936" s="19" t="str">
        <f>_xlfn.XLOOKUP($B936,tblARV[ASN/DN '#],tblARV[Fulfill Via],"Not found")</f>
        <v>From RDC</v>
      </c>
      <c r="I936" s="19" t="str">
        <f>_xlfn.XLOOKUP($B936,tblARV[ASN/DN '#],tblARV[Vendor],"Not found")</f>
        <v>SCMS from RDC</v>
      </c>
    </row>
    <row r="937" spans="2:9" ht="15">
      <c r="B937" s="7" t="s">
        <v>1839</v>
      </c>
      <c r="C937" s="10">
        <v>41365</v>
      </c>
      <c r="D937" s="10">
        <v>41348</v>
      </c>
      <c r="E937" s="18">
        <v>-17</v>
      </c>
      <c r="F937" s="13" t="str">
        <f t="shared" si="25"/>
        <v>On-time</v>
      </c>
      <c r="G937" s="19" t="str">
        <f>_xlfn.XLOOKUP(B937,tblARV[ASN/DN '#],tblARV[Country],"Not found")</f>
        <v>Tanzania</v>
      </c>
      <c r="H937" s="19" t="str">
        <f>_xlfn.XLOOKUP($B937,tblARV[ASN/DN '#],tblARV[Fulfill Via],"Not found")</f>
        <v>From RDC</v>
      </c>
      <c r="I937" s="19" t="str">
        <f>_xlfn.XLOOKUP($B937,tblARV[ASN/DN '#],tblARV[Vendor],"Not found")</f>
        <v>SCMS from RDC</v>
      </c>
    </row>
    <row r="938" spans="2:9" ht="15">
      <c r="B938" s="7" t="s">
        <v>2243</v>
      </c>
      <c r="C938" s="10">
        <v>41341</v>
      </c>
      <c r="D938" s="10">
        <v>41340</v>
      </c>
      <c r="E938" s="18">
        <v>-1</v>
      </c>
      <c r="F938" s="13" t="str">
        <f t="shared" si="25"/>
        <v>On-time</v>
      </c>
      <c r="G938" s="19" t="str">
        <f>_xlfn.XLOOKUP(B938,tblARV[ASN/DN '#],tblARV[Country],"Not found")</f>
        <v>Uganda</v>
      </c>
      <c r="H938" s="19" t="str">
        <f>_xlfn.XLOOKUP($B938,tblARV[ASN/DN '#],tblARV[Fulfill Via],"Not found")</f>
        <v>From RDC</v>
      </c>
      <c r="I938" s="19" t="str">
        <f>_xlfn.XLOOKUP($B938,tblARV[ASN/DN '#],tblARV[Vendor],"Not found")</f>
        <v>SCMS from RDC</v>
      </c>
    </row>
    <row r="939" spans="2:9" ht="15">
      <c r="B939" s="7" t="s">
        <v>1623</v>
      </c>
      <c r="C939" s="10">
        <v>41362</v>
      </c>
      <c r="D939" s="10">
        <v>41339</v>
      </c>
      <c r="E939" s="18">
        <v>-23</v>
      </c>
      <c r="F939" s="13" t="str">
        <f t="shared" si="25"/>
        <v>On-time</v>
      </c>
      <c r="G939" s="19" t="str">
        <f>_xlfn.XLOOKUP(B939,tblARV[ASN/DN '#],tblARV[Country],"Not found")</f>
        <v>Uganda</v>
      </c>
      <c r="H939" s="19" t="str">
        <f>_xlfn.XLOOKUP($B939,tblARV[ASN/DN '#],tblARV[Fulfill Via],"Not found")</f>
        <v>From RDC</v>
      </c>
      <c r="I939" s="19" t="str">
        <f>_xlfn.XLOOKUP($B939,tblARV[ASN/DN '#],tblARV[Vendor],"Not found")</f>
        <v>SCMS from RDC</v>
      </c>
    </row>
    <row r="940" spans="2:9" ht="15">
      <c r="B940" s="7" t="s">
        <v>2048</v>
      </c>
      <c r="C940" s="10">
        <v>41342</v>
      </c>
      <c r="D940" s="10">
        <v>41340</v>
      </c>
      <c r="E940" s="18">
        <v>-4</v>
      </c>
      <c r="F940" s="13" t="str">
        <f t="shared" si="25"/>
        <v>On-time</v>
      </c>
      <c r="G940" s="19" t="str">
        <f>_xlfn.XLOOKUP(B940,tblARV[ASN/DN '#],tblARV[Country],"Not found")</f>
        <v>Uganda</v>
      </c>
      <c r="H940" s="19" t="str">
        <f>_xlfn.XLOOKUP($B940,tblARV[ASN/DN '#],tblARV[Fulfill Via],"Not found")</f>
        <v>From RDC</v>
      </c>
      <c r="I940" s="19" t="str">
        <f>_xlfn.XLOOKUP($B940,tblARV[ASN/DN '#],tblARV[Vendor],"Not found")</f>
        <v>SCMS from RDC</v>
      </c>
    </row>
    <row r="941" spans="2:9" ht="15">
      <c r="B941" s="7" t="s">
        <v>1841</v>
      </c>
      <c r="C941" s="10">
        <v>41364</v>
      </c>
      <c r="D941" s="10">
        <v>41366</v>
      </c>
      <c r="E941" s="18">
        <v>2</v>
      </c>
      <c r="F941" s="13" t="str">
        <f t="shared" si="25"/>
        <v>Late</v>
      </c>
      <c r="G941" s="19" t="str">
        <f>_xlfn.XLOOKUP(B941,tblARV[ASN/DN '#],tblARV[Country],"Not found")</f>
        <v>Tanzania</v>
      </c>
      <c r="H941" s="19" t="str">
        <f>_xlfn.XLOOKUP($B941,tblARV[ASN/DN '#],tblARV[Fulfill Via],"Not found")</f>
        <v>From RDC</v>
      </c>
      <c r="I941" s="19" t="str">
        <f>_xlfn.XLOOKUP($B941,tblARV[ASN/DN '#],tblARV[Vendor],"Not found")</f>
        <v>SCMS from RDC</v>
      </c>
    </row>
    <row r="942" spans="2:9" ht="15">
      <c r="B942" s="7" t="s">
        <v>1843</v>
      </c>
      <c r="C942" s="10">
        <v>41453</v>
      </c>
      <c r="D942" s="10">
        <v>41353</v>
      </c>
      <c r="E942" s="18">
        <v>-200</v>
      </c>
      <c r="F942" s="13" t="str">
        <f t="shared" si="25"/>
        <v>On-time</v>
      </c>
      <c r="G942" s="19" t="str">
        <f>_xlfn.XLOOKUP(B942,tblARV[ASN/DN '#],tblARV[Country],"Not found")</f>
        <v>Uganda</v>
      </c>
      <c r="H942" s="19" t="str">
        <f>_xlfn.XLOOKUP($B942,tblARV[ASN/DN '#],tblARV[Fulfill Via],"Not found")</f>
        <v>From RDC</v>
      </c>
      <c r="I942" s="19" t="str">
        <f>_xlfn.XLOOKUP($B942,tblARV[ASN/DN '#],tblARV[Vendor],"Not found")</f>
        <v>SCMS from RDC</v>
      </c>
    </row>
    <row r="943" spans="2:9" ht="15">
      <c r="B943" s="7" t="s">
        <v>1846</v>
      </c>
      <c r="C943" s="10">
        <v>41389</v>
      </c>
      <c r="D943" s="10">
        <v>41389</v>
      </c>
      <c r="E943" s="18">
        <v>0</v>
      </c>
      <c r="F943" s="13" t="str">
        <f t="shared" si="25"/>
        <v>On-time</v>
      </c>
      <c r="G943" s="19" t="str">
        <f>_xlfn.XLOOKUP(B943,tblARV[ASN/DN '#],tblARV[Country],"Not found")</f>
        <v>Uganda</v>
      </c>
      <c r="H943" s="19" t="str">
        <f>_xlfn.XLOOKUP($B943,tblARV[ASN/DN '#],tblARV[Fulfill Via],"Not found")</f>
        <v>From RDC</v>
      </c>
      <c r="I943" s="19" t="str">
        <f>_xlfn.XLOOKUP($B943,tblARV[ASN/DN '#],tblARV[Vendor],"Not found")</f>
        <v>SCMS from RDC</v>
      </c>
    </row>
    <row r="944" spans="2:9" ht="15">
      <c r="B944" s="7" t="s">
        <v>2829</v>
      </c>
      <c r="C944" s="10">
        <v>41381</v>
      </c>
      <c r="D944" s="10">
        <v>41387</v>
      </c>
      <c r="E944" s="18">
        <v>12</v>
      </c>
      <c r="F944" s="13" t="str">
        <f t="shared" si="25"/>
        <v>Late</v>
      </c>
      <c r="G944" s="19" t="str">
        <f>_xlfn.XLOOKUP(B944,tblARV[ASN/DN '#],tblARV[Country],"Not found")</f>
        <v>South Sudan</v>
      </c>
      <c r="H944" s="19" t="str">
        <f>_xlfn.XLOOKUP($B944,tblARV[ASN/DN '#],tblARV[Fulfill Via],"Not found")</f>
        <v>From RDC</v>
      </c>
      <c r="I944" s="19" t="str">
        <f>_xlfn.XLOOKUP($B944,tblARV[ASN/DN '#],tblARV[Vendor],"Not found")</f>
        <v>SCMS from RDC</v>
      </c>
    </row>
    <row r="945" spans="2:9" ht="15">
      <c r="B945" s="7" t="s">
        <v>2767</v>
      </c>
      <c r="C945" s="10">
        <v>41396</v>
      </c>
      <c r="D945" s="10">
        <v>41362</v>
      </c>
      <c r="E945" s="18">
        <v>-34</v>
      </c>
      <c r="F945" s="13" t="str">
        <f t="shared" si="25"/>
        <v>On-time</v>
      </c>
      <c r="G945" s="19" t="str">
        <f>_xlfn.XLOOKUP(B945,tblARV[ASN/DN '#],tblARV[Country],"Not found")</f>
        <v>Burundi</v>
      </c>
      <c r="H945" s="19" t="str">
        <f>_xlfn.XLOOKUP($B945,tblARV[ASN/DN '#],tblARV[Fulfill Via],"Not found")</f>
        <v>From RDC</v>
      </c>
      <c r="I945" s="19" t="str">
        <f>_xlfn.XLOOKUP($B945,tblARV[ASN/DN '#],tblARV[Vendor],"Not found")</f>
        <v>SCMS from RDC</v>
      </c>
    </row>
    <row r="946" spans="2:9" ht="15">
      <c r="B946" s="7" t="s">
        <v>2050</v>
      </c>
      <c r="C946" s="10">
        <v>41396</v>
      </c>
      <c r="D946" s="10">
        <v>41404</v>
      </c>
      <c r="E946" s="18">
        <v>16</v>
      </c>
      <c r="F946" s="13" t="str">
        <f t="shared" si="25"/>
        <v>Late</v>
      </c>
      <c r="G946" s="19" t="str">
        <f>_xlfn.XLOOKUP(B946,tblARV[ASN/DN '#],tblARV[Country],"Not found")</f>
        <v>Burundi</v>
      </c>
      <c r="H946" s="19" t="str">
        <f>_xlfn.XLOOKUP($B946,tblARV[ASN/DN '#],tblARV[Fulfill Via],"Not found")</f>
        <v>From RDC</v>
      </c>
      <c r="I946" s="19" t="str">
        <f>_xlfn.XLOOKUP($B946,tblARV[ASN/DN '#],tblARV[Vendor],"Not found")</f>
        <v>SCMS from RDC</v>
      </c>
    </row>
    <row r="947" spans="2:9" ht="15">
      <c r="B947" s="7" t="s">
        <v>2831</v>
      </c>
      <c r="C947" s="10">
        <v>41394</v>
      </c>
      <c r="D947" s="10">
        <v>41390</v>
      </c>
      <c r="E947" s="18">
        <v>-4</v>
      </c>
      <c r="F947" s="13" t="str">
        <f t="shared" si="25"/>
        <v>On-time</v>
      </c>
      <c r="G947" s="19" t="str">
        <f>_xlfn.XLOOKUP(B947,tblARV[ASN/DN '#],tblARV[Country],"Not found")</f>
        <v>South Sudan</v>
      </c>
      <c r="H947" s="19" t="str">
        <f>_xlfn.XLOOKUP($B947,tblARV[ASN/DN '#],tblARV[Fulfill Via],"Not found")</f>
        <v>From RDC</v>
      </c>
      <c r="I947" s="19" t="str">
        <f>_xlfn.XLOOKUP($B947,tblARV[ASN/DN '#],tblARV[Vendor],"Not found")</f>
        <v>SCMS from RDC</v>
      </c>
    </row>
    <row r="948" spans="2:9" ht="15">
      <c r="B948" s="7" t="s">
        <v>2052</v>
      </c>
      <c r="C948" s="10">
        <v>41425</v>
      </c>
      <c r="D948" s="10">
        <v>41408</v>
      </c>
      <c r="E948" s="18">
        <v>-51</v>
      </c>
      <c r="F948" s="13" t="str">
        <f t="shared" si="25"/>
        <v>On-time</v>
      </c>
      <c r="G948" s="19" t="str">
        <f>_xlfn.XLOOKUP(B948,tblARV[ASN/DN '#],tblARV[Country],"Not found")</f>
        <v>Tanzania</v>
      </c>
      <c r="H948" s="19" t="str">
        <f>_xlfn.XLOOKUP($B948,tblARV[ASN/DN '#],tblARV[Fulfill Via],"Not found")</f>
        <v>From RDC</v>
      </c>
      <c r="I948" s="19" t="str">
        <f>_xlfn.XLOOKUP($B948,tblARV[ASN/DN '#],tblARV[Vendor],"Not found")</f>
        <v>SCMS from RDC</v>
      </c>
    </row>
    <row r="949" spans="2:9" ht="15">
      <c r="B949" s="7" t="s">
        <v>2054</v>
      </c>
      <c r="C949" s="10">
        <v>41425</v>
      </c>
      <c r="D949" s="10">
        <v>41386</v>
      </c>
      <c r="E949" s="18">
        <v>-39</v>
      </c>
      <c r="F949" s="13" t="str">
        <f t="shared" si="25"/>
        <v>On-time</v>
      </c>
      <c r="G949" s="19" t="str">
        <f>_xlfn.XLOOKUP(B949,tblARV[ASN/DN '#],tblARV[Country],"Not found")</f>
        <v>Tanzania</v>
      </c>
      <c r="H949" s="19" t="str">
        <f>_xlfn.XLOOKUP($B949,tblARV[ASN/DN '#],tblARV[Fulfill Via],"Not found")</f>
        <v>From RDC</v>
      </c>
      <c r="I949" s="19" t="str">
        <f>_xlfn.XLOOKUP($B949,tblARV[ASN/DN '#],tblARV[Vendor],"Not found")</f>
        <v>SCMS from RDC</v>
      </c>
    </row>
    <row r="950" spans="2:9" ht="15">
      <c r="B950" s="7" t="s">
        <v>2495</v>
      </c>
      <c r="C950" s="10">
        <v>41425</v>
      </c>
      <c r="D950" s="10">
        <v>41386</v>
      </c>
      <c r="E950" s="18">
        <v>-39</v>
      </c>
      <c r="F950" s="13" t="str">
        <f t="shared" si="25"/>
        <v>On-time</v>
      </c>
      <c r="G950" s="19" t="str">
        <f>_xlfn.XLOOKUP(B950,tblARV[ASN/DN '#],tblARV[Country],"Not found")</f>
        <v>Tanzania</v>
      </c>
      <c r="H950" s="19" t="str">
        <f>_xlfn.XLOOKUP($B950,tblARV[ASN/DN '#],tblARV[Fulfill Via],"Not found")</f>
        <v>From RDC</v>
      </c>
      <c r="I950" s="19" t="str">
        <f>_xlfn.XLOOKUP($B950,tblARV[ASN/DN '#],tblARV[Vendor],"Not found")</f>
        <v>SCMS from RDC</v>
      </c>
    </row>
    <row r="951" spans="2:9" ht="15">
      <c r="B951" s="7" t="s">
        <v>2497</v>
      </c>
      <c r="C951" s="10">
        <v>41380</v>
      </c>
      <c r="D951" s="10">
        <v>41389</v>
      </c>
      <c r="E951" s="18">
        <v>9</v>
      </c>
      <c r="F951" s="13" t="str">
        <f t="shared" si="25"/>
        <v>Late</v>
      </c>
      <c r="G951" s="19" t="str">
        <f>_xlfn.XLOOKUP(B951,tblARV[ASN/DN '#],tblARV[Country],"Not found")</f>
        <v>Uganda</v>
      </c>
      <c r="H951" s="19" t="str">
        <f>_xlfn.XLOOKUP($B951,tblARV[ASN/DN '#],tblARV[Fulfill Via],"Not found")</f>
        <v>From RDC</v>
      </c>
      <c r="I951" s="19" t="str">
        <f>_xlfn.XLOOKUP($B951,tblARV[ASN/DN '#],tblARV[Vendor],"Not found")</f>
        <v>SCMS from RDC</v>
      </c>
    </row>
    <row r="952" spans="2:9" ht="15">
      <c r="B952" s="7" t="s">
        <v>2499</v>
      </c>
      <c r="C952" s="10">
        <v>41425</v>
      </c>
      <c r="D952" s="10">
        <v>41403</v>
      </c>
      <c r="E952" s="18">
        <v>-22</v>
      </c>
      <c r="F952" s="13" t="str">
        <f t="shared" si="25"/>
        <v>On-time</v>
      </c>
      <c r="G952" s="19" t="str">
        <f>_xlfn.XLOOKUP(B952,tblARV[ASN/DN '#],tblARV[Country],"Not found")</f>
        <v>Tanzania</v>
      </c>
      <c r="H952" s="19" t="str">
        <f>_xlfn.XLOOKUP($B952,tblARV[ASN/DN '#],tblARV[Fulfill Via],"Not found")</f>
        <v>From RDC</v>
      </c>
      <c r="I952" s="19" t="str">
        <f>_xlfn.XLOOKUP($B952,tblARV[ASN/DN '#],tblARV[Vendor],"Not found")</f>
        <v>SCMS from RDC</v>
      </c>
    </row>
    <row r="953" spans="2:9" ht="15">
      <c r="B953" s="7" t="s">
        <v>1625</v>
      </c>
      <c r="C953" s="10">
        <v>41425</v>
      </c>
      <c r="D953" s="10">
        <v>41417</v>
      </c>
      <c r="E953" s="18">
        <v>-32</v>
      </c>
      <c r="F953" s="13" t="str">
        <f t="shared" si="25"/>
        <v>On-time</v>
      </c>
      <c r="G953" s="19" t="str">
        <f>_xlfn.XLOOKUP(B953,tblARV[ASN/DN '#],tblARV[Country],"Not found")</f>
        <v>Burundi</v>
      </c>
      <c r="H953" s="19" t="str">
        <f>_xlfn.XLOOKUP($B953,tblARV[ASN/DN '#],tblARV[Fulfill Via],"Not found")</f>
        <v>From RDC</v>
      </c>
      <c r="I953" s="19" t="str">
        <f>_xlfn.XLOOKUP($B953,tblARV[ASN/DN '#],tblARV[Vendor],"Not found")</f>
        <v>SCMS from RDC</v>
      </c>
    </row>
    <row r="954" spans="2:9" ht="15">
      <c r="B954" s="7" t="s">
        <v>2056</v>
      </c>
      <c r="C954" s="10">
        <v>41402</v>
      </c>
      <c r="D954" s="10">
        <v>41403</v>
      </c>
      <c r="E954" s="18">
        <v>1</v>
      </c>
      <c r="F954" s="13" t="str">
        <f t="shared" si="25"/>
        <v>Late</v>
      </c>
      <c r="G954" s="19" t="str">
        <f>_xlfn.XLOOKUP(B954,tblARV[ASN/DN '#],tblARV[Country],"Not found")</f>
        <v>Uganda</v>
      </c>
      <c r="H954" s="19" t="str">
        <f>_xlfn.XLOOKUP($B954,tblARV[ASN/DN '#],tblARV[Fulfill Via],"Not found")</f>
        <v>From RDC</v>
      </c>
      <c r="I954" s="19" t="str">
        <f>_xlfn.XLOOKUP($B954,tblARV[ASN/DN '#],tblARV[Vendor],"Not found")</f>
        <v>SCMS from RDC</v>
      </c>
    </row>
    <row r="955" spans="2:9" ht="15">
      <c r="B955" s="7" t="s">
        <v>1848</v>
      </c>
      <c r="C955" s="10">
        <v>41394</v>
      </c>
      <c r="D955" s="10">
        <v>41403</v>
      </c>
      <c r="E955" s="18">
        <v>9</v>
      </c>
      <c r="F955" s="13" t="str">
        <f t="shared" si="25"/>
        <v>Late</v>
      </c>
      <c r="G955" s="19" t="str">
        <f>_xlfn.XLOOKUP(B955,tblARV[ASN/DN '#],tblARV[Country],"Not found")</f>
        <v>Uganda</v>
      </c>
      <c r="H955" s="19" t="str">
        <f>_xlfn.XLOOKUP($B955,tblARV[ASN/DN '#],tblARV[Fulfill Via],"Not found")</f>
        <v>From RDC</v>
      </c>
      <c r="I955" s="19" t="str">
        <f>_xlfn.XLOOKUP($B955,tblARV[ASN/DN '#],tblARV[Vendor],"Not found")</f>
        <v>SCMS from RDC</v>
      </c>
    </row>
    <row r="956" spans="2:9" ht="15">
      <c r="B956" s="7" t="s">
        <v>2062</v>
      </c>
      <c r="C956" s="10">
        <v>41495</v>
      </c>
      <c r="D956" s="10">
        <v>41495</v>
      </c>
      <c r="E956" s="18">
        <v>0</v>
      </c>
      <c r="F956" s="13" t="str">
        <f t="shared" si="25"/>
        <v>On-time</v>
      </c>
      <c r="G956" s="19" t="str">
        <f>_xlfn.XLOOKUP(B956,tblARV[ASN/DN '#],tblARV[Country],"Not found")</f>
        <v>Uganda</v>
      </c>
      <c r="H956" s="19" t="str">
        <f>_xlfn.XLOOKUP($B956,tblARV[ASN/DN '#],tblARV[Fulfill Via],"Not found")</f>
        <v>From RDC</v>
      </c>
      <c r="I956" s="19" t="str">
        <f>_xlfn.XLOOKUP($B956,tblARV[ASN/DN '#],tblARV[Vendor],"Not found")</f>
        <v>SCMS from RDC</v>
      </c>
    </row>
    <row r="957" spans="2:9" ht="15">
      <c r="B957" s="7" t="s">
        <v>1627</v>
      </c>
      <c r="C957" s="10">
        <v>41432</v>
      </c>
      <c r="D957" s="10">
        <v>41432</v>
      </c>
      <c r="E957" s="18">
        <v>0</v>
      </c>
      <c r="F957" s="13" t="str">
        <f t="shared" si="25"/>
        <v>On-time</v>
      </c>
      <c r="G957" s="19" t="str">
        <f>_xlfn.XLOOKUP(B957,tblARV[ASN/DN '#],tblARV[Country],"Not found")</f>
        <v>Uganda</v>
      </c>
      <c r="H957" s="19" t="str">
        <f>_xlfn.XLOOKUP($B957,tblARV[ASN/DN '#],tblARV[Fulfill Via],"Not found")</f>
        <v>From RDC</v>
      </c>
      <c r="I957" s="19" t="str">
        <f>_xlfn.XLOOKUP($B957,tblARV[ASN/DN '#],tblARV[Vendor],"Not found")</f>
        <v>SCMS from RDC</v>
      </c>
    </row>
    <row r="958" spans="2:9" ht="15">
      <c r="B958" s="7" t="s">
        <v>2058</v>
      </c>
      <c r="C958" s="10">
        <v>41394</v>
      </c>
      <c r="D958" s="10">
        <v>41403</v>
      </c>
      <c r="E958" s="18">
        <v>9</v>
      </c>
      <c r="F958" s="13" t="str">
        <f t="shared" si="25"/>
        <v>Late</v>
      </c>
      <c r="G958" s="19" t="str">
        <f>_xlfn.XLOOKUP(B958,tblARV[ASN/DN '#],tblARV[Country],"Not found")</f>
        <v>Uganda</v>
      </c>
      <c r="H958" s="19" t="str">
        <f>_xlfn.XLOOKUP($B958,tblARV[ASN/DN '#],tblARV[Fulfill Via],"Not found")</f>
        <v>From RDC</v>
      </c>
      <c r="I958" s="19" t="str">
        <f>_xlfn.XLOOKUP($B958,tblARV[ASN/DN '#],tblARV[Vendor],"Not found")</f>
        <v>SCMS from RDC</v>
      </c>
    </row>
    <row r="959" spans="2:9" ht="15">
      <c r="B959" s="7" t="s">
        <v>2060</v>
      </c>
      <c r="C959" s="10">
        <v>41394</v>
      </c>
      <c r="D959" s="10">
        <v>41403</v>
      </c>
      <c r="E959" s="18">
        <v>9</v>
      </c>
      <c r="F959" s="13" t="str">
        <f t="shared" si="25"/>
        <v>Late</v>
      </c>
      <c r="G959" s="19" t="str">
        <f>_xlfn.XLOOKUP(B959,tblARV[ASN/DN '#],tblARV[Country],"Not found")</f>
        <v>Uganda</v>
      </c>
      <c r="H959" s="19" t="str">
        <f>_xlfn.XLOOKUP($B959,tblARV[ASN/DN '#],tblARV[Fulfill Via],"Not found")</f>
        <v>From RDC</v>
      </c>
      <c r="I959" s="19" t="str">
        <f>_xlfn.XLOOKUP($B959,tblARV[ASN/DN '#],tblARV[Vendor],"Not found")</f>
        <v>SCMS from RDC</v>
      </c>
    </row>
    <row r="960" spans="2:9" ht="15">
      <c r="B960" s="7" t="s">
        <v>2833</v>
      </c>
      <c r="C960" s="10">
        <v>41394</v>
      </c>
      <c r="D960" s="10">
        <v>41388</v>
      </c>
      <c r="E960" s="18">
        <v>-48</v>
      </c>
      <c r="F960" s="13" t="str">
        <f t="shared" si="25"/>
        <v>On-time</v>
      </c>
      <c r="G960" s="19" t="str">
        <f>_xlfn.XLOOKUP(B960,tblARV[ASN/DN '#],tblARV[Country],"Not found")</f>
        <v>South Sudan</v>
      </c>
      <c r="H960" s="19" t="str">
        <f>_xlfn.XLOOKUP($B960,tblARV[ASN/DN '#],tblARV[Fulfill Via],"Not found")</f>
        <v>From RDC</v>
      </c>
      <c r="I960" s="19" t="str">
        <f>_xlfn.XLOOKUP($B960,tblARV[ASN/DN '#],tblARV[Vendor],"Not found")</f>
        <v>SCMS from RDC</v>
      </c>
    </row>
    <row r="961" spans="2:9" ht="15">
      <c r="B961" s="7" t="s">
        <v>2854</v>
      </c>
      <c r="C961" s="10">
        <v>41394</v>
      </c>
      <c r="D961" s="10">
        <v>41381</v>
      </c>
      <c r="E961" s="18">
        <v>-13</v>
      </c>
      <c r="F961" s="13" t="str">
        <f t="shared" si="25"/>
        <v>On-time</v>
      </c>
      <c r="G961" s="19" t="str">
        <f>_xlfn.XLOOKUP(B961,tblARV[ASN/DN '#],tblARV[Country],"Not found")</f>
        <v>South Sudan</v>
      </c>
      <c r="H961" s="19" t="str">
        <f>_xlfn.XLOOKUP($B961,tblARV[ASN/DN '#],tblARV[Fulfill Via],"Not found")</f>
        <v>From RDC</v>
      </c>
      <c r="I961" s="19" t="str">
        <f>_xlfn.XLOOKUP($B961,tblARV[ASN/DN '#],tblARV[Vendor],"Not found")</f>
        <v>SCMS from RDC</v>
      </c>
    </row>
    <row r="962" spans="2:9" ht="15">
      <c r="B962" s="7" t="s">
        <v>2501</v>
      </c>
      <c r="C962" s="10">
        <v>41429</v>
      </c>
      <c r="D962" s="10">
        <v>41429</v>
      </c>
      <c r="E962" s="18">
        <v>0</v>
      </c>
      <c r="F962" s="13" t="str">
        <f t="shared" si="25"/>
        <v>On-time</v>
      </c>
      <c r="G962" s="19" t="str">
        <f>_xlfn.XLOOKUP(B962,tblARV[ASN/DN '#],tblARV[Country],"Not found")</f>
        <v>Uganda</v>
      </c>
      <c r="H962" s="19" t="str">
        <f>_xlfn.XLOOKUP($B962,tblARV[ASN/DN '#],tblARV[Fulfill Via],"Not found")</f>
        <v>From RDC</v>
      </c>
      <c r="I962" s="19" t="str">
        <f>_xlfn.XLOOKUP($B962,tblARV[ASN/DN '#],tblARV[Vendor],"Not found")</f>
        <v>SCMS from RDC</v>
      </c>
    </row>
    <row r="963" spans="2:9" ht="15">
      <c r="B963" s="7" t="s">
        <v>1629</v>
      </c>
      <c r="C963" s="10">
        <v>41403</v>
      </c>
      <c r="D963" s="10">
        <v>41401</v>
      </c>
      <c r="E963" s="18">
        <v>-2</v>
      </c>
      <c r="F963" s="13" t="str">
        <f t="shared" si="25"/>
        <v>On-time</v>
      </c>
      <c r="G963" s="19" t="str">
        <f>_xlfn.XLOOKUP(B963,tblARV[ASN/DN '#],tblARV[Country],"Not found")</f>
        <v>Uganda</v>
      </c>
      <c r="H963" s="19" t="str">
        <f>_xlfn.XLOOKUP($B963,tblARV[ASN/DN '#],tblARV[Fulfill Via],"Not found")</f>
        <v>From RDC</v>
      </c>
      <c r="I963" s="19" t="str">
        <f>_xlfn.XLOOKUP($B963,tblARV[ASN/DN '#],tblARV[Vendor],"Not found")</f>
        <v>SCMS from RDC</v>
      </c>
    </row>
    <row r="964" spans="2:9" ht="15">
      <c r="B964" s="7" t="s">
        <v>1850</v>
      </c>
      <c r="C964" s="10">
        <v>41455</v>
      </c>
      <c r="D964" s="10">
        <v>41403</v>
      </c>
      <c r="E964" s="18">
        <v>-104</v>
      </c>
      <c r="F964" s="13" t="str">
        <f t="shared" si="25"/>
        <v>On-time</v>
      </c>
      <c r="G964" s="19" t="str">
        <f>_xlfn.XLOOKUP(B964,tblARV[ASN/DN '#],tblARV[Country],"Not found")</f>
        <v>Burundi</v>
      </c>
      <c r="H964" s="19" t="str">
        <f>_xlfn.XLOOKUP($B964,tblARV[ASN/DN '#],tblARV[Fulfill Via],"Not found")</f>
        <v>From RDC</v>
      </c>
      <c r="I964" s="19" t="str">
        <f>_xlfn.XLOOKUP($B964,tblARV[ASN/DN '#],tblARV[Vendor],"Not found")</f>
        <v>SCMS from RDC</v>
      </c>
    </row>
    <row r="965" spans="2:9" ht="15">
      <c r="B965" s="7" t="s">
        <v>2858</v>
      </c>
      <c r="C965" s="10">
        <v>41453</v>
      </c>
      <c r="D965" s="10">
        <v>41411</v>
      </c>
      <c r="E965" s="18">
        <v>-42</v>
      </c>
      <c r="F965" s="13" t="str">
        <f t="shared" si="25"/>
        <v>On-time</v>
      </c>
      <c r="G965" s="19" t="str">
        <f>_xlfn.XLOOKUP(B965,tblARV[ASN/DN '#],tblARV[Country],"Not found")</f>
        <v>South Sudan</v>
      </c>
      <c r="H965" s="19" t="str">
        <f>_xlfn.XLOOKUP($B965,tblARV[ASN/DN '#],tblARV[Fulfill Via],"Not found")</f>
        <v>From RDC</v>
      </c>
      <c r="I965" s="19" t="str">
        <f>_xlfn.XLOOKUP($B965,tblARV[ASN/DN '#],tblARV[Vendor],"Not found")</f>
        <v>SCMS from RDC</v>
      </c>
    </row>
    <row r="966" spans="2:9" ht="15">
      <c r="B966" s="7" t="s">
        <v>2503</v>
      </c>
      <c r="C966" s="10">
        <v>41453</v>
      </c>
      <c r="D966" s="10">
        <v>41409</v>
      </c>
      <c r="E966" s="18">
        <v>-44</v>
      </c>
      <c r="F966" s="13" t="str">
        <f t="shared" si="25"/>
        <v>On-time</v>
      </c>
      <c r="G966" s="19" t="str">
        <f>_xlfn.XLOOKUP(B966,tblARV[ASN/DN '#],tblARV[Country],"Not found")</f>
        <v>Uganda</v>
      </c>
      <c r="H966" s="19" t="str">
        <f>_xlfn.XLOOKUP($B966,tblARV[ASN/DN '#],tblARV[Fulfill Via],"Not found")</f>
        <v>From RDC</v>
      </c>
      <c r="I966" s="19" t="str">
        <f>_xlfn.XLOOKUP($B966,tblARV[ASN/DN '#],tblARV[Vendor],"Not found")</f>
        <v>SCMS from RDC</v>
      </c>
    </row>
    <row r="967" spans="2:9" ht="15">
      <c r="B967" s="7" t="s">
        <v>1852</v>
      </c>
      <c r="C967" s="10">
        <v>41445</v>
      </c>
      <c r="D967" s="10">
        <v>41416</v>
      </c>
      <c r="E967" s="18">
        <v>-29</v>
      </c>
      <c r="F967" s="13" t="str">
        <f t="shared" si="25"/>
        <v>On-time</v>
      </c>
      <c r="G967" s="19" t="str">
        <f>_xlfn.XLOOKUP(B967,tblARV[ASN/DN '#],tblARV[Country],"Not found")</f>
        <v>Uganda</v>
      </c>
      <c r="H967" s="19" t="str">
        <f>_xlfn.XLOOKUP($B967,tblARV[ASN/DN '#],tblARV[Fulfill Via],"Not found")</f>
        <v>From RDC</v>
      </c>
      <c r="I967" s="19" t="str">
        <f>_xlfn.XLOOKUP($B967,tblARV[ASN/DN '#],tblARV[Vendor],"Not found")</f>
        <v>SCMS from RDC</v>
      </c>
    </row>
    <row r="968" spans="2:9" ht="15">
      <c r="B968" s="7" t="s">
        <v>2645</v>
      </c>
      <c r="C968" s="10">
        <v>41403</v>
      </c>
      <c r="D968" s="10">
        <v>41416</v>
      </c>
      <c r="E968" s="18">
        <v>13</v>
      </c>
      <c r="F968" s="13" t="str">
        <f t="shared" si="25"/>
        <v>Late</v>
      </c>
      <c r="G968" s="19" t="str">
        <f>_xlfn.XLOOKUP(B968,tblARV[ASN/DN '#],tblARV[Country],"Not found")</f>
        <v>Uganda</v>
      </c>
      <c r="H968" s="19" t="str">
        <f>_xlfn.XLOOKUP($B968,tblARV[ASN/DN '#],tblARV[Fulfill Via],"Not found")</f>
        <v>From RDC</v>
      </c>
      <c r="I968" s="19" t="str">
        <f>_xlfn.XLOOKUP($B968,tblARV[ASN/DN '#],tblARV[Vendor],"Not found")</f>
        <v>SCMS from RDC</v>
      </c>
    </row>
    <row r="969" spans="2:9" ht="15">
      <c r="B969" s="7" t="s">
        <v>1631</v>
      </c>
      <c r="C969" s="10">
        <v>41453</v>
      </c>
      <c r="D969" s="10">
        <v>41432</v>
      </c>
      <c r="E969" s="18">
        <v>-63</v>
      </c>
      <c r="F969" s="13" t="str">
        <f t="shared" si="25"/>
        <v>On-time</v>
      </c>
      <c r="G969" s="19" t="str">
        <f>_xlfn.XLOOKUP(B969,tblARV[ASN/DN '#],tblARV[Country],"Not found")</f>
        <v>Uganda</v>
      </c>
      <c r="H969" s="19" t="str">
        <f>_xlfn.XLOOKUP($B969,tblARV[ASN/DN '#],tblARV[Fulfill Via],"Not found")</f>
        <v>From RDC</v>
      </c>
      <c r="I969" s="19" t="str">
        <f>_xlfn.XLOOKUP($B969,tblARV[ASN/DN '#],tblARV[Vendor],"Not found")</f>
        <v>SCMS from RDC</v>
      </c>
    </row>
    <row r="970" spans="2:9" ht="15">
      <c r="B970" s="7" t="s">
        <v>2245</v>
      </c>
      <c r="C970" s="10">
        <v>41509</v>
      </c>
      <c r="D970" s="10">
        <v>41408</v>
      </c>
      <c r="E970" s="18">
        <v>-202</v>
      </c>
      <c r="F970" s="13" t="str">
        <f t="shared" si="25"/>
        <v>On-time</v>
      </c>
      <c r="G970" s="19" t="str">
        <f>_xlfn.XLOOKUP(B970,tblARV[ASN/DN '#],tblARV[Country],"Not found")</f>
        <v>Tanzania</v>
      </c>
      <c r="H970" s="19" t="str">
        <f>_xlfn.XLOOKUP($B970,tblARV[ASN/DN '#],tblARV[Fulfill Via],"Not found")</f>
        <v>From RDC</v>
      </c>
      <c r="I970" s="19" t="str">
        <f>_xlfn.XLOOKUP($B970,tblARV[ASN/DN '#],tblARV[Vendor],"Not found")</f>
        <v>SCMS from RDC</v>
      </c>
    </row>
    <row r="971" spans="2:9" ht="15">
      <c r="B971" s="7" t="s">
        <v>2647</v>
      </c>
      <c r="C971" s="10">
        <v>41425</v>
      </c>
      <c r="D971" s="10">
        <v>41424</v>
      </c>
      <c r="E971" s="18">
        <v>-1</v>
      </c>
      <c r="F971" s="13" t="str">
        <f t="shared" si="25"/>
        <v>On-time</v>
      </c>
      <c r="G971" s="19" t="str">
        <f>_xlfn.XLOOKUP(B971,tblARV[ASN/DN '#],tblARV[Country],"Not found")</f>
        <v>Uganda</v>
      </c>
      <c r="H971" s="19" t="str">
        <f>_xlfn.XLOOKUP($B971,tblARV[ASN/DN '#],tblARV[Fulfill Via],"Not found")</f>
        <v>From RDC</v>
      </c>
      <c r="I971" s="19" t="str">
        <f>_xlfn.XLOOKUP($B971,tblARV[ASN/DN '#],tblARV[Vendor],"Not found")</f>
        <v>SCMS from RDC</v>
      </c>
    </row>
    <row r="972" spans="2:9" ht="15">
      <c r="B972" s="7" t="s">
        <v>2505</v>
      </c>
      <c r="C972" s="10">
        <v>41453</v>
      </c>
      <c r="D972" s="10">
        <v>41418</v>
      </c>
      <c r="E972" s="18">
        <v>-35</v>
      </c>
      <c r="F972" s="13" t="str">
        <f t="shared" si="25"/>
        <v>On-time</v>
      </c>
      <c r="G972" s="19" t="str">
        <f>_xlfn.XLOOKUP(B972,tblARV[ASN/DN '#],tblARV[Country],"Not found")</f>
        <v>Rwanda</v>
      </c>
      <c r="H972" s="19" t="str">
        <f>_xlfn.XLOOKUP($B972,tblARV[ASN/DN '#],tblARV[Fulfill Via],"Not found")</f>
        <v>From RDC</v>
      </c>
      <c r="I972" s="19" t="str">
        <f>_xlfn.XLOOKUP($B972,tblARV[ASN/DN '#],tblARV[Vendor],"Not found")</f>
        <v>SCMS from RDC</v>
      </c>
    </row>
    <row r="973" spans="2:9" ht="15">
      <c r="B973" s="7" t="s">
        <v>2064</v>
      </c>
      <c r="C973" s="10">
        <v>41453</v>
      </c>
      <c r="D973" s="10">
        <v>41421</v>
      </c>
      <c r="E973" s="18">
        <v>-32</v>
      </c>
      <c r="F973" s="13" t="str">
        <f t="shared" si="25"/>
        <v>On-time</v>
      </c>
      <c r="G973" s="19" t="str">
        <f>_xlfn.XLOOKUP(B973,tblARV[ASN/DN '#],tblARV[Country],"Not found")</f>
        <v>Rwanda</v>
      </c>
      <c r="H973" s="19" t="str">
        <f>_xlfn.XLOOKUP($B973,tblARV[ASN/DN '#],tblARV[Fulfill Via],"Not found")</f>
        <v>From RDC</v>
      </c>
      <c r="I973" s="19" t="str">
        <f>_xlfn.XLOOKUP($B973,tblARV[ASN/DN '#],tblARV[Vendor],"Not found")</f>
        <v>SCMS from RDC</v>
      </c>
    </row>
    <row r="974" spans="2:9" ht="15">
      <c r="B974" s="7" t="s">
        <v>2769</v>
      </c>
      <c r="C974" s="10">
        <v>41425</v>
      </c>
      <c r="D974" s="10">
        <v>41443</v>
      </c>
      <c r="E974" s="18">
        <v>18</v>
      </c>
      <c r="F974" s="13" t="str">
        <f t="shared" si="25"/>
        <v>Late</v>
      </c>
      <c r="G974" s="19" t="str">
        <f>_xlfn.XLOOKUP(B974,tblARV[ASN/DN '#],tblARV[Country],"Not found")</f>
        <v>Tanzania</v>
      </c>
      <c r="H974" s="19" t="str">
        <f>_xlfn.XLOOKUP($B974,tblARV[ASN/DN '#],tblARV[Fulfill Via],"Not found")</f>
        <v>From RDC</v>
      </c>
      <c r="I974" s="19" t="str">
        <f>_xlfn.XLOOKUP($B974,tblARV[ASN/DN '#],tblARV[Vendor],"Not found")</f>
        <v>SCMS from RDC</v>
      </c>
    </row>
    <row r="975" spans="2:9" ht="15">
      <c r="B975" s="7" t="s">
        <v>2649</v>
      </c>
      <c r="C975" s="10">
        <v>41453</v>
      </c>
      <c r="D975" s="10">
        <v>41417</v>
      </c>
      <c r="E975" s="18">
        <v>-36</v>
      </c>
      <c r="F975" s="13" t="str">
        <f t="shared" si="25"/>
        <v>On-time</v>
      </c>
      <c r="G975" s="19" t="str">
        <f>_xlfn.XLOOKUP(B975,tblARV[ASN/DN '#],tblARV[Country],"Not found")</f>
        <v>Tanzania</v>
      </c>
      <c r="H975" s="19" t="str">
        <f>_xlfn.XLOOKUP($B975,tblARV[ASN/DN '#],tblARV[Fulfill Via],"Not found")</f>
        <v>From RDC</v>
      </c>
      <c r="I975" s="19" t="str">
        <f>_xlfn.XLOOKUP($B975,tblARV[ASN/DN '#],tblARV[Vendor],"Not found")</f>
        <v>SCMS from RDC</v>
      </c>
    </row>
    <row r="976" spans="2:9" ht="15">
      <c r="B976" s="7" t="s">
        <v>2066</v>
      </c>
      <c r="C976" s="10">
        <v>41425</v>
      </c>
      <c r="D976" s="10">
        <v>41443</v>
      </c>
      <c r="E976" s="18">
        <v>18</v>
      </c>
      <c r="F976" s="13" t="str">
        <f t="shared" si="25"/>
        <v>Late</v>
      </c>
      <c r="G976" s="19" t="str">
        <f>_xlfn.XLOOKUP(B976,tblARV[ASN/DN '#],tblARV[Country],"Not found")</f>
        <v>Tanzania</v>
      </c>
      <c r="H976" s="19" t="str">
        <f>_xlfn.XLOOKUP($B976,tblARV[ASN/DN '#],tblARV[Fulfill Via],"Not found")</f>
        <v>From RDC</v>
      </c>
      <c r="I976" s="19" t="str">
        <f>_xlfn.XLOOKUP($B976,tblARV[ASN/DN '#],tblARV[Vendor],"Not found")</f>
        <v>SCMS from RDC</v>
      </c>
    </row>
    <row r="977" spans="2:9" ht="15">
      <c r="B977" s="7" t="s">
        <v>1635</v>
      </c>
      <c r="C977" s="10">
        <v>41425</v>
      </c>
      <c r="D977" s="10">
        <v>41443</v>
      </c>
      <c r="E977" s="18">
        <v>18</v>
      </c>
      <c r="F977" s="13" t="str">
        <f t="shared" si="25"/>
        <v>Late</v>
      </c>
      <c r="G977" s="19" t="str">
        <f>_xlfn.XLOOKUP(B977,tblARV[ASN/DN '#],tblARV[Country],"Not found")</f>
        <v>Tanzania</v>
      </c>
      <c r="H977" s="19" t="str">
        <f>_xlfn.XLOOKUP($B977,tblARV[ASN/DN '#],tblARV[Fulfill Via],"Not found")</f>
        <v>From RDC</v>
      </c>
      <c r="I977" s="19" t="str">
        <f>_xlfn.XLOOKUP($B977,tblARV[ASN/DN '#],tblARV[Vendor],"Not found")</f>
        <v>SCMS from RDC</v>
      </c>
    </row>
    <row r="978" spans="2:9" ht="15">
      <c r="B978" s="7" t="s">
        <v>2068</v>
      </c>
      <c r="C978" s="10">
        <v>41509</v>
      </c>
      <c r="D978" s="10">
        <v>41443</v>
      </c>
      <c r="E978" s="18">
        <v>-66</v>
      </c>
      <c r="F978" s="13" t="str">
        <f t="shared" si="25"/>
        <v>On-time</v>
      </c>
      <c r="G978" s="19" t="str">
        <f>_xlfn.XLOOKUP(B978,tblARV[ASN/DN '#],tblARV[Country],"Not found")</f>
        <v>Tanzania</v>
      </c>
      <c r="H978" s="19" t="str">
        <f>_xlfn.XLOOKUP($B978,tblARV[ASN/DN '#],tblARV[Fulfill Via],"Not found")</f>
        <v>From RDC</v>
      </c>
      <c r="I978" s="19" t="str">
        <f>_xlfn.XLOOKUP($B978,tblARV[ASN/DN '#],tblARV[Vendor],"Not found")</f>
        <v>SCMS from RDC</v>
      </c>
    </row>
    <row r="979" spans="2:9" ht="15">
      <c r="B979" s="7" t="s">
        <v>2771</v>
      </c>
      <c r="C979" s="10">
        <v>41513</v>
      </c>
      <c r="D979" s="10">
        <v>41479</v>
      </c>
      <c r="E979" s="18">
        <v>-34</v>
      </c>
      <c r="F979" s="13" t="str">
        <f t="shared" si="25"/>
        <v>On-time</v>
      </c>
      <c r="G979" s="19" t="str">
        <f>_xlfn.XLOOKUP(B979,tblARV[ASN/DN '#],tblARV[Country],"Not found")</f>
        <v>Tanzania</v>
      </c>
      <c r="H979" s="19" t="str">
        <f>_xlfn.XLOOKUP($B979,tblARV[ASN/DN '#],tblARV[Fulfill Via],"Not found")</f>
        <v>From RDC</v>
      </c>
      <c r="I979" s="19" t="str">
        <f>_xlfn.XLOOKUP($B979,tblARV[ASN/DN '#],tblARV[Vendor],"Not found")</f>
        <v>SCMS from RDC</v>
      </c>
    </row>
    <row r="980" spans="2:9" ht="15">
      <c r="B980" s="7" t="s">
        <v>1854</v>
      </c>
      <c r="C980" s="10">
        <v>41485</v>
      </c>
      <c r="D980" s="10">
        <v>41495</v>
      </c>
      <c r="E980" s="18">
        <v>10</v>
      </c>
      <c r="F980" s="13" t="str">
        <f t="shared" si="25"/>
        <v>Late</v>
      </c>
      <c r="G980" s="19" t="str">
        <f>_xlfn.XLOOKUP(B980,tblARV[ASN/DN '#],tblARV[Country],"Not found")</f>
        <v>Uganda</v>
      </c>
      <c r="H980" s="19" t="str">
        <f>_xlfn.XLOOKUP($B980,tblARV[ASN/DN '#],tblARV[Fulfill Via],"Not found")</f>
        <v>From RDC</v>
      </c>
      <c r="I980" s="19" t="str">
        <f>_xlfn.XLOOKUP($B980,tblARV[ASN/DN '#],tblARV[Vendor],"Not found")</f>
        <v>SCMS from RDC</v>
      </c>
    </row>
    <row r="981" spans="2:9" ht="15">
      <c r="B981" s="7" t="s">
        <v>2247</v>
      </c>
      <c r="C981" s="10">
        <v>41486</v>
      </c>
      <c r="D981" s="10">
        <v>41478</v>
      </c>
      <c r="E981" s="18">
        <v>-8</v>
      </c>
      <c r="F981" s="13" t="str">
        <f t="shared" ref="F981:F1044" si="26">IF($E981&lt;=0,"On-time","Late")</f>
        <v>On-time</v>
      </c>
      <c r="G981" s="19" t="str">
        <f>_xlfn.XLOOKUP(B981,tblARV[ASN/DN '#],tblARV[Country],"Not found")</f>
        <v>Uganda</v>
      </c>
      <c r="H981" s="19" t="str">
        <f>_xlfn.XLOOKUP($B981,tblARV[ASN/DN '#],tblARV[Fulfill Via],"Not found")</f>
        <v>From RDC</v>
      </c>
      <c r="I981" s="19" t="str">
        <f>_xlfn.XLOOKUP($B981,tblARV[ASN/DN '#],tblARV[Vendor],"Not found")</f>
        <v>SCMS from RDC</v>
      </c>
    </row>
    <row r="982" spans="2:9" ht="15">
      <c r="B982" s="7" t="s">
        <v>2389</v>
      </c>
      <c r="C982" s="10">
        <v>41486</v>
      </c>
      <c r="D982" s="10">
        <v>41473</v>
      </c>
      <c r="E982" s="18">
        <v>-13</v>
      </c>
      <c r="F982" s="13" t="str">
        <f t="shared" si="26"/>
        <v>On-time</v>
      </c>
      <c r="G982" s="19" t="str">
        <f>_xlfn.XLOOKUP(B982,tblARV[ASN/DN '#],tblARV[Country],"Not found")</f>
        <v>Uganda</v>
      </c>
      <c r="H982" s="19" t="str">
        <f>_xlfn.XLOOKUP($B982,tblARV[ASN/DN '#],tblARV[Fulfill Via],"Not found")</f>
        <v>From RDC</v>
      </c>
      <c r="I982" s="19" t="str">
        <f>_xlfn.XLOOKUP($B982,tblARV[ASN/DN '#],tblARV[Vendor],"Not found")</f>
        <v>SCMS from RDC</v>
      </c>
    </row>
    <row r="983" spans="2:9" ht="15">
      <c r="B983" s="7" t="s">
        <v>2773</v>
      </c>
      <c r="C983" s="10">
        <v>41486</v>
      </c>
      <c r="D983" s="10">
        <v>41474</v>
      </c>
      <c r="E983" s="18">
        <v>-12</v>
      </c>
      <c r="F983" s="13" t="str">
        <f t="shared" si="26"/>
        <v>On-time</v>
      </c>
      <c r="G983" s="19" t="str">
        <f>_xlfn.XLOOKUP(B983,tblARV[ASN/DN '#],tblARV[Country],"Not found")</f>
        <v>Uganda</v>
      </c>
      <c r="H983" s="19" t="str">
        <f>_xlfn.XLOOKUP($B983,tblARV[ASN/DN '#],tblARV[Fulfill Via],"Not found")</f>
        <v>From RDC</v>
      </c>
      <c r="I983" s="19" t="str">
        <f>_xlfn.XLOOKUP($B983,tblARV[ASN/DN '#],tblARV[Vendor],"Not found")</f>
        <v>SCMS from RDC</v>
      </c>
    </row>
    <row r="984" spans="2:9" ht="15">
      <c r="B984" s="7" t="s">
        <v>2070</v>
      </c>
      <c r="C984" s="10">
        <v>41486</v>
      </c>
      <c r="D984" s="10">
        <v>41473</v>
      </c>
      <c r="E984" s="18">
        <v>-13</v>
      </c>
      <c r="F984" s="13" t="str">
        <f t="shared" si="26"/>
        <v>On-time</v>
      </c>
      <c r="G984" s="19" t="str">
        <f>_xlfn.XLOOKUP(B984,tblARV[ASN/DN '#],tblARV[Country],"Not found")</f>
        <v>Uganda</v>
      </c>
      <c r="H984" s="19" t="str">
        <f>_xlfn.XLOOKUP($B984,tblARV[ASN/DN '#],tblARV[Fulfill Via],"Not found")</f>
        <v>From RDC</v>
      </c>
      <c r="I984" s="19" t="str">
        <f>_xlfn.XLOOKUP($B984,tblARV[ASN/DN '#],tblARV[Vendor],"Not found")</f>
        <v>SCMS from RDC</v>
      </c>
    </row>
    <row r="985" spans="2:9" ht="15">
      <c r="B985" s="7" t="s">
        <v>1856</v>
      </c>
      <c r="C985" s="10">
        <v>41542</v>
      </c>
      <c r="D985" s="10">
        <v>41540</v>
      </c>
      <c r="E985" s="18">
        <v>-2</v>
      </c>
      <c r="F985" s="13" t="str">
        <f t="shared" si="26"/>
        <v>On-time</v>
      </c>
      <c r="G985" s="19" t="str">
        <f>_xlfn.XLOOKUP(B985,tblARV[ASN/DN '#],tblARV[Country],"Not found")</f>
        <v>Tanzania</v>
      </c>
      <c r="H985" s="19" t="str">
        <f>_xlfn.XLOOKUP($B985,tblARV[ASN/DN '#],tblARV[Fulfill Via],"Not found")</f>
        <v>From RDC</v>
      </c>
      <c r="I985" s="19" t="str">
        <f>_xlfn.XLOOKUP($B985,tblARV[ASN/DN '#],tblARV[Vendor],"Not found")</f>
        <v>SCMS from RDC</v>
      </c>
    </row>
    <row r="986" spans="2:9" ht="15">
      <c r="B986" s="7" t="s">
        <v>2511</v>
      </c>
      <c r="C986" s="10">
        <v>41464</v>
      </c>
      <c r="D986" s="10">
        <v>41509</v>
      </c>
      <c r="E986" s="18">
        <v>90</v>
      </c>
      <c r="F986" s="13" t="str">
        <f t="shared" si="26"/>
        <v>Late</v>
      </c>
      <c r="G986" s="19" t="str">
        <f>_xlfn.XLOOKUP(B986,tblARV[ASN/DN '#],tblARV[Country],"Not found")</f>
        <v>Burundi</v>
      </c>
      <c r="H986" s="19" t="str">
        <f>_xlfn.XLOOKUP($B986,tblARV[ASN/DN '#],tblARV[Fulfill Via],"Not found")</f>
        <v>From RDC</v>
      </c>
      <c r="I986" s="19" t="str">
        <f>_xlfn.XLOOKUP($B986,tblARV[ASN/DN '#],tblARV[Vendor],"Not found")</f>
        <v>SCMS from RDC</v>
      </c>
    </row>
    <row r="987" spans="2:9" ht="15">
      <c r="B987" s="7" t="s">
        <v>1637</v>
      </c>
      <c r="C987" s="10">
        <v>41492</v>
      </c>
      <c r="D987" s="10">
        <v>41509</v>
      </c>
      <c r="E987" s="18">
        <v>17</v>
      </c>
      <c r="F987" s="13" t="str">
        <f t="shared" si="26"/>
        <v>Late</v>
      </c>
      <c r="G987" s="19" t="str">
        <f>_xlfn.XLOOKUP(B987,tblARV[ASN/DN '#],tblARV[Country],"Not found")</f>
        <v>Burundi</v>
      </c>
      <c r="H987" s="19" t="str">
        <f>_xlfn.XLOOKUP($B987,tblARV[ASN/DN '#],tblARV[Fulfill Via],"Not found")</f>
        <v>From RDC</v>
      </c>
      <c r="I987" s="19" t="str">
        <f>_xlfn.XLOOKUP($B987,tblARV[ASN/DN '#],tblARV[Vendor],"Not found")</f>
        <v>SCMS from RDC</v>
      </c>
    </row>
    <row r="988" spans="2:9" ht="15">
      <c r="B988" s="7" t="s">
        <v>1639</v>
      </c>
      <c r="C988" s="10">
        <v>41515</v>
      </c>
      <c r="D988" s="10">
        <v>41527</v>
      </c>
      <c r="E988" s="18">
        <v>12</v>
      </c>
      <c r="F988" s="13" t="str">
        <f t="shared" si="26"/>
        <v>Late</v>
      </c>
      <c r="G988" s="19" t="str">
        <f>_xlfn.XLOOKUP(B988,tblARV[ASN/DN '#],tblARV[Country],"Not found")</f>
        <v>Tanzania</v>
      </c>
      <c r="H988" s="19" t="str">
        <f>_xlfn.XLOOKUP($B988,tblARV[ASN/DN '#],tblARV[Fulfill Via],"Not found")</f>
        <v>From RDC</v>
      </c>
      <c r="I988" s="19" t="str">
        <f>_xlfn.XLOOKUP($B988,tblARV[ASN/DN '#],tblARV[Vendor],"Not found")</f>
        <v>SCMS from RDC</v>
      </c>
    </row>
    <row r="989" spans="2:9" ht="15">
      <c r="B989" s="7" t="s">
        <v>2072</v>
      </c>
      <c r="C989" s="10">
        <v>41486</v>
      </c>
      <c r="D989" s="10">
        <v>41512</v>
      </c>
      <c r="E989" s="18">
        <v>52</v>
      </c>
      <c r="F989" s="13" t="str">
        <f t="shared" si="26"/>
        <v>Late</v>
      </c>
      <c r="G989" s="19" t="str">
        <f>_xlfn.XLOOKUP(B989,tblARV[ASN/DN '#],tblARV[Country],"Not found")</f>
        <v>Uganda</v>
      </c>
      <c r="H989" s="19" t="str">
        <f>_xlfn.XLOOKUP($B989,tblARV[ASN/DN '#],tblARV[Fulfill Via],"Not found")</f>
        <v>From RDC</v>
      </c>
      <c r="I989" s="19" t="str">
        <f>_xlfn.XLOOKUP($B989,tblARV[ASN/DN '#],tblARV[Vendor],"Not found")</f>
        <v>SCMS from RDC</v>
      </c>
    </row>
    <row r="990" spans="2:9" ht="15">
      <c r="B990" s="7" t="s">
        <v>2507</v>
      </c>
      <c r="C990" s="10">
        <v>41528</v>
      </c>
      <c r="D990" s="10">
        <v>41528</v>
      </c>
      <c r="E990" s="18">
        <v>0</v>
      </c>
      <c r="F990" s="13" t="str">
        <f t="shared" si="26"/>
        <v>On-time</v>
      </c>
      <c r="G990" s="19" t="str">
        <f>_xlfn.XLOOKUP(B990,tblARV[ASN/DN '#],tblARV[Country],"Not found")</f>
        <v>Tanzania</v>
      </c>
      <c r="H990" s="19" t="str">
        <f>_xlfn.XLOOKUP($B990,tblARV[ASN/DN '#],tblARV[Fulfill Via],"Not found")</f>
        <v>From RDC</v>
      </c>
      <c r="I990" s="19" t="str">
        <f>_xlfn.XLOOKUP($B990,tblARV[ASN/DN '#],tblARV[Vendor],"Not found")</f>
        <v>SCMS from RDC</v>
      </c>
    </row>
    <row r="991" spans="2:9" ht="15">
      <c r="B991" s="7" t="s">
        <v>1860</v>
      </c>
      <c r="C991" s="10">
        <v>41492</v>
      </c>
      <c r="D991" s="10">
        <v>41506</v>
      </c>
      <c r="E991" s="18">
        <v>42</v>
      </c>
      <c r="F991" s="13" t="str">
        <f t="shared" si="26"/>
        <v>Late</v>
      </c>
      <c r="G991" s="19" t="str">
        <f>_xlfn.XLOOKUP(B991,tblARV[ASN/DN '#],tblARV[Country],"Not found")</f>
        <v>Uganda</v>
      </c>
      <c r="H991" s="19" t="str">
        <f>_xlfn.XLOOKUP($B991,tblARV[ASN/DN '#],tblARV[Fulfill Via],"Not found")</f>
        <v>From RDC</v>
      </c>
      <c r="I991" s="19" t="str">
        <f>_xlfn.XLOOKUP($B991,tblARV[ASN/DN '#],tblARV[Vendor],"Not found")</f>
        <v>SCMS from RDC</v>
      </c>
    </row>
    <row r="992" spans="2:9" ht="15">
      <c r="B992" s="7" t="s">
        <v>1858</v>
      </c>
      <c r="C992" s="10">
        <v>41510</v>
      </c>
      <c r="D992" s="10">
        <v>41512</v>
      </c>
      <c r="E992" s="18">
        <v>4</v>
      </c>
      <c r="F992" s="13" t="str">
        <f t="shared" si="26"/>
        <v>Late</v>
      </c>
      <c r="G992" s="19" t="str">
        <f>_xlfn.XLOOKUP(B992,tblARV[ASN/DN '#],tblARV[Country],"Not found")</f>
        <v>Burundi</v>
      </c>
      <c r="H992" s="19" t="str">
        <f>_xlfn.XLOOKUP($B992,tblARV[ASN/DN '#],tblARV[Fulfill Via],"Not found")</f>
        <v>From RDC</v>
      </c>
      <c r="I992" s="19" t="str">
        <f>_xlfn.XLOOKUP($B992,tblARV[ASN/DN '#],tblARV[Vendor],"Not found")</f>
        <v>SCMS from RDC</v>
      </c>
    </row>
    <row r="993" spans="2:9" ht="15">
      <c r="B993" s="7" t="s">
        <v>2860</v>
      </c>
      <c r="C993" s="10">
        <v>41512</v>
      </c>
      <c r="D993" s="10">
        <v>41512</v>
      </c>
      <c r="E993" s="18">
        <v>0</v>
      </c>
      <c r="F993" s="13" t="str">
        <f t="shared" si="26"/>
        <v>On-time</v>
      </c>
      <c r="G993" s="19" t="str">
        <f>_xlfn.XLOOKUP(B993,tblARV[ASN/DN '#],tblARV[Country],"Not found")</f>
        <v>South Sudan</v>
      </c>
      <c r="H993" s="19" t="str">
        <f>_xlfn.XLOOKUP($B993,tblARV[ASN/DN '#],tblARV[Fulfill Via],"Not found")</f>
        <v>From RDC</v>
      </c>
      <c r="I993" s="19" t="str">
        <f>_xlfn.XLOOKUP($B993,tblARV[ASN/DN '#],tblARV[Vendor],"Not found")</f>
        <v>SCMS from RDC</v>
      </c>
    </row>
    <row r="994" spans="2:9" ht="15">
      <c r="B994" s="7" t="s">
        <v>1641</v>
      </c>
      <c r="C994" s="10">
        <v>41492</v>
      </c>
      <c r="D994" s="10">
        <v>41415</v>
      </c>
      <c r="E994" s="18">
        <v>-154</v>
      </c>
      <c r="F994" s="13" t="str">
        <f t="shared" si="26"/>
        <v>On-time</v>
      </c>
      <c r="G994" s="19" t="str">
        <f>_xlfn.XLOOKUP(B994,tblARV[ASN/DN '#],tblARV[Country],"Not found")</f>
        <v>Burundi</v>
      </c>
      <c r="H994" s="19" t="str">
        <f>_xlfn.XLOOKUP($B994,tblARV[ASN/DN '#],tblARV[Fulfill Via],"Not found")</f>
        <v>From RDC</v>
      </c>
      <c r="I994" s="19" t="str">
        <f>_xlfn.XLOOKUP($B994,tblARV[ASN/DN '#],tblARV[Vendor],"Not found")</f>
        <v>SCMS from RDC</v>
      </c>
    </row>
    <row r="995" spans="2:9" ht="15">
      <c r="B995" s="7" t="s">
        <v>2391</v>
      </c>
      <c r="C995" s="10">
        <v>41502</v>
      </c>
      <c r="D995" s="10">
        <v>41508</v>
      </c>
      <c r="E995" s="18">
        <v>6</v>
      </c>
      <c r="F995" s="13" t="str">
        <f t="shared" si="26"/>
        <v>Late</v>
      </c>
      <c r="G995" s="19" t="str">
        <f>_xlfn.XLOOKUP(B995,tblARV[ASN/DN '#],tblARV[Country],"Not found")</f>
        <v>Burundi</v>
      </c>
      <c r="H995" s="19" t="str">
        <f>_xlfn.XLOOKUP($B995,tblARV[ASN/DN '#],tblARV[Fulfill Via],"Not found")</f>
        <v>From RDC</v>
      </c>
      <c r="I995" s="19" t="str">
        <f>_xlfn.XLOOKUP($B995,tblARV[ASN/DN '#],tblARV[Vendor],"Not found")</f>
        <v>SCMS from RDC</v>
      </c>
    </row>
    <row r="996" spans="2:9" ht="15">
      <c r="B996" s="7" t="s">
        <v>1862</v>
      </c>
      <c r="C996" s="10">
        <v>41544</v>
      </c>
      <c r="D996" s="10">
        <v>41544</v>
      </c>
      <c r="E996" s="18">
        <v>0</v>
      </c>
      <c r="F996" s="13" t="str">
        <f t="shared" si="26"/>
        <v>On-time</v>
      </c>
      <c r="G996" s="19" t="str">
        <f>_xlfn.XLOOKUP(B996,tblARV[ASN/DN '#],tblARV[Country],"Not found")</f>
        <v>Uganda</v>
      </c>
      <c r="H996" s="19" t="str">
        <f>_xlfn.XLOOKUP($B996,tblARV[ASN/DN '#],tblARV[Fulfill Via],"Not found")</f>
        <v>From RDC</v>
      </c>
      <c r="I996" s="19" t="str">
        <f>_xlfn.XLOOKUP($B996,tblARV[ASN/DN '#],tblARV[Vendor],"Not found")</f>
        <v>SCMS from RDC</v>
      </c>
    </row>
    <row r="997" spans="2:9" ht="15">
      <c r="B997" s="7" t="s">
        <v>1643</v>
      </c>
      <c r="C997" s="10">
        <v>41516</v>
      </c>
      <c r="D997" s="10">
        <v>41496</v>
      </c>
      <c r="E997" s="18">
        <v>-20</v>
      </c>
      <c r="F997" s="13" t="str">
        <f t="shared" si="26"/>
        <v>On-time</v>
      </c>
      <c r="G997" s="19" t="str">
        <f>_xlfn.XLOOKUP(B997,tblARV[ASN/DN '#],tblARV[Country],"Not found")</f>
        <v>Uganda</v>
      </c>
      <c r="H997" s="19" t="str">
        <f>_xlfn.XLOOKUP($B997,tblARV[ASN/DN '#],tblARV[Fulfill Via],"Not found")</f>
        <v>From RDC</v>
      </c>
      <c r="I997" s="19" t="str">
        <f>_xlfn.XLOOKUP($B997,tblARV[ASN/DN '#],tblARV[Vendor],"Not found")</f>
        <v>SCMS from RDC</v>
      </c>
    </row>
    <row r="998" spans="2:9" ht="15">
      <c r="B998" s="7" t="s">
        <v>2509</v>
      </c>
      <c r="C998" s="10">
        <v>41563</v>
      </c>
      <c r="D998" s="10">
        <v>41522</v>
      </c>
      <c r="E998" s="18">
        <v>-41</v>
      </c>
      <c r="F998" s="13" t="str">
        <f t="shared" si="26"/>
        <v>On-time</v>
      </c>
      <c r="G998" s="19" t="str">
        <f>_xlfn.XLOOKUP(B998,tblARV[ASN/DN '#],tblARV[Country],"Not found")</f>
        <v>Tanzania</v>
      </c>
      <c r="H998" s="19" t="str">
        <f>_xlfn.XLOOKUP($B998,tblARV[ASN/DN '#],tblARV[Fulfill Via],"Not found")</f>
        <v>From RDC</v>
      </c>
      <c r="I998" s="19" t="str">
        <f>_xlfn.XLOOKUP($B998,tblARV[ASN/DN '#],tblARV[Vendor],"Not found")</f>
        <v>SCMS from RDC</v>
      </c>
    </row>
    <row r="999" spans="2:9" ht="15">
      <c r="B999" s="7" t="s">
        <v>2074</v>
      </c>
      <c r="C999" s="10">
        <v>41515</v>
      </c>
      <c r="D999" s="10">
        <v>41530</v>
      </c>
      <c r="E999" s="18">
        <v>60</v>
      </c>
      <c r="F999" s="13" t="str">
        <f t="shared" si="26"/>
        <v>Late</v>
      </c>
      <c r="G999" s="19" t="str">
        <f>_xlfn.XLOOKUP(B999,tblARV[ASN/DN '#],tblARV[Country],"Not found")</f>
        <v>Uganda</v>
      </c>
      <c r="H999" s="19" t="str">
        <f>_xlfn.XLOOKUP($B999,tblARV[ASN/DN '#],tblARV[Fulfill Via],"Not found")</f>
        <v>From RDC</v>
      </c>
      <c r="I999" s="19" t="str">
        <f>_xlfn.XLOOKUP($B999,tblARV[ASN/DN '#],tblARV[Vendor],"Not found")</f>
        <v>SCMS from RDC</v>
      </c>
    </row>
    <row r="1000" spans="2:9" ht="15">
      <c r="B1000" s="7" t="s">
        <v>2513</v>
      </c>
      <c r="C1000" s="10">
        <v>41522</v>
      </c>
      <c r="D1000" s="10">
        <v>41522</v>
      </c>
      <c r="E1000" s="18">
        <v>0</v>
      </c>
      <c r="F1000" s="13" t="str">
        <f t="shared" si="26"/>
        <v>On-time</v>
      </c>
      <c r="G1000" s="19" t="str">
        <f>_xlfn.XLOOKUP(B1000,tblARV[ASN/DN '#],tblARV[Country],"Not found")</f>
        <v>Uganda</v>
      </c>
      <c r="H1000" s="19" t="str">
        <f>_xlfn.XLOOKUP($B1000,tblARV[ASN/DN '#],tblARV[Fulfill Via],"Not found")</f>
        <v>From RDC</v>
      </c>
      <c r="I1000" s="19" t="str">
        <f>_xlfn.XLOOKUP($B1000,tblARV[ASN/DN '#],tblARV[Vendor],"Not found")</f>
        <v>SCMS from RDC</v>
      </c>
    </row>
    <row r="1001" spans="2:9" ht="15">
      <c r="B1001" s="7" t="s">
        <v>2515</v>
      </c>
      <c r="C1001" s="10">
        <v>41519</v>
      </c>
      <c r="D1001" s="10">
        <v>41519</v>
      </c>
      <c r="E1001" s="18">
        <v>0</v>
      </c>
      <c r="F1001" s="13" t="str">
        <f t="shared" si="26"/>
        <v>On-time</v>
      </c>
      <c r="G1001" s="19" t="str">
        <f>_xlfn.XLOOKUP(B1001,tblARV[ASN/DN '#],tblARV[Country],"Not found")</f>
        <v>Uganda</v>
      </c>
      <c r="H1001" s="19" t="str">
        <f>_xlfn.XLOOKUP($B1001,tblARV[ASN/DN '#],tblARV[Fulfill Via],"Not found")</f>
        <v>From RDC</v>
      </c>
      <c r="I1001" s="19" t="str">
        <f>_xlfn.XLOOKUP($B1001,tblARV[ASN/DN '#],tblARV[Vendor],"Not found")</f>
        <v>SCMS from RDC</v>
      </c>
    </row>
    <row r="1002" spans="2:9" ht="15">
      <c r="B1002" s="7" t="s">
        <v>2249</v>
      </c>
      <c r="C1002" s="10">
        <v>41492</v>
      </c>
      <c r="D1002" s="10">
        <v>41508</v>
      </c>
      <c r="E1002" s="18">
        <v>16</v>
      </c>
      <c r="F1002" s="13" t="str">
        <f t="shared" si="26"/>
        <v>Late</v>
      </c>
      <c r="G1002" s="19" t="str">
        <f>_xlfn.XLOOKUP(B1002,tblARV[ASN/DN '#],tblARV[Country],"Not found")</f>
        <v>Uganda</v>
      </c>
      <c r="H1002" s="19" t="str">
        <f>_xlfn.XLOOKUP($B1002,tblARV[ASN/DN '#],tblARV[Fulfill Via],"Not found")</f>
        <v>From RDC</v>
      </c>
      <c r="I1002" s="19" t="str">
        <f>_xlfn.XLOOKUP($B1002,tblARV[ASN/DN '#],tblARV[Vendor],"Not found")</f>
        <v>SCMS from RDC</v>
      </c>
    </row>
    <row r="1003" spans="2:9" ht="15">
      <c r="B1003" s="7" t="s">
        <v>1647</v>
      </c>
      <c r="C1003" s="10">
        <v>41485</v>
      </c>
      <c r="D1003" s="10">
        <v>41501</v>
      </c>
      <c r="E1003" s="18">
        <v>16</v>
      </c>
      <c r="F1003" s="13" t="str">
        <f t="shared" si="26"/>
        <v>Late</v>
      </c>
      <c r="G1003" s="19" t="str">
        <f>_xlfn.XLOOKUP(B1003,tblARV[ASN/DN '#],tblARV[Country],"Not found")</f>
        <v>Tanzania</v>
      </c>
      <c r="H1003" s="19" t="str">
        <f>_xlfn.XLOOKUP($B1003,tblARV[ASN/DN '#],tblARV[Fulfill Via],"Not found")</f>
        <v>From RDC</v>
      </c>
      <c r="I1003" s="19" t="str">
        <f>_xlfn.XLOOKUP($B1003,tblARV[ASN/DN '#],tblARV[Vendor],"Not found")</f>
        <v>SCMS from RDC</v>
      </c>
    </row>
    <row r="1004" spans="2:9" ht="15">
      <c r="B1004" s="7" t="s">
        <v>2775</v>
      </c>
      <c r="C1004" s="10">
        <v>41560</v>
      </c>
      <c r="D1004" s="10">
        <v>41415</v>
      </c>
      <c r="E1004" s="18">
        <v>-145</v>
      </c>
      <c r="F1004" s="13" t="str">
        <f t="shared" si="26"/>
        <v>On-time</v>
      </c>
      <c r="G1004" s="19" t="str">
        <f>_xlfn.XLOOKUP(B1004,tblARV[ASN/DN '#],tblARV[Country],"Not found")</f>
        <v>Burundi</v>
      </c>
      <c r="H1004" s="19" t="str">
        <f>_xlfn.XLOOKUP($B1004,tblARV[ASN/DN '#],tblARV[Fulfill Via],"Not found")</f>
        <v>From RDC</v>
      </c>
      <c r="I1004" s="19" t="str">
        <f>_xlfn.XLOOKUP($B1004,tblARV[ASN/DN '#],tblARV[Vendor],"Not found")</f>
        <v>SCMS from RDC</v>
      </c>
    </row>
    <row r="1005" spans="2:9" ht="15">
      <c r="B1005" s="7" t="s">
        <v>2517</v>
      </c>
      <c r="C1005" s="10">
        <v>41516</v>
      </c>
      <c r="D1005" s="10">
        <v>41513</v>
      </c>
      <c r="E1005" s="18">
        <v>-3</v>
      </c>
      <c r="F1005" s="13" t="str">
        <f t="shared" si="26"/>
        <v>On-time</v>
      </c>
      <c r="G1005" s="19" t="str">
        <f>_xlfn.XLOOKUP(B1005,tblARV[ASN/DN '#],tblARV[Country],"Not found")</f>
        <v>Burundi</v>
      </c>
      <c r="H1005" s="19" t="str">
        <f>_xlfn.XLOOKUP($B1005,tblARV[ASN/DN '#],tblARV[Fulfill Via],"Not found")</f>
        <v>From RDC</v>
      </c>
      <c r="I1005" s="19" t="str">
        <f>_xlfn.XLOOKUP($B1005,tblARV[ASN/DN '#],tblARV[Vendor],"Not found")</f>
        <v>SCMS from RDC</v>
      </c>
    </row>
    <row r="1006" spans="2:9" ht="15">
      <c r="B1006" s="7" t="s">
        <v>1864</v>
      </c>
      <c r="C1006" s="10">
        <v>41516</v>
      </c>
      <c r="D1006" s="10">
        <v>41516</v>
      </c>
      <c r="E1006" s="18">
        <v>0</v>
      </c>
      <c r="F1006" s="13" t="str">
        <f t="shared" si="26"/>
        <v>On-time</v>
      </c>
      <c r="G1006" s="19" t="str">
        <f>_xlfn.XLOOKUP(B1006,tblARV[ASN/DN '#],tblARV[Country],"Not found")</f>
        <v>Uganda</v>
      </c>
      <c r="H1006" s="19" t="str">
        <f>_xlfn.XLOOKUP($B1006,tblARV[ASN/DN '#],tblARV[Fulfill Via],"Not found")</f>
        <v>From RDC</v>
      </c>
      <c r="I1006" s="19" t="str">
        <f>_xlfn.XLOOKUP($B1006,tblARV[ASN/DN '#],tblARV[Vendor],"Not found")</f>
        <v>SCMS from RDC</v>
      </c>
    </row>
    <row r="1007" spans="2:9" ht="15">
      <c r="B1007" s="7" t="s">
        <v>2651</v>
      </c>
      <c r="C1007" s="10">
        <v>41544</v>
      </c>
      <c r="D1007" s="10">
        <v>41544</v>
      </c>
      <c r="E1007" s="18">
        <v>0</v>
      </c>
      <c r="F1007" s="13" t="str">
        <f t="shared" si="26"/>
        <v>On-time</v>
      </c>
      <c r="G1007" s="19" t="str">
        <f>_xlfn.XLOOKUP(B1007,tblARV[ASN/DN '#],tblARV[Country],"Not found")</f>
        <v>Uganda</v>
      </c>
      <c r="H1007" s="19" t="str">
        <f>_xlfn.XLOOKUP($B1007,tblARV[ASN/DN '#],tblARV[Fulfill Via],"Not found")</f>
        <v>From RDC</v>
      </c>
      <c r="I1007" s="19" t="str">
        <f>_xlfn.XLOOKUP($B1007,tblARV[ASN/DN '#],tblARV[Vendor],"Not found")</f>
        <v>SCMS from RDC</v>
      </c>
    </row>
    <row r="1008" spans="2:9" ht="15">
      <c r="B1008" s="7" t="s">
        <v>1866</v>
      </c>
      <c r="C1008" s="10">
        <v>41562</v>
      </c>
      <c r="D1008" s="10">
        <v>41527</v>
      </c>
      <c r="E1008" s="18">
        <v>-105</v>
      </c>
      <c r="F1008" s="13" t="str">
        <f t="shared" si="26"/>
        <v>On-time</v>
      </c>
      <c r="G1008" s="19" t="str">
        <f>_xlfn.XLOOKUP(B1008,tblARV[ASN/DN '#],tblARV[Country],"Not found")</f>
        <v>Tanzania</v>
      </c>
      <c r="H1008" s="19" t="str">
        <f>_xlfn.XLOOKUP($B1008,tblARV[ASN/DN '#],tblARV[Fulfill Via],"Not found")</f>
        <v>From RDC</v>
      </c>
      <c r="I1008" s="19" t="str">
        <f>_xlfn.XLOOKUP($B1008,tblARV[ASN/DN '#],tblARV[Vendor],"Not found")</f>
        <v>SCMS from RDC</v>
      </c>
    </row>
    <row r="1009" spans="2:9" ht="15">
      <c r="B1009" s="7" t="s">
        <v>1868</v>
      </c>
      <c r="C1009" s="10">
        <v>41529</v>
      </c>
      <c r="D1009" s="10">
        <v>41563</v>
      </c>
      <c r="E1009" s="18">
        <v>68</v>
      </c>
      <c r="F1009" s="13" t="str">
        <f t="shared" si="26"/>
        <v>Late</v>
      </c>
      <c r="G1009" s="19" t="str">
        <f>_xlfn.XLOOKUP(B1009,tblARV[ASN/DN '#],tblARV[Country],"Not found")</f>
        <v>Uganda</v>
      </c>
      <c r="H1009" s="19" t="str">
        <f>_xlfn.XLOOKUP($B1009,tblARV[ASN/DN '#],tblARV[Fulfill Via],"Not found")</f>
        <v>From RDC</v>
      </c>
      <c r="I1009" s="19" t="str">
        <f>_xlfn.XLOOKUP($B1009,tblARV[ASN/DN '#],tblARV[Vendor],"Not found")</f>
        <v>SCMS from RDC</v>
      </c>
    </row>
    <row r="1010" spans="2:9" ht="15">
      <c r="B1010" s="7" t="s">
        <v>1649</v>
      </c>
      <c r="C1010" s="10">
        <v>41572</v>
      </c>
      <c r="D1010" s="10">
        <v>41548</v>
      </c>
      <c r="E1010" s="18">
        <v>-48</v>
      </c>
      <c r="F1010" s="13" t="str">
        <f t="shared" si="26"/>
        <v>On-time</v>
      </c>
      <c r="G1010" s="19" t="str">
        <f>_xlfn.XLOOKUP(B1010,tblARV[ASN/DN '#],tblARV[Country],"Not found")</f>
        <v>Tanzania</v>
      </c>
      <c r="H1010" s="19" t="str">
        <f>_xlfn.XLOOKUP($B1010,tblARV[ASN/DN '#],tblARV[Fulfill Via],"Not found")</f>
        <v>From RDC</v>
      </c>
      <c r="I1010" s="19" t="str">
        <f>_xlfn.XLOOKUP($B1010,tblARV[ASN/DN '#],tblARV[Vendor],"Not found")</f>
        <v>SCMS from RDC</v>
      </c>
    </row>
    <row r="1011" spans="2:9" ht="15">
      <c r="B1011" s="7" t="s">
        <v>1870</v>
      </c>
      <c r="C1011" s="10">
        <v>41563</v>
      </c>
      <c r="D1011" s="10">
        <v>41544</v>
      </c>
      <c r="E1011" s="18">
        <v>-19</v>
      </c>
      <c r="F1011" s="13" t="str">
        <f t="shared" si="26"/>
        <v>On-time</v>
      </c>
      <c r="G1011" s="19" t="str">
        <f>_xlfn.XLOOKUP(B1011,tblARV[ASN/DN '#],tblARV[Country],"Not found")</f>
        <v>Tanzania</v>
      </c>
      <c r="H1011" s="19" t="str">
        <f>_xlfn.XLOOKUP($B1011,tblARV[ASN/DN '#],tblARV[Fulfill Via],"Not found")</f>
        <v>From RDC</v>
      </c>
      <c r="I1011" s="19" t="str">
        <f>_xlfn.XLOOKUP($B1011,tblARV[ASN/DN '#],tblARV[Vendor],"Not found")</f>
        <v>SCMS from RDC</v>
      </c>
    </row>
    <row r="1012" spans="2:9" ht="15">
      <c r="B1012" s="7" t="s">
        <v>2076</v>
      </c>
      <c r="C1012" s="10">
        <v>41598</v>
      </c>
      <c r="D1012" s="10">
        <v>41526</v>
      </c>
      <c r="E1012" s="18">
        <v>-72</v>
      </c>
      <c r="F1012" s="13" t="str">
        <f t="shared" si="26"/>
        <v>On-time</v>
      </c>
      <c r="G1012" s="19" t="str">
        <f>_xlfn.XLOOKUP(B1012,tblARV[ASN/DN '#],tblARV[Country],"Not found")</f>
        <v>Tanzania</v>
      </c>
      <c r="H1012" s="19" t="str">
        <f>_xlfn.XLOOKUP($B1012,tblARV[ASN/DN '#],tblARV[Fulfill Via],"Not found")</f>
        <v>From RDC</v>
      </c>
      <c r="I1012" s="19" t="str">
        <f>_xlfn.XLOOKUP($B1012,tblARV[ASN/DN '#],tblARV[Vendor],"Not found")</f>
        <v>SCMS from RDC</v>
      </c>
    </row>
    <row r="1013" spans="2:9" ht="15">
      <c r="B1013" s="7" t="s">
        <v>2078</v>
      </c>
      <c r="C1013" s="10">
        <v>41607</v>
      </c>
      <c r="D1013" s="10">
        <v>41563</v>
      </c>
      <c r="E1013" s="18">
        <v>-44</v>
      </c>
      <c r="F1013" s="13" t="str">
        <f t="shared" si="26"/>
        <v>On-time</v>
      </c>
      <c r="G1013" s="19" t="str">
        <f>_xlfn.XLOOKUP(B1013,tblARV[ASN/DN '#],tblARV[Country],"Not found")</f>
        <v>Uganda</v>
      </c>
      <c r="H1013" s="19" t="str">
        <f>_xlfn.XLOOKUP($B1013,tblARV[ASN/DN '#],tblARV[Fulfill Via],"Not found")</f>
        <v>From RDC</v>
      </c>
      <c r="I1013" s="19" t="str">
        <f>_xlfn.XLOOKUP($B1013,tblARV[ASN/DN '#],tblARV[Vendor],"Not found")</f>
        <v>SCMS from RDC</v>
      </c>
    </row>
    <row r="1014" spans="2:9" ht="15">
      <c r="B1014" s="7" t="s">
        <v>2080</v>
      </c>
      <c r="C1014" s="10">
        <v>41562</v>
      </c>
      <c r="D1014" s="10">
        <v>41535</v>
      </c>
      <c r="E1014" s="18">
        <v>-27</v>
      </c>
      <c r="F1014" s="13" t="str">
        <f t="shared" si="26"/>
        <v>On-time</v>
      </c>
      <c r="G1014" s="19" t="str">
        <f>_xlfn.XLOOKUP(B1014,tblARV[ASN/DN '#],tblARV[Country],"Not found")</f>
        <v>Tanzania</v>
      </c>
      <c r="H1014" s="19" t="str">
        <f>_xlfn.XLOOKUP($B1014,tblARV[ASN/DN '#],tblARV[Fulfill Via],"Not found")</f>
        <v>From RDC</v>
      </c>
      <c r="I1014" s="19" t="str">
        <f>_xlfn.XLOOKUP($B1014,tblARV[ASN/DN '#],tblARV[Vendor],"Not found")</f>
        <v>SCMS from RDC</v>
      </c>
    </row>
    <row r="1015" spans="2:9" ht="15">
      <c r="B1015" s="7" t="s">
        <v>2519</v>
      </c>
      <c r="C1015" s="10">
        <v>41562</v>
      </c>
      <c r="D1015" s="10">
        <v>41522</v>
      </c>
      <c r="E1015" s="18">
        <v>-40</v>
      </c>
      <c r="F1015" s="13" t="str">
        <f t="shared" si="26"/>
        <v>On-time</v>
      </c>
      <c r="G1015" s="19" t="str">
        <f>_xlfn.XLOOKUP(B1015,tblARV[ASN/DN '#],tblARV[Country],"Not found")</f>
        <v>Tanzania</v>
      </c>
      <c r="H1015" s="19" t="str">
        <f>_xlfn.XLOOKUP($B1015,tblARV[ASN/DN '#],tblARV[Fulfill Via],"Not found")</f>
        <v>From RDC</v>
      </c>
      <c r="I1015" s="19" t="str">
        <f>_xlfn.XLOOKUP($B1015,tblARV[ASN/DN '#],tblARV[Vendor],"Not found")</f>
        <v>SCMS from RDC</v>
      </c>
    </row>
    <row r="1016" spans="2:9" ht="15">
      <c r="B1016" s="7" t="s">
        <v>2777</v>
      </c>
      <c r="C1016" s="10">
        <v>41526</v>
      </c>
      <c r="D1016" s="10">
        <v>41527</v>
      </c>
      <c r="E1016" s="18">
        <v>1</v>
      </c>
      <c r="F1016" s="13" t="str">
        <f t="shared" si="26"/>
        <v>Late</v>
      </c>
      <c r="G1016" s="19" t="str">
        <f>_xlfn.XLOOKUP(B1016,tblARV[ASN/DN '#],tblARV[Country],"Not found")</f>
        <v>Burundi</v>
      </c>
      <c r="H1016" s="19" t="str">
        <f>_xlfn.XLOOKUP($B1016,tblARV[ASN/DN '#],tblARV[Fulfill Via],"Not found")</f>
        <v>From RDC</v>
      </c>
      <c r="I1016" s="19" t="str">
        <f>_xlfn.XLOOKUP($B1016,tblARV[ASN/DN '#],tblARV[Vendor],"Not found")</f>
        <v>SCMS from RDC</v>
      </c>
    </row>
    <row r="1017" spans="2:9" ht="15">
      <c r="B1017" s="7" t="s">
        <v>2653</v>
      </c>
      <c r="C1017" s="10">
        <v>41578</v>
      </c>
      <c r="D1017" s="10">
        <v>41555</v>
      </c>
      <c r="E1017" s="18">
        <v>-23</v>
      </c>
      <c r="F1017" s="13" t="str">
        <f t="shared" si="26"/>
        <v>On-time</v>
      </c>
      <c r="G1017" s="19" t="str">
        <f>_xlfn.XLOOKUP(B1017,tblARV[ASN/DN '#],tblARV[Country],"Not found")</f>
        <v>Tanzania</v>
      </c>
      <c r="H1017" s="19" t="str">
        <f>_xlfn.XLOOKUP($B1017,tblARV[ASN/DN '#],tblARV[Fulfill Via],"Not found")</f>
        <v>From RDC</v>
      </c>
      <c r="I1017" s="19" t="str">
        <f>_xlfn.XLOOKUP($B1017,tblARV[ASN/DN '#],tblARV[Vendor],"Not found")</f>
        <v>SCMS from RDC</v>
      </c>
    </row>
    <row r="1018" spans="2:9" ht="15">
      <c r="B1018" s="7" t="s">
        <v>1872</v>
      </c>
      <c r="C1018" s="10">
        <v>41578</v>
      </c>
      <c r="D1018" s="10">
        <v>41544</v>
      </c>
      <c r="E1018" s="18">
        <v>-68</v>
      </c>
      <c r="F1018" s="13" t="str">
        <f t="shared" si="26"/>
        <v>On-time</v>
      </c>
      <c r="G1018" s="19" t="str">
        <f>_xlfn.XLOOKUP(B1018,tblARV[ASN/DN '#],tblARV[Country],"Not found")</f>
        <v>Tanzania</v>
      </c>
      <c r="H1018" s="19" t="str">
        <f>_xlfn.XLOOKUP($B1018,tblARV[ASN/DN '#],tblARV[Fulfill Via],"Not found")</f>
        <v>From RDC</v>
      </c>
      <c r="I1018" s="19" t="str">
        <f>_xlfn.XLOOKUP($B1018,tblARV[ASN/DN '#],tblARV[Vendor],"Not found")</f>
        <v>SCMS from RDC</v>
      </c>
    </row>
    <row r="1019" spans="2:9" ht="15">
      <c r="B1019" s="7" t="s">
        <v>222</v>
      </c>
      <c r="C1019" s="10">
        <v>39329</v>
      </c>
      <c r="D1019" s="10">
        <v>39329</v>
      </c>
      <c r="E1019" s="18">
        <v>0</v>
      </c>
      <c r="F1019" s="13" t="str">
        <f t="shared" si="26"/>
        <v>On-time</v>
      </c>
      <c r="G1019" s="19" t="str">
        <f>_xlfn.XLOOKUP(B1019,tblARV[ASN/DN '#],tblARV[Country],"Not found")</f>
        <v>Ethiopia</v>
      </c>
      <c r="H1019" s="19" t="str">
        <f>_xlfn.XLOOKUP($B1019,tblARV[ASN/DN '#],tblARV[Fulfill Via],"Not found")</f>
        <v>From RDC</v>
      </c>
      <c r="I1019" s="19" t="str">
        <f>_xlfn.XLOOKUP($B1019,tblARV[ASN/DN '#],tblARV[Vendor],"Not found")</f>
        <v>SCMS from RDC</v>
      </c>
    </row>
    <row r="1020" spans="2:9" ht="15">
      <c r="B1020" s="7" t="s">
        <v>2251</v>
      </c>
      <c r="C1020" s="10">
        <v>41598</v>
      </c>
      <c r="D1020" s="10">
        <v>41527</v>
      </c>
      <c r="E1020" s="18">
        <v>-71</v>
      </c>
      <c r="F1020" s="13" t="str">
        <f t="shared" si="26"/>
        <v>On-time</v>
      </c>
      <c r="G1020" s="19" t="str">
        <f>_xlfn.XLOOKUP(B1020,tblARV[ASN/DN '#],tblARV[Country],"Not found")</f>
        <v>Tanzania</v>
      </c>
      <c r="H1020" s="19" t="str">
        <f>_xlfn.XLOOKUP($B1020,tblARV[ASN/DN '#],tblARV[Fulfill Via],"Not found")</f>
        <v>From RDC</v>
      </c>
      <c r="I1020" s="19" t="str">
        <f>_xlfn.XLOOKUP($B1020,tblARV[ASN/DN '#],tblARV[Vendor],"Not found")</f>
        <v>SCMS from RDC</v>
      </c>
    </row>
    <row r="1021" spans="2:9" ht="15">
      <c r="B1021" s="7" t="s">
        <v>2253</v>
      </c>
      <c r="C1021" s="10">
        <v>41547</v>
      </c>
      <c r="D1021" s="10">
        <v>41576</v>
      </c>
      <c r="E1021" s="18">
        <v>29</v>
      </c>
      <c r="F1021" s="13" t="str">
        <f t="shared" si="26"/>
        <v>Late</v>
      </c>
      <c r="G1021" s="19" t="str">
        <f>_xlfn.XLOOKUP(B1021,tblARV[ASN/DN '#],tblARV[Country],"Not found")</f>
        <v>Uganda</v>
      </c>
      <c r="H1021" s="19" t="str">
        <f>_xlfn.XLOOKUP($B1021,tblARV[ASN/DN '#],tblARV[Fulfill Via],"Not found")</f>
        <v>From RDC</v>
      </c>
      <c r="I1021" s="19" t="str">
        <f>_xlfn.XLOOKUP($B1021,tblARV[ASN/DN '#],tblARV[Vendor],"Not found")</f>
        <v>SCMS from RDC</v>
      </c>
    </row>
    <row r="1022" spans="2:9" ht="15">
      <c r="B1022" s="7" t="s">
        <v>1651</v>
      </c>
      <c r="C1022" s="10">
        <v>41581</v>
      </c>
      <c r="D1022" s="10">
        <v>41583</v>
      </c>
      <c r="E1022" s="18">
        <v>4</v>
      </c>
      <c r="F1022" s="13" t="str">
        <f t="shared" si="26"/>
        <v>Late</v>
      </c>
      <c r="G1022" s="19" t="str">
        <f>_xlfn.XLOOKUP(B1022,tblARV[ASN/DN '#],tblARV[Country],"Not found")</f>
        <v>Burundi</v>
      </c>
      <c r="H1022" s="19" t="str">
        <f>_xlfn.XLOOKUP($B1022,tblARV[ASN/DN '#],tblARV[Fulfill Via],"Not found")</f>
        <v>From RDC</v>
      </c>
      <c r="I1022" s="19" t="str">
        <f>_xlfn.XLOOKUP($B1022,tblARV[ASN/DN '#],tblARV[Vendor],"Not found")</f>
        <v>SCMS from RDC</v>
      </c>
    </row>
    <row r="1023" spans="2:9" ht="15">
      <c r="B1023" s="7" t="s">
        <v>2779</v>
      </c>
      <c r="C1023" s="10">
        <v>41574</v>
      </c>
      <c r="D1023" s="10">
        <v>41583</v>
      </c>
      <c r="E1023" s="18">
        <v>9</v>
      </c>
      <c r="F1023" s="13" t="str">
        <f t="shared" si="26"/>
        <v>Late</v>
      </c>
      <c r="G1023" s="19" t="str">
        <f>_xlfn.XLOOKUP(B1023,tblARV[ASN/DN '#],tblARV[Country],"Not found")</f>
        <v>Burundi</v>
      </c>
      <c r="H1023" s="19" t="str">
        <f>_xlfn.XLOOKUP($B1023,tblARV[ASN/DN '#],tblARV[Fulfill Via],"Not found")</f>
        <v>From RDC</v>
      </c>
      <c r="I1023" s="19" t="str">
        <f>_xlfn.XLOOKUP($B1023,tblARV[ASN/DN '#],tblARV[Vendor],"Not found")</f>
        <v>SCMS from RDC</v>
      </c>
    </row>
    <row r="1024" spans="2:9" ht="15">
      <c r="B1024" s="7" t="s">
        <v>1874</v>
      </c>
      <c r="C1024" s="10">
        <v>41551</v>
      </c>
      <c r="D1024" s="10">
        <v>41562</v>
      </c>
      <c r="E1024" s="18">
        <v>11</v>
      </c>
      <c r="F1024" s="13" t="str">
        <f t="shared" si="26"/>
        <v>Late</v>
      </c>
      <c r="G1024" s="19" t="str">
        <f>_xlfn.XLOOKUP(B1024,tblARV[ASN/DN '#],tblARV[Country],"Not found")</f>
        <v>Rwanda</v>
      </c>
      <c r="H1024" s="19" t="str">
        <f>_xlfn.XLOOKUP($B1024,tblARV[ASN/DN '#],tblARV[Fulfill Via],"Not found")</f>
        <v>From RDC</v>
      </c>
      <c r="I1024" s="19" t="str">
        <f>_xlfn.XLOOKUP($B1024,tblARV[ASN/DN '#],tblARV[Vendor],"Not found")</f>
        <v>SCMS from RDC</v>
      </c>
    </row>
    <row r="1025" spans="2:9" ht="15">
      <c r="B1025" s="7" t="s">
        <v>2255</v>
      </c>
      <c r="C1025" s="10">
        <v>41562</v>
      </c>
      <c r="D1025" s="10">
        <v>41562</v>
      </c>
      <c r="E1025" s="18">
        <v>0</v>
      </c>
      <c r="F1025" s="13" t="str">
        <f t="shared" si="26"/>
        <v>On-time</v>
      </c>
      <c r="G1025" s="19" t="str">
        <f>_xlfn.XLOOKUP(B1025,tblARV[ASN/DN '#],tblARV[Country],"Not found")</f>
        <v>Rwanda</v>
      </c>
      <c r="H1025" s="19" t="str">
        <f>_xlfn.XLOOKUP($B1025,tblARV[ASN/DN '#],tblARV[Fulfill Via],"Not found")</f>
        <v>From RDC</v>
      </c>
      <c r="I1025" s="19" t="str">
        <f>_xlfn.XLOOKUP($B1025,tblARV[ASN/DN '#],tblARV[Vendor],"Not found")</f>
        <v>SCMS from RDC</v>
      </c>
    </row>
    <row r="1026" spans="2:9" ht="15">
      <c r="B1026" s="7" t="s">
        <v>2393</v>
      </c>
      <c r="C1026" s="10">
        <v>41575</v>
      </c>
      <c r="D1026" s="10">
        <v>41579</v>
      </c>
      <c r="E1026" s="18">
        <v>4</v>
      </c>
      <c r="F1026" s="13" t="str">
        <f t="shared" si="26"/>
        <v>Late</v>
      </c>
      <c r="G1026" s="19" t="str">
        <f>_xlfn.XLOOKUP(B1026,tblARV[ASN/DN '#],tblARV[Country],"Not found")</f>
        <v>Tanzania</v>
      </c>
      <c r="H1026" s="19" t="str">
        <f>_xlfn.XLOOKUP($B1026,tblARV[ASN/DN '#],tblARV[Fulfill Via],"Not found")</f>
        <v>From RDC</v>
      </c>
      <c r="I1026" s="19" t="str">
        <f>_xlfn.XLOOKUP($B1026,tblARV[ASN/DN '#],tblARV[Vendor],"Not found")</f>
        <v>SCMS from RDC</v>
      </c>
    </row>
    <row r="1027" spans="2:9" ht="15">
      <c r="B1027" s="7" t="s">
        <v>1653</v>
      </c>
      <c r="C1027" s="10">
        <v>41578</v>
      </c>
      <c r="D1027" s="10">
        <v>41582</v>
      </c>
      <c r="E1027" s="18">
        <v>12</v>
      </c>
      <c r="F1027" s="13" t="str">
        <f t="shared" si="26"/>
        <v>Late</v>
      </c>
      <c r="G1027" s="19" t="str">
        <f>_xlfn.XLOOKUP(B1027,tblARV[ASN/DN '#],tblARV[Country],"Not found")</f>
        <v>Tanzania</v>
      </c>
      <c r="H1027" s="19" t="str">
        <f>_xlfn.XLOOKUP($B1027,tblARV[ASN/DN '#],tblARV[Fulfill Via],"Not found")</f>
        <v>From RDC</v>
      </c>
      <c r="I1027" s="19" t="str">
        <f>_xlfn.XLOOKUP($B1027,tblARV[ASN/DN '#],tblARV[Vendor],"Not found")</f>
        <v>SCMS from RDC</v>
      </c>
    </row>
    <row r="1028" spans="2:9" ht="15">
      <c r="B1028" s="7" t="s">
        <v>2257</v>
      </c>
      <c r="C1028" s="10">
        <v>41562</v>
      </c>
      <c r="D1028" s="10">
        <v>41586</v>
      </c>
      <c r="E1028" s="18">
        <v>24</v>
      </c>
      <c r="F1028" s="13" t="str">
        <f t="shared" si="26"/>
        <v>Late</v>
      </c>
      <c r="G1028" s="19" t="str">
        <f>_xlfn.XLOOKUP(B1028,tblARV[ASN/DN '#],tblARV[Country],"Not found")</f>
        <v>Uganda</v>
      </c>
      <c r="H1028" s="19" t="str">
        <f>_xlfn.XLOOKUP($B1028,tblARV[ASN/DN '#],tblARV[Fulfill Via],"Not found")</f>
        <v>From RDC</v>
      </c>
      <c r="I1028" s="19" t="str">
        <f>_xlfn.XLOOKUP($B1028,tblARV[ASN/DN '#],tblARV[Vendor],"Not found")</f>
        <v>SCMS from RDC</v>
      </c>
    </row>
    <row r="1029" spans="2:9" ht="15">
      <c r="B1029" s="7" t="s">
        <v>2655</v>
      </c>
      <c r="C1029" s="10">
        <v>41578</v>
      </c>
      <c r="D1029" s="10">
        <v>41571</v>
      </c>
      <c r="E1029" s="18">
        <v>-7</v>
      </c>
      <c r="F1029" s="13" t="str">
        <f t="shared" si="26"/>
        <v>On-time</v>
      </c>
      <c r="G1029" s="19" t="str">
        <f>_xlfn.XLOOKUP(B1029,tblARV[ASN/DN '#],tblARV[Country],"Not found")</f>
        <v>Rwanda</v>
      </c>
      <c r="H1029" s="19" t="str">
        <f>_xlfn.XLOOKUP($B1029,tblARV[ASN/DN '#],tblARV[Fulfill Via],"Not found")</f>
        <v>From RDC</v>
      </c>
      <c r="I1029" s="19" t="str">
        <f>_xlfn.XLOOKUP($B1029,tblARV[ASN/DN '#],tblARV[Vendor],"Not found")</f>
        <v>SCMS from RDC</v>
      </c>
    </row>
    <row r="1030" spans="2:9" ht="15">
      <c r="B1030" s="7" t="s">
        <v>2657</v>
      </c>
      <c r="C1030" s="10">
        <v>41568</v>
      </c>
      <c r="D1030" s="10">
        <v>41586</v>
      </c>
      <c r="E1030" s="18">
        <v>18</v>
      </c>
      <c r="F1030" s="13" t="str">
        <f t="shared" si="26"/>
        <v>Late</v>
      </c>
      <c r="G1030" s="19" t="str">
        <f>_xlfn.XLOOKUP(B1030,tblARV[ASN/DN '#],tblARV[Country],"Not found")</f>
        <v>Uganda</v>
      </c>
      <c r="H1030" s="19" t="str">
        <f>_xlfn.XLOOKUP($B1030,tblARV[ASN/DN '#],tblARV[Fulfill Via],"Not found")</f>
        <v>From RDC</v>
      </c>
      <c r="I1030" s="19" t="str">
        <f>_xlfn.XLOOKUP($B1030,tblARV[ASN/DN '#],tblARV[Vendor],"Not found")</f>
        <v>SCMS from RDC</v>
      </c>
    </row>
    <row r="1031" spans="2:9" ht="15">
      <c r="B1031" s="7" t="s">
        <v>2781</v>
      </c>
      <c r="C1031" s="10">
        <v>41607</v>
      </c>
      <c r="D1031" s="10">
        <v>41598</v>
      </c>
      <c r="E1031" s="18">
        <v>-9</v>
      </c>
      <c r="F1031" s="13" t="str">
        <f t="shared" si="26"/>
        <v>On-time</v>
      </c>
      <c r="G1031" s="19" t="str">
        <f>_xlfn.XLOOKUP(B1031,tblARV[ASN/DN '#],tblARV[Country],"Not found")</f>
        <v>Uganda</v>
      </c>
      <c r="H1031" s="19" t="str">
        <f>_xlfn.XLOOKUP($B1031,tblARV[ASN/DN '#],tblARV[Fulfill Via],"Not found")</f>
        <v>From RDC</v>
      </c>
      <c r="I1031" s="19" t="str">
        <f>_xlfn.XLOOKUP($B1031,tblARV[ASN/DN '#],tblARV[Vendor],"Not found")</f>
        <v>SCMS from RDC</v>
      </c>
    </row>
    <row r="1032" spans="2:9" ht="15">
      <c r="B1032" s="7" t="s">
        <v>2263</v>
      </c>
      <c r="C1032" s="10">
        <v>41593</v>
      </c>
      <c r="D1032" s="10">
        <v>41600</v>
      </c>
      <c r="E1032" s="18">
        <v>21</v>
      </c>
      <c r="F1032" s="13" t="str">
        <f t="shared" si="26"/>
        <v>Late</v>
      </c>
      <c r="G1032" s="19" t="str">
        <f>_xlfn.XLOOKUP(B1032,tblARV[ASN/DN '#],tblARV[Country],"Not found")</f>
        <v>Burundi</v>
      </c>
      <c r="H1032" s="19" t="str">
        <f>_xlfn.XLOOKUP($B1032,tblARV[ASN/DN '#],tblARV[Fulfill Via],"Not found")</f>
        <v>From RDC</v>
      </c>
      <c r="I1032" s="19" t="str">
        <f>_xlfn.XLOOKUP($B1032,tblARV[ASN/DN '#],tblARV[Vendor],"Not found")</f>
        <v>SCMS from RDC</v>
      </c>
    </row>
    <row r="1033" spans="2:9" ht="15">
      <c r="B1033" s="7" t="s">
        <v>1876</v>
      </c>
      <c r="C1033" s="10">
        <v>41593</v>
      </c>
      <c r="D1033" s="10">
        <v>41600</v>
      </c>
      <c r="E1033" s="18">
        <v>7</v>
      </c>
      <c r="F1033" s="13" t="str">
        <f t="shared" si="26"/>
        <v>Late</v>
      </c>
      <c r="G1033" s="19" t="str">
        <f>_xlfn.XLOOKUP(B1033,tblARV[ASN/DN '#],tblARV[Country],"Not found")</f>
        <v>Burundi</v>
      </c>
      <c r="H1033" s="19" t="str">
        <f>_xlfn.XLOOKUP($B1033,tblARV[ASN/DN '#],tblARV[Fulfill Via],"Not found")</f>
        <v>From RDC</v>
      </c>
      <c r="I1033" s="19" t="str">
        <f>_xlfn.XLOOKUP($B1033,tblARV[ASN/DN '#],tblARV[Vendor],"Not found")</f>
        <v>SCMS from RDC</v>
      </c>
    </row>
    <row r="1034" spans="2:9" ht="15">
      <c r="B1034" s="7" t="s">
        <v>2521</v>
      </c>
      <c r="C1034" s="10">
        <v>41637</v>
      </c>
      <c r="D1034" s="10">
        <v>41598</v>
      </c>
      <c r="E1034" s="18">
        <v>-39</v>
      </c>
      <c r="F1034" s="13" t="str">
        <f t="shared" si="26"/>
        <v>On-time</v>
      </c>
      <c r="G1034" s="19" t="str">
        <f>_xlfn.XLOOKUP(B1034,tblARV[ASN/DN '#],tblARV[Country],"Not found")</f>
        <v>Burundi</v>
      </c>
      <c r="H1034" s="19" t="str">
        <f>_xlfn.XLOOKUP($B1034,tblARV[ASN/DN '#],tblARV[Fulfill Via],"Not found")</f>
        <v>From RDC</v>
      </c>
      <c r="I1034" s="19" t="str">
        <f>_xlfn.XLOOKUP($B1034,tblARV[ASN/DN '#],tblARV[Vendor],"Not found")</f>
        <v>SCMS from RDC</v>
      </c>
    </row>
    <row r="1035" spans="2:9" ht="15">
      <c r="B1035" s="7" t="s">
        <v>1878</v>
      </c>
      <c r="C1035" s="10">
        <v>41600</v>
      </c>
      <c r="D1035" s="10">
        <v>41613</v>
      </c>
      <c r="E1035" s="18">
        <v>13</v>
      </c>
      <c r="F1035" s="13" t="str">
        <f t="shared" si="26"/>
        <v>Late</v>
      </c>
      <c r="G1035" s="19" t="str">
        <f>_xlfn.XLOOKUP(B1035,tblARV[ASN/DN '#],tblARV[Country],"Not found")</f>
        <v>Burundi</v>
      </c>
      <c r="H1035" s="19" t="str">
        <f>_xlfn.XLOOKUP($B1035,tblARV[ASN/DN '#],tblARV[Fulfill Via],"Not found")</f>
        <v>From RDC</v>
      </c>
      <c r="I1035" s="19" t="str">
        <f>_xlfn.XLOOKUP($B1035,tblARV[ASN/DN '#],tblARV[Vendor],"Not found")</f>
        <v>SCMS from RDC</v>
      </c>
    </row>
    <row r="1036" spans="2:9" ht="15">
      <c r="B1036" s="7" t="s">
        <v>2523</v>
      </c>
      <c r="C1036" s="10">
        <v>41607</v>
      </c>
      <c r="D1036" s="10">
        <v>41591</v>
      </c>
      <c r="E1036" s="18">
        <v>-32</v>
      </c>
      <c r="F1036" s="13" t="str">
        <f t="shared" si="26"/>
        <v>On-time</v>
      </c>
      <c r="G1036" s="19" t="str">
        <f>_xlfn.XLOOKUP(B1036,tblARV[ASN/DN '#],tblARV[Country],"Not found")</f>
        <v>Uganda</v>
      </c>
      <c r="H1036" s="19" t="str">
        <f>_xlfn.XLOOKUP($B1036,tblARV[ASN/DN '#],tblARV[Fulfill Via],"Not found")</f>
        <v>From RDC</v>
      </c>
      <c r="I1036" s="19" t="str">
        <f>_xlfn.XLOOKUP($B1036,tblARV[ASN/DN '#],tblARV[Vendor],"Not found")</f>
        <v>SCMS from RDC</v>
      </c>
    </row>
    <row r="1037" spans="2:9" ht="15">
      <c r="B1037" s="7" t="s">
        <v>1880</v>
      </c>
      <c r="C1037" s="10">
        <v>41593</v>
      </c>
      <c r="D1037" s="10">
        <v>41600</v>
      </c>
      <c r="E1037" s="18">
        <v>7</v>
      </c>
      <c r="F1037" s="13" t="str">
        <f t="shared" si="26"/>
        <v>Late</v>
      </c>
      <c r="G1037" s="19" t="str">
        <f>_xlfn.XLOOKUP(B1037,tblARV[ASN/DN '#],tblARV[Country],"Not found")</f>
        <v>Uganda</v>
      </c>
      <c r="H1037" s="19" t="str">
        <f>_xlfn.XLOOKUP($B1037,tblARV[ASN/DN '#],tblARV[Fulfill Via],"Not found")</f>
        <v>From RDC</v>
      </c>
      <c r="I1037" s="19" t="str">
        <f>_xlfn.XLOOKUP($B1037,tblARV[ASN/DN '#],tblARV[Vendor],"Not found")</f>
        <v>SCMS from RDC</v>
      </c>
    </row>
    <row r="1038" spans="2:9" ht="15">
      <c r="B1038" s="7" t="s">
        <v>2259</v>
      </c>
      <c r="C1038" s="10">
        <v>41607</v>
      </c>
      <c r="D1038" s="10">
        <v>41607</v>
      </c>
      <c r="E1038" s="18">
        <v>0</v>
      </c>
      <c r="F1038" s="13" t="str">
        <f t="shared" si="26"/>
        <v>On-time</v>
      </c>
      <c r="G1038" s="19" t="str">
        <f>_xlfn.XLOOKUP(B1038,tblARV[ASN/DN '#],tblARV[Country],"Not found")</f>
        <v>Rwanda</v>
      </c>
      <c r="H1038" s="19" t="str">
        <f>_xlfn.XLOOKUP($B1038,tblARV[ASN/DN '#],tblARV[Fulfill Via],"Not found")</f>
        <v>From RDC</v>
      </c>
      <c r="I1038" s="19" t="str">
        <f>_xlfn.XLOOKUP($B1038,tblARV[ASN/DN '#],tblARV[Vendor],"Not found")</f>
        <v>SCMS from RDC</v>
      </c>
    </row>
    <row r="1039" spans="2:9" ht="15">
      <c r="B1039" s="7" t="s">
        <v>1882</v>
      </c>
      <c r="C1039" s="10">
        <v>41634</v>
      </c>
      <c r="D1039" s="10">
        <v>41624</v>
      </c>
      <c r="E1039" s="18">
        <v>-30</v>
      </c>
      <c r="F1039" s="13" t="str">
        <f t="shared" si="26"/>
        <v>On-time</v>
      </c>
      <c r="G1039" s="19" t="str">
        <f>_xlfn.XLOOKUP(B1039,tblARV[ASN/DN '#],tblARV[Country],"Not found")</f>
        <v>Tanzania</v>
      </c>
      <c r="H1039" s="19" t="str">
        <f>_xlfn.XLOOKUP($B1039,tblARV[ASN/DN '#],tblARV[Fulfill Via],"Not found")</f>
        <v>From RDC</v>
      </c>
      <c r="I1039" s="19" t="str">
        <f>_xlfn.XLOOKUP($B1039,tblARV[ASN/DN '#],tblARV[Vendor],"Not found")</f>
        <v>SCMS from RDC</v>
      </c>
    </row>
    <row r="1040" spans="2:9" ht="15">
      <c r="B1040" s="7" t="s">
        <v>2082</v>
      </c>
      <c r="C1040" s="10">
        <v>41624</v>
      </c>
      <c r="D1040" s="10">
        <v>41628</v>
      </c>
      <c r="E1040" s="18">
        <v>8</v>
      </c>
      <c r="F1040" s="13" t="str">
        <f t="shared" si="26"/>
        <v>Late</v>
      </c>
      <c r="G1040" s="19" t="str">
        <f>_xlfn.XLOOKUP(B1040,tblARV[ASN/DN '#],tblARV[Country],"Not found")</f>
        <v>Uganda</v>
      </c>
      <c r="H1040" s="19" t="str">
        <f>_xlfn.XLOOKUP($B1040,tblARV[ASN/DN '#],tblARV[Fulfill Via],"Not found")</f>
        <v>From RDC</v>
      </c>
      <c r="I1040" s="19" t="str">
        <f>_xlfn.XLOOKUP($B1040,tblARV[ASN/DN '#],tblARV[Vendor],"Not found")</f>
        <v>SCMS from RDC</v>
      </c>
    </row>
    <row r="1041" spans="2:9" ht="15">
      <c r="B1041" s="7" t="s">
        <v>2525</v>
      </c>
      <c r="C1041" s="10">
        <v>41639</v>
      </c>
      <c r="D1041" s="10">
        <v>41648</v>
      </c>
      <c r="E1041" s="18">
        <v>9</v>
      </c>
      <c r="F1041" s="13" t="str">
        <f t="shared" si="26"/>
        <v>Late</v>
      </c>
      <c r="G1041" s="19" t="str">
        <f>_xlfn.XLOOKUP(B1041,tblARV[ASN/DN '#],tblARV[Country],"Not found")</f>
        <v>Tanzania</v>
      </c>
      <c r="H1041" s="19" t="str">
        <f>_xlfn.XLOOKUP($B1041,tblARV[ASN/DN '#],tblARV[Fulfill Via],"Not found")</f>
        <v>From RDC</v>
      </c>
      <c r="I1041" s="19" t="str">
        <f>_xlfn.XLOOKUP($B1041,tblARV[ASN/DN '#],tblARV[Vendor],"Not found")</f>
        <v>SCMS from RDC</v>
      </c>
    </row>
    <row r="1042" spans="2:9" ht="15">
      <c r="B1042" s="7" t="s">
        <v>2783</v>
      </c>
      <c r="C1042" s="10">
        <v>41624</v>
      </c>
      <c r="D1042" s="10">
        <v>41628</v>
      </c>
      <c r="E1042" s="18">
        <v>4</v>
      </c>
      <c r="F1042" s="13" t="str">
        <f t="shared" si="26"/>
        <v>Late</v>
      </c>
      <c r="G1042" s="19" t="str">
        <f>_xlfn.XLOOKUP(B1042,tblARV[ASN/DN '#],tblARV[Country],"Not found")</f>
        <v>Uganda</v>
      </c>
      <c r="H1042" s="19" t="str">
        <f>_xlfn.XLOOKUP($B1042,tblARV[ASN/DN '#],tblARV[Fulfill Via],"Not found")</f>
        <v>From RDC</v>
      </c>
      <c r="I1042" s="19" t="str">
        <f>_xlfn.XLOOKUP($B1042,tblARV[ASN/DN '#],tblARV[Vendor],"Not found")</f>
        <v>SCMS from RDC</v>
      </c>
    </row>
    <row r="1043" spans="2:9" ht="15">
      <c r="B1043" s="7" t="s">
        <v>2659</v>
      </c>
      <c r="C1043" s="10">
        <v>41639</v>
      </c>
      <c r="D1043" s="10">
        <v>41606</v>
      </c>
      <c r="E1043" s="18">
        <v>-33</v>
      </c>
      <c r="F1043" s="13" t="str">
        <f t="shared" si="26"/>
        <v>On-time</v>
      </c>
      <c r="G1043" s="19" t="str">
        <f>_xlfn.XLOOKUP(B1043,tblARV[ASN/DN '#],tblARV[Country],"Not found")</f>
        <v>Uganda</v>
      </c>
      <c r="H1043" s="19" t="str">
        <f>_xlfn.XLOOKUP($B1043,tblARV[ASN/DN '#],tblARV[Fulfill Via],"Not found")</f>
        <v>From RDC</v>
      </c>
      <c r="I1043" s="19" t="str">
        <f>_xlfn.XLOOKUP($B1043,tblARV[ASN/DN '#],tblARV[Vendor],"Not found")</f>
        <v>SCMS from RDC</v>
      </c>
    </row>
    <row r="1044" spans="2:9" ht="15">
      <c r="B1044" s="7" t="s">
        <v>1655</v>
      </c>
      <c r="C1044" s="10">
        <v>41670</v>
      </c>
      <c r="D1044" s="10">
        <v>41631</v>
      </c>
      <c r="E1044" s="18">
        <v>-117</v>
      </c>
      <c r="F1044" s="13" t="str">
        <f t="shared" si="26"/>
        <v>On-time</v>
      </c>
      <c r="G1044" s="19" t="str">
        <f>_xlfn.XLOOKUP(B1044,tblARV[ASN/DN '#],tblARV[Country],"Not found")</f>
        <v>Rwanda</v>
      </c>
      <c r="H1044" s="19" t="str">
        <f>_xlfn.XLOOKUP($B1044,tblARV[ASN/DN '#],tblARV[Fulfill Via],"Not found")</f>
        <v>From RDC</v>
      </c>
      <c r="I1044" s="19" t="str">
        <f>_xlfn.XLOOKUP($B1044,tblARV[ASN/DN '#],tblARV[Vendor],"Not found")</f>
        <v>SCMS from RDC</v>
      </c>
    </row>
    <row r="1045" spans="2:9" ht="15">
      <c r="B1045" s="7" t="s">
        <v>2661</v>
      </c>
      <c r="C1045" s="10">
        <v>41639</v>
      </c>
      <c r="D1045" s="10">
        <v>41687</v>
      </c>
      <c r="E1045" s="18">
        <v>48</v>
      </c>
      <c r="F1045" s="13" t="str">
        <f t="shared" ref="F1045:F1108" si="27">IF($E1045&lt;=0,"On-time","Late")</f>
        <v>Late</v>
      </c>
      <c r="G1045" s="19" t="str">
        <f>_xlfn.XLOOKUP(B1045,tblARV[ASN/DN '#],tblARV[Country],"Not found")</f>
        <v>Burundi</v>
      </c>
      <c r="H1045" s="19" t="str">
        <f>_xlfn.XLOOKUP($B1045,tblARV[ASN/DN '#],tblARV[Fulfill Via],"Not found")</f>
        <v>From RDC</v>
      </c>
      <c r="I1045" s="19" t="str">
        <f>_xlfn.XLOOKUP($B1045,tblARV[ASN/DN '#],tblARV[Vendor],"Not found")</f>
        <v>SCMS from RDC</v>
      </c>
    </row>
    <row r="1046" spans="2:9" ht="15">
      <c r="B1046" s="7" t="s">
        <v>2261</v>
      </c>
      <c r="C1046" s="10">
        <v>41607</v>
      </c>
      <c r="D1046" s="10">
        <v>41675</v>
      </c>
      <c r="E1046" s="18">
        <v>68</v>
      </c>
      <c r="F1046" s="13" t="str">
        <f t="shared" si="27"/>
        <v>Late</v>
      </c>
      <c r="G1046" s="19" t="str">
        <f>_xlfn.XLOOKUP(B1046,tblARV[ASN/DN '#],tblARV[Country],"Not found")</f>
        <v>Rwanda</v>
      </c>
      <c r="H1046" s="19" t="str">
        <f>_xlfn.XLOOKUP($B1046,tblARV[ASN/DN '#],tblARV[Fulfill Via],"Not found")</f>
        <v>From RDC</v>
      </c>
      <c r="I1046" s="19" t="str">
        <f>_xlfn.XLOOKUP($B1046,tblARV[ASN/DN '#],tblARV[Vendor],"Not found")</f>
        <v>SCMS from RDC</v>
      </c>
    </row>
    <row r="1047" spans="2:9" ht="15">
      <c r="B1047" s="7" t="s">
        <v>2663</v>
      </c>
      <c r="C1047" s="10">
        <v>41625</v>
      </c>
      <c r="D1047" s="10">
        <v>41619</v>
      </c>
      <c r="E1047" s="18">
        <v>-6</v>
      </c>
      <c r="F1047" s="13" t="str">
        <f t="shared" si="27"/>
        <v>On-time</v>
      </c>
      <c r="G1047" s="19" t="str">
        <f>_xlfn.XLOOKUP(B1047,tblARV[ASN/DN '#],tblARV[Country],"Not found")</f>
        <v>Rwanda</v>
      </c>
      <c r="H1047" s="19" t="str">
        <f>_xlfn.XLOOKUP($B1047,tblARV[ASN/DN '#],tblARV[Fulfill Via],"Not found")</f>
        <v>From RDC</v>
      </c>
      <c r="I1047" s="19" t="str">
        <f>_xlfn.XLOOKUP($B1047,tblARV[ASN/DN '#],tblARV[Vendor],"Not found")</f>
        <v>SCMS from RDC</v>
      </c>
    </row>
    <row r="1048" spans="2:9" ht="15">
      <c r="B1048" s="7" t="s">
        <v>2395</v>
      </c>
      <c r="C1048" s="10">
        <v>41656</v>
      </c>
      <c r="D1048" s="10">
        <v>41656</v>
      </c>
      <c r="E1048" s="18">
        <v>0</v>
      </c>
      <c r="F1048" s="13" t="str">
        <f t="shared" si="27"/>
        <v>On-time</v>
      </c>
      <c r="G1048" s="19" t="str">
        <f>_xlfn.XLOOKUP(B1048,tblARV[ASN/DN '#],tblARV[Country],"Not found")</f>
        <v>Rwanda</v>
      </c>
      <c r="H1048" s="19" t="str">
        <f>_xlfn.XLOOKUP($B1048,tblARV[ASN/DN '#],tblARV[Fulfill Via],"Not found")</f>
        <v>From RDC</v>
      </c>
      <c r="I1048" s="19" t="str">
        <f>_xlfn.XLOOKUP($B1048,tblARV[ASN/DN '#],tblARV[Vendor],"Not found")</f>
        <v>SCMS from RDC</v>
      </c>
    </row>
    <row r="1049" spans="2:9" ht="15">
      <c r="B1049" s="7" t="s">
        <v>1884</v>
      </c>
      <c r="C1049" s="10">
        <v>41670</v>
      </c>
      <c r="D1049" s="10">
        <v>41659</v>
      </c>
      <c r="E1049" s="18">
        <v>-22</v>
      </c>
      <c r="F1049" s="13" t="str">
        <f t="shared" si="27"/>
        <v>On-time</v>
      </c>
      <c r="G1049" s="19" t="str">
        <f>_xlfn.XLOOKUP(B1049,tblARV[ASN/DN '#],tblARV[Country],"Not found")</f>
        <v>Tanzania</v>
      </c>
      <c r="H1049" s="19" t="str">
        <f>_xlfn.XLOOKUP($B1049,tblARV[ASN/DN '#],tblARV[Fulfill Via],"Not found")</f>
        <v>From RDC</v>
      </c>
      <c r="I1049" s="19" t="str">
        <f>_xlfn.XLOOKUP($B1049,tblARV[ASN/DN '#],tblARV[Vendor],"Not found")</f>
        <v>SCMS from RDC</v>
      </c>
    </row>
    <row r="1050" spans="2:9" ht="15">
      <c r="B1050" s="7" t="s">
        <v>1886</v>
      </c>
      <c r="C1050" s="10">
        <v>41639</v>
      </c>
      <c r="D1050" s="10">
        <v>41695</v>
      </c>
      <c r="E1050" s="18">
        <v>280</v>
      </c>
      <c r="F1050" s="13" t="str">
        <f t="shared" si="27"/>
        <v>Late</v>
      </c>
      <c r="G1050" s="19" t="str">
        <f>_xlfn.XLOOKUP(B1050,tblARV[ASN/DN '#],tblARV[Country],"Not found")</f>
        <v>Tanzania</v>
      </c>
      <c r="H1050" s="19" t="str">
        <f>_xlfn.XLOOKUP($B1050,tblARV[ASN/DN '#],tblARV[Fulfill Via],"Not found")</f>
        <v>From RDC</v>
      </c>
      <c r="I1050" s="19" t="str">
        <f>_xlfn.XLOOKUP($B1050,tblARV[ASN/DN '#],tblARV[Vendor],"Not found")</f>
        <v>SCMS from RDC</v>
      </c>
    </row>
    <row r="1051" spans="2:9" ht="15">
      <c r="B1051" s="7" t="s">
        <v>2665</v>
      </c>
      <c r="C1051" s="10">
        <v>41670</v>
      </c>
      <c r="D1051" s="10">
        <v>41705</v>
      </c>
      <c r="E1051" s="18">
        <v>70</v>
      </c>
      <c r="F1051" s="13" t="str">
        <f t="shared" si="27"/>
        <v>Late</v>
      </c>
      <c r="G1051" s="19" t="str">
        <f>_xlfn.XLOOKUP(B1051,tblARV[ASN/DN '#],tblARV[Country],"Not found")</f>
        <v>Tanzania</v>
      </c>
      <c r="H1051" s="19" t="str">
        <f>_xlfn.XLOOKUP($B1051,tblARV[ASN/DN '#],tblARV[Fulfill Via],"Not found")</f>
        <v>From RDC</v>
      </c>
      <c r="I1051" s="19" t="str">
        <f>_xlfn.XLOOKUP($B1051,tblARV[ASN/DN '#],tblARV[Vendor],"Not found")</f>
        <v>SCMS from RDC</v>
      </c>
    </row>
    <row r="1052" spans="2:9" ht="15">
      <c r="B1052" s="7" t="s">
        <v>2084</v>
      </c>
      <c r="C1052" s="10">
        <v>41670</v>
      </c>
      <c r="D1052" s="10">
        <v>41662</v>
      </c>
      <c r="E1052" s="18">
        <v>-8</v>
      </c>
      <c r="F1052" s="13" t="str">
        <f t="shared" si="27"/>
        <v>On-time</v>
      </c>
      <c r="G1052" s="19" t="str">
        <f>_xlfn.XLOOKUP(B1052,tblARV[ASN/DN '#],tblARV[Country],"Not found")</f>
        <v>Rwanda</v>
      </c>
      <c r="H1052" s="19" t="str">
        <f>_xlfn.XLOOKUP($B1052,tblARV[ASN/DN '#],tblARV[Fulfill Via],"Not found")</f>
        <v>From RDC</v>
      </c>
      <c r="I1052" s="19" t="str">
        <f>_xlfn.XLOOKUP($B1052,tblARV[ASN/DN '#],tblARV[Vendor],"Not found")</f>
        <v>SCMS from RDC</v>
      </c>
    </row>
    <row r="1053" spans="2:9" ht="15">
      <c r="B1053" s="7" t="s">
        <v>1888</v>
      </c>
      <c r="C1053" s="10">
        <v>41670</v>
      </c>
      <c r="D1053" s="10">
        <v>41661</v>
      </c>
      <c r="E1053" s="18">
        <v>-9</v>
      </c>
      <c r="F1053" s="13" t="str">
        <f t="shared" si="27"/>
        <v>On-time</v>
      </c>
      <c r="G1053" s="19" t="str">
        <f>_xlfn.XLOOKUP(B1053,tblARV[ASN/DN '#],tblARV[Country],"Not found")</f>
        <v>Rwanda</v>
      </c>
      <c r="H1053" s="19" t="str">
        <f>_xlfn.XLOOKUP($B1053,tblARV[ASN/DN '#],tblARV[Fulfill Via],"Not found")</f>
        <v>From RDC</v>
      </c>
      <c r="I1053" s="19" t="str">
        <f>_xlfn.XLOOKUP($B1053,tblARV[ASN/DN '#],tblARV[Vendor],"Not found")</f>
        <v>SCMS from RDC</v>
      </c>
    </row>
    <row r="1054" spans="2:9" ht="15">
      <c r="B1054" s="7" t="s">
        <v>1659</v>
      </c>
      <c r="C1054" s="10">
        <v>41670</v>
      </c>
      <c r="D1054" s="10">
        <v>41649</v>
      </c>
      <c r="E1054" s="18">
        <v>-21</v>
      </c>
      <c r="F1054" s="13" t="str">
        <f t="shared" si="27"/>
        <v>On-time</v>
      </c>
      <c r="G1054" s="19" t="str">
        <f>_xlfn.XLOOKUP(B1054,tblARV[ASN/DN '#],tblARV[Country],"Not found")</f>
        <v>Rwanda</v>
      </c>
      <c r="H1054" s="19" t="str">
        <f>_xlfn.XLOOKUP($B1054,tblARV[ASN/DN '#],tblARV[Fulfill Via],"Not found")</f>
        <v>From RDC</v>
      </c>
      <c r="I1054" s="19" t="str">
        <f>_xlfn.XLOOKUP($B1054,tblARV[ASN/DN '#],tblARV[Vendor],"Not found")</f>
        <v>SCMS from RDC</v>
      </c>
    </row>
    <row r="1055" spans="2:9" ht="15">
      <c r="B1055" s="7" t="s">
        <v>2265</v>
      </c>
      <c r="C1055" s="10">
        <v>41698</v>
      </c>
      <c r="D1055" s="10">
        <v>41695</v>
      </c>
      <c r="E1055" s="18">
        <v>-3</v>
      </c>
      <c r="F1055" s="13" t="str">
        <f t="shared" si="27"/>
        <v>On-time</v>
      </c>
      <c r="G1055" s="19" t="str">
        <f>_xlfn.XLOOKUP(B1055,tblARV[ASN/DN '#],tblARV[Country],"Not found")</f>
        <v>Rwanda</v>
      </c>
      <c r="H1055" s="19" t="str">
        <f>_xlfn.XLOOKUP($B1055,tblARV[ASN/DN '#],tblARV[Fulfill Via],"Not found")</f>
        <v>From RDC</v>
      </c>
      <c r="I1055" s="19" t="str">
        <f>_xlfn.XLOOKUP($B1055,tblARV[ASN/DN '#],tblARV[Vendor],"Not found")</f>
        <v>SCMS from RDC</v>
      </c>
    </row>
    <row r="1056" spans="2:9" ht="15">
      <c r="B1056" s="7" t="s">
        <v>2856</v>
      </c>
      <c r="C1056" s="10">
        <v>41661</v>
      </c>
      <c r="D1056" s="10">
        <v>41681</v>
      </c>
      <c r="E1056" s="18">
        <v>80</v>
      </c>
      <c r="F1056" s="13" t="str">
        <f t="shared" si="27"/>
        <v>Late</v>
      </c>
      <c r="G1056" s="19" t="str">
        <f>_xlfn.XLOOKUP(B1056,tblARV[ASN/DN '#],tblARV[Country],"Not found")</f>
        <v>South Sudan</v>
      </c>
      <c r="H1056" s="19" t="str">
        <f>_xlfn.XLOOKUP($B1056,tblARV[ASN/DN '#],tblARV[Fulfill Via],"Not found")</f>
        <v>From RDC</v>
      </c>
      <c r="I1056" s="19" t="str">
        <f>_xlfn.XLOOKUP($B1056,tblARV[ASN/DN '#],tblARV[Vendor],"Not found")</f>
        <v>SCMS from RDC</v>
      </c>
    </row>
    <row r="1057" spans="2:9" ht="15">
      <c r="B1057" s="7" t="s">
        <v>1661</v>
      </c>
      <c r="C1057" s="10">
        <v>41670</v>
      </c>
      <c r="D1057" s="10">
        <v>41673</v>
      </c>
      <c r="E1057" s="18">
        <v>9</v>
      </c>
      <c r="F1057" s="13" t="str">
        <f t="shared" si="27"/>
        <v>Late</v>
      </c>
      <c r="G1057" s="19" t="str">
        <f>_xlfn.XLOOKUP(B1057,tblARV[ASN/DN '#],tblARV[Country],"Not found")</f>
        <v>Rwanda</v>
      </c>
      <c r="H1057" s="19" t="str">
        <f>_xlfn.XLOOKUP($B1057,tblARV[ASN/DN '#],tblARV[Fulfill Via],"Not found")</f>
        <v>From RDC</v>
      </c>
      <c r="I1057" s="19" t="str">
        <f>_xlfn.XLOOKUP($B1057,tblARV[ASN/DN '#],tblARV[Vendor],"Not found")</f>
        <v>SCMS from RDC</v>
      </c>
    </row>
    <row r="1058" spans="2:9" ht="15">
      <c r="B1058" s="7" t="s">
        <v>2785</v>
      </c>
      <c r="C1058" s="10">
        <v>41670</v>
      </c>
      <c r="D1058" s="10">
        <v>41710</v>
      </c>
      <c r="E1058" s="18">
        <v>40</v>
      </c>
      <c r="F1058" s="13" t="str">
        <f t="shared" si="27"/>
        <v>Late</v>
      </c>
      <c r="G1058" s="19" t="str">
        <f>_xlfn.XLOOKUP(B1058,tblARV[ASN/DN '#],tblARV[Country],"Not found")</f>
        <v>Tanzania</v>
      </c>
      <c r="H1058" s="19" t="str">
        <f>_xlfn.XLOOKUP($B1058,tblARV[ASN/DN '#],tblARV[Fulfill Via],"Not found")</f>
        <v>From RDC</v>
      </c>
      <c r="I1058" s="19" t="str">
        <f>_xlfn.XLOOKUP($B1058,tblARV[ASN/DN '#],tblARV[Vendor],"Not found")</f>
        <v>SCMS from RDC</v>
      </c>
    </row>
    <row r="1059" spans="2:9" ht="15">
      <c r="B1059" s="7" t="s">
        <v>2787</v>
      </c>
      <c r="C1059" s="10">
        <v>41670</v>
      </c>
      <c r="D1059" s="10">
        <v>41705</v>
      </c>
      <c r="E1059" s="18">
        <v>35</v>
      </c>
      <c r="F1059" s="13" t="str">
        <f t="shared" si="27"/>
        <v>Late</v>
      </c>
      <c r="G1059" s="19" t="str">
        <f>_xlfn.XLOOKUP(B1059,tblARV[ASN/DN '#],tblARV[Country],"Not found")</f>
        <v>Tanzania</v>
      </c>
      <c r="H1059" s="19" t="str">
        <f>_xlfn.XLOOKUP($B1059,tblARV[ASN/DN '#],tblARV[Fulfill Via],"Not found")</f>
        <v>From RDC</v>
      </c>
      <c r="I1059" s="19" t="str">
        <f>_xlfn.XLOOKUP($B1059,tblARV[ASN/DN '#],tblARV[Vendor],"Not found")</f>
        <v>SCMS from RDC</v>
      </c>
    </row>
    <row r="1060" spans="2:9" ht="15">
      <c r="B1060" s="7" t="s">
        <v>1663</v>
      </c>
      <c r="C1060" s="10">
        <v>41670</v>
      </c>
      <c r="D1060" s="10">
        <v>41689</v>
      </c>
      <c r="E1060" s="18">
        <v>38</v>
      </c>
      <c r="F1060" s="13" t="str">
        <f t="shared" si="27"/>
        <v>Late</v>
      </c>
      <c r="G1060" s="19" t="str">
        <f>_xlfn.XLOOKUP(B1060,tblARV[ASN/DN '#],tblARV[Country],"Not found")</f>
        <v>Tanzania</v>
      </c>
      <c r="H1060" s="19" t="str">
        <f>_xlfn.XLOOKUP($B1060,tblARV[ASN/DN '#],tblARV[Fulfill Via],"Not found")</f>
        <v>From RDC</v>
      </c>
      <c r="I1060" s="19" t="str">
        <f>_xlfn.XLOOKUP($B1060,tblARV[ASN/DN '#],tblARV[Vendor],"Not found")</f>
        <v>SCMS from RDC</v>
      </c>
    </row>
    <row r="1061" spans="2:9" ht="15">
      <c r="B1061" s="7" t="s">
        <v>2667</v>
      </c>
      <c r="C1061" s="10">
        <v>41670</v>
      </c>
      <c r="D1061" s="10">
        <v>41669</v>
      </c>
      <c r="E1061" s="18">
        <v>-1</v>
      </c>
      <c r="F1061" s="13" t="str">
        <f t="shared" si="27"/>
        <v>On-time</v>
      </c>
      <c r="G1061" s="19" t="str">
        <f>_xlfn.XLOOKUP(B1061,tblARV[ASN/DN '#],tblARV[Country],"Not found")</f>
        <v>Uganda</v>
      </c>
      <c r="H1061" s="19" t="str">
        <f>_xlfn.XLOOKUP($B1061,tblARV[ASN/DN '#],tblARV[Fulfill Via],"Not found")</f>
        <v>From RDC</v>
      </c>
      <c r="I1061" s="19" t="str">
        <f>_xlfn.XLOOKUP($B1061,tblARV[ASN/DN '#],tblARV[Vendor],"Not found")</f>
        <v>SCMS from RDC</v>
      </c>
    </row>
    <row r="1062" spans="2:9" ht="15">
      <c r="B1062" s="7" t="s">
        <v>1890</v>
      </c>
      <c r="C1062" s="10">
        <v>41698</v>
      </c>
      <c r="D1062" s="10">
        <v>41669</v>
      </c>
      <c r="E1062" s="18">
        <v>-29</v>
      </c>
      <c r="F1062" s="13" t="str">
        <f t="shared" si="27"/>
        <v>On-time</v>
      </c>
      <c r="G1062" s="19" t="str">
        <f>_xlfn.XLOOKUP(B1062,tblARV[ASN/DN '#],tblARV[Country],"Not found")</f>
        <v>Uganda</v>
      </c>
      <c r="H1062" s="19" t="str">
        <f>_xlfn.XLOOKUP($B1062,tblARV[ASN/DN '#],tblARV[Fulfill Via],"Not found")</f>
        <v>From RDC</v>
      </c>
      <c r="I1062" s="19" t="str">
        <f>_xlfn.XLOOKUP($B1062,tblARV[ASN/DN '#],tblARV[Vendor],"Not found")</f>
        <v>SCMS from RDC</v>
      </c>
    </row>
    <row r="1063" spans="2:9" ht="15">
      <c r="B1063" s="7" t="s">
        <v>1657</v>
      </c>
      <c r="C1063" s="10">
        <v>41670</v>
      </c>
      <c r="D1063" s="10">
        <v>41689</v>
      </c>
      <c r="E1063" s="18">
        <v>38</v>
      </c>
      <c r="F1063" s="13" t="str">
        <f t="shared" si="27"/>
        <v>Late</v>
      </c>
      <c r="G1063" s="19" t="str">
        <f>_xlfn.XLOOKUP(B1063,tblARV[ASN/DN '#],tblARV[Country],"Not found")</f>
        <v>Tanzania</v>
      </c>
      <c r="H1063" s="19" t="str">
        <f>_xlfn.XLOOKUP($B1063,tblARV[ASN/DN '#],tblARV[Fulfill Via],"Not found")</f>
        <v>From RDC</v>
      </c>
      <c r="I1063" s="19" t="str">
        <f>_xlfn.XLOOKUP($B1063,tblARV[ASN/DN '#],tblARV[Vendor],"Not found")</f>
        <v>SCMS from RDC</v>
      </c>
    </row>
    <row r="1064" spans="2:9" ht="15">
      <c r="B1064" s="7" t="s">
        <v>1892</v>
      </c>
      <c r="C1064" s="10">
        <v>41670</v>
      </c>
      <c r="D1064" s="10">
        <v>41687</v>
      </c>
      <c r="E1064" s="18">
        <v>17</v>
      </c>
      <c r="F1064" s="13" t="str">
        <f t="shared" si="27"/>
        <v>Late</v>
      </c>
      <c r="G1064" s="19" t="str">
        <f>_xlfn.XLOOKUP(B1064,tblARV[ASN/DN '#],tblARV[Country],"Not found")</f>
        <v>Uganda</v>
      </c>
      <c r="H1064" s="19" t="str">
        <f>_xlfn.XLOOKUP($B1064,tblARV[ASN/DN '#],tblARV[Fulfill Via],"Not found")</f>
        <v>From RDC</v>
      </c>
      <c r="I1064" s="19" t="str">
        <f>_xlfn.XLOOKUP($B1064,tblARV[ASN/DN '#],tblARV[Vendor],"Not found")</f>
        <v>SCMS from RDC</v>
      </c>
    </row>
    <row r="1065" spans="2:9" ht="15">
      <c r="B1065" s="7" t="s">
        <v>2267</v>
      </c>
      <c r="C1065" s="10">
        <v>41670</v>
      </c>
      <c r="D1065" s="10">
        <v>41687</v>
      </c>
      <c r="E1065" s="18">
        <v>17</v>
      </c>
      <c r="F1065" s="13" t="str">
        <f t="shared" si="27"/>
        <v>Late</v>
      </c>
      <c r="G1065" s="19" t="str">
        <f>_xlfn.XLOOKUP(B1065,tblARV[ASN/DN '#],tblARV[Country],"Not found")</f>
        <v>Uganda</v>
      </c>
      <c r="H1065" s="19" t="str">
        <f>_xlfn.XLOOKUP($B1065,tblARV[ASN/DN '#],tblARV[Fulfill Via],"Not found")</f>
        <v>From RDC</v>
      </c>
      <c r="I1065" s="19" t="str">
        <f>_xlfn.XLOOKUP($B1065,tblARV[ASN/DN '#],tblARV[Vendor],"Not found")</f>
        <v>SCMS from RDC</v>
      </c>
    </row>
    <row r="1066" spans="2:9" ht="15">
      <c r="B1066" s="7" t="s">
        <v>2789</v>
      </c>
      <c r="C1066" s="10">
        <v>41670</v>
      </c>
      <c r="D1066" s="10">
        <v>41673</v>
      </c>
      <c r="E1066" s="18">
        <v>3</v>
      </c>
      <c r="F1066" s="13" t="str">
        <f t="shared" si="27"/>
        <v>Late</v>
      </c>
      <c r="G1066" s="19" t="str">
        <f>_xlfn.XLOOKUP(B1066,tblARV[ASN/DN '#],tblARV[Country],"Not found")</f>
        <v>Rwanda</v>
      </c>
      <c r="H1066" s="19" t="str">
        <f>_xlfn.XLOOKUP($B1066,tblARV[ASN/DN '#],tblARV[Fulfill Via],"Not found")</f>
        <v>From RDC</v>
      </c>
      <c r="I1066" s="19" t="str">
        <f>_xlfn.XLOOKUP($B1066,tblARV[ASN/DN '#],tblARV[Vendor],"Not found")</f>
        <v>SCMS from RDC</v>
      </c>
    </row>
    <row r="1067" spans="2:9" ht="15">
      <c r="B1067" s="7" t="s">
        <v>2086</v>
      </c>
      <c r="C1067" s="10">
        <v>41670</v>
      </c>
      <c r="D1067" s="10">
        <v>41695</v>
      </c>
      <c r="E1067" s="18">
        <v>25</v>
      </c>
      <c r="F1067" s="13" t="str">
        <f t="shared" si="27"/>
        <v>Late</v>
      </c>
      <c r="G1067" s="19" t="str">
        <f>_xlfn.XLOOKUP(B1067,tblARV[ASN/DN '#],tblARV[Country],"Not found")</f>
        <v>Rwanda</v>
      </c>
      <c r="H1067" s="19" t="str">
        <f>_xlfn.XLOOKUP($B1067,tblARV[ASN/DN '#],tblARV[Fulfill Via],"Not found")</f>
        <v>From RDC</v>
      </c>
      <c r="I1067" s="19" t="str">
        <f>_xlfn.XLOOKUP($B1067,tblARV[ASN/DN '#],tblARV[Vendor],"Not found")</f>
        <v>SCMS from RDC</v>
      </c>
    </row>
    <row r="1068" spans="2:9" ht="15">
      <c r="B1068" s="7" t="s">
        <v>2527</v>
      </c>
      <c r="C1068" s="10">
        <v>41698</v>
      </c>
      <c r="D1068" s="10">
        <v>41691</v>
      </c>
      <c r="E1068" s="18">
        <v>-7</v>
      </c>
      <c r="F1068" s="13" t="str">
        <f t="shared" si="27"/>
        <v>On-time</v>
      </c>
      <c r="G1068" s="19" t="str">
        <f>_xlfn.XLOOKUP(B1068,tblARV[ASN/DN '#],tblARV[Country],"Not found")</f>
        <v>Uganda</v>
      </c>
      <c r="H1068" s="19" t="str">
        <f>_xlfn.XLOOKUP($B1068,tblARV[ASN/DN '#],tblARV[Fulfill Via],"Not found")</f>
        <v>From RDC</v>
      </c>
      <c r="I1068" s="19" t="str">
        <f>_xlfn.XLOOKUP($B1068,tblARV[ASN/DN '#],tblARV[Vendor],"Not found")</f>
        <v>SCMS from RDC</v>
      </c>
    </row>
    <row r="1069" spans="2:9" ht="15">
      <c r="B1069" s="7" t="s">
        <v>2088</v>
      </c>
      <c r="C1069" s="10">
        <v>41670</v>
      </c>
      <c r="D1069" s="10">
        <v>41689</v>
      </c>
      <c r="E1069" s="18">
        <v>57</v>
      </c>
      <c r="F1069" s="13" t="str">
        <f t="shared" si="27"/>
        <v>Late</v>
      </c>
      <c r="G1069" s="19" t="str">
        <f>_xlfn.XLOOKUP(B1069,tblARV[ASN/DN '#],tblARV[Country],"Not found")</f>
        <v>Tanzania</v>
      </c>
      <c r="H1069" s="19" t="str">
        <f>_xlfn.XLOOKUP($B1069,tblARV[ASN/DN '#],tblARV[Fulfill Via],"Not found")</f>
        <v>From RDC</v>
      </c>
      <c r="I1069" s="19" t="str">
        <f>_xlfn.XLOOKUP($B1069,tblARV[ASN/DN '#],tblARV[Vendor],"Not found")</f>
        <v>SCMS from RDC</v>
      </c>
    </row>
    <row r="1070" spans="2:9" ht="15">
      <c r="B1070" s="7" t="s">
        <v>1667</v>
      </c>
      <c r="C1070" s="10">
        <v>41670</v>
      </c>
      <c r="D1070" s="10">
        <v>41689</v>
      </c>
      <c r="E1070" s="18">
        <v>19</v>
      </c>
      <c r="F1070" s="13" t="str">
        <f t="shared" si="27"/>
        <v>Late</v>
      </c>
      <c r="G1070" s="19" t="str">
        <f>_xlfn.XLOOKUP(B1070,tblARV[ASN/DN '#],tblARV[Country],"Not found")</f>
        <v>Tanzania</v>
      </c>
      <c r="H1070" s="19" t="str">
        <f>_xlfn.XLOOKUP($B1070,tblARV[ASN/DN '#],tblARV[Fulfill Via],"Not found")</f>
        <v>From RDC</v>
      </c>
      <c r="I1070" s="19" t="str">
        <f>_xlfn.XLOOKUP($B1070,tblARV[ASN/DN '#],tblARV[Vendor],"Not found")</f>
        <v>SCMS from RDC</v>
      </c>
    </row>
    <row r="1071" spans="2:9" ht="15">
      <c r="B1071" s="7" t="s">
        <v>2399</v>
      </c>
      <c r="C1071" s="10">
        <v>41684</v>
      </c>
      <c r="D1071" s="10">
        <v>41691</v>
      </c>
      <c r="E1071" s="18">
        <v>7</v>
      </c>
      <c r="F1071" s="13" t="str">
        <f t="shared" si="27"/>
        <v>Late</v>
      </c>
      <c r="G1071" s="19" t="str">
        <f>_xlfn.XLOOKUP(B1071,tblARV[ASN/DN '#],tblARV[Country],"Not found")</f>
        <v>Tanzania</v>
      </c>
      <c r="H1071" s="19" t="str">
        <f>_xlfn.XLOOKUP($B1071,tblARV[ASN/DN '#],tblARV[Fulfill Via],"Not found")</f>
        <v>From RDC</v>
      </c>
      <c r="I1071" s="19" t="str">
        <f>_xlfn.XLOOKUP($B1071,tblARV[ASN/DN '#],tblARV[Vendor],"Not found")</f>
        <v>SCMS from RDC</v>
      </c>
    </row>
    <row r="1072" spans="2:9" ht="15">
      <c r="B1072" s="7" t="s">
        <v>2401</v>
      </c>
      <c r="C1072" s="10">
        <v>41670</v>
      </c>
      <c r="D1072" s="10">
        <v>41717</v>
      </c>
      <c r="E1072" s="18">
        <v>47</v>
      </c>
      <c r="F1072" s="13" t="str">
        <f t="shared" si="27"/>
        <v>Late</v>
      </c>
      <c r="G1072" s="19" t="str">
        <f>_xlfn.XLOOKUP(B1072,tblARV[ASN/DN '#],tblARV[Country],"Not found")</f>
        <v>Uganda</v>
      </c>
      <c r="H1072" s="19" t="str">
        <f>_xlfn.XLOOKUP($B1072,tblARV[ASN/DN '#],tblARV[Fulfill Via],"Not found")</f>
        <v>From RDC</v>
      </c>
      <c r="I1072" s="19" t="str">
        <f>_xlfn.XLOOKUP($B1072,tblARV[ASN/DN '#],tblARV[Vendor],"Not found")</f>
        <v>SCMS from RDC</v>
      </c>
    </row>
    <row r="1073" spans="2:9" ht="15">
      <c r="B1073" s="7" t="s">
        <v>2669</v>
      </c>
      <c r="C1073" s="10">
        <v>41670</v>
      </c>
      <c r="D1073" s="10">
        <v>41695</v>
      </c>
      <c r="E1073" s="18">
        <v>25</v>
      </c>
      <c r="F1073" s="13" t="str">
        <f t="shared" si="27"/>
        <v>Late</v>
      </c>
      <c r="G1073" s="19" t="str">
        <f>_xlfn.XLOOKUP(B1073,tblARV[ASN/DN '#],tblARV[Country],"Not found")</f>
        <v>Rwanda</v>
      </c>
      <c r="H1073" s="19" t="str">
        <f>_xlfn.XLOOKUP($B1073,tblARV[ASN/DN '#],tblARV[Fulfill Via],"Not found")</f>
        <v>From RDC</v>
      </c>
      <c r="I1073" s="19" t="str">
        <f>_xlfn.XLOOKUP($B1073,tblARV[ASN/DN '#],tblARV[Vendor],"Not found")</f>
        <v>SCMS from RDC</v>
      </c>
    </row>
    <row r="1074" spans="2:9" ht="15">
      <c r="B1074" s="7" t="s">
        <v>1894</v>
      </c>
      <c r="C1074" s="10">
        <v>41698</v>
      </c>
      <c r="D1074" s="10">
        <v>41705</v>
      </c>
      <c r="E1074" s="18">
        <v>7</v>
      </c>
      <c r="F1074" s="13" t="str">
        <f t="shared" si="27"/>
        <v>Late</v>
      </c>
      <c r="G1074" s="19" t="str">
        <f>_xlfn.XLOOKUP(B1074,tblARV[ASN/DN '#],tblARV[Country],"Not found")</f>
        <v>Uganda</v>
      </c>
      <c r="H1074" s="19" t="str">
        <f>_xlfn.XLOOKUP($B1074,tblARV[ASN/DN '#],tblARV[Fulfill Via],"Not found")</f>
        <v>From RDC</v>
      </c>
      <c r="I1074" s="19" t="str">
        <f>_xlfn.XLOOKUP($B1074,tblARV[ASN/DN '#],tblARV[Vendor],"Not found")</f>
        <v>SCMS from RDC</v>
      </c>
    </row>
    <row r="1075" spans="2:9" ht="15">
      <c r="B1075" s="7" t="s">
        <v>2397</v>
      </c>
      <c r="C1075" s="10">
        <v>41788</v>
      </c>
      <c r="D1075" s="10">
        <v>41766</v>
      </c>
      <c r="E1075" s="18">
        <v>-22</v>
      </c>
      <c r="F1075" s="13" t="str">
        <f t="shared" si="27"/>
        <v>On-time</v>
      </c>
      <c r="G1075" s="19" t="str">
        <f>_xlfn.XLOOKUP(B1075,tblARV[ASN/DN '#],tblARV[Country],"Not found")</f>
        <v>Tanzania</v>
      </c>
      <c r="H1075" s="19" t="str">
        <f>_xlfn.XLOOKUP($B1075,tblARV[ASN/DN '#],tblARV[Fulfill Via],"Not found")</f>
        <v>From RDC</v>
      </c>
      <c r="I1075" s="19" t="str">
        <f>_xlfn.XLOOKUP($B1075,tblARV[ASN/DN '#],tblARV[Vendor],"Not found")</f>
        <v>SCMS from RDC</v>
      </c>
    </row>
    <row r="1076" spans="2:9" ht="15">
      <c r="B1076" s="7" t="s">
        <v>2671</v>
      </c>
      <c r="C1076" s="10">
        <v>41723</v>
      </c>
      <c r="D1076" s="10">
        <v>41731</v>
      </c>
      <c r="E1076" s="18">
        <v>8</v>
      </c>
      <c r="F1076" s="13" t="str">
        <f t="shared" si="27"/>
        <v>Late</v>
      </c>
      <c r="G1076" s="19" t="str">
        <f>_xlfn.XLOOKUP(B1076,tblARV[ASN/DN '#],tblARV[Country],"Not found")</f>
        <v>Rwanda</v>
      </c>
      <c r="H1076" s="19" t="str">
        <f>_xlfn.XLOOKUP($B1076,tblARV[ASN/DN '#],tblARV[Fulfill Via],"Not found")</f>
        <v>From RDC</v>
      </c>
      <c r="I1076" s="19" t="str">
        <f>_xlfn.XLOOKUP($B1076,tblARV[ASN/DN '#],tblARV[Vendor],"Not found")</f>
        <v>SCMS from RDC</v>
      </c>
    </row>
    <row r="1077" spans="2:9" ht="15">
      <c r="B1077" s="7" t="s">
        <v>1896</v>
      </c>
      <c r="C1077" s="10">
        <v>41726</v>
      </c>
      <c r="D1077" s="10">
        <v>41731</v>
      </c>
      <c r="E1077" s="18">
        <v>20</v>
      </c>
      <c r="F1077" s="13" t="str">
        <f t="shared" si="27"/>
        <v>Late</v>
      </c>
      <c r="G1077" s="19" t="str">
        <f>_xlfn.XLOOKUP(B1077,tblARV[ASN/DN '#],tblARV[Country],"Not found")</f>
        <v>Rwanda</v>
      </c>
      <c r="H1077" s="19" t="str">
        <f>_xlfn.XLOOKUP($B1077,tblARV[ASN/DN '#],tblARV[Fulfill Via],"Not found")</f>
        <v>From RDC</v>
      </c>
      <c r="I1077" s="19" t="str">
        <f>_xlfn.XLOOKUP($B1077,tblARV[ASN/DN '#],tblARV[Vendor],"Not found")</f>
        <v>SCMS from RDC</v>
      </c>
    </row>
    <row r="1078" spans="2:9" ht="15">
      <c r="B1078" s="7" t="s">
        <v>2842</v>
      </c>
      <c r="C1078" s="10">
        <v>41729</v>
      </c>
      <c r="D1078" s="10">
        <v>41719</v>
      </c>
      <c r="E1078" s="18">
        <v>-50</v>
      </c>
      <c r="F1078" s="13" t="str">
        <f t="shared" si="27"/>
        <v>On-time</v>
      </c>
      <c r="G1078" s="19" t="str">
        <f>_xlfn.XLOOKUP(B1078,tblARV[ASN/DN '#],tblARV[Country],"Not found")</f>
        <v>South Sudan</v>
      </c>
      <c r="H1078" s="19" t="str">
        <f>_xlfn.XLOOKUP($B1078,tblARV[ASN/DN '#],tblARV[Fulfill Via],"Not found")</f>
        <v>From RDC</v>
      </c>
      <c r="I1078" s="19" t="str">
        <f>_xlfn.XLOOKUP($B1078,tblARV[ASN/DN '#],tblARV[Vendor],"Not found")</f>
        <v>SCMS from RDC</v>
      </c>
    </row>
    <row r="1079" spans="2:9" ht="15">
      <c r="B1079" s="7" t="s">
        <v>1669</v>
      </c>
      <c r="C1079" s="10">
        <v>41759</v>
      </c>
      <c r="D1079" s="10">
        <v>41761</v>
      </c>
      <c r="E1079" s="18">
        <v>4</v>
      </c>
      <c r="F1079" s="13" t="str">
        <f t="shared" si="27"/>
        <v>Late</v>
      </c>
      <c r="G1079" s="19" t="str">
        <f>_xlfn.XLOOKUP(B1079,tblARV[ASN/DN '#],tblARV[Country],"Not found")</f>
        <v>Tanzania</v>
      </c>
      <c r="H1079" s="19" t="str">
        <f>_xlfn.XLOOKUP($B1079,tblARV[ASN/DN '#],tblARV[Fulfill Via],"Not found")</f>
        <v>From RDC</v>
      </c>
      <c r="I1079" s="19" t="str">
        <f>_xlfn.XLOOKUP($B1079,tblARV[ASN/DN '#],tblARV[Vendor],"Not found")</f>
        <v>SCMS from RDC</v>
      </c>
    </row>
    <row r="1080" spans="2:9" ht="15">
      <c r="B1080" s="7" t="s">
        <v>2673</v>
      </c>
      <c r="C1080" s="10">
        <v>41759</v>
      </c>
      <c r="D1080" s="10">
        <v>41747</v>
      </c>
      <c r="E1080" s="18">
        <v>-12</v>
      </c>
      <c r="F1080" s="13" t="str">
        <f t="shared" si="27"/>
        <v>On-time</v>
      </c>
      <c r="G1080" s="19" t="str">
        <f>_xlfn.XLOOKUP(B1080,tblARV[ASN/DN '#],tblARV[Country],"Not found")</f>
        <v>Uganda</v>
      </c>
      <c r="H1080" s="19" t="str">
        <f>_xlfn.XLOOKUP($B1080,tblARV[ASN/DN '#],tblARV[Fulfill Via],"Not found")</f>
        <v>From RDC</v>
      </c>
      <c r="I1080" s="19" t="str">
        <f>_xlfn.XLOOKUP($B1080,tblARV[ASN/DN '#],tblARV[Vendor],"Not found")</f>
        <v>SCMS from RDC</v>
      </c>
    </row>
    <row r="1081" spans="2:9" ht="15">
      <c r="B1081" s="7" t="s">
        <v>1671</v>
      </c>
      <c r="C1081" s="10">
        <v>41749</v>
      </c>
      <c r="D1081" s="10">
        <v>41747</v>
      </c>
      <c r="E1081" s="18">
        <v>-6</v>
      </c>
      <c r="F1081" s="13" t="str">
        <f t="shared" si="27"/>
        <v>On-time</v>
      </c>
      <c r="G1081" s="19" t="str">
        <f>_xlfn.XLOOKUP(B1081,tblARV[ASN/DN '#],tblARV[Country],"Not found")</f>
        <v>Uganda</v>
      </c>
      <c r="H1081" s="19" t="str">
        <f>_xlfn.XLOOKUP($B1081,tblARV[ASN/DN '#],tblARV[Fulfill Via],"Not found")</f>
        <v>From RDC</v>
      </c>
      <c r="I1081" s="19" t="str">
        <f>_xlfn.XLOOKUP($B1081,tblARV[ASN/DN '#],tblARV[Vendor],"Not found")</f>
        <v>SCMS from RDC</v>
      </c>
    </row>
    <row r="1082" spans="2:9" ht="15">
      <c r="B1082" s="7" t="s">
        <v>1898</v>
      </c>
      <c r="C1082" s="10">
        <v>41737</v>
      </c>
      <c r="D1082" s="10">
        <v>41737</v>
      </c>
      <c r="E1082" s="18">
        <v>0</v>
      </c>
      <c r="F1082" s="13" t="str">
        <f t="shared" si="27"/>
        <v>On-time</v>
      </c>
      <c r="G1082" s="19" t="str">
        <f>_xlfn.XLOOKUP(B1082,tblARV[ASN/DN '#],tblARV[Country],"Not found")</f>
        <v>Tanzania</v>
      </c>
      <c r="H1082" s="19" t="str">
        <f>_xlfn.XLOOKUP($B1082,tblARV[ASN/DN '#],tblARV[Fulfill Via],"Not found")</f>
        <v>From RDC</v>
      </c>
      <c r="I1082" s="19" t="str">
        <f>_xlfn.XLOOKUP($B1082,tblARV[ASN/DN '#],tblARV[Vendor],"Not found")</f>
        <v>SCMS from RDC</v>
      </c>
    </row>
    <row r="1083" spans="2:9" ht="15">
      <c r="B1083" s="7" t="s">
        <v>2403</v>
      </c>
      <c r="C1083" s="10">
        <v>41774</v>
      </c>
      <c r="D1083" s="10">
        <v>41766</v>
      </c>
      <c r="E1083" s="18">
        <v>-8</v>
      </c>
      <c r="F1083" s="13" t="str">
        <f t="shared" si="27"/>
        <v>On-time</v>
      </c>
      <c r="G1083" s="19" t="str">
        <f>_xlfn.XLOOKUP(B1083,tblARV[ASN/DN '#],tblARV[Country],"Not found")</f>
        <v>Tanzania</v>
      </c>
      <c r="H1083" s="19" t="str">
        <f>_xlfn.XLOOKUP($B1083,tblARV[ASN/DN '#],tblARV[Fulfill Via],"Not found")</f>
        <v>From RDC</v>
      </c>
      <c r="I1083" s="19" t="str">
        <f>_xlfn.XLOOKUP($B1083,tblARV[ASN/DN '#],tblARV[Vendor],"Not found")</f>
        <v>SCMS from RDC</v>
      </c>
    </row>
    <row r="1084" spans="2:9" ht="15">
      <c r="B1084" s="7" t="s">
        <v>2791</v>
      </c>
      <c r="C1084" s="10">
        <v>41759</v>
      </c>
      <c r="D1084" s="10">
        <v>41746</v>
      </c>
      <c r="E1084" s="18">
        <v>-13</v>
      </c>
      <c r="F1084" s="13" t="str">
        <f t="shared" si="27"/>
        <v>On-time</v>
      </c>
      <c r="G1084" s="19" t="str">
        <f>_xlfn.XLOOKUP(B1084,tblARV[ASN/DN '#],tblARV[Country],"Not found")</f>
        <v>Tanzania</v>
      </c>
      <c r="H1084" s="19" t="str">
        <f>_xlfn.XLOOKUP($B1084,tblARV[ASN/DN '#],tblARV[Fulfill Via],"Not found")</f>
        <v>From RDC</v>
      </c>
      <c r="I1084" s="19" t="str">
        <f>_xlfn.XLOOKUP($B1084,tblARV[ASN/DN '#],tblARV[Vendor],"Not found")</f>
        <v>SCMS from RDC</v>
      </c>
    </row>
    <row r="1085" spans="2:9" ht="15">
      <c r="B1085" s="7" t="s">
        <v>620</v>
      </c>
      <c r="C1085" s="10">
        <v>39366</v>
      </c>
      <c r="D1085" s="10">
        <v>39366</v>
      </c>
      <c r="E1085" s="18">
        <v>0</v>
      </c>
      <c r="F1085" s="13" t="str">
        <f t="shared" si="27"/>
        <v>On-time</v>
      </c>
      <c r="G1085" s="19" t="str">
        <f>_xlfn.XLOOKUP(B1085,tblARV[ASN/DN '#],tblARV[Country],"Not found")</f>
        <v>Tanzania</v>
      </c>
      <c r="H1085" s="19" t="str">
        <f>_xlfn.XLOOKUP($B1085,tblARV[ASN/DN '#],tblARV[Fulfill Via],"Not found")</f>
        <v>From RDC</v>
      </c>
      <c r="I1085" s="19" t="str">
        <f>_xlfn.XLOOKUP($B1085,tblARV[ASN/DN '#],tblARV[Vendor],"Not found")</f>
        <v>SCMS from RDC</v>
      </c>
    </row>
    <row r="1086" spans="2:9" ht="15">
      <c r="B1086" s="7" t="s">
        <v>2090</v>
      </c>
      <c r="C1086" s="10">
        <v>41759</v>
      </c>
      <c r="D1086" s="10">
        <v>41747</v>
      </c>
      <c r="E1086" s="18">
        <v>-12</v>
      </c>
      <c r="F1086" s="13" t="str">
        <f t="shared" si="27"/>
        <v>On-time</v>
      </c>
      <c r="G1086" s="19" t="str">
        <f>_xlfn.XLOOKUP(B1086,tblARV[ASN/DN '#],tblARV[Country],"Not found")</f>
        <v>Uganda</v>
      </c>
      <c r="H1086" s="19" t="str">
        <f>_xlfn.XLOOKUP($B1086,tblARV[ASN/DN '#],tblARV[Fulfill Via],"Not found")</f>
        <v>From RDC</v>
      </c>
      <c r="I1086" s="19" t="str">
        <f>_xlfn.XLOOKUP($B1086,tblARV[ASN/DN '#],tblARV[Vendor],"Not found")</f>
        <v>SCMS from RDC</v>
      </c>
    </row>
    <row r="1087" spans="2:9" ht="15">
      <c r="B1087" s="7" t="s">
        <v>1673</v>
      </c>
      <c r="C1087" s="10">
        <v>41729</v>
      </c>
      <c r="D1087" s="10">
        <v>41747</v>
      </c>
      <c r="E1087" s="18">
        <v>18</v>
      </c>
      <c r="F1087" s="13" t="str">
        <f t="shared" si="27"/>
        <v>Late</v>
      </c>
      <c r="G1087" s="19" t="str">
        <f>_xlfn.XLOOKUP(B1087,tblARV[ASN/DN '#],tblARV[Country],"Not found")</f>
        <v>Uganda</v>
      </c>
      <c r="H1087" s="19" t="str">
        <f>_xlfn.XLOOKUP($B1087,tblARV[ASN/DN '#],tblARV[Fulfill Via],"Not found")</f>
        <v>From RDC</v>
      </c>
      <c r="I1087" s="19" t="str">
        <f>_xlfn.XLOOKUP($B1087,tblARV[ASN/DN '#],tblARV[Vendor],"Not found")</f>
        <v>SCMS from RDC</v>
      </c>
    </row>
    <row r="1088" spans="2:9" ht="15">
      <c r="B1088" s="7" t="s">
        <v>2675</v>
      </c>
      <c r="C1088" s="10">
        <v>41719</v>
      </c>
      <c r="D1088" s="10">
        <v>41747</v>
      </c>
      <c r="E1088" s="18">
        <v>28</v>
      </c>
      <c r="F1088" s="13" t="str">
        <f t="shared" si="27"/>
        <v>Late</v>
      </c>
      <c r="G1088" s="19" t="str">
        <f>_xlfn.XLOOKUP(B1088,tblARV[ASN/DN '#],tblARV[Country],"Not found")</f>
        <v>Uganda</v>
      </c>
      <c r="H1088" s="19" t="str">
        <f>_xlfn.XLOOKUP($B1088,tblARV[ASN/DN '#],tblARV[Fulfill Via],"Not found")</f>
        <v>From RDC</v>
      </c>
      <c r="I1088" s="19" t="str">
        <f>_xlfn.XLOOKUP($B1088,tblARV[ASN/DN '#],tblARV[Vendor],"Not found")</f>
        <v>SCMS from RDC</v>
      </c>
    </row>
    <row r="1089" spans="2:9" ht="15">
      <c r="B1089" s="7" t="s">
        <v>1900</v>
      </c>
      <c r="C1089" s="10">
        <v>41824</v>
      </c>
      <c r="D1089" s="10">
        <v>41835</v>
      </c>
      <c r="E1089" s="18">
        <v>11</v>
      </c>
      <c r="F1089" s="13" t="str">
        <f t="shared" si="27"/>
        <v>Late</v>
      </c>
      <c r="G1089" s="19" t="str">
        <f>_xlfn.XLOOKUP(B1089,tblARV[ASN/DN '#],tblARV[Country],"Not found")</f>
        <v>Uganda</v>
      </c>
      <c r="H1089" s="19" t="str">
        <f>_xlfn.XLOOKUP($B1089,tblARV[ASN/DN '#],tblARV[Fulfill Via],"Not found")</f>
        <v>From RDC</v>
      </c>
      <c r="I1089" s="19" t="str">
        <f>_xlfn.XLOOKUP($B1089,tblARV[ASN/DN '#],tblARV[Vendor],"Not found")</f>
        <v>SCMS from RDC</v>
      </c>
    </row>
    <row r="1090" spans="2:9" ht="15">
      <c r="B1090" s="7" t="s">
        <v>1902</v>
      </c>
      <c r="C1090" s="10">
        <v>41779</v>
      </c>
      <c r="D1090" s="10">
        <v>41702</v>
      </c>
      <c r="E1090" s="18">
        <v>-77</v>
      </c>
      <c r="F1090" s="13" t="str">
        <f t="shared" si="27"/>
        <v>On-time</v>
      </c>
      <c r="G1090" s="19" t="str">
        <f>_xlfn.XLOOKUP(B1090,tblARV[ASN/DN '#],tblARV[Country],"Not found")</f>
        <v>Rwanda</v>
      </c>
      <c r="H1090" s="19" t="str">
        <f>_xlfn.XLOOKUP($B1090,tblARV[ASN/DN '#],tblARV[Fulfill Via],"Not found")</f>
        <v>From RDC</v>
      </c>
      <c r="I1090" s="19" t="str">
        <f>_xlfn.XLOOKUP($B1090,tblARV[ASN/DN '#],tblARV[Vendor],"Not found")</f>
        <v>SCMS from RDC</v>
      </c>
    </row>
    <row r="1091" spans="2:9" ht="15">
      <c r="B1091" s="7" t="s">
        <v>2092</v>
      </c>
      <c r="C1091" s="10">
        <v>41768</v>
      </c>
      <c r="D1091" s="10">
        <v>41769</v>
      </c>
      <c r="E1091" s="18">
        <v>1</v>
      </c>
      <c r="F1091" s="13" t="str">
        <f t="shared" si="27"/>
        <v>Late</v>
      </c>
      <c r="G1091" s="19" t="str">
        <f>_xlfn.XLOOKUP(B1091,tblARV[ASN/DN '#],tblARV[Country],"Not found")</f>
        <v>Tanzania</v>
      </c>
      <c r="H1091" s="19" t="str">
        <f>_xlfn.XLOOKUP($B1091,tblARV[ASN/DN '#],tblARV[Fulfill Via],"Not found")</f>
        <v>From RDC</v>
      </c>
      <c r="I1091" s="19" t="str">
        <f>_xlfn.XLOOKUP($B1091,tblARV[ASN/DN '#],tblARV[Vendor],"Not found")</f>
        <v>SCMS from RDC</v>
      </c>
    </row>
    <row r="1092" spans="2:9" ht="15">
      <c r="B1092" s="7" t="s">
        <v>2793</v>
      </c>
      <c r="C1092" s="10">
        <v>41759</v>
      </c>
      <c r="D1092" s="10">
        <v>41766</v>
      </c>
      <c r="E1092" s="18">
        <v>7</v>
      </c>
      <c r="F1092" s="13" t="str">
        <f t="shared" si="27"/>
        <v>Late</v>
      </c>
      <c r="G1092" s="19" t="str">
        <f>_xlfn.XLOOKUP(B1092,tblARV[ASN/DN '#],tblARV[Country],"Not found")</f>
        <v>Tanzania</v>
      </c>
      <c r="H1092" s="19" t="str">
        <f>_xlfn.XLOOKUP($B1092,tblARV[ASN/DN '#],tblARV[Fulfill Via],"Not found")</f>
        <v>From RDC</v>
      </c>
      <c r="I1092" s="19" t="str">
        <f>_xlfn.XLOOKUP($B1092,tblARV[ASN/DN '#],tblARV[Vendor],"Not found")</f>
        <v>SCMS from RDC</v>
      </c>
    </row>
    <row r="1093" spans="2:9" ht="15">
      <c r="B1093" s="7" t="s">
        <v>1904</v>
      </c>
      <c r="C1093" s="10">
        <v>41765</v>
      </c>
      <c r="D1093" s="10">
        <v>41765</v>
      </c>
      <c r="E1093" s="18">
        <v>0</v>
      </c>
      <c r="F1093" s="13" t="str">
        <f t="shared" si="27"/>
        <v>On-time</v>
      </c>
      <c r="G1093" s="19" t="str">
        <f>_xlfn.XLOOKUP(B1093,tblARV[ASN/DN '#],tblARV[Country],"Not found")</f>
        <v>Rwanda</v>
      </c>
      <c r="H1093" s="19" t="str">
        <f>_xlfn.XLOOKUP($B1093,tblARV[ASN/DN '#],tblARV[Fulfill Via],"Not found")</f>
        <v>From RDC</v>
      </c>
      <c r="I1093" s="19" t="str">
        <f>_xlfn.XLOOKUP($B1093,tblARV[ASN/DN '#],tblARV[Vendor],"Not found")</f>
        <v>SCMS from RDC</v>
      </c>
    </row>
    <row r="1094" spans="2:9" ht="15">
      <c r="B1094" s="7" t="s">
        <v>217</v>
      </c>
      <c r="C1094" s="10">
        <v>39391</v>
      </c>
      <c r="D1094" s="10">
        <v>39391</v>
      </c>
      <c r="E1094" s="18">
        <v>0</v>
      </c>
      <c r="F1094" s="13" t="str">
        <f t="shared" si="27"/>
        <v>On-time</v>
      </c>
      <c r="G1094" s="19" t="str">
        <f>_xlfn.XLOOKUP(B1094,tblARV[ASN/DN '#],tblARV[Country],"Not found")</f>
        <v>Uganda</v>
      </c>
      <c r="H1094" s="19" t="str">
        <f>_xlfn.XLOOKUP($B1094,tblARV[ASN/DN '#],tblARV[Fulfill Via],"Not found")</f>
        <v>From RDC</v>
      </c>
      <c r="I1094" s="19" t="str">
        <f>_xlfn.XLOOKUP($B1094,tblARV[ASN/DN '#],tblARV[Vendor],"Not found")</f>
        <v>SCMS from RDC</v>
      </c>
    </row>
    <row r="1095" spans="2:9" ht="15">
      <c r="B1095" s="7" t="s">
        <v>2529</v>
      </c>
      <c r="C1095" s="10">
        <v>41820</v>
      </c>
      <c r="D1095" s="10">
        <v>41866</v>
      </c>
      <c r="E1095" s="18">
        <v>46</v>
      </c>
      <c r="F1095" s="13" t="str">
        <f t="shared" si="27"/>
        <v>Late</v>
      </c>
      <c r="G1095" s="19" t="str">
        <f>_xlfn.XLOOKUP(B1095,tblARV[ASN/DN '#],tblARV[Country],"Not found")</f>
        <v>Tanzania</v>
      </c>
      <c r="H1095" s="19" t="str">
        <f>_xlfn.XLOOKUP($B1095,tblARV[ASN/DN '#],tblARV[Fulfill Via],"Not found")</f>
        <v>From RDC</v>
      </c>
      <c r="I1095" s="19" t="str">
        <f>_xlfn.XLOOKUP($B1095,tblARV[ASN/DN '#],tblARV[Vendor],"Not found")</f>
        <v>SCMS from RDC</v>
      </c>
    </row>
    <row r="1096" spans="2:9" ht="15">
      <c r="B1096" s="7" t="s">
        <v>668</v>
      </c>
      <c r="C1096" s="10">
        <v>39371</v>
      </c>
      <c r="D1096" s="10">
        <v>39371</v>
      </c>
      <c r="E1096" s="18">
        <v>0</v>
      </c>
      <c r="F1096" s="13" t="str">
        <f t="shared" si="27"/>
        <v>On-time</v>
      </c>
      <c r="G1096" s="19" t="str">
        <f>_xlfn.XLOOKUP(B1096,tblARV[ASN/DN '#],tblARV[Country],"Not found")</f>
        <v>Uganda</v>
      </c>
      <c r="H1096" s="19" t="str">
        <f>_xlfn.XLOOKUP($B1096,tblARV[ASN/DN '#],tblARV[Fulfill Via],"Not found")</f>
        <v>From RDC</v>
      </c>
      <c r="I1096" s="19" t="str">
        <f>_xlfn.XLOOKUP($B1096,tblARV[ASN/DN '#],tblARV[Vendor],"Not found")</f>
        <v>SCMS from RDC</v>
      </c>
    </row>
    <row r="1097" spans="2:9" ht="15">
      <c r="B1097" s="7" t="s">
        <v>2677</v>
      </c>
      <c r="C1097" s="10">
        <v>41794</v>
      </c>
      <c r="D1097" s="10">
        <v>41794</v>
      </c>
      <c r="E1097" s="18">
        <v>0</v>
      </c>
      <c r="F1097" s="13" t="str">
        <f t="shared" si="27"/>
        <v>On-time</v>
      </c>
      <c r="G1097" s="19" t="str">
        <f>_xlfn.XLOOKUP(B1097,tblARV[ASN/DN '#],tblARV[Country],"Not found")</f>
        <v>Rwanda</v>
      </c>
      <c r="H1097" s="19" t="str">
        <f>_xlfn.XLOOKUP($B1097,tblARV[ASN/DN '#],tblARV[Fulfill Via],"Not found")</f>
        <v>From RDC</v>
      </c>
      <c r="I1097" s="19" t="str">
        <f>_xlfn.XLOOKUP($B1097,tblARV[ASN/DN '#],tblARV[Vendor],"Not found")</f>
        <v>SCMS from RDC</v>
      </c>
    </row>
    <row r="1098" spans="2:9" ht="15">
      <c r="B1098" s="7" t="s">
        <v>2269</v>
      </c>
      <c r="C1098" s="10">
        <v>41764</v>
      </c>
      <c r="D1098" s="10">
        <v>41765</v>
      </c>
      <c r="E1098" s="18">
        <v>1</v>
      </c>
      <c r="F1098" s="13" t="str">
        <f t="shared" si="27"/>
        <v>Late</v>
      </c>
      <c r="G1098" s="19" t="str">
        <f>_xlfn.XLOOKUP(B1098,tblARV[ASN/DN '#],tblARV[Country],"Not found")</f>
        <v>Rwanda</v>
      </c>
      <c r="H1098" s="19" t="str">
        <f>_xlfn.XLOOKUP($B1098,tblARV[ASN/DN '#],tblARV[Fulfill Via],"Not found")</f>
        <v>From RDC</v>
      </c>
      <c r="I1098" s="19" t="str">
        <f>_xlfn.XLOOKUP($B1098,tblARV[ASN/DN '#],tblARV[Vendor],"Not found")</f>
        <v>SCMS from RDC</v>
      </c>
    </row>
    <row r="1099" spans="2:9" ht="15">
      <c r="B1099" s="7" t="s">
        <v>1675</v>
      </c>
      <c r="C1099" s="10">
        <v>41764</v>
      </c>
      <c r="D1099" s="10">
        <v>41796</v>
      </c>
      <c r="E1099" s="18">
        <v>64</v>
      </c>
      <c r="F1099" s="13" t="str">
        <f t="shared" si="27"/>
        <v>Late</v>
      </c>
      <c r="G1099" s="19" t="str">
        <f>_xlfn.XLOOKUP(B1099,tblARV[ASN/DN '#],tblARV[Country],"Not found")</f>
        <v>Rwanda</v>
      </c>
      <c r="H1099" s="19" t="str">
        <f>_xlfn.XLOOKUP($B1099,tblARV[ASN/DN '#],tblARV[Fulfill Via],"Not found")</f>
        <v>From RDC</v>
      </c>
      <c r="I1099" s="19" t="str">
        <f>_xlfn.XLOOKUP($B1099,tblARV[ASN/DN '#],tblARV[Vendor],"Not found")</f>
        <v>SCMS from RDC</v>
      </c>
    </row>
    <row r="1100" spans="2:9" ht="15">
      <c r="B1100" s="7" t="s">
        <v>2275</v>
      </c>
      <c r="C1100" s="10">
        <v>41820</v>
      </c>
      <c r="D1100" s="10">
        <v>41796</v>
      </c>
      <c r="E1100" s="18">
        <v>-24</v>
      </c>
      <c r="F1100" s="13" t="str">
        <f t="shared" si="27"/>
        <v>On-time</v>
      </c>
      <c r="G1100" s="19" t="str">
        <f>_xlfn.XLOOKUP(B1100,tblARV[ASN/DN '#],tblARV[Country],"Not found")</f>
        <v>Tanzania</v>
      </c>
      <c r="H1100" s="19" t="str">
        <f>_xlfn.XLOOKUP($B1100,tblARV[ASN/DN '#],tblARV[Fulfill Via],"Not found")</f>
        <v>From RDC</v>
      </c>
      <c r="I1100" s="19" t="str">
        <f>_xlfn.XLOOKUP($B1100,tblARV[ASN/DN '#],tblARV[Vendor],"Not found")</f>
        <v>SCMS from RDC</v>
      </c>
    </row>
    <row r="1101" spans="2:9" ht="15">
      <c r="B1101" s="7" t="s">
        <v>2531</v>
      </c>
      <c r="C1101" s="10">
        <v>41897</v>
      </c>
      <c r="D1101" s="10">
        <v>41907</v>
      </c>
      <c r="E1101" s="18">
        <v>10</v>
      </c>
      <c r="F1101" s="13" t="str">
        <f t="shared" si="27"/>
        <v>Late</v>
      </c>
      <c r="G1101" s="19" t="str">
        <f>_xlfn.XLOOKUP(B1101,tblARV[ASN/DN '#],tblARV[Country],"Not found")</f>
        <v>Tanzania</v>
      </c>
      <c r="H1101" s="19" t="str">
        <f>_xlfn.XLOOKUP($B1101,tblARV[ASN/DN '#],tblARV[Fulfill Via],"Not found")</f>
        <v>From RDC</v>
      </c>
      <c r="I1101" s="19" t="str">
        <f>_xlfn.XLOOKUP($B1101,tblARV[ASN/DN '#],tblARV[Vendor],"Not found")</f>
        <v>SCMS from RDC</v>
      </c>
    </row>
    <row r="1102" spans="2:9" ht="15">
      <c r="B1102" s="7" t="s">
        <v>2679</v>
      </c>
      <c r="C1102" s="10">
        <v>41764</v>
      </c>
      <c r="D1102" s="10">
        <v>41796</v>
      </c>
      <c r="E1102" s="18">
        <v>32</v>
      </c>
      <c r="F1102" s="13" t="str">
        <f t="shared" si="27"/>
        <v>Late</v>
      </c>
      <c r="G1102" s="19" t="str">
        <f>_xlfn.XLOOKUP(B1102,tblARV[ASN/DN '#],tblARV[Country],"Not found")</f>
        <v>Rwanda</v>
      </c>
      <c r="H1102" s="19" t="str">
        <f>_xlfn.XLOOKUP($B1102,tblARV[ASN/DN '#],tblARV[Fulfill Via],"Not found")</f>
        <v>From RDC</v>
      </c>
      <c r="I1102" s="19" t="str">
        <f>_xlfn.XLOOKUP($B1102,tblARV[ASN/DN '#],tblARV[Vendor],"Not found")</f>
        <v>SCMS from RDC</v>
      </c>
    </row>
    <row r="1103" spans="2:9" ht="15">
      <c r="B1103" s="7" t="s">
        <v>1677</v>
      </c>
      <c r="C1103" s="10">
        <v>41764</v>
      </c>
      <c r="D1103" s="10">
        <v>41808</v>
      </c>
      <c r="E1103" s="18">
        <v>44</v>
      </c>
      <c r="F1103" s="13" t="str">
        <f t="shared" si="27"/>
        <v>Late</v>
      </c>
      <c r="G1103" s="19" t="str">
        <f>_xlfn.XLOOKUP(B1103,tblARV[ASN/DN '#],tblARV[Country],"Not found")</f>
        <v>Tanzania</v>
      </c>
      <c r="H1103" s="19" t="str">
        <f>_xlfn.XLOOKUP($B1103,tblARV[ASN/DN '#],tblARV[Fulfill Via],"Not found")</f>
        <v>From RDC</v>
      </c>
      <c r="I1103" s="19" t="str">
        <f>_xlfn.XLOOKUP($B1103,tblARV[ASN/DN '#],tblARV[Vendor],"Not found")</f>
        <v>SCMS from RDC</v>
      </c>
    </row>
    <row r="1104" spans="2:9" ht="15">
      <c r="B1104" s="7" t="s">
        <v>2533</v>
      </c>
      <c r="C1104" s="10">
        <v>41779</v>
      </c>
      <c r="D1104" s="10">
        <v>41767</v>
      </c>
      <c r="E1104" s="18">
        <v>-12</v>
      </c>
      <c r="F1104" s="13" t="str">
        <f t="shared" si="27"/>
        <v>On-time</v>
      </c>
      <c r="G1104" s="19" t="str">
        <f>_xlfn.XLOOKUP(B1104,tblARV[ASN/DN '#],tblARV[Country],"Not found")</f>
        <v>Uganda</v>
      </c>
      <c r="H1104" s="19" t="str">
        <f>_xlfn.XLOOKUP($B1104,tblARV[ASN/DN '#],tblARV[Fulfill Via],"Not found")</f>
        <v>From RDC</v>
      </c>
      <c r="I1104" s="19" t="str">
        <f>_xlfn.XLOOKUP($B1104,tblARV[ASN/DN '#],tblARV[Vendor],"Not found")</f>
        <v>SCMS from RDC</v>
      </c>
    </row>
    <row r="1105" spans="2:9" ht="15">
      <c r="B1105" s="7" t="s">
        <v>2535</v>
      </c>
      <c r="C1105" s="10">
        <v>41820</v>
      </c>
      <c r="D1105" s="10">
        <v>41814</v>
      </c>
      <c r="E1105" s="18">
        <v>-6</v>
      </c>
      <c r="F1105" s="13" t="str">
        <f t="shared" si="27"/>
        <v>On-time</v>
      </c>
      <c r="G1105" s="19" t="str">
        <f>_xlfn.XLOOKUP(B1105,tblARV[ASN/DN '#],tblARV[Country],"Not found")</f>
        <v>Tanzania</v>
      </c>
      <c r="H1105" s="19" t="str">
        <f>_xlfn.XLOOKUP($B1105,tblARV[ASN/DN '#],tblARV[Fulfill Via],"Not found")</f>
        <v>From RDC</v>
      </c>
      <c r="I1105" s="19" t="str">
        <f>_xlfn.XLOOKUP($B1105,tblARV[ASN/DN '#],tblARV[Vendor],"Not found")</f>
        <v>SCMS from RDC</v>
      </c>
    </row>
    <row r="1106" spans="2:9" ht="15">
      <c r="B1106" s="7" t="s">
        <v>2537</v>
      </c>
      <c r="C1106" s="10">
        <v>41791</v>
      </c>
      <c r="D1106" s="10">
        <v>41795</v>
      </c>
      <c r="E1106" s="18">
        <v>4</v>
      </c>
      <c r="F1106" s="13" t="str">
        <f t="shared" si="27"/>
        <v>Late</v>
      </c>
      <c r="G1106" s="19" t="str">
        <f>_xlfn.XLOOKUP(B1106,tblARV[ASN/DN '#],tblARV[Country],"Not found")</f>
        <v>Tanzania</v>
      </c>
      <c r="H1106" s="19" t="str">
        <f>_xlfn.XLOOKUP($B1106,tblARV[ASN/DN '#],tblARV[Fulfill Via],"Not found")</f>
        <v>From RDC</v>
      </c>
      <c r="I1106" s="19" t="str">
        <f>_xlfn.XLOOKUP($B1106,tblARV[ASN/DN '#],tblARV[Vendor],"Not found")</f>
        <v>SCMS from RDC</v>
      </c>
    </row>
    <row r="1107" spans="2:9" ht="15">
      <c r="B1107" s="7" t="s">
        <v>2405</v>
      </c>
      <c r="C1107" s="10">
        <v>41806</v>
      </c>
      <c r="D1107" s="10">
        <v>41776</v>
      </c>
      <c r="E1107" s="18">
        <v>-30</v>
      </c>
      <c r="F1107" s="13" t="str">
        <f t="shared" si="27"/>
        <v>On-time</v>
      </c>
      <c r="G1107" s="19" t="str">
        <f>_xlfn.XLOOKUP(B1107,tblARV[ASN/DN '#],tblARV[Country],"Not found")</f>
        <v>Rwanda</v>
      </c>
      <c r="H1107" s="19" t="str">
        <f>_xlfn.XLOOKUP($B1107,tblARV[ASN/DN '#],tblARV[Fulfill Via],"Not found")</f>
        <v>From RDC</v>
      </c>
      <c r="I1107" s="19" t="str">
        <f>_xlfn.XLOOKUP($B1107,tblARV[ASN/DN '#],tblARV[Vendor],"Not found")</f>
        <v>SCMS from RDC</v>
      </c>
    </row>
    <row r="1108" spans="2:9" ht="15">
      <c r="B1108" s="7" t="s">
        <v>2795</v>
      </c>
      <c r="C1108" s="10">
        <v>41789</v>
      </c>
      <c r="D1108" s="10">
        <v>41811</v>
      </c>
      <c r="E1108" s="18">
        <v>22</v>
      </c>
      <c r="F1108" s="13" t="str">
        <f t="shared" si="27"/>
        <v>Late</v>
      </c>
      <c r="G1108" s="19" t="str">
        <f>_xlfn.XLOOKUP(B1108,tblARV[ASN/DN '#],tblARV[Country],"Not found")</f>
        <v>Tanzania</v>
      </c>
      <c r="H1108" s="19" t="str">
        <f>_xlfn.XLOOKUP($B1108,tblARV[ASN/DN '#],tblARV[Fulfill Via],"Not found")</f>
        <v>From RDC</v>
      </c>
      <c r="I1108" s="19" t="str">
        <f>_xlfn.XLOOKUP($B1108,tblARV[ASN/DN '#],tblARV[Vendor],"Not found")</f>
        <v>SCMS from RDC</v>
      </c>
    </row>
    <row r="1109" spans="2:9" ht="15">
      <c r="B1109" s="7" t="s">
        <v>2271</v>
      </c>
      <c r="C1109" s="10">
        <v>41817</v>
      </c>
      <c r="D1109" s="10">
        <v>41826</v>
      </c>
      <c r="E1109" s="18">
        <v>9</v>
      </c>
      <c r="F1109" s="13" t="str">
        <f t="shared" ref="F1109:F1172" si="28">IF($E1109&lt;=0,"On-time","Late")</f>
        <v>Late</v>
      </c>
      <c r="G1109" s="19" t="str">
        <f>_xlfn.XLOOKUP(B1109,tblARV[ASN/DN '#],tblARV[Country],"Not found")</f>
        <v>Rwanda</v>
      </c>
      <c r="H1109" s="19" t="str">
        <f>_xlfn.XLOOKUP($B1109,tblARV[ASN/DN '#],tblARV[Fulfill Via],"Not found")</f>
        <v>From RDC</v>
      </c>
      <c r="I1109" s="19" t="str">
        <f>_xlfn.XLOOKUP($B1109,tblARV[ASN/DN '#],tblARV[Vendor],"Not found")</f>
        <v>SCMS from RDC</v>
      </c>
    </row>
    <row r="1110" spans="2:9" ht="15">
      <c r="B1110" s="7" t="s">
        <v>2681</v>
      </c>
      <c r="C1110" s="10">
        <v>41849</v>
      </c>
      <c r="D1110" s="10">
        <v>41853</v>
      </c>
      <c r="E1110" s="18">
        <v>4</v>
      </c>
      <c r="F1110" s="13" t="str">
        <f t="shared" si="28"/>
        <v>Late</v>
      </c>
      <c r="G1110" s="19" t="str">
        <f>_xlfn.XLOOKUP(B1110,tblARV[ASN/DN '#],tblARV[Country],"Not found")</f>
        <v>Tanzania</v>
      </c>
      <c r="H1110" s="19" t="str">
        <f>_xlfn.XLOOKUP($B1110,tblARV[ASN/DN '#],tblARV[Fulfill Via],"Not found")</f>
        <v>From RDC</v>
      </c>
      <c r="I1110" s="19" t="str">
        <f>_xlfn.XLOOKUP($B1110,tblARV[ASN/DN '#],tblARV[Vendor],"Not found")</f>
        <v>SCMS from RDC</v>
      </c>
    </row>
    <row r="1111" spans="2:9" ht="15">
      <c r="B1111" s="7" t="s">
        <v>1679</v>
      </c>
      <c r="C1111" s="10">
        <v>41820</v>
      </c>
      <c r="D1111" s="10">
        <v>41811</v>
      </c>
      <c r="E1111" s="18">
        <v>-9</v>
      </c>
      <c r="F1111" s="13" t="str">
        <f t="shared" si="28"/>
        <v>On-time</v>
      </c>
      <c r="G1111" s="19" t="str">
        <f>_xlfn.XLOOKUP(B1111,tblARV[ASN/DN '#],tblARV[Country],"Not found")</f>
        <v>Tanzania</v>
      </c>
      <c r="H1111" s="19" t="str">
        <f>_xlfn.XLOOKUP($B1111,tblARV[ASN/DN '#],tblARV[Fulfill Via],"Not found")</f>
        <v>From RDC</v>
      </c>
      <c r="I1111" s="19" t="str">
        <f>_xlfn.XLOOKUP($B1111,tblARV[ASN/DN '#],tblARV[Vendor],"Not found")</f>
        <v>SCMS from RDC</v>
      </c>
    </row>
    <row r="1112" spans="2:9" ht="15">
      <c r="B1112" s="7" t="s">
        <v>2273</v>
      </c>
      <c r="C1112" s="10">
        <v>41820</v>
      </c>
      <c r="D1112" s="10">
        <v>41800</v>
      </c>
      <c r="E1112" s="18">
        <v>-20</v>
      </c>
      <c r="F1112" s="13" t="str">
        <f t="shared" si="28"/>
        <v>On-time</v>
      </c>
      <c r="G1112" s="19" t="str">
        <f>_xlfn.XLOOKUP(B1112,tblARV[ASN/DN '#],tblARV[Country],"Not found")</f>
        <v>Tanzania</v>
      </c>
      <c r="H1112" s="19" t="str">
        <f>_xlfn.XLOOKUP($B1112,tblARV[ASN/DN '#],tblARV[Fulfill Via],"Not found")</f>
        <v>From RDC</v>
      </c>
      <c r="I1112" s="19" t="str">
        <f>_xlfn.XLOOKUP($B1112,tblARV[ASN/DN '#],tblARV[Vendor],"Not found")</f>
        <v>SCMS from RDC</v>
      </c>
    </row>
    <row r="1113" spans="2:9" ht="15">
      <c r="B1113" s="7" t="s">
        <v>2094</v>
      </c>
      <c r="C1113" s="10">
        <v>41789</v>
      </c>
      <c r="D1113" s="10">
        <v>41815</v>
      </c>
      <c r="E1113" s="18">
        <v>104</v>
      </c>
      <c r="F1113" s="13" t="str">
        <f t="shared" si="28"/>
        <v>Late</v>
      </c>
      <c r="G1113" s="19" t="str">
        <f>_xlfn.XLOOKUP(B1113,tblARV[ASN/DN '#],tblARV[Country],"Not found")</f>
        <v>Burundi</v>
      </c>
      <c r="H1113" s="19" t="str">
        <f>_xlfn.XLOOKUP($B1113,tblARV[ASN/DN '#],tblARV[Fulfill Via],"Not found")</f>
        <v>From RDC</v>
      </c>
      <c r="I1113" s="19" t="str">
        <f>_xlfn.XLOOKUP($B1113,tblARV[ASN/DN '#],tblARV[Vendor],"Not found")</f>
        <v>SCMS from RDC</v>
      </c>
    </row>
    <row r="1114" spans="2:9" ht="15">
      <c r="B1114" s="7" t="s">
        <v>2797</v>
      </c>
      <c r="C1114" s="10">
        <v>41789</v>
      </c>
      <c r="D1114" s="10">
        <v>41787</v>
      </c>
      <c r="E1114" s="18">
        <v>-2</v>
      </c>
      <c r="F1114" s="13" t="str">
        <f t="shared" si="28"/>
        <v>On-time</v>
      </c>
      <c r="G1114" s="19" t="str">
        <f>_xlfn.XLOOKUP(B1114,tblARV[ASN/DN '#],tblARV[Country],"Not found")</f>
        <v>Uganda</v>
      </c>
      <c r="H1114" s="19" t="str">
        <f>_xlfn.XLOOKUP($B1114,tblARV[ASN/DN '#],tblARV[Fulfill Via],"Not found")</f>
        <v>From RDC</v>
      </c>
      <c r="I1114" s="19" t="str">
        <f>_xlfn.XLOOKUP($B1114,tblARV[ASN/DN '#],tblARV[Vendor],"Not found")</f>
        <v>SCMS from RDC</v>
      </c>
    </row>
    <row r="1115" spans="2:9" ht="15">
      <c r="B1115" s="7" t="s">
        <v>2407</v>
      </c>
      <c r="C1115" s="10">
        <v>41789</v>
      </c>
      <c r="D1115" s="10">
        <v>41823</v>
      </c>
      <c r="E1115" s="18">
        <v>34</v>
      </c>
      <c r="F1115" s="13" t="str">
        <f t="shared" si="28"/>
        <v>Late</v>
      </c>
      <c r="G1115" s="19" t="str">
        <f>_xlfn.XLOOKUP(B1115,tblARV[ASN/DN '#],tblARV[Country],"Not found")</f>
        <v>Rwanda</v>
      </c>
      <c r="H1115" s="19" t="str">
        <f>_xlfn.XLOOKUP($B1115,tblARV[ASN/DN '#],tblARV[Fulfill Via],"Not found")</f>
        <v>From RDC</v>
      </c>
      <c r="I1115" s="19" t="str">
        <f>_xlfn.XLOOKUP($B1115,tblARV[ASN/DN '#],tblARV[Vendor],"Not found")</f>
        <v>SCMS from RDC</v>
      </c>
    </row>
    <row r="1116" spans="2:9" ht="15">
      <c r="B1116" s="7" t="s">
        <v>1681</v>
      </c>
      <c r="C1116" s="10">
        <v>41820</v>
      </c>
      <c r="D1116" s="10">
        <v>41820</v>
      </c>
      <c r="E1116" s="18">
        <v>0</v>
      </c>
      <c r="F1116" s="13" t="str">
        <f t="shared" si="28"/>
        <v>On-time</v>
      </c>
      <c r="G1116" s="19" t="str">
        <f>_xlfn.XLOOKUP(B1116,tblARV[ASN/DN '#],tblARV[Country],"Not found")</f>
        <v>Uganda</v>
      </c>
      <c r="H1116" s="19" t="str">
        <f>_xlfn.XLOOKUP($B1116,tblARV[ASN/DN '#],tblARV[Fulfill Via],"Not found")</f>
        <v>From RDC</v>
      </c>
      <c r="I1116" s="19" t="str">
        <f>_xlfn.XLOOKUP($B1116,tblARV[ASN/DN '#],tblARV[Vendor],"Not found")</f>
        <v>SCMS from RDC</v>
      </c>
    </row>
    <row r="1117" spans="2:9" ht="15">
      <c r="B1117" s="7" t="s">
        <v>2539</v>
      </c>
      <c r="C1117" s="10">
        <v>41820</v>
      </c>
      <c r="D1117" s="10">
        <v>41820</v>
      </c>
      <c r="E1117" s="18">
        <v>0</v>
      </c>
      <c r="F1117" s="13" t="str">
        <f t="shared" si="28"/>
        <v>On-time</v>
      </c>
      <c r="G1117" s="19" t="str">
        <f>_xlfn.XLOOKUP(B1117,tblARV[ASN/DN '#],tblARV[Country],"Not found")</f>
        <v>Uganda</v>
      </c>
      <c r="H1117" s="19" t="str">
        <f>_xlfn.XLOOKUP($B1117,tblARV[ASN/DN '#],tblARV[Fulfill Via],"Not found")</f>
        <v>From RDC</v>
      </c>
      <c r="I1117" s="19" t="str">
        <f>_xlfn.XLOOKUP($B1117,tblARV[ASN/DN '#],tblARV[Vendor],"Not found")</f>
        <v>SCMS from RDC</v>
      </c>
    </row>
    <row r="1118" spans="2:9" ht="15">
      <c r="B1118" s="7" t="s">
        <v>2096</v>
      </c>
      <c r="C1118" s="10">
        <v>41806</v>
      </c>
      <c r="D1118" s="10">
        <v>41794</v>
      </c>
      <c r="E1118" s="18">
        <v>-36</v>
      </c>
      <c r="F1118" s="13" t="str">
        <f t="shared" si="28"/>
        <v>On-time</v>
      </c>
      <c r="G1118" s="19" t="str">
        <f>_xlfn.XLOOKUP(B1118,tblARV[ASN/DN '#],tblARV[Country],"Not found")</f>
        <v>Burundi</v>
      </c>
      <c r="H1118" s="19" t="str">
        <f>_xlfn.XLOOKUP($B1118,tblARV[ASN/DN '#],tblARV[Fulfill Via],"Not found")</f>
        <v>From RDC</v>
      </c>
      <c r="I1118" s="19" t="str">
        <f>_xlfn.XLOOKUP($B1118,tblARV[ASN/DN '#],tblARV[Vendor],"Not found")</f>
        <v>SCMS from RDC</v>
      </c>
    </row>
    <row r="1119" spans="2:9" ht="15">
      <c r="B1119" s="7" t="s">
        <v>2098</v>
      </c>
      <c r="C1119" s="10">
        <v>41820</v>
      </c>
      <c r="D1119" s="10">
        <v>41802</v>
      </c>
      <c r="E1119" s="18">
        <v>-18</v>
      </c>
      <c r="F1119" s="13" t="str">
        <f t="shared" si="28"/>
        <v>On-time</v>
      </c>
      <c r="G1119" s="19" t="str">
        <f>_xlfn.XLOOKUP(B1119,tblARV[ASN/DN '#],tblARV[Country],"Not found")</f>
        <v>Rwanda</v>
      </c>
      <c r="H1119" s="19" t="str">
        <f>_xlfn.XLOOKUP($B1119,tblARV[ASN/DN '#],tblARV[Fulfill Via],"Not found")</f>
        <v>From RDC</v>
      </c>
      <c r="I1119" s="19" t="str">
        <f>_xlfn.XLOOKUP($B1119,tblARV[ASN/DN '#],tblARV[Vendor],"Not found")</f>
        <v>SCMS from RDC</v>
      </c>
    </row>
    <row r="1120" spans="2:9" ht="15">
      <c r="B1120" s="7" t="s">
        <v>2409</v>
      </c>
      <c r="C1120" s="10">
        <v>41820</v>
      </c>
      <c r="D1120" s="10">
        <v>41814</v>
      </c>
      <c r="E1120" s="18">
        <v>-6</v>
      </c>
      <c r="F1120" s="13" t="str">
        <f t="shared" si="28"/>
        <v>On-time</v>
      </c>
      <c r="G1120" s="19" t="str">
        <f>_xlfn.XLOOKUP(B1120,tblARV[ASN/DN '#],tblARV[Country],"Not found")</f>
        <v>Tanzania</v>
      </c>
      <c r="H1120" s="19" t="str">
        <f>_xlfn.XLOOKUP($B1120,tblARV[ASN/DN '#],tblARV[Fulfill Via],"Not found")</f>
        <v>From RDC</v>
      </c>
      <c r="I1120" s="19" t="str">
        <f>_xlfn.XLOOKUP($B1120,tblARV[ASN/DN '#],tblARV[Vendor],"Not found")</f>
        <v>SCMS from RDC</v>
      </c>
    </row>
    <row r="1121" spans="2:9" ht="15">
      <c r="B1121" s="7" t="s">
        <v>1906</v>
      </c>
      <c r="C1121" s="10">
        <v>41820</v>
      </c>
      <c r="D1121" s="10">
        <v>41814</v>
      </c>
      <c r="E1121" s="18">
        <v>-6</v>
      </c>
      <c r="F1121" s="13" t="str">
        <f t="shared" si="28"/>
        <v>On-time</v>
      </c>
      <c r="G1121" s="19" t="str">
        <f>_xlfn.XLOOKUP(B1121,tblARV[ASN/DN '#],tblARV[Country],"Not found")</f>
        <v>Tanzania</v>
      </c>
      <c r="H1121" s="19" t="str">
        <f>_xlfn.XLOOKUP($B1121,tblARV[ASN/DN '#],tblARV[Fulfill Via],"Not found")</f>
        <v>From RDC</v>
      </c>
      <c r="I1121" s="19" t="str">
        <f>_xlfn.XLOOKUP($B1121,tblARV[ASN/DN '#],tblARV[Vendor],"Not found")</f>
        <v>SCMS from RDC</v>
      </c>
    </row>
    <row r="1122" spans="2:9" ht="15">
      <c r="B1122" s="7" t="s">
        <v>2102</v>
      </c>
      <c r="C1122" s="10">
        <v>41820</v>
      </c>
      <c r="D1122" s="10">
        <v>41810</v>
      </c>
      <c r="E1122" s="18">
        <v>-10</v>
      </c>
      <c r="F1122" s="13" t="str">
        <f t="shared" si="28"/>
        <v>On-time</v>
      </c>
      <c r="G1122" s="19" t="str">
        <f>_xlfn.XLOOKUP(B1122,tblARV[ASN/DN '#],tblARV[Country],"Not found")</f>
        <v>Uganda</v>
      </c>
      <c r="H1122" s="19" t="str">
        <f>_xlfn.XLOOKUP($B1122,tblARV[ASN/DN '#],tblARV[Fulfill Via],"Not found")</f>
        <v>From RDC</v>
      </c>
      <c r="I1122" s="19" t="str">
        <f>_xlfn.XLOOKUP($B1122,tblARV[ASN/DN '#],tblARV[Vendor],"Not found")</f>
        <v>SCMS from RDC</v>
      </c>
    </row>
    <row r="1123" spans="2:9" ht="15">
      <c r="B1123" s="7" t="s">
        <v>1683</v>
      </c>
      <c r="C1123" s="10">
        <v>41851</v>
      </c>
      <c r="D1123" s="10">
        <v>41907</v>
      </c>
      <c r="E1123" s="18">
        <v>168</v>
      </c>
      <c r="F1123" s="13" t="str">
        <f t="shared" si="28"/>
        <v>Late</v>
      </c>
      <c r="G1123" s="19" t="str">
        <f>_xlfn.XLOOKUP(B1123,tblARV[ASN/DN '#],tblARV[Country],"Not found")</f>
        <v>Tanzania</v>
      </c>
      <c r="H1123" s="19" t="str">
        <f>_xlfn.XLOOKUP($B1123,tblARV[ASN/DN '#],tblARV[Fulfill Via],"Not found")</f>
        <v>From RDC</v>
      </c>
      <c r="I1123" s="19" t="str">
        <f>_xlfn.XLOOKUP($B1123,tblARV[ASN/DN '#],tblARV[Vendor],"Not found")</f>
        <v>SCMS from RDC</v>
      </c>
    </row>
    <row r="1124" spans="2:9" ht="15">
      <c r="B1124" s="7" t="s">
        <v>2100</v>
      </c>
      <c r="C1124" s="10">
        <v>41820</v>
      </c>
      <c r="D1124" s="10">
        <v>41810</v>
      </c>
      <c r="E1124" s="18">
        <v>-10</v>
      </c>
      <c r="F1124" s="13" t="str">
        <f t="shared" si="28"/>
        <v>On-time</v>
      </c>
      <c r="G1124" s="19" t="str">
        <f>_xlfn.XLOOKUP(B1124,tblARV[ASN/DN '#],tblARV[Country],"Not found")</f>
        <v>Uganda</v>
      </c>
      <c r="H1124" s="19" t="str">
        <f>_xlfn.XLOOKUP($B1124,tblARV[ASN/DN '#],tblARV[Fulfill Via],"Not found")</f>
        <v>From RDC</v>
      </c>
      <c r="I1124" s="19" t="str">
        <f>_xlfn.XLOOKUP($B1124,tblARV[ASN/DN '#],tblARV[Vendor],"Not found")</f>
        <v>SCMS from RDC</v>
      </c>
    </row>
    <row r="1125" spans="2:9" ht="15">
      <c r="B1125" s="7" t="s">
        <v>2106</v>
      </c>
      <c r="C1125" s="10">
        <v>41870</v>
      </c>
      <c r="D1125" s="10">
        <v>41864</v>
      </c>
      <c r="E1125" s="18">
        <v>-12</v>
      </c>
      <c r="F1125" s="13" t="str">
        <f t="shared" si="28"/>
        <v>On-time</v>
      </c>
      <c r="G1125" s="19" t="str">
        <f>_xlfn.XLOOKUP(B1125,tblARV[ASN/DN '#],tblARV[Country],"Not found")</f>
        <v>Rwanda</v>
      </c>
      <c r="H1125" s="19" t="str">
        <f>_xlfn.XLOOKUP($B1125,tblARV[ASN/DN '#],tblARV[Fulfill Via],"Not found")</f>
        <v>From RDC</v>
      </c>
      <c r="I1125" s="19" t="str">
        <f>_xlfn.XLOOKUP($B1125,tblARV[ASN/DN '#],tblARV[Vendor],"Not found")</f>
        <v>SCMS from RDC</v>
      </c>
    </row>
    <row r="1126" spans="2:9" ht="15">
      <c r="B1126" s="7" t="s">
        <v>2801</v>
      </c>
      <c r="C1126" s="10">
        <v>41942</v>
      </c>
      <c r="D1126" s="10">
        <v>41864</v>
      </c>
      <c r="E1126" s="18">
        <v>-78</v>
      </c>
      <c r="F1126" s="13" t="str">
        <f t="shared" si="28"/>
        <v>On-time</v>
      </c>
      <c r="G1126" s="19" t="str">
        <f>_xlfn.XLOOKUP(B1126,tblARV[ASN/DN '#],tblARV[Country],"Not found")</f>
        <v>Rwanda</v>
      </c>
      <c r="H1126" s="19" t="str">
        <f>_xlfn.XLOOKUP($B1126,tblARV[ASN/DN '#],tblARV[Fulfill Via],"Not found")</f>
        <v>From RDC</v>
      </c>
      <c r="I1126" s="19" t="str">
        <f>_xlfn.XLOOKUP($B1126,tblARV[ASN/DN '#],tblARV[Vendor],"Not found")</f>
        <v>SCMS from RDC</v>
      </c>
    </row>
    <row r="1127" spans="2:9" ht="15">
      <c r="B1127" s="7" t="s">
        <v>2541</v>
      </c>
      <c r="C1127" s="10">
        <v>41881</v>
      </c>
      <c r="D1127" s="10">
        <v>41887</v>
      </c>
      <c r="E1127" s="18">
        <v>6</v>
      </c>
      <c r="F1127" s="13" t="str">
        <f t="shared" si="28"/>
        <v>Late</v>
      </c>
      <c r="G1127" s="19" t="str">
        <f>_xlfn.XLOOKUP(B1127,tblARV[ASN/DN '#],tblARV[Country],"Not found")</f>
        <v>Burundi</v>
      </c>
      <c r="H1127" s="19" t="str">
        <f>_xlfn.XLOOKUP($B1127,tblARV[ASN/DN '#],tblARV[Fulfill Via],"Not found")</f>
        <v>From RDC</v>
      </c>
      <c r="I1127" s="19" t="str">
        <f>_xlfn.XLOOKUP($B1127,tblARV[ASN/DN '#],tblARV[Vendor],"Not found")</f>
        <v>SCMS from RDC</v>
      </c>
    </row>
    <row r="1128" spans="2:9" ht="15">
      <c r="B1128" s="7" t="s">
        <v>2543</v>
      </c>
      <c r="C1128" s="10">
        <v>41912</v>
      </c>
      <c r="D1128" s="10">
        <v>41836</v>
      </c>
      <c r="E1128" s="18">
        <v>-76</v>
      </c>
      <c r="F1128" s="13" t="str">
        <f t="shared" si="28"/>
        <v>On-time</v>
      </c>
      <c r="G1128" s="19" t="str">
        <f>_xlfn.XLOOKUP(B1128,tblARV[ASN/DN '#],tblARV[Country],"Not found")</f>
        <v>Rwanda</v>
      </c>
      <c r="H1128" s="19" t="str">
        <f>_xlfn.XLOOKUP($B1128,tblARV[ASN/DN '#],tblARV[Fulfill Via],"Not found")</f>
        <v>From RDC</v>
      </c>
      <c r="I1128" s="19" t="str">
        <f>_xlfn.XLOOKUP($B1128,tblARV[ASN/DN '#],tblARV[Vendor],"Not found")</f>
        <v>SCMS from RDC</v>
      </c>
    </row>
    <row r="1129" spans="2:9" ht="15">
      <c r="B1129" s="7" t="s">
        <v>2277</v>
      </c>
      <c r="C1129" s="10">
        <v>41851</v>
      </c>
      <c r="D1129" s="10">
        <v>41845</v>
      </c>
      <c r="E1129" s="18">
        <v>-6</v>
      </c>
      <c r="F1129" s="13" t="str">
        <f t="shared" si="28"/>
        <v>On-time</v>
      </c>
      <c r="G1129" s="19" t="str">
        <f>_xlfn.XLOOKUP(B1129,tblARV[ASN/DN '#],tblARV[Country],"Not found")</f>
        <v>Burundi</v>
      </c>
      <c r="H1129" s="19" t="str">
        <f>_xlfn.XLOOKUP($B1129,tblARV[ASN/DN '#],tblARV[Fulfill Via],"Not found")</f>
        <v>From RDC</v>
      </c>
      <c r="I1129" s="19" t="str">
        <f>_xlfn.XLOOKUP($B1129,tblARV[ASN/DN '#],tblARV[Vendor],"Not found")</f>
        <v>SCMS from RDC</v>
      </c>
    </row>
    <row r="1130" spans="2:9" ht="15">
      <c r="B1130" s="7" t="s">
        <v>304</v>
      </c>
      <c r="C1130" s="10">
        <v>39391</v>
      </c>
      <c r="D1130" s="10">
        <v>39391</v>
      </c>
      <c r="E1130" s="18">
        <v>0</v>
      </c>
      <c r="F1130" s="13" t="str">
        <f t="shared" si="28"/>
        <v>On-time</v>
      </c>
      <c r="G1130" s="19" t="str">
        <f>_xlfn.XLOOKUP(B1130,tblARV[ASN/DN '#],tblARV[Country],"Not found")</f>
        <v>Uganda</v>
      </c>
      <c r="H1130" s="19" t="str">
        <f>_xlfn.XLOOKUP($B1130,tblARV[ASN/DN '#],tblARV[Fulfill Via],"Not found")</f>
        <v>From RDC</v>
      </c>
      <c r="I1130" s="19" t="str">
        <f>_xlfn.XLOOKUP($B1130,tblARV[ASN/DN '#],tblARV[Vendor],"Not found")</f>
        <v>SCMS from RDC</v>
      </c>
    </row>
    <row r="1131" spans="2:9" ht="15">
      <c r="B1131" s="7" t="s">
        <v>2683</v>
      </c>
      <c r="C1131" s="10">
        <v>41837</v>
      </c>
      <c r="D1131" s="10">
        <v>41837</v>
      </c>
      <c r="E1131" s="18">
        <v>0</v>
      </c>
      <c r="F1131" s="13" t="str">
        <f t="shared" si="28"/>
        <v>On-time</v>
      </c>
      <c r="G1131" s="19" t="str">
        <f>_xlfn.XLOOKUP(B1131,tblARV[ASN/DN '#],tblARV[Country],"Not found")</f>
        <v>Rwanda</v>
      </c>
      <c r="H1131" s="19" t="str">
        <f>_xlfn.XLOOKUP($B1131,tblARV[ASN/DN '#],tblARV[Fulfill Via],"Not found")</f>
        <v>From RDC</v>
      </c>
      <c r="I1131" s="19" t="str">
        <f>_xlfn.XLOOKUP($B1131,tblARV[ASN/DN '#],tblARV[Vendor],"Not found")</f>
        <v>SCMS from RDC</v>
      </c>
    </row>
    <row r="1132" spans="2:9" ht="15">
      <c r="B1132" s="7" t="s">
        <v>1685</v>
      </c>
      <c r="C1132" s="10">
        <v>41900</v>
      </c>
      <c r="D1132" s="10">
        <v>41907</v>
      </c>
      <c r="E1132" s="18">
        <v>7</v>
      </c>
      <c r="F1132" s="13" t="str">
        <f t="shared" si="28"/>
        <v>Late</v>
      </c>
      <c r="G1132" s="19" t="str">
        <f>_xlfn.XLOOKUP(B1132,tblARV[ASN/DN '#],tblARV[Country],"Not found")</f>
        <v>Tanzania</v>
      </c>
      <c r="H1132" s="19" t="str">
        <f>_xlfn.XLOOKUP($B1132,tblARV[ASN/DN '#],tblARV[Fulfill Via],"Not found")</f>
        <v>From RDC</v>
      </c>
      <c r="I1132" s="19" t="str">
        <f>_xlfn.XLOOKUP($B1132,tblARV[ASN/DN '#],tblARV[Vendor],"Not found")</f>
        <v>SCMS from RDC</v>
      </c>
    </row>
    <row r="1133" spans="2:9" ht="15">
      <c r="B1133" s="7" t="s">
        <v>2545</v>
      </c>
      <c r="C1133" s="10">
        <v>41880</v>
      </c>
      <c r="D1133" s="10">
        <v>41905</v>
      </c>
      <c r="E1133" s="18">
        <v>25</v>
      </c>
      <c r="F1133" s="13" t="str">
        <f t="shared" si="28"/>
        <v>Late</v>
      </c>
      <c r="G1133" s="19" t="str">
        <f>_xlfn.XLOOKUP(B1133,tblARV[ASN/DN '#],tblARV[Country],"Not found")</f>
        <v>Tanzania</v>
      </c>
      <c r="H1133" s="19" t="str">
        <f>_xlfn.XLOOKUP($B1133,tblARV[ASN/DN '#],tblARV[Fulfill Via],"Not found")</f>
        <v>From RDC</v>
      </c>
      <c r="I1133" s="19" t="str">
        <f>_xlfn.XLOOKUP($B1133,tblARV[ASN/DN '#],tblARV[Vendor],"Not found")</f>
        <v>SCMS from RDC</v>
      </c>
    </row>
    <row r="1134" spans="2:9" ht="15">
      <c r="B1134" s="7" t="s">
        <v>1908</v>
      </c>
      <c r="C1134" s="10">
        <v>41880</v>
      </c>
      <c r="D1134" s="10">
        <v>41878</v>
      </c>
      <c r="E1134" s="18">
        <v>-2</v>
      </c>
      <c r="F1134" s="13" t="str">
        <f t="shared" si="28"/>
        <v>On-time</v>
      </c>
      <c r="G1134" s="19" t="str">
        <f>_xlfn.XLOOKUP(B1134,tblARV[ASN/DN '#],tblARV[Country],"Not found")</f>
        <v>Tanzania</v>
      </c>
      <c r="H1134" s="19" t="str">
        <f>_xlfn.XLOOKUP($B1134,tblARV[ASN/DN '#],tblARV[Fulfill Via],"Not found")</f>
        <v>From RDC</v>
      </c>
      <c r="I1134" s="19" t="str">
        <f>_xlfn.XLOOKUP($B1134,tblARV[ASN/DN '#],tblARV[Vendor],"Not found")</f>
        <v>SCMS from RDC</v>
      </c>
    </row>
    <row r="1135" spans="2:9" ht="15">
      <c r="B1135" s="7" t="s">
        <v>2279</v>
      </c>
      <c r="C1135" s="10">
        <v>42004</v>
      </c>
      <c r="D1135" s="10">
        <v>41865</v>
      </c>
      <c r="E1135" s="18">
        <v>-139</v>
      </c>
      <c r="F1135" s="13" t="str">
        <f t="shared" si="28"/>
        <v>On-time</v>
      </c>
      <c r="G1135" s="19" t="str">
        <f>_xlfn.XLOOKUP(B1135,tblARV[ASN/DN '#],tblARV[Country],"Not found")</f>
        <v>Rwanda</v>
      </c>
      <c r="H1135" s="19" t="str">
        <f>_xlfn.XLOOKUP($B1135,tblARV[ASN/DN '#],tblARV[Fulfill Via],"Not found")</f>
        <v>From RDC</v>
      </c>
      <c r="I1135" s="19" t="str">
        <f>_xlfn.XLOOKUP($B1135,tblARV[ASN/DN '#],tblARV[Vendor],"Not found")</f>
        <v>SCMS from RDC</v>
      </c>
    </row>
    <row r="1136" spans="2:9" ht="15">
      <c r="B1136" s="7" t="s">
        <v>2850</v>
      </c>
      <c r="C1136" s="10">
        <v>41870</v>
      </c>
      <c r="D1136" s="10">
        <v>41929</v>
      </c>
      <c r="E1136" s="18">
        <v>59</v>
      </c>
      <c r="F1136" s="13" t="str">
        <f t="shared" si="28"/>
        <v>Late</v>
      </c>
      <c r="G1136" s="19" t="str">
        <f>_xlfn.XLOOKUP(B1136,tblARV[ASN/DN '#],tblARV[Country],"Not found")</f>
        <v>South Sudan</v>
      </c>
      <c r="H1136" s="19" t="str">
        <f>_xlfn.XLOOKUP($B1136,tblARV[ASN/DN '#],tblARV[Fulfill Via],"Not found")</f>
        <v>From RDC</v>
      </c>
      <c r="I1136" s="19" t="str">
        <f>_xlfn.XLOOKUP($B1136,tblARV[ASN/DN '#],tblARV[Vendor],"Not found")</f>
        <v>SCMS from RDC</v>
      </c>
    </row>
    <row r="1137" spans="2:9" ht="15">
      <c r="B1137" s="7" t="s">
        <v>2281</v>
      </c>
      <c r="C1137" s="10">
        <v>41851</v>
      </c>
      <c r="D1137" s="10">
        <v>41835</v>
      </c>
      <c r="E1137" s="18">
        <v>-16</v>
      </c>
      <c r="F1137" s="13" t="str">
        <f t="shared" si="28"/>
        <v>On-time</v>
      </c>
      <c r="G1137" s="19" t="str">
        <f>_xlfn.XLOOKUP(B1137,tblARV[ASN/DN '#],tblARV[Country],"Not found")</f>
        <v>Uganda</v>
      </c>
      <c r="H1137" s="19" t="str">
        <f>_xlfn.XLOOKUP($B1137,tblARV[ASN/DN '#],tblARV[Fulfill Via],"Not found")</f>
        <v>From RDC</v>
      </c>
      <c r="I1137" s="19" t="str">
        <f>_xlfn.XLOOKUP($B1137,tblARV[ASN/DN '#],tblARV[Vendor],"Not found")</f>
        <v>SCMS from RDC</v>
      </c>
    </row>
    <row r="1138" spans="2:9" ht="15">
      <c r="B1138" s="7" t="s">
        <v>2835</v>
      </c>
      <c r="C1138" s="10">
        <v>41883</v>
      </c>
      <c r="D1138" s="10">
        <v>41883</v>
      </c>
      <c r="E1138" s="18">
        <v>0</v>
      </c>
      <c r="F1138" s="13" t="str">
        <f t="shared" si="28"/>
        <v>On-time</v>
      </c>
      <c r="G1138" s="19" t="str">
        <f>_xlfn.XLOOKUP(B1138,tblARV[ASN/DN '#],tblARV[Country],"Not found")</f>
        <v>South Sudan</v>
      </c>
      <c r="H1138" s="19" t="str">
        <f>_xlfn.XLOOKUP($B1138,tblARV[ASN/DN '#],tblARV[Fulfill Via],"Not found")</f>
        <v>From RDC</v>
      </c>
      <c r="I1138" s="19" t="str">
        <f>_xlfn.XLOOKUP($B1138,tblARV[ASN/DN '#],tblARV[Vendor],"Not found")</f>
        <v>SCMS from RDC</v>
      </c>
    </row>
    <row r="1139" spans="2:9" ht="15">
      <c r="B1139" s="7" t="s">
        <v>2108</v>
      </c>
      <c r="C1139" s="10">
        <v>41898</v>
      </c>
      <c r="D1139" s="10">
        <v>41852</v>
      </c>
      <c r="E1139" s="18">
        <v>-46</v>
      </c>
      <c r="F1139" s="13" t="str">
        <f t="shared" si="28"/>
        <v>On-time</v>
      </c>
      <c r="G1139" s="19" t="str">
        <f>_xlfn.XLOOKUP(B1139,tblARV[ASN/DN '#],tblARV[Country],"Not found")</f>
        <v>Rwanda</v>
      </c>
      <c r="H1139" s="19" t="str">
        <f>_xlfn.XLOOKUP($B1139,tblARV[ASN/DN '#],tblARV[Fulfill Via],"Not found")</f>
        <v>From RDC</v>
      </c>
      <c r="I1139" s="19" t="str">
        <f>_xlfn.XLOOKUP($B1139,tblARV[ASN/DN '#],tblARV[Vendor],"Not found")</f>
        <v>SCMS from RDC</v>
      </c>
    </row>
    <row r="1140" spans="2:9" ht="15">
      <c r="B1140" s="7" t="s">
        <v>2110</v>
      </c>
      <c r="C1140" s="10">
        <v>41912</v>
      </c>
      <c r="D1140" s="10">
        <v>41887</v>
      </c>
      <c r="E1140" s="18">
        <v>-25</v>
      </c>
      <c r="F1140" s="13" t="str">
        <f t="shared" si="28"/>
        <v>On-time</v>
      </c>
      <c r="G1140" s="19" t="str">
        <f>_xlfn.XLOOKUP(B1140,tblARV[ASN/DN '#],tblARV[Country],"Not found")</f>
        <v>Burundi</v>
      </c>
      <c r="H1140" s="19" t="str">
        <f>_xlfn.XLOOKUP($B1140,tblARV[ASN/DN '#],tblARV[Fulfill Via],"Not found")</f>
        <v>From RDC</v>
      </c>
      <c r="I1140" s="19" t="str">
        <f>_xlfn.XLOOKUP($B1140,tblARV[ASN/DN '#],tblARV[Vendor],"Not found")</f>
        <v>SCMS from RDC</v>
      </c>
    </row>
    <row r="1141" spans="2:9" ht="15">
      <c r="B1141" s="7" t="s">
        <v>2685</v>
      </c>
      <c r="C1141" s="10">
        <v>41882</v>
      </c>
      <c r="D1141" s="10">
        <v>41845</v>
      </c>
      <c r="E1141" s="18">
        <v>-37</v>
      </c>
      <c r="F1141" s="13" t="str">
        <f t="shared" si="28"/>
        <v>On-time</v>
      </c>
      <c r="G1141" s="19" t="str">
        <f>_xlfn.XLOOKUP(B1141,tblARV[ASN/DN '#],tblARV[Country],"Not found")</f>
        <v>Burundi</v>
      </c>
      <c r="H1141" s="19" t="str">
        <f>_xlfn.XLOOKUP($B1141,tblARV[ASN/DN '#],tblARV[Fulfill Via],"Not found")</f>
        <v>From RDC</v>
      </c>
      <c r="I1141" s="19" t="str">
        <f>_xlfn.XLOOKUP($B1141,tblARV[ASN/DN '#],tblARV[Vendor],"Not found")</f>
        <v>SCMS from RDC</v>
      </c>
    </row>
    <row r="1142" spans="2:9" ht="15">
      <c r="B1142" s="7" t="s">
        <v>2411</v>
      </c>
      <c r="C1142" s="10">
        <v>41850</v>
      </c>
      <c r="D1142" s="10">
        <v>41852</v>
      </c>
      <c r="E1142" s="18">
        <v>2</v>
      </c>
      <c r="F1142" s="13" t="str">
        <f t="shared" si="28"/>
        <v>Late</v>
      </c>
      <c r="G1142" s="19" t="str">
        <f>_xlfn.XLOOKUP(B1142,tblARV[ASN/DN '#],tblARV[Country],"Not found")</f>
        <v>Rwanda</v>
      </c>
      <c r="H1142" s="19" t="str">
        <f>_xlfn.XLOOKUP($B1142,tblARV[ASN/DN '#],tblARV[Fulfill Via],"Not found")</f>
        <v>From RDC</v>
      </c>
      <c r="I1142" s="19" t="str">
        <f>_xlfn.XLOOKUP($B1142,tblARV[ASN/DN '#],tblARV[Vendor],"Not found")</f>
        <v>SCMS from RDC</v>
      </c>
    </row>
    <row r="1143" spans="2:9" ht="15">
      <c r="B1143" s="7" t="s">
        <v>2112</v>
      </c>
      <c r="C1143" s="10">
        <v>41893</v>
      </c>
      <c r="D1143" s="10">
        <v>41860</v>
      </c>
      <c r="E1143" s="18">
        <v>-33</v>
      </c>
      <c r="F1143" s="13" t="str">
        <f t="shared" si="28"/>
        <v>On-time</v>
      </c>
      <c r="G1143" s="19" t="str">
        <f>_xlfn.XLOOKUP(B1143,tblARV[ASN/DN '#],tblARV[Country],"Not found")</f>
        <v>Uganda</v>
      </c>
      <c r="H1143" s="19" t="str">
        <f>_xlfn.XLOOKUP($B1143,tblARV[ASN/DN '#],tblARV[Fulfill Via],"Not found")</f>
        <v>From RDC</v>
      </c>
      <c r="I1143" s="19" t="str">
        <f>_xlfn.XLOOKUP($B1143,tblARV[ASN/DN '#],tblARV[Vendor],"Not found")</f>
        <v>SCMS from RDC</v>
      </c>
    </row>
    <row r="1144" spans="2:9" ht="15">
      <c r="B1144" s="7" t="s">
        <v>2413</v>
      </c>
      <c r="C1144" s="10">
        <v>41880</v>
      </c>
      <c r="D1144" s="10">
        <v>41911</v>
      </c>
      <c r="E1144" s="18">
        <v>62</v>
      </c>
      <c r="F1144" s="13" t="str">
        <f t="shared" si="28"/>
        <v>Late</v>
      </c>
      <c r="G1144" s="19" t="str">
        <f>_xlfn.XLOOKUP(B1144,tblARV[ASN/DN '#],tblARV[Country],"Not found")</f>
        <v>Tanzania</v>
      </c>
      <c r="H1144" s="19" t="str">
        <f>_xlfn.XLOOKUP($B1144,tblARV[ASN/DN '#],tblARV[Fulfill Via],"Not found")</f>
        <v>From RDC</v>
      </c>
      <c r="I1144" s="19" t="str">
        <f>_xlfn.XLOOKUP($B1144,tblARV[ASN/DN '#],tblARV[Vendor],"Not found")</f>
        <v>SCMS from RDC</v>
      </c>
    </row>
    <row r="1145" spans="2:9" ht="15">
      <c r="B1145" s="7" t="s">
        <v>2547</v>
      </c>
      <c r="C1145" s="10">
        <v>41880</v>
      </c>
      <c r="D1145" s="10">
        <v>41911</v>
      </c>
      <c r="E1145" s="18">
        <v>31</v>
      </c>
      <c r="F1145" s="13" t="str">
        <f t="shared" si="28"/>
        <v>Late</v>
      </c>
      <c r="G1145" s="19" t="str">
        <f>_xlfn.XLOOKUP(B1145,tblARV[ASN/DN '#],tblARV[Country],"Not found")</f>
        <v>Tanzania</v>
      </c>
      <c r="H1145" s="19" t="str">
        <f>_xlfn.XLOOKUP($B1145,tblARV[ASN/DN '#],tblARV[Fulfill Via],"Not found")</f>
        <v>From RDC</v>
      </c>
      <c r="I1145" s="19" t="str">
        <f>_xlfn.XLOOKUP($B1145,tblARV[ASN/DN '#],tblARV[Vendor],"Not found")</f>
        <v>SCMS from RDC</v>
      </c>
    </row>
    <row r="1146" spans="2:9" ht="15">
      <c r="B1146" s="7" t="s">
        <v>1687</v>
      </c>
      <c r="C1146" s="10">
        <v>41849</v>
      </c>
      <c r="D1146" s="10">
        <v>41830</v>
      </c>
      <c r="E1146" s="18">
        <v>-19</v>
      </c>
      <c r="F1146" s="13" t="str">
        <f t="shared" si="28"/>
        <v>On-time</v>
      </c>
      <c r="G1146" s="19" t="str">
        <f>_xlfn.XLOOKUP(B1146,tblARV[ASN/DN '#],tblARV[Country],"Not found")</f>
        <v>Ethiopia</v>
      </c>
      <c r="H1146" s="19" t="str">
        <f>_xlfn.XLOOKUP($B1146,tblARV[ASN/DN '#],tblARV[Fulfill Via],"Not found")</f>
        <v>From RDC</v>
      </c>
      <c r="I1146" s="19" t="str">
        <f>_xlfn.XLOOKUP($B1146,tblARV[ASN/DN '#],tblARV[Vendor],"Not found")</f>
        <v>SCMS from RDC</v>
      </c>
    </row>
    <row r="1147" spans="2:9" ht="15">
      <c r="B1147" s="7" t="s">
        <v>2837</v>
      </c>
      <c r="C1147" s="10">
        <v>42034</v>
      </c>
      <c r="D1147" s="10">
        <v>41989</v>
      </c>
      <c r="E1147" s="18">
        <v>-45</v>
      </c>
      <c r="F1147" s="13" t="str">
        <f t="shared" si="28"/>
        <v>On-time</v>
      </c>
      <c r="G1147" s="19" t="str">
        <f>_xlfn.XLOOKUP(B1147,tblARV[ASN/DN '#],tblARV[Country],"Not found")</f>
        <v>South Sudan</v>
      </c>
      <c r="H1147" s="19" t="str">
        <f>_xlfn.XLOOKUP($B1147,tblARV[ASN/DN '#],tblARV[Fulfill Via],"Not found")</f>
        <v>From RDC</v>
      </c>
      <c r="I1147" s="19" t="str">
        <f>_xlfn.XLOOKUP($B1147,tblARV[ASN/DN '#],tblARV[Vendor],"Not found")</f>
        <v>SCMS from RDC</v>
      </c>
    </row>
    <row r="1148" spans="2:9" ht="15">
      <c r="B1148" s="7" t="s">
        <v>2799</v>
      </c>
      <c r="C1148" s="10">
        <v>41971</v>
      </c>
      <c r="D1148" s="10">
        <v>41873</v>
      </c>
      <c r="E1148" s="18">
        <v>-98</v>
      </c>
      <c r="F1148" s="13" t="str">
        <f t="shared" si="28"/>
        <v>On-time</v>
      </c>
      <c r="G1148" s="19" t="str">
        <f>_xlfn.XLOOKUP(B1148,tblARV[ASN/DN '#],tblARV[Country],"Not found")</f>
        <v>Uganda</v>
      </c>
      <c r="H1148" s="19" t="str">
        <f>_xlfn.XLOOKUP($B1148,tblARV[ASN/DN '#],tblARV[Fulfill Via],"Not found")</f>
        <v>From RDC</v>
      </c>
      <c r="I1148" s="19" t="str">
        <f>_xlfn.XLOOKUP($B1148,tblARV[ASN/DN '#],tblARV[Vendor],"Not found")</f>
        <v>SCMS from RDC</v>
      </c>
    </row>
    <row r="1149" spans="2:9" ht="15">
      <c r="B1149" s="7" t="s">
        <v>622</v>
      </c>
      <c r="C1149" s="10">
        <v>39386</v>
      </c>
      <c r="D1149" s="10">
        <v>39386</v>
      </c>
      <c r="E1149" s="18">
        <v>0</v>
      </c>
      <c r="F1149" s="13" t="str">
        <f t="shared" si="28"/>
        <v>On-time</v>
      </c>
      <c r="G1149" s="19" t="str">
        <f>_xlfn.XLOOKUP(B1149,tblARV[ASN/DN '#],tblARV[Country],"Not found")</f>
        <v>Ethiopia</v>
      </c>
      <c r="H1149" s="19" t="str">
        <f>_xlfn.XLOOKUP($B1149,tblARV[ASN/DN '#],tblARV[Fulfill Via],"Not found")</f>
        <v>From RDC</v>
      </c>
      <c r="I1149" s="19" t="str">
        <f>_xlfn.XLOOKUP($B1149,tblARV[ASN/DN '#],tblARV[Vendor],"Not found")</f>
        <v>SCMS from RDC</v>
      </c>
    </row>
    <row r="1150" spans="2:9" ht="15">
      <c r="B1150" s="7" t="s">
        <v>2862</v>
      </c>
      <c r="C1150" s="10">
        <v>41914</v>
      </c>
      <c r="D1150" s="10">
        <v>41929</v>
      </c>
      <c r="E1150" s="18">
        <v>30</v>
      </c>
      <c r="F1150" s="13" t="str">
        <f t="shared" si="28"/>
        <v>Late</v>
      </c>
      <c r="G1150" s="19" t="str">
        <f>_xlfn.XLOOKUP(B1150,tblARV[ASN/DN '#],tblARV[Country],"Not found")</f>
        <v>South Sudan</v>
      </c>
      <c r="H1150" s="19" t="str">
        <f>_xlfn.XLOOKUP($B1150,tblARV[ASN/DN '#],tblARV[Fulfill Via],"Not found")</f>
        <v>From RDC</v>
      </c>
      <c r="I1150" s="19" t="str">
        <f>_xlfn.XLOOKUP($B1150,tblARV[ASN/DN '#],tblARV[Vendor],"Not found")</f>
        <v>SCMS from RDC</v>
      </c>
    </row>
    <row r="1151" spans="2:9" ht="15">
      <c r="B1151" s="7" t="s">
        <v>2104</v>
      </c>
      <c r="C1151" s="10">
        <v>41897</v>
      </c>
      <c r="D1151" s="10">
        <v>41880</v>
      </c>
      <c r="E1151" s="18">
        <v>-17</v>
      </c>
      <c r="F1151" s="13" t="str">
        <f t="shared" si="28"/>
        <v>On-time</v>
      </c>
      <c r="G1151" s="19" t="str">
        <f>_xlfn.XLOOKUP(B1151,tblARV[ASN/DN '#],tblARV[Country],"Not found")</f>
        <v>Ethiopia</v>
      </c>
      <c r="H1151" s="19" t="str">
        <f>_xlfn.XLOOKUP($B1151,tblARV[ASN/DN '#],tblARV[Fulfill Via],"Not found")</f>
        <v>From RDC</v>
      </c>
      <c r="I1151" s="19" t="str">
        <f>_xlfn.XLOOKUP($B1151,tblARV[ASN/DN '#],tblARV[Vendor],"Not found")</f>
        <v>SCMS from RDC</v>
      </c>
    </row>
    <row r="1152" spans="2:9" ht="15">
      <c r="B1152" s="7" t="s">
        <v>2415</v>
      </c>
      <c r="C1152" s="10">
        <v>41897</v>
      </c>
      <c r="D1152" s="10">
        <v>41901</v>
      </c>
      <c r="E1152" s="18">
        <v>4</v>
      </c>
      <c r="F1152" s="13" t="str">
        <f t="shared" si="28"/>
        <v>Late</v>
      </c>
      <c r="G1152" s="19" t="str">
        <f>_xlfn.XLOOKUP(B1152,tblARV[ASN/DN '#],tblARV[Country],"Not found")</f>
        <v>Rwanda</v>
      </c>
      <c r="H1152" s="19" t="str">
        <f>_xlfn.XLOOKUP($B1152,tblARV[ASN/DN '#],tblARV[Fulfill Via],"Not found")</f>
        <v>From RDC</v>
      </c>
      <c r="I1152" s="19" t="str">
        <f>_xlfn.XLOOKUP($B1152,tblARV[ASN/DN '#],tblARV[Vendor],"Not found")</f>
        <v>SCMS from RDC</v>
      </c>
    </row>
    <row r="1153" spans="2:9" ht="15">
      <c r="B1153" s="7" t="s">
        <v>2114</v>
      </c>
      <c r="C1153" s="10">
        <v>41912</v>
      </c>
      <c r="D1153" s="10">
        <v>41899</v>
      </c>
      <c r="E1153" s="18">
        <v>-13</v>
      </c>
      <c r="F1153" s="13" t="str">
        <f t="shared" si="28"/>
        <v>On-time</v>
      </c>
      <c r="G1153" s="19" t="str">
        <f>_xlfn.XLOOKUP(B1153,tblARV[ASN/DN '#],tblARV[Country],"Not found")</f>
        <v>Uganda</v>
      </c>
      <c r="H1153" s="19" t="str">
        <f>_xlfn.XLOOKUP($B1153,tblARV[ASN/DN '#],tblARV[Fulfill Via],"Not found")</f>
        <v>From RDC</v>
      </c>
      <c r="I1153" s="19" t="str">
        <f>_xlfn.XLOOKUP($B1153,tblARV[ASN/DN '#],tblARV[Vendor],"Not found")</f>
        <v>SCMS from RDC</v>
      </c>
    </row>
    <row r="1154" spans="2:9" ht="15">
      <c r="B1154" s="7" t="s">
        <v>2687</v>
      </c>
      <c r="C1154" s="10">
        <v>41954</v>
      </c>
      <c r="D1154" s="10">
        <v>41929</v>
      </c>
      <c r="E1154" s="18">
        <v>-25</v>
      </c>
      <c r="F1154" s="13" t="str">
        <f t="shared" si="28"/>
        <v>On-time</v>
      </c>
      <c r="G1154" s="19" t="str">
        <f>_xlfn.XLOOKUP(B1154,tblARV[ASN/DN '#],tblARV[Country],"Not found")</f>
        <v>Tanzania</v>
      </c>
      <c r="H1154" s="19" t="str">
        <f>_xlfn.XLOOKUP($B1154,tblARV[ASN/DN '#],tblARV[Fulfill Via],"Not found")</f>
        <v>From RDC</v>
      </c>
      <c r="I1154" s="19" t="str">
        <f>_xlfn.XLOOKUP($B1154,tblARV[ASN/DN '#],tblARV[Vendor],"Not found")</f>
        <v>SCMS from RDC</v>
      </c>
    </row>
    <row r="1155" spans="2:9" ht="15">
      <c r="B1155" s="7" t="s">
        <v>2689</v>
      </c>
      <c r="C1155" s="10">
        <v>41946</v>
      </c>
      <c r="D1155" s="10">
        <v>41929</v>
      </c>
      <c r="E1155" s="18">
        <v>-17</v>
      </c>
      <c r="F1155" s="13" t="str">
        <f t="shared" si="28"/>
        <v>On-time</v>
      </c>
      <c r="G1155" s="19" t="str">
        <f>_xlfn.XLOOKUP(B1155,tblARV[ASN/DN '#],tblARV[Country],"Not found")</f>
        <v>Tanzania</v>
      </c>
      <c r="H1155" s="19" t="str">
        <f>_xlfn.XLOOKUP($B1155,tblARV[ASN/DN '#],tblARV[Fulfill Via],"Not found")</f>
        <v>From RDC</v>
      </c>
      <c r="I1155" s="19" t="str">
        <f>_xlfn.XLOOKUP($B1155,tblARV[ASN/DN '#],tblARV[Vendor],"Not found")</f>
        <v>SCMS from RDC</v>
      </c>
    </row>
    <row r="1156" spans="2:9" ht="15">
      <c r="B1156" s="7" t="s">
        <v>2549</v>
      </c>
      <c r="C1156" s="10">
        <v>41946</v>
      </c>
      <c r="D1156" s="10">
        <v>41940</v>
      </c>
      <c r="E1156" s="18">
        <v>-6</v>
      </c>
      <c r="F1156" s="13" t="str">
        <f t="shared" si="28"/>
        <v>On-time</v>
      </c>
      <c r="G1156" s="19" t="str">
        <f>_xlfn.XLOOKUP(B1156,tblARV[ASN/DN '#],tblARV[Country],"Not found")</f>
        <v>Tanzania</v>
      </c>
      <c r="H1156" s="19" t="str">
        <f>_xlfn.XLOOKUP($B1156,tblARV[ASN/DN '#],tblARV[Fulfill Via],"Not found")</f>
        <v>From RDC</v>
      </c>
      <c r="I1156" s="19" t="str">
        <f>_xlfn.XLOOKUP($B1156,tblARV[ASN/DN '#],tblARV[Vendor],"Not found")</f>
        <v>SCMS from RDC</v>
      </c>
    </row>
    <row r="1157" spans="2:9" ht="15">
      <c r="B1157" s="7" t="s">
        <v>2840</v>
      </c>
      <c r="C1157" s="10">
        <v>41912</v>
      </c>
      <c r="D1157" s="10">
        <v>41927</v>
      </c>
      <c r="E1157" s="18">
        <v>15</v>
      </c>
      <c r="F1157" s="13" t="str">
        <f t="shared" si="28"/>
        <v>Late</v>
      </c>
      <c r="G1157" s="19" t="str">
        <f>_xlfn.XLOOKUP(B1157,tblARV[ASN/DN '#],tblARV[Country],"Not found")</f>
        <v>South Sudan</v>
      </c>
      <c r="H1157" s="19" t="str">
        <f>_xlfn.XLOOKUP($B1157,tblARV[ASN/DN '#],tblARV[Fulfill Via],"Not found")</f>
        <v>From RDC</v>
      </c>
      <c r="I1157" s="19" t="str">
        <f>_xlfn.XLOOKUP($B1157,tblARV[ASN/DN '#],tblARV[Vendor],"Not found")</f>
        <v>SCMS from RDC</v>
      </c>
    </row>
    <row r="1158" spans="2:9" ht="15">
      <c r="B1158" s="7" t="s">
        <v>1689</v>
      </c>
      <c r="C1158" s="10">
        <v>41942</v>
      </c>
      <c r="D1158" s="10">
        <v>41929</v>
      </c>
      <c r="E1158" s="18">
        <v>-13</v>
      </c>
      <c r="F1158" s="13" t="str">
        <f t="shared" si="28"/>
        <v>On-time</v>
      </c>
      <c r="G1158" s="19" t="str">
        <f>_xlfn.XLOOKUP(B1158,tblARV[ASN/DN '#],tblARV[Country],"Not found")</f>
        <v>Tanzania</v>
      </c>
      <c r="H1158" s="19" t="str">
        <f>_xlfn.XLOOKUP($B1158,tblARV[ASN/DN '#],tblARV[Fulfill Via],"Not found")</f>
        <v>From RDC</v>
      </c>
      <c r="I1158" s="19" t="str">
        <f>_xlfn.XLOOKUP($B1158,tblARV[ASN/DN '#],tblARV[Vendor],"Not found")</f>
        <v>SCMS from RDC</v>
      </c>
    </row>
    <row r="1159" spans="2:9" ht="15">
      <c r="B1159" s="7" t="s">
        <v>2417</v>
      </c>
      <c r="C1159" s="10">
        <v>41943</v>
      </c>
      <c r="D1159" s="10">
        <v>41907</v>
      </c>
      <c r="E1159" s="18">
        <v>-36</v>
      </c>
      <c r="F1159" s="13" t="str">
        <f t="shared" si="28"/>
        <v>On-time</v>
      </c>
      <c r="G1159" s="19" t="str">
        <f>_xlfn.XLOOKUP(B1159,tblARV[ASN/DN '#],tblARV[Country],"Not found")</f>
        <v>Uganda</v>
      </c>
      <c r="H1159" s="19" t="str">
        <f>_xlfn.XLOOKUP($B1159,tblARV[ASN/DN '#],tblARV[Fulfill Via],"Not found")</f>
        <v>From RDC</v>
      </c>
      <c r="I1159" s="19" t="str">
        <f>_xlfn.XLOOKUP($B1159,tblARV[ASN/DN '#],tblARV[Vendor],"Not found")</f>
        <v>SCMS from RDC</v>
      </c>
    </row>
    <row r="1160" spans="2:9" ht="15">
      <c r="B1160" s="7" t="s">
        <v>1910</v>
      </c>
      <c r="C1160" s="10">
        <v>41943</v>
      </c>
      <c r="D1160" s="10">
        <v>41906</v>
      </c>
      <c r="E1160" s="18">
        <v>-37</v>
      </c>
      <c r="F1160" s="13" t="str">
        <f t="shared" si="28"/>
        <v>On-time</v>
      </c>
      <c r="G1160" s="19" t="str">
        <f>_xlfn.XLOOKUP(B1160,tblARV[ASN/DN '#],tblARV[Country],"Not found")</f>
        <v>Rwanda</v>
      </c>
      <c r="H1160" s="19" t="str">
        <f>_xlfn.XLOOKUP($B1160,tblARV[ASN/DN '#],tblARV[Fulfill Via],"Not found")</f>
        <v>From RDC</v>
      </c>
      <c r="I1160" s="19" t="str">
        <f>_xlfn.XLOOKUP($B1160,tblARV[ASN/DN '#],tblARV[Vendor],"Not found")</f>
        <v>SCMS from RDC</v>
      </c>
    </row>
    <row r="1161" spans="2:9" ht="15">
      <c r="B1161" s="7" t="s">
        <v>1912</v>
      </c>
      <c r="C1161" s="10">
        <v>41943</v>
      </c>
      <c r="D1161" s="10">
        <v>41934</v>
      </c>
      <c r="E1161" s="18">
        <v>-9</v>
      </c>
      <c r="F1161" s="13" t="str">
        <f t="shared" si="28"/>
        <v>On-time</v>
      </c>
      <c r="G1161" s="19" t="str">
        <f>_xlfn.XLOOKUP(B1161,tblARV[ASN/DN '#],tblARV[Country],"Not found")</f>
        <v>Tanzania</v>
      </c>
      <c r="H1161" s="19" t="str">
        <f>_xlfn.XLOOKUP($B1161,tblARV[ASN/DN '#],tblARV[Fulfill Via],"Not found")</f>
        <v>From RDC</v>
      </c>
      <c r="I1161" s="19" t="str">
        <f>_xlfn.XLOOKUP($B1161,tblARV[ASN/DN '#],tblARV[Vendor],"Not found")</f>
        <v>SCMS from RDC</v>
      </c>
    </row>
    <row r="1162" spans="2:9" ht="15">
      <c r="B1162" s="7" t="s">
        <v>2551</v>
      </c>
      <c r="C1162" s="10">
        <v>41946</v>
      </c>
      <c r="D1162" s="10">
        <v>41929</v>
      </c>
      <c r="E1162" s="18">
        <v>-17</v>
      </c>
      <c r="F1162" s="13" t="str">
        <f t="shared" si="28"/>
        <v>On-time</v>
      </c>
      <c r="G1162" s="19" t="str">
        <f>_xlfn.XLOOKUP(B1162,tblARV[ASN/DN '#],tblARV[Country],"Not found")</f>
        <v>Tanzania</v>
      </c>
      <c r="H1162" s="19" t="str">
        <f>_xlfn.XLOOKUP($B1162,tblARV[ASN/DN '#],tblARV[Fulfill Via],"Not found")</f>
        <v>From RDC</v>
      </c>
      <c r="I1162" s="19" t="str">
        <f>_xlfn.XLOOKUP($B1162,tblARV[ASN/DN '#],tblARV[Vendor],"Not found")</f>
        <v>SCMS from RDC</v>
      </c>
    </row>
    <row r="1163" spans="2:9" ht="15">
      <c r="B1163" s="7" t="s">
        <v>2553</v>
      </c>
      <c r="C1163" s="10">
        <v>41912</v>
      </c>
      <c r="D1163" s="10">
        <v>41913</v>
      </c>
      <c r="E1163" s="18">
        <v>2</v>
      </c>
      <c r="F1163" s="13" t="str">
        <f t="shared" si="28"/>
        <v>Late</v>
      </c>
      <c r="G1163" s="19" t="str">
        <f>_xlfn.XLOOKUP(B1163,tblARV[ASN/DN '#],tblARV[Country],"Not found")</f>
        <v>Uganda</v>
      </c>
      <c r="H1163" s="19" t="str">
        <f>_xlfn.XLOOKUP($B1163,tblARV[ASN/DN '#],tblARV[Fulfill Via],"Not found")</f>
        <v>From RDC</v>
      </c>
      <c r="I1163" s="19" t="str">
        <f>_xlfn.XLOOKUP($B1163,tblARV[ASN/DN '#],tblARV[Vendor],"Not found")</f>
        <v>SCMS from RDC</v>
      </c>
    </row>
    <row r="1164" spans="2:9" ht="15">
      <c r="B1164" s="7" t="s">
        <v>2283</v>
      </c>
      <c r="C1164" s="10">
        <v>41927</v>
      </c>
      <c r="D1164" s="10">
        <v>41926</v>
      </c>
      <c r="E1164" s="18">
        <v>-1</v>
      </c>
      <c r="F1164" s="13" t="str">
        <f t="shared" si="28"/>
        <v>On-time</v>
      </c>
      <c r="G1164" s="19" t="str">
        <f>_xlfn.XLOOKUP(B1164,tblARV[ASN/DN '#],tblARV[Country],"Not found")</f>
        <v>Rwanda</v>
      </c>
      <c r="H1164" s="19" t="str">
        <f>_xlfn.XLOOKUP($B1164,tblARV[ASN/DN '#],tblARV[Fulfill Via],"Not found")</f>
        <v>From RDC</v>
      </c>
      <c r="I1164" s="19" t="str">
        <f>_xlfn.XLOOKUP($B1164,tblARV[ASN/DN '#],tblARV[Vendor],"Not found")</f>
        <v>SCMS from RDC</v>
      </c>
    </row>
    <row r="1165" spans="2:9" ht="15">
      <c r="B1165" s="7" t="s">
        <v>1691</v>
      </c>
      <c r="C1165" s="10">
        <v>41943</v>
      </c>
      <c r="D1165" s="10">
        <v>41927</v>
      </c>
      <c r="E1165" s="18">
        <v>-32</v>
      </c>
      <c r="F1165" s="13" t="str">
        <f t="shared" si="28"/>
        <v>On-time</v>
      </c>
      <c r="G1165" s="19" t="str">
        <f>_xlfn.XLOOKUP(B1165,tblARV[ASN/DN '#],tblARV[Country],"Not found")</f>
        <v>Burundi</v>
      </c>
      <c r="H1165" s="19" t="str">
        <f>_xlfn.XLOOKUP($B1165,tblARV[ASN/DN '#],tblARV[Fulfill Via],"Not found")</f>
        <v>From RDC</v>
      </c>
      <c r="I1165" s="19" t="str">
        <f>_xlfn.XLOOKUP($B1165,tblARV[ASN/DN '#],tblARV[Vendor],"Not found")</f>
        <v>SCMS from RDC</v>
      </c>
    </row>
    <row r="1166" spans="2:9" ht="15">
      <c r="B1166" s="7" t="s">
        <v>2555</v>
      </c>
      <c r="C1166" s="10">
        <v>41971</v>
      </c>
      <c r="D1166" s="10">
        <v>41962</v>
      </c>
      <c r="E1166" s="18">
        <v>-9</v>
      </c>
      <c r="F1166" s="13" t="str">
        <f t="shared" si="28"/>
        <v>On-time</v>
      </c>
      <c r="G1166" s="19" t="str">
        <f>_xlfn.XLOOKUP(B1166,tblARV[ASN/DN '#],tblARV[Country],"Not found")</f>
        <v>Tanzania</v>
      </c>
      <c r="H1166" s="19" t="str">
        <f>_xlfn.XLOOKUP($B1166,tblARV[ASN/DN '#],tblARV[Fulfill Via],"Not found")</f>
        <v>From RDC</v>
      </c>
      <c r="I1166" s="19" t="str">
        <f>_xlfn.XLOOKUP($B1166,tblARV[ASN/DN '#],tblARV[Vendor],"Not found")</f>
        <v>SCMS from RDC</v>
      </c>
    </row>
    <row r="1167" spans="2:9" ht="15">
      <c r="B1167" s="7" t="s">
        <v>2116</v>
      </c>
      <c r="C1167" s="10">
        <v>41971</v>
      </c>
      <c r="D1167" s="10">
        <v>41963</v>
      </c>
      <c r="E1167" s="18">
        <v>-8</v>
      </c>
      <c r="F1167" s="13" t="str">
        <f t="shared" si="28"/>
        <v>On-time</v>
      </c>
      <c r="G1167" s="19" t="str">
        <f>_xlfn.XLOOKUP(B1167,tblARV[ASN/DN '#],tblARV[Country],"Not found")</f>
        <v>Tanzania</v>
      </c>
      <c r="H1167" s="19" t="str">
        <f>_xlfn.XLOOKUP($B1167,tblARV[ASN/DN '#],tblARV[Fulfill Via],"Not found")</f>
        <v>From RDC</v>
      </c>
      <c r="I1167" s="19" t="str">
        <f>_xlfn.XLOOKUP($B1167,tblARV[ASN/DN '#],tblARV[Vendor],"Not found")</f>
        <v>SCMS from RDC</v>
      </c>
    </row>
    <row r="1168" spans="2:9" ht="15">
      <c r="B1168" s="7" t="s">
        <v>2118</v>
      </c>
      <c r="C1168" s="10">
        <v>42034</v>
      </c>
      <c r="D1168" s="10">
        <v>41990</v>
      </c>
      <c r="E1168" s="18">
        <v>-44</v>
      </c>
      <c r="F1168" s="13" t="str">
        <f t="shared" si="28"/>
        <v>On-time</v>
      </c>
      <c r="G1168" s="19" t="str">
        <f>_xlfn.XLOOKUP(B1168,tblARV[ASN/DN '#],tblARV[Country],"Not found")</f>
        <v>Tanzania</v>
      </c>
      <c r="H1168" s="19" t="str">
        <f>_xlfn.XLOOKUP($B1168,tblARV[ASN/DN '#],tblARV[Fulfill Via],"Not found")</f>
        <v>From RDC</v>
      </c>
      <c r="I1168" s="19" t="str">
        <f>_xlfn.XLOOKUP($B1168,tblARV[ASN/DN '#],tblARV[Vendor],"Not found")</f>
        <v>SCMS from RDC</v>
      </c>
    </row>
    <row r="1169" spans="2:9" ht="15">
      <c r="B1169" s="7" t="s">
        <v>2285</v>
      </c>
      <c r="C1169" s="10">
        <v>41913</v>
      </c>
      <c r="D1169" s="10">
        <v>41955</v>
      </c>
      <c r="E1169" s="18">
        <v>42</v>
      </c>
      <c r="F1169" s="13" t="str">
        <f t="shared" si="28"/>
        <v>Late</v>
      </c>
      <c r="G1169" s="19" t="str">
        <f>_xlfn.XLOOKUP(B1169,tblARV[ASN/DN '#],tblARV[Country],"Not found")</f>
        <v>Rwanda</v>
      </c>
      <c r="H1169" s="19" t="str">
        <f>_xlfn.XLOOKUP($B1169,tblARV[ASN/DN '#],tblARV[Fulfill Via],"Not found")</f>
        <v>From RDC</v>
      </c>
      <c r="I1169" s="19" t="str">
        <f>_xlfn.XLOOKUP($B1169,tblARV[ASN/DN '#],tblARV[Vendor],"Not found")</f>
        <v>SCMS from RDC</v>
      </c>
    </row>
    <row r="1170" spans="2:9" ht="15">
      <c r="B1170" s="7" t="s">
        <v>2287</v>
      </c>
      <c r="C1170" s="10">
        <v>41963</v>
      </c>
      <c r="D1170" s="10">
        <v>41963</v>
      </c>
      <c r="E1170" s="18">
        <v>0</v>
      </c>
      <c r="F1170" s="13" t="str">
        <f t="shared" si="28"/>
        <v>On-time</v>
      </c>
      <c r="G1170" s="19" t="str">
        <f>_xlfn.XLOOKUP(B1170,tblARV[ASN/DN '#],tblARV[Country],"Not found")</f>
        <v>Burundi</v>
      </c>
      <c r="H1170" s="19" t="str">
        <f>_xlfn.XLOOKUP($B1170,tblARV[ASN/DN '#],tblARV[Fulfill Via],"Not found")</f>
        <v>From RDC</v>
      </c>
      <c r="I1170" s="19" t="str">
        <f>_xlfn.XLOOKUP($B1170,tblARV[ASN/DN '#],tblARV[Vendor],"Not found")</f>
        <v>SCMS from RDC</v>
      </c>
    </row>
    <row r="1171" spans="2:9" ht="15">
      <c r="B1171" s="7" t="s">
        <v>2419</v>
      </c>
      <c r="C1171" s="10">
        <v>42034</v>
      </c>
      <c r="D1171" s="10">
        <v>42027</v>
      </c>
      <c r="E1171" s="18">
        <v>-7</v>
      </c>
      <c r="F1171" s="13" t="str">
        <f t="shared" si="28"/>
        <v>On-time</v>
      </c>
      <c r="G1171" s="19" t="str">
        <f>_xlfn.XLOOKUP(B1171,tblARV[ASN/DN '#],tblARV[Country],"Not found")</f>
        <v>Tanzania</v>
      </c>
      <c r="H1171" s="19" t="str">
        <f>_xlfn.XLOOKUP($B1171,tblARV[ASN/DN '#],tblARV[Fulfill Via],"Not found")</f>
        <v>From RDC</v>
      </c>
      <c r="I1171" s="19" t="str">
        <f>_xlfn.XLOOKUP($B1171,tblARV[ASN/DN '#],tblARV[Vendor],"Not found")</f>
        <v>SCMS from RDC</v>
      </c>
    </row>
    <row r="1172" spans="2:9" ht="15">
      <c r="B1172" s="7" t="s">
        <v>2557</v>
      </c>
      <c r="C1172" s="10">
        <v>41943</v>
      </c>
      <c r="D1172" s="10">
        <v>41968</v>
      </c>
      <c r="E1172" s="18">
        <v>25</v>
      </c>
      <c r="F1172" s="13" t="str">
        <f t="shared" si="28"/>
        <v>Late</v>
      </c>
      <c r="G1172" s="19" t="str">
        <f>_xlfn.XLOOKUP(B1172,tblARV[ASN/DN '#],tblARV[Country],"Not found")</f>
        <v>Uganda</v>
      </c>
      <c r="H1172" s="19" t="str">
        <f>_xlfn.XLOOKUP($B1172,tblARV[ASN/DN '#],tblARV[Fulfill Via],"Not found")</f>
        <v>From RDC</v>
      </c>
      <c r="I1172" s="19" t="str">
        <f>_xlfn.XLOOKUP($B1172,tblARV[ASN/DN '#],tblARV[Vendor],"Not found")</f>
        <v>SCMS from RDC</v>
      </c>
    </row>
    <row r="1173" spans="2:9" ht="15">
      <c r="B1173" s="7" t="s">
        <v>1693</v>
      </c>
      <c r="C1173" s="10">
        <v>41971</v>
      </c>
      <c r="D1173" s="10">
        <v>41976</v>
      </c>
      <c r="E1173" s="18">
        <v>10</v>
      </c>
      <c r="F1173" s="13" t="str">
        <f t="shared" ref="F1173:F1236" si="29">IF($E1173&lt;=0,"On-time","Late")</f>
        <v>Late</v>
      </c>
      <c r="G1173" s="19" t="str">
        <f>_xlfn.XLOOKUP(B1173,tblARV[ASN/DN '#],tblARV[Country],"Not found")</f>
        <v>Uganda</v>
      </c>
      <c r="H1173" s="19" t="str">
        <f>_xlfn.XLOOKUP($B1173,tblARV[ASN/DN '#],tblARV[Fulfill Via],"Not found")</f>
        <v>From RDC</v>
      </c>
      <c r="I1173" s="19" t="str">
        <f>_xlfn.XLOOKUP($B1173,tblARV[ASN/DN '#],tblARV[Vendor],"Not found")</f>
        <v>SCMS from RDC</v>
      </c>
    </row>
    <row r="1174" spans="2:9" ht="15">
      <c r="B1174" s="7" t="s">
        <v>1695</v>
      </c>
      <c r="C1174" s="10">
        <v>42034</v>
      </c>
      <c r="D1174" s="10">
        <v>42018</v>
      </c>
      <c r="E1174" s="18">
        <v>-16</v>
      </c>
      <c r="F1174" s="13" t="str">
        <f t="shared" si="29"/>
        <v>On-time</v>
      </c>
      <c r="G1174" s="19" t="str">
        <f>_xlfn.XLOOKUP(B1174,tblARV[ASN/DN '#],tblARV[Country],"Not found")</f>
        <v>Rwanda</v>
      </c>
      <c r="H1174" s="19" t="str">
        <f>_xlfn.XLOOKUP($B1174,tblARV[ASN/DN '#],tblARV[Fulfill Via],"Not found")</f>
        <v>From RDC</v>
      </c>
      <c r="I1174" s="19" t="str">
        <f>_xlfn.XLOOKUP($B1174,tblARV[ASN/DN '#],tblARV[Vendor],"Not found")</f>
        <v>SCMS from RDC</v>
      </c>
    </row>
    <row r="1175" spans="2:9" ht="15">
      <c r="B1175" s="7" t="s">
        <v>2289</v>
      </c>
      <c r="C1175" s="10">
        <v>42018</v>
      </c>
      <c r="D1175" s="10">
        <v>41956</v>
      </c>
      <c r="E1175" s="18">
        <v>-124</v>
      </c>
      <c r="F1175" s="13" t="str">
        <f t="shared" si="29"/>
        <v>On-time</v>
      </c>
      <c r="G1175" s="19" t="str">
        <f>_xlfn.XLOOKUP(B1175,tblARV[ASN/DN '#],tblARV[Country],"Not found")</f>
        <v>Rwanda</v>
      </c>
      <c r="H1175" s="19" t="str">
        <f>_xlfn.XLOOKUP($B1175,tblARV[ASN/DN '#],tblARV[Fulfill Via],"Not found")</f>
        <v>From RDC</v>
      </c>
      <c r="I1175" s="19" t="str">
        <f>_xlfn.XLOOKUP($B1175,tblARV[ASN/DN '#],tblARV[Vendor],"Not found")</f>
        <v>SCMS from RDC</v>
      </c>
    </row>
    <row r="1176" spans="2:9" ht="15">
      <c r="B1176" s="7" t="s">
        <v>1697</v>
      </c>
      <c r="C1176" s="10">
        <v>42051</v>
      </c>
      <c r="D1176" s="10">
        <v>42018</v>
      </c>
      <c r="E1176" s="18">
        <v>-132</v>
      </c>
      <c r="F1176" s="13" t="str">
        <f t="shared" si="29"/>
        <v>On-time</v>
      </c>
      <c r="G1176" s="19" t="str">
        <f>_xlfn.XLOOKUP(B1176,tblARV[ASN/DN '#],tblARV[Country],"Not found")</f>
        <v>Rwanda</v>
      </c>
      <c r="H1176" s="19" t="str">
        <f>_xlfn.XLOOKUP($B1176,tblARV[ASN/DN '#],tblARV[Fulfill Via],"Not found")</f>
        <v>From RDC</v>
      </c>
      <c r="I1176" s="19" t="str">
        <f>_xlfn.XLOOKUP($B1176,tblARV[ASN/DN '#],tblARV[Vendor],"Not found")</f>
        <v>SCMS from RDC</v>
      </c>
    </row>
    <row r="1177" spans="2:9" ht="15">
      <c r="B1177" s="7" t="s">
        <v>2291</v>
      </c>
      <c r="C1177" s="10">
        <v>42019</v>
      </c>
      <c r="D1177" s="10">
        <v>41990</v>
      </c>
      <c r="E1177" s="18">
        <v>-58</v>
      </c>
      <c r="F1177" s="13" t="str">
        <f t="shared" si="29"/>
        <v>On-time</v>
      </c>
      <c r="G1177" s="19" t="str">
        <f>_xlfn.XLOOKUP(B1177,tblARV[ASN/DN '#],tblARV[Country],"Not found")</f>
        <v>Uganda</v>
      </c>
      <c r="H1177" s="19" t="str">
        <f>_xlfn.XLOOKUP($B1177,tblARV[ASN/DN '#],tblARV[Fulfill Via],"Not found")</f>
        <v>From RDC</v>
      </c>
      <c r="I1177" s="19" t="str">
        <f>_xlfn.XLOOKUP($B1177,tblARV[ASN/DN '#],tblARV[Vendor],"Not found")</f>
        <v>SCMS from RDC</v>
      </c>
    </row>
    <row r="1178" spans="2:9" ht="15">
      <c r="B1178" s="7" t="s">
        <v>2421</v>
      </c>
      <c r="C1178" s="10">
        <v>42034</v>
      </c>
      <c r="D1178" s="10">
        <v>42009</v>
      </c>
      <c r="E1178" s="18">
        <v>-25</v>
      </c>
      <c r="F1178" s="13" t="str">
        <f t="shared" si="29"/>
        <v>On-time</v>
      </c>
      <c r="G1178" s="19" t="str">
        <f>_xlfn.XLOOKUP(B1178,tblARV[ASN/DN '#],tblARV[Country],"Not found")</f>
        <v>Uganda</v>
      </c>
      <c r="H1178" s="19" t="str">
        <f>_xlfn.XLOOKUP($B1178,tblARV[ASN/DN '#],tblARV[Fulfill Via],"Not found")</f>
        <v>From RDC</v>
      </c>
      <c r="I1178" s="19" t="str">
        <f>_xlfn.XLOOKUP($B1178,tblARV[ASN/DN '#],tblARV[Vendor],"Not found")</f>
        <v>SCMS from RDC</v>
      </c>
    </row>
    <row r="1179" spans="2:9" ht="15">
      <c r="B1179" s="7" t="s">
        <v>1699</v>
      </c>
      <c r="C1179" s="10">
        <v>42018</v>
      </c>
      <c r="D1179" s="10">
        <v>41997</v>
      </c>
      <c r="E1179" s="18">
        <v>-42</v>
      </c>
      <c r="F1179" s="13" t="str">
        <f t="shared" si="29"/>
        <v>On-time</v>
      </c>
      <c r="G1179" s="19" t="str">
        <f>_xlfn.XLOOKUP(B1179,tblARV[ASN/DN '#],tblARV[Country],"Not found")</f>
        <v>Rwanda</v>
      </c>
      <c r="H1179" s="19" t="str">
        <f>_xlfn.XLOOKUP($B1179,tblARV[ASN/DN '#],tblARV[Fulfill Via],"Not found")</f>
        <v>From RDC</v>
      </c>
      <c r="I1179" s="19" t="str">
        <f>_xlfn.XLOOKUP($B1179,tblARV[ASN/DN '#],tblARV[Vendor],"Not found")</f>
        <v>SCMS from RDC</v>
      </c>
    </row>
    <row r="1180" spans="2:9" ht="15">
      <c r="B1180" s="7" t="s">
        <v>1914</v>
      </c>
      <c r="C1180" s="10">
        <v>42051</v>
      </c>
      <c r="D1180" s="10">
        <v>42028</v>
      </c>
      <c r="E1180" s="18">
        <v>-115</v>
      </c>
      <c r="F1180" s="13" t="str">
        <f t="shared" si="29"/>
        <v>On-time</v>
      </c>
      <c r="G1180" s="19" t="str">
        <f>_xlfn.XLOOKUP(B1180,tblARV[ASN/DN '#],tblARV[Country],"Not found")</f>
        <v>Uganda</v>
      </c>
      <c r="H1180" s="19" t="str">
        <f>_xlfn.XLOOKUP($B1180,tblARV[ASN/DN '#],tblARV[Fulfill Via],"Not found")</f>
        <v>From RDC</v>
      </c>
      <c r="I1180" s="19" t="str">
        <f>_xlfn.XLOOKUP($B1180,tblARV[ASN/DN '#],tblARV[Vendor],"Not found")</f>
        <v>SCMS from RDC</v>
      </c>
    </row>
    <row r="1181" spans="2:9" ht="15">
      <c r="B1181" s="7" t="s">
        <v>2293</v>
      </c>
      <c r="C1181" s="10">
        <v>42031</v>
      </c>
      <c r="D1181" s="10">
        <v>42013</v>
      </c>
      <c r="E1181" s="18">
        <v>-18</v>
      </c>
      <c r="F1181" s="13" t="str">
        <f t="shared" si="29"/>
        <v>On-time</v>
      </c>
      <c r="G1181" s="19" t="str">
        <f>_xlfn.XLOOKUP(B1181,tblARV[ASN/DN '#],tblARV[Country],"Not found")</f>
        <v>Rwanda</v>
      </c>
      <c r="H1181" s="19" t="str">
        <f>_xlfn.XLOOKUP($B1181,tblARV[ASN/DN '#],tblARV[Fulfill Via],"Not found")</f>
        <v>From RDC</v>
      </c>
      <c r="I1181" s="19" t="str">
        <f>_xlfn.XLOOKUP($B1181,tblARV[ASN/DN '#],tblARV[Vendor],"Not found")</f>
        <v>SCMS from RDC</v>
      </c>
    </row>
    <row r="1182" spans="2:9" ht="15">
      <c r="B1182" s="7" t="s">
        <v>1916</v>
      </c>
      <c r="C1182" s="10">
        <v>42018</v>
      </c>
      <c r="D1182" s="10">
        <v>41997</v>
      </c>
      <c r="E1182" s="18">
        <v>-21</v>
      </c>
      <c r="F1182" s="13" t="str">
        <f t="shared" si="29"/>
        <v>On-time</v>
      </c>
      <c r="G1182" s="19" t="str">
        <f>_xlfn.XLOOKUP(B1182,tblARV[ASN/DN '#],tblARV[Country],"Not found")</f>
        <v>Rwanda</v>
      </c>
      <c r="H1182" s="19" t="str">
        <f>_xlfn.XLOOKUP($B1182,tblARV[ASN/DN '#],tblARV[Fulfill Via],"Not found")</f>
        <v>From RDC</v>
      </c>
      <c r="I1182" s="19" t="str">
        <f>_xlfn.XLOOKUP($B1182,tblARV[ASN/DN '#],tblARV[Vendor],"Not found")</f>
        <v>SCMS from RDC</v>
      </c>
    </row>
    <row r="1183" spans="2:9" ht="15">
      <c r="B1183" s="7" t="s">
        <v>2295</v>
      </c>
      <c r="C1183" s="10">
        <v>42035</v>
      </c>
      <c r="D1183" s="10">
        <v>41997</v>
      </c>
      <c r="E1183" s="18">
        <v>-38</v>
      </c>
      <c r="F1183" s="13" t="str">
        <f t="shared" si="29"/>
        <v>On-time</v>
      </c>
      <c r="G1183" s="19" t="str">
        <f>_xlfn.XLOOKUP(B1183,tblARV[ASN/DN '#],tblARV[Country],"Not found")</f>
        <v>Rwanda</v>
      </c>
      <c r="H1183" s="19" t="str">
        <f>_xlfn.XLOOKUP($B1183,tblARV[ASN/DN '#],tblARV[Fulfill Via],"Not found")</f>
        <v>From RDC</v>
      </c>
      <c r="I1183" s="19" t="str">
        <f>_xlfn.XLOOKUP($B1183,tblARV[ASN/DN '#],tblARV[Vendor],"Not found")</f>
        <v>SCMS from RDC</v>
      </c>
    </row>
    <row r="1184" spans="2:9" ht="15">
      <c r="B1184" s="7" t="s">
        <v>1701</v>
      </c>
      <c r="C1184" s="10">
        <v>42035</v>
      </c>
      <c r="D1184" s="10">
        <v>41997</v>
      </c>
      <c r="E1184" s="18">
        <v>-38</v>
      </c>
      <c r="F1184" s="13" t="str">
        <f t="shared" si="29"/>
        <v>On-time</v>
      </c>
      <c r="G1184" s="19" t="str">
        <f>_xlfn.XLOOKUP(B1184,tblARV[ASN/DN '#],tblARV[Country],"Not found")</f>
        <v>Rwanda</v>
      </c>
      <c r="H1184" s="19" t="str">
        <f>_xlfn.XLOOKUP($B1184,tblARV[ASN/DN '#],tblARV[Fulfill Via],"Not found")</f>
        <v>From RDC</v>
      </c>
      <c r="I1184" s="19" t="str">
        <f>_xlfn.XLOOKUP($B1184,tblARV[ASN/DN '#],tblARV[Vendor],"Not found")</f>
        <v>SCMS from RDC</v>
      </c>
    </row>
    <row r="1185" spans="2:9" ht="15">
      <c r="B1185" s="7" t="s">
        <v>2691</v>
      </c>
      <c r="C1185" s="10">
        <v>42034</v>
      </c>
      <c r="D1185" s="10">
        <v>42020</v>
      </c>
      <c r="E1185" s="18">
        <v>-14</v>
      </c>
      <c r="F1185" s="13" t="str">
        <f t="shared" si="29"/>
        <v>On-time</v>
      </c>
      <c r="G1185" s="19" t="str">
        <f>_xlfn.XLOOKUP(B1185,tblARV[ASN/DN '#],tblARV[Country],"Not found")</f>
        <v>Uganda</v>
      </c>
      <c r="H1185" s="19" t="str">
        <f>_xlfn.XLOOKUP($B1185,tblARV[ASN/DN '#],tblARV[Fulfill Via],"Not found")</f>
        <v>From RDC</v>
      </c>
      <c r="I1185" s="19" t="str">
        <f>_xlfn.XLOOKUP($B1185,tblARV[ASN/DN '#],tblARV[Vendor],"Not found")</f>
        <v>SCMS from RDC</v>
      </c>
    </row>
    <row r="1186" spans="2:9" ht="15">
      <c r="B1186" s="7" t="s">
        <v>2120</v>
      </c>
      <c r="C1186" s="10">
        <v>42170</v>
      </c>
      <c r="D1186" s="10">
        <v>42020</v>
      </c>
      <c r="E1186" s="18">
        <v>-300</v>
      </c>
      <c r="F1186" s="13" t="str">
        <f t="shared" si="29"/>
        <v>On-time</v>
      </c>
      <c r="G1186" s="19" t="str">
        <f>_xlfn.XLOOKUP(B1186,tblARV[ASN/DN '#],tblARV[Country],"Not found")</f>
        <v>Uganda</v>
      </c>
      <c r="H1186" s="19" t="str">
        <f>_xlfn.XLOOKUP($B1186,tblARV[ASN/DN '#],tblARV[Fulfill Via],"Not found")</f>
        <v>From RDC</v>
      </c>
      <c r="I1186" s="19" t="str">
        <f>_xlfn.XLOOKUP($B1186,tblARV[ASN/DN '#],tblARV[Vendor],"Not found")</f>
        <v>SCMS from RDC</v>
      </c>
    </row>
    <row r="1187" spans="2:9" ht="15">
      <c r="B1187" s="7" t="s">
        <v>2122</v>
      </c>
      <c r="C1187" s="10">
        <v>42051</v>
      </c>
      <c r="D1187" s="10">
        <v>42028</v>
      </c>
      <c r="E1187" s="18">
        <v>-23</v>
      </c>
      <c r="F1187" s="13" t="str">
        <f t="shared" si="29"/>
        <v>On-time</v>
      </c>
      <c r="G1187" s="19" t="str">
        <f>_xlfn.XLOOKUP(B1187,tblARV[ASN/DN '#],tblARV[Country],"Not found")</f>
        <v>Uganda</v>
      </c>
      <c r="H1187" s="19" t="str">
        <f>_xlfn.XLOOKUP($B1187,tblARV[ASN/DN '#],tblARV[Fulfill Via],"Not found")</f>
        <v>From RDC</v>
      </c>
      <c r="I1187" s="19" t="str">
        <f>_xlfn.XLOOKUP($B1187,tblARV[ASN/DN '#],tblARV[Vendor],"Not found")</f>
        <v>SCMS from RDC</v>
      </c>
    </row>
    <row r="1188" spans="2:9" ht="15">
      <c r="B1188" s="7" t="s">
        <v>2124</v>
      </c>
      <c r="C1188" s="10">
        <v>42037</v>
      </c>
      <c r="D1188" s="10">
        <v>42028</v>
      </c>
      <c r="E1188" s="18">
        <v>-9</v>
      </c>
      <c r="F1188" s="13" t="str">
        <f t="shared" si="29"/>
        <v>On-time</v>
      </c>
      <c r="G1188" s="19" t="str">
        <f>_xlfn.XLOOKUP(B1188,tblARV[ASN/DN '#],tblARV[Country],"Not found")</f>
        <v>Uganda</v>
      </c>
      <c r="H1188" s="19" t="str">
        <f>_xlfn.XLOOKUP($B1188,tblARV[ASN/DN '#],tblARV[Fulfill Via],"Not found")</f>
        <v>From RDC</v>
      </c>
      <c r="I1188" s="19" t="str">
        <f>_xlfn.XLOOKUP($B1188,tblARV[ASN/DN '#],tblARV[Vendor],"Not found")</f>
        <v>SCMS from RDC</v>
      </c>
    </row>
    <row r="1189" spans="2:9" ht="15">
      <c r="B1189" s="7" t="s">
        <v>1703</v>
      </c>
      <c r="C1189" s="10">
        <v>42034</v>
      </c>
      <c r="D1189" s="10">
        <v>42044</v>
      </c>
      <c r="E1189" s="18">
        <v>20</v>
      </c>
      <c r="F1189" s="13" t="str">
        <f t="shared" si="29"/>
        <v>Late</v>
      </c>
      <c r="G1189" s="19" t="str">
        <f>_xlfn.XLOOKUP(B1189,tblARV[ASN/DN '#],tblARV[Country],"Not found")</f>
        <v>Rwanda</v>
      </c>
      <c r="H1189" s="19" t="str">
        <f>_xlfn.XLOOKUP($B1189,tblARV[ASN/DN '#],tblARV[Fulfill Via],"Not found")</f>
        <v>From RDC</v>
      </c>
      <c r="I1189" s="19" t="str">
        <f>_xlfn.XLOOKUP($B1189,tblARV[ASN/DN '#],tblARV[Vendor],"Not found")</f>
        <v>SCMS from RDC</v>
      </c>
    </row>
    <row r="1190" spans="2:9" ht="15">
      <c r="B1190" s="7" t="s">
        <v>1919</v>
      </c>
      <c r="C1190" s="10">
        <v>42062</v>
      </c>
      <c r="D1190" s="10">
        <v>42063</v>
      </c>
      <c r="E1190" s="18">
        <v>1</v>
      </c>
      <c r="F1190" s="13" t="str">
        <f t="shared" si="29"/>
        <v>Late</v>
      </c>
      <c r="G1190" s="19" t="str">
        <f>_xlfn.XLOOKUP(B1190,tblARV[ASN/DN '#],tblARV[Country],"Not found")</f>
        <v>Rwanda</v>
      </c>
      <c r="H1190" s="19" t="str">
        <f>_xlfn.XLOOKUP($B1190,tblARV[ASN/DN '#],tblARV[Fulfill Via],"Not found")</f>
        <v>From RDC</v>
      </c>
      <c r="I1190" s="19" t="str">
        <f>_xlfn.XLOOKUP($B1190,tblARV[ASN/DN '#],tblARV[Vendor],"Not found")</f>
        <v>SCMS from RDC</v>
      </c>
    </row>
    <row r="1191" spans="2:9" ht="15">
      <c r="B1191" s="7" t="s">
        <v>2126</v>
      </c>
      <c r="C1191" s="10">
        <v>42060</v>
      </c>
      <c r="D1191" s="10">
        <v>42031</v>
      </c>
      <c r="E1191" s="18">
        <v>-29</v>
      </c>
      <c r="F1191" s="13" t="str">
        <f t="shared" si="29"/>
        <v>On-time</v>
      </c>
      <c r="G1191" s="19" t="str">
        <f>_xlfn.XLOOKUP(B1191,tblARV[ASN/DN '#],tblARV[Country],"Not found")</f>
        <v>Tanzania</v>
      </c>
      <c r="H1191" s="19" t="str">
        <f>_xlfn.XLOOKUP($B1191,tblARV[ASN/DN '#],tblARV[Fulfill Via],"Not found")</f>
        <v>From RDC</v>
      </c>
      <c r="I1191" s="19" t="str">
        <f>_xlfn.XLOOKUP($B1191,tblARV[ASN/DN '#],tblARV[Vendor],"Not found")</f>
        <v>SCMS from RDC</v>
      </c>
    </row>
    <row r="1192" spans="2:9" ht="15">
      <c r="B1192" s="7" t="s">
        <v>2427</v>
      </c>
      <c r="C1192" s="10">
        <v>42038</v>
      </c>
      <c r="D1192" s="10">
        <v>42045</v>
      </c>
      <c r="E1192" s="18">
        <v>7</v>
      </c>
      <c r="F1192" s="13" t="str">
        <f t="shared" si="29"/>
        <v>Late</v>
      </c>
      <c r="G1192" s="19" t="str">
        <f>_xlfn.XLOOKUP(B1192,tblARV[ASN/DN '#],tblARV[Country],"Not found")</f>
        <v>Uganda</v>
      </c>
      <c r="H1192" s="19" t="str">
        <f>_xlfn.XLOOKUP($B1192,tblARV[ASN/DN '#],tblARV[Fulfill Via],"Not found")</f>
        <v>From RDC</v>
      </c>
      <c r="I1192" s="19" t="str">
        <f>_xlfn.XLOOKUP($B1192,tblARV[ASN/DN '#],tblARV[Vendor],"Not found")</f>
        <v>SCMS from RDC</v>
      </c>
    </row>
    <row r="1193" spans="2:9" ht="15">
      <c r="B1193" s="7" t="s">
        <v>2803</v>
      </c>
      <c r="C1193" s="10">
        <v>42041</v>
      </c>
      <c r="D1193" s="10">
        <v>42034</v>
      </c>
      <c r="E1193" s="18">
        <v>-7</v>
      </c>
      <c r="F1193" s="13" t="str">
        <f t="shared" si="29"/>
        <v>On-time</v>
      </c>
      <c r="G1193" s="19" t="str">
        <f>_xlfn.XLOOKUP(B1193,tblARV[ASN/DN '#],tblARV[Country],"Not found")</f>
        <v>Uganda</v>
      </c>
      <c r="H1193" s="19" t="str">
        <f>_xlfn.XLOOKUP($B1193,tblARV[ASN/DN '#],tblARV[Fulfill Via],"Not found")</f>
        <v>From RDC</v>
      </c>
      <c r="I1193" s="19" t="str">
        <f>_xlfn.XLOOKUP($B1193,tblARV[ASN/DN '#],tblARV[Vendor],"Not found")</f>
        <v>SCMS from RDC</v>
      </c>
    </row>
    <row r="1194" spans="2:9" ht="15">
      <c r="B1194" s="7" t="s">
        <v>1705</v>
      </c>
      <c r="C1194" s="10">
        <v>42062</v>
      </c>
      <c r="D1194" s="10">
        <v>42060</v>
      </c>
      <c r="E1194" s="18">
        <v>-4</v>
      </c>
      <c r="F1194" s="13" t="str">
        <f t="shared" si="29"/>
        <v>On-time</v>
      </c>
      <c r="G1194" s="19" t="str">
        <f>_xlfn.XLOOKUP(B1194,tblARV[ASN/DN '#],tblARV[Country],"Not found")</f>
        <v>Uganda</v>
      </c>
      <c r="H1194" s="19" t="str">
        <f>_xlfn.XLOOKUP($B1194,tblARV[ASN/DN '#],tblARV[Fulfill Via],"Not found")</f>
        <v>From RDC</v>
      </c>
      <c r="I1194" s="19" t="str">
        <f>_xlfn.XLOOKUP($B1194,tblARV[ASN/DN '#],tblARV[Vendor],"Not found")</f>
        <v>SCMS from RDC</v>
      </c>
    </row>
    <row r="1195" spans="2:9" ht="15">
      <c r="B1195" s="7" t="s">
        <v>2128</v>
      </c>
      <c r="C1195" s="10">
        <v>42062</v>
      </c>
      <c r="D1195" s="10">
        <v>42059</v>
      </c>
      <c r="E1195" s="18">
        <v>-6</v>
      </c>
      <c r="F1195" s="13" t="str">
        <f t="shared" si="29"/>
        <v>On-time</v>
      </c>
      <c r="G1195" s="19" t="str">
        <f>_xlfn.XLOOKUP(B1195,tblARV[ASN/DN '#],tblARV[Country],"Not found")</f>
        <v>Uganda</v>
      </c>
      <c r="H1195" s="19" t="str">
        <f>_xlfn.XLOOKUP($B1195,tblARV[ASN/DN '#],tblARV[Fulfill Via],"Not found")</f>
        <v>From RDC</v>
      </c>
      <c r="I1195" s="19" t="str">
        <f>_xlfn.XLOOKUP($B1195,tblARV[ASN/DN '#],tblARV[Vendor],"Not found")</f>
        <v>SCMS from RDC</v>
      </c>
    </row>
    <row r="1196" spans="2:9" ht="15">
      <c r="B1196" s="7" t="s">
        <v>2423</v>
      </c>
      <c r="C1196" s="10">
        <v>42051</v>
      </c>
      <c r="D1196" s="10">
        <v>42034</v>
      </c>
      <c r="E1196" s="18">
        <v>-17</v>
      </c>
      <c r="F1196" s="13" t="str">
        <f t="shared" si="29"/>
        <v>On-time</v>
      </c>
      <c r="G1196" s="19" t="str">
        <f>_xlfn.XLOOKUP(B1196,tblARV[ASN/DN '#],tblARV[Country],"Not found")</f>
        <v>Uganda</v>
      </c>
      <c r="H1196" s="19" t="str">
        <f>_xlfn.XLOOKUP($B1196,tblARV[ASN/DN '#],tblARV[Fulfill Via],"Not found")</f>
        <v>From RDC</v>
      </c>
      <c r="I1196" s="19" t="str">
        <f>_xlfn.XLOOKUP($B1196,tblARV[ASN/DN '#],tblARV[Vendor],"Not found")</f>
        <v>SCMS from RDC</v>
      </c>
    </row>
    <row r="1197" spans="2:9" ht="15">
      <c r="B1197" s="7" t="s">
        <v>2425</v>
      </c>
      <c r="C1197" s="10">
        <v>42051</v>
      </c>
      <c r="D1197" s="10">
        <v>42075</v>
      </c>
      <c r="E1197" s="18">
        <v>24</v>
      </c>
      <c r="F1197" s="13" t="str">
        <f t="shared" si="29"/>
        <v>Late</v>
      </c>
      <c r="G1197" s="19" t="str">
        <f>_xlfn.XLOOKUP(B1197,tblARV[ASN/DN '#],tblARV[Country],"Not found")</f>
        <v>Tanzania</v>
      </c>
      <c r="H1197" s="19" t="str">
        <f>_xlfn.XLOOKUP($B1197,tblARV[ASN/DN '#],tblARV[Fulfill Via],"Not found")</f>
        <v>From RDC</v>
      </c>
      <c r="I1197" s="19" t="str">
        <f>_xlfn.XLOOKUP($B1197,tblARV[ASN/DN '#],tblARV[Vendor],"Not found")</f>
        <v>SCMS from RDC</v>
      </c>
    </row>
    <row r="1198" spans="2:9" ht="15">
      <c r="B1198" s="7" t="s">
        <v>1921</v>
      </c>
      <c r="C1198" s="10">
        <v>42062</v>
      </c>
      <c r="D1198" s="10">
        <v>42060</v>
      </c>
      <c r="E1198" s="18">
        <v>-2</v>
      </c>
      <c r="F1198" s="13" t="str">
        <f t="shared" si="29"/>
        <v>On-time</v>
      </c>
      <c r="G1198" s="19" t="str">
        <f>_xlfn.XLOOKUP(B1198,tblARV[ASN/DN '#],tblARV[Country],"Not found")</f>
        <v>Uganda</v>
      </c>
      <c r="H1198" s="19" t="str">
        <f>_xlfn.XLOOKUP($B1198,tblARV[ASN/DN '#],tblARV[Fulfill Via],"Not found")</f>
        <v>From RDC</v>
      </c>
      <c r="I1198" s="19" t="str">
        <f>_xlfn.XLOOKUP($B1198,tblARV[ASN/DN '#],tblARV[Vendor],"Not found")</f>
        <v>SCMS from RDC</v>
      </c>
    </row>
    <row r="1199" spans="2:9" ht="15">
      <c r="B1199" s="7" t="s">
        <v>2130</v>
      </c>
      <c r="C1199" s="10">
        <v>42052</v>
      </c>
      <c r="D1199" s="10">
        <v>42035</v>
      </c>
      <c r="E1199" s="18">
        <v>-17</v>
      </c>
      <c r="F1199" s="13" t="str">
        <f t="shared" si="29"/>
        <v>On-time</v>
      </c>
      <c r="G1199" s="19" t="str">
        <f>_xlfn.XLOOKUP(B1199,tblARV[ASN/DN '#],tblARV[Country],"Not found")</f>
        <v>Uganda</v>
      </c>
      <c r="H1199" s="19" t="str">
        <f>_xlfn.XLOOKUP($B1199,tblARV[ASN/DN '#],tblARV[Fulfill Via],"Not found")</f>
        <v>From RDC</v>
      </c>
      <c r="I1199" s="19" t="str">
        <f>_xlfn.XLOOKUP($B1199,tblARV[ASN/DN '#],tblARV[Vendor],"Not found")</f>
        <v>SCMS from RDC</v>
      </c>
    </row>
    <row r="1200" spans="2:9" ht="15">
      <c r="B1200" s="7" t="s">
        <v>2297</v>
      </c>
      <c r="C1200" s="10">
        <v>42052</v>
      </c>
      <c r="D1200" s="10">
        <v>42044</v>
      </c>
      <c r="E1200" s="18">
        <v>-8</v>
      </c>
      <c r="F1200" s="13" t="str">
        <f t="shared" si="29"/>
        <v>On-time</v>
      </c>
      <c r="G1200" s="19" t="str">
        <f>_xlfn.XLOOKUP(B1200,tblARV[ASN/DN '#],tblARV[Country],"Not found")</f>
        <v>Uganda</v>
      </c>
      <c r="H1200" s="19" t="str">
        <f>_xlfn.XLOOKUP($B1200,tblARV[ASN/DN '#],tblARV[Fulfill Via],"Not found")</f>
        <v>From RDC</v>
      </c>
      <c r="I1200" s="19" t="str">
        <f>_xlfn.XLOOKUP($B1200,tblARV[ASN/DN '#],tblARV[Vendor],"Not found")</f>
        <v>SCMS from RDC</v>
      </c>
    </row>
    <row r="1201" spans="2:9" ht="15">
      <c r="B1201" s="7" t="s">
        <v>1923</v>
      </c>
      <c r="C1201" s="10">
        <v>42062</v>
      </c>
      <c r="D1201" s="10">
        <v>42060</v>
      </c>
      <c r="E1201" s="18">
        <v>-2</v>
      </c>
      <c r="F1201" s="13" t="str">
        <f t="shared" si="29"/>
        <v>On-time</v>
      </c>
      <c r="G1201" s="19" t="str">
        <f>_xlfn.XLOOKUP(B1201,tblARV[ASN/DN '#],tblARV[Country],"Not found")</f>
        <v>Rwanda</v>
      </c>
      <c r="H1201" s="19" t="str">
        <f>_xlfn.XLOOKUP($B1201,tblARV[ASN/DN '#],tblARV[Fulfill Via],"Not found")</f>
        <v>From RDC</v>
      </c>
      <c r="I1201" s="19" t="str">
        <f>_xlfn.XLOOKUP($B1201,tblARV[ASN/DN '#],tblARV[Vendor],"Not found")</f>
        <v>SCMS from RDC</v>
      </c>
    </row>
    <row r="1202" spans="2:9" ht="15">
      <c r="B1202" s="7" t="s">
        <v>2299</v>
      </c>
      <c r="C1202" s="10">
        <v>42073</v>
      </c>
      <c r="D1202" s="10">
        <v>42090</v>
      </c>
      <c r="E1202" s="18">
        <v>17</v>
      </c>
      <c r="F1202" s="13" t="str">
        <f t="shared" si="29"/>
        <v>Late</v>
      </c>
      <c r="G1202" s="19" t="str">
        <f>_xlfn.XLOOKUP(B1202,tblARV[ASN/DN '#],tblARV[Country],"Not found")</f>
        <v>Rwanda</v>
      </c>
      <c r="H1202" s="19" t="str">
        <f>_xlfn.XLOOKUP($B1202,tblARV[ASN/DN '#],tblARV[Fulfill Via],"Not found")</f>
        <v>From RDC</v>
      </c>
      <c r="I1202" s="19" t="str">
        <f>_xlfn.XLOOKUP($B1202,tblARV[ASN/DN '#],tblARV[Vendor],"Not found")</f>
        <v>SCMS from RDC</v>
      </c>
    </row>
    <row r="1203" spans="2:9" ht="15">
      <c r="B1203" s="7" t="s">
        <v>1707</v>
      </c>
      <c r="C1203" s="10">
        <v>42062</v>
      </c>
      <c r="D1203" s="10">
        <v>42063</v>
      </c>
      <c r="E1203" s="18">
        <v>5</v>
      </c>
      <c r="F1203" s="13" t="str">
        <f t="shared" si="29"/>
        <v>Late</v>
      </c>
      <c r="G1203" s="19" t="str">
        <f>_xlfn.XLOOKUP(B1203,tblARV[ASN/DN '#],tblARV[Country],"Not found")</f>
        <v>Burundi</v>
      </c>
      <c r="H1203" s="19" t="str">
        <f>_xlfn.XLOOKUP($B1203,tblARV[ASN/DN '#],tblARV[Fulfill Via],"Not found")</f>
        <v>From RDC</v>
      </c>
      <c r="I1203" s="19" t="str">
        <f>_xlfn.XLOOKUP($B1203,tblARV[ASN/DN '#],tblARV[Vendor],"Not found")</f>
        <v>SCMS from RDC</v>
      </c>
    </row>
    <row r="1204" spans="2:9" ht="15">
      <c r="B1204" s="7" t="s">
        <v>1709</v>
      </c>
      <c r="C1204" s="10">
        <v>42094</v>
      </c>
      <c r="D1204" s="10">
        <v>42087</v>
      </c>
      <c r="E1204" s="18">
        <v>-21</v>
      </c>
      <c r="F1204" s="13" t="str">
        <f t="shared" si="29"/>
        <v>On-time</v>
      </c>
      <c r="G1204" s="19" t="str">
        <f>_xlfn.XLOOKUP(B1204,tblARV[ASN/DN '#],tblARV[Country],"Not found")</f>
        <v>Rwanda</v>
      </c>
      <c r="H1204" s="19" t="str">
        <f>_xlfn.XLOOKUP($B1204,tblARV[ASN/DN '#],tblARV[Fulfill Via],"Not found")</f>
        <v>From RDC</v>
      </c>
      <c r="I1204" s="19" t="str">
        <f>_xlfn.XLOOKUP($B1204,tblARV[ASN/DN '#],tblARV[Vendor],"Not found")</f>
        <v>SCMS from RDC</v>
      </c>
    </row>
    <row r="1205" spans="2:9" ht="15">
      <c r="B1205" s="7" t="s">
        <v>2429</v>
      </c>
      <c r="C1205" s="10">
        <v>42094</v>
      </c>
      <c r="D1205" s="10">
        <v>42083</v>
      </c>
      <c r="E1205" s="18">
        <v>-11</v>
      </c>
      <c r="F1205" s="13" t="str">
        <f t="shared" si="29"/>
        <v>On-time</v>
      </c>
      <c r="G1205" s="19" t="str">
        <f>_xlfn.XLOOKUP(B1205,tblARV[ASN/DN '#],tblARV[Country],"Not found")</f>
        <v>Rwanda</v>
      </c>
      <c r="H1205" s="19" t="str">
        <f>_xlfn.XLOOKUP($B1205,tblARV[ASN/DN '#],tblARV[Fulfill Via],"Not found")</f>
        <v>From RDC</v>
      </c>
      <c r="I1205" s="19" t="str">
        <f>_xlfn.XLOOKUP($B1205,tblARV[ASN/DN '#],tblARV[Vendor],"Not found")</f>
        <v>SCMS from RDC</v>
      </c>
    </row>
    <row r="1206" spans="2:9" ht="15">
      <c r="B1206" s="7" t="s">
        <v>2132</v>
      </c>
      <c r="C1206" s="10">
        <v>42079</v>
      </c>
      <c r="D1206" s="10">
        <v>42075</v>
      </c>
      <c r="E1206" s="18">
        <v>-8</v>
      </c>
      <c r="F1206" s="13" t="str">
        <f t="shared" si="29"/>
        <v>On-time</v>
      </c>
      <c r="G1206" s="19" t="str">
        <f>_xlfn.XLOOKUP(B1206,tblARV[ASN/DN '#],tblARV[Country],"Not found")</f>
        <v>Uganda</v>
      </c>
      <c r="H1206" s="19" t="str">
        <f>_xlfn.XLOOKUP($B1206,tblARV[ASN/DN '#],tblARV[Fulfill Via],"Not found")</f>
        <v>From RDC</v>
      </c>
      <c r="I1206" s="19" t="str">
        <f>_xlfn.XLOOKUP($B1206,tblARV[ASN/DN '#],tblARV[Vendor],"Not found")</f>
        <v>SCMS from RDC</v>
      </c>
    </row>
    <row r="1207" spans="2:9" ht="15">
      <c r="B1207" s="7" t="s">
        <v>1711</v>
      </c>
      <c r="C1207" s="10">
        <v>42094</v>
      </c>
      <c r="D1207" s="10">
        <v>42087</v>
      </c>
      <c r="E1207" s="18">
        <v>-21</v>
      </c>
      <c r="F1207" s="13" t="str">
        <f t="shared" si="29"/>
        <v>On-time</v>
      </c>
      <c r="G1207" s="19" t="str">
        <f>_xlfn.XLOOKUP(B1207,tblARV[ASN/DN '#],tblARV[Country],"Not found")</f>
        <v>Rwanda</v>
      </c>
      <c r="H1207" s="19" t="str">
        <f>_xlfn.XLOOKUP($B1207,tblARV[ASN/DN '#],tblARV[Fulfill Via],"Not found")</f>
        <v>From RDC</v>
      </c>
      <c r="I1207" s="19" t="str">
        <f>_xlfn.XLOOKUP($B1207,tblARV[ASN/DN '#],tblARV[Vendor],"Not found")</f>
        <v>SCMS from RDC</v>
      </c>
    </row>
    <row r="1208" spans="2:9" ht="15">
      <c r="B1208" s="7" t="s">
        <v>2805</v>
      </c>
      <c r="C1208" s="10">
        <v>42094</v>
      </c>
      <c r="D1208" s="10">
        <v>42139</v>
      </c>
      <c r="E1208" s="18">
        <v>45</v>
      </c>
      <c r="F1208" s="13" t="str">
        <f t="shared" si="29"/>
        <v>Late</v>
      </c>
      <c r="G1208" s="19" t="str">
        <f>_xlfn.XLOOKUP(B1208,tblARV[ASN/DN '#],tblARV[Country],"Not found")</f>
        <v>Uganda</v>
      </c>
      <c r="H1208" s="19" t="str">
        <f>_xlfn.XLOOKUP($B1208,tblARV[ASN/DN '#],tblARV[Fulfill Via],"Not found")</f>
        <v>From RDC</v>
      </c>
      <c r="I1208" s="19" t="str">
        <f>_xlfn.XLOOKUP($B1208,tblARV[ASN/DN '#],tblARV[Vendor],"Not found")</f>
        <v>SCMS from RDC</v>
      </c>
    </row>
    <row r="1209" spans="2:9" ht="15">
      <c r="B1209" s="7" t="s">
        <v>2807</v>
      </c>
      <c r="C1209" s="10">
        <v>42118</v>
      </c>
      <c r="D1209" s="10">
        <v>42128</v>
      </c>
      <c r="E1209" s="18">
        <v>10</v>
      </c>
      <c r="F1209" s="13" t="str">
        <f t="shared" si="29"/>
        <v>Late</v>
      </c>
      <c r="G1209" s="19" t="str">
        <f>_xlfn.XLOOKUP(B1209,tblARV[ASN/DN '#],tblARV[Country],"Not found")</f>
        <v>Rwanda</v>
      </c>
      <c r="H1209" s="19" t="str">
        <f>_xlfn.XLOOKUP($B1209,tblARV[ASN/DN '#],tblARV[Fulfill Via],"Not found")</f>
        <v>From RDC</v>
      </c>
      <c r="I1209" s="19" t="str">
        <f>_xlfn.XLOOKUP($B1209,tblARV[ASN/DN '#],tblARV[Vendor],"Not found")</f>
        <v>SCMS from RDC</v>
      </c>
    </row>
    <row r="1210" spans="2:9" ht="15">
      <c r="B1210" s="7" t="s">
        <v>2301</v>
      </c>
      <c r="C1210" s="10">
        <v>42153</v>
      </c>
      <c r="D1210" s="10">
        <v>42088</v>
      </c>
      <c r="E1210" s="18">
        <v>-260</v>
      </c>
      <c r="F1210" s="13" t="str">
        <f t="shared" si="29"/>
        <v>On-time</v>
      </c>
      <c r="G1210" s="19" t="str">
        <f>_xlfn.XLOOKUP(B1210,tblARV[ASN/DN '#],tblARV[Country],"Not found")</f>
        <v>Burundi</v>
      </c>
      <c r="H1210" s="19" t="str">
        <f>_xlfn.XLOOKUP($B1210,tblARV[ASN/DN '#],tblARV[Fulfill Via],"Not found")</f>
        <v>From RDC</v>
      </c>
      <c r="I1210" s="19" t="str">
        <f>_xlfn.XLOOKUP($B1210,tblARV[ASN/DN '#],tblARV[Vendor],"Not found")</f>
        <v>SCMS from RDC</v>
      </c>
    </row>
    <row r="1211" spans="2:9" ht="15">
      <c r="B1211" s="7" t="s">
        <v>2134</v>
      </c>
      <c r="C1211" s="10">
        <v>42124</v>
      </c>
      <c r="D1211" s="10">
        <v>42090</v>
      </c>
      <c r="E1211" s="18">
        <v>-34</v>
      </c>
      <c r="F1211" s="13" t="str">
        <f t="shared" si="29"/>
        <v>On-time</v>
      </c>
      <c r="G1211" s="19" t="str">
        <f>_xlfn.XLOOKUP(B1211,tblARV[ASN/DN '#],tblARV[Country],"Not found")</f>
        <v>Rwanda</v>
      </c>
      <c r="H1211" s="19" t="str">
        <f>_xlfn.XLOOKUP($B1211,tblARV[ASN/DN '#],tblARV[Fulfill Via],"Not found")</f>
        <v>From RDC</v>
      </c>
      <c r="I1211" s="19" t="str">
        <f>_xlfn.XLOOKUP($B1211,tblARV[ASN/DN '#],tblARV[Vendor],"Not found")</f>
        <v>SCMS from RDC</v>
      </c>
    </row>
    <row r="1212" spans="2:9" ht="15">
      <c r="B1212" s="7" t="s">
        <v>1925</v>
      </c>
      <c r="C1212" s="10">
        <v>42124</v>
      </c>
      <c r="D1212" s="10">
        <v>42090</v>
      </c>
      <c r="E1212" s="18">
        <v>-34</v>
      </c>
      <c r="F1212" s="13" t="str">
        <f t="shared" si="29"/>
        <v>On-time</v>
      </c>
      <c r="G1212" s="19" t="str">
        <f>_xlfn.XLOOKUP(B1212,tblARV[ASN/DN '#],tblARV[Country],"Not found")</f>
        <v>Rwanda</v>
      </c>
      <c r="H1212" s="19" t="str">
        <f>_xlfn.XLOOKUP($B1212,tblARV[ASN/DN '#],tblARV[Fulfill Via],"Not found")</f>
        <v>From RDC</v>
      </c>
      <c r="I1212" s="19" t="str">
        <f>_xlfn.XLOOKUP($B1212,tblARV[ASN/DN '#],tblARV[Vendor],"Not found")</f>
        <v>SCMS from RDC</v>
      </c>
    </row>
    <row r="1213" spans="2:9" ht="15">
      <c r="B1213" s="7" t="s">
        <v>2559</v>
      </c>
      <c r="C1213" s="10">
        <v>42100</v>
      </c>
      <c r="D1213" s="10">
        <v>42114</v>
      </c>
      <c r="E1213" s="18">
        <v>14</v>
      </c>
      <c r="F1213" s="13" t="str">
        <f t="shared" si="29"/>
        <v>Late</v>
      </c>
      <c r="G1213" s="19" t="str">
        <f>_xlfn.XLOOKUP(B1213,tblARV[ASN/DN '#],tblARV[Country],"Not found")</f>
        <v>Rwanda</v>
      </c>
      <c r="H1213" s="19" t="str">
        <f>_xlfn.XLOOKUP($B1213,tblARV[ASN/DN '#],tblARV[Fulfill Via],"Not found")</f>
        <v>From RDC</v>
      </c>
      <c r="I1213" s="19" t="str">
        <f>_xlfn.XLOOKUP($B1213,tblARV[ASN/DN '#],tblARV[Vendor],"Not found")</f>
        <v>SCMS from RDC</v>
      </c>
    </row>
    <row r="1214" spans="2:9" ht="15">
      <c r="B1214" s="7" t="s">
        <v>2138</v>
      </c>
      <c r="C1214" s="10">
        <v>42185</v>
      </c>
      <c r="D1214" s="10">
        <v>42116</v>
      </c>
      <c r="E1214" s="18">
        <v>-276</v>
      </c>
      <c r="F1214" s="13" t="str">
        <f t="shared" si="29"/>
        <v>On-time</v>
      </c>
      <c r="G1214" s="19" t="str">
        <f>_xlfn.XLOOKUP(B1214,tblARV[ASN/DN '#],tblARV[Country],"Not found")</f>
        <v>Burundi</v>
      </c>
      <c r="H1214" s="19" t="str">
        <f>_xlfn.XLOOKUP($B1214,tblARV[ASN/DN '#],tblARV[Fulfill Via],"Not found")</f>
        <v>From RDC</v>
      </c>
      <c r="I1214" s="19" t="str">
        <f>_xlfn.XLOOKUP($B1214,tblARV[ASN/DN '#],tblARV[Vendor],"Not found")</f>
        <v>SCMS from RDC</v>
      </c>
    </row>
    <row r="1215" spans="2:9" ht="15">
      <c r="B1215" s="7" t="s">
        <v>1713</v>
      </c>
      <c r="C1215" s="10">
        <v>42124</v>
      </c>
      <c r="D1215" s="10">
        <v>42143</v>
      </c>
      <c r="E1215" s="18">
        <v>19</v>
      </c>
      <c r="F1215" s="13" t="str">
        <f t="shared" si="29"/>
        <v>Late</v>
      </c>
      <c r="G1215" s="19" t="str">
        <f>_xlfn.XLOOKUP(B1215,tblARV[ASN/DN '#],tblARV[Country],"Not found")</f>
        <v>Rwanda</v>
      </c>
      <c r="H1215" s="19" t="str">
        <f>_xlfn.XLOOKUP($B1215,tblARV[ASN/DN '#],tblARV[Fulfill Via],"Not found")</f>
        <v>From RDC</v>
      </c>
      <c r="I1215" s="19" t="str">
        <f>_xlfn.XLOOKUP($B1215,tblARV[ASN/DN '#],tblARV[Vendor],"Not found")</f>
        <v>SCMS from RDC</v>
      </c>
    </row>
    <row r="1216" spans="2:9" ht="15">
      <c r="B1216" s="7" t="s">
        <v>2431</v>
      </c>
      <c r="C1216" s="10">
        <v>42124</v>
      </c>
      <c r="D1216" s="10">
        <v>42116</v>
      </c>
      <c r="E1216" s="18">
        <v>-8</v>
      </c>
      <c r="F1216" s="13" t="str">
        <f t="shared" si="29"/>
        <v>On-time</v>
      </c>
      <c r="G1216" s="19" t="str">
        <f>_xlfn.XLOOKUP(B1216,tblARV[ASN/DN '#],tblARV[Country],"Not found")</f>
        <v>Uganda</v>
      </c>
      <c r="H1216" s="19" t="str">
        <f>_xlfn.XLOOKUP($B1216,tblARV[ASN/DN '#],tblARV[Fulfill Via],"Not found")</f>
        <v>From RDC</v>
      </c>
      <c r="I1216" s="19" t="str">
        <f>_xlfn.XLOOKUP($B1216,tblARV[ASN/DN '#],tblARV[Vendor],"Not found")</f>
        <v>SCMS from RDC</v>
      </c>
    </row>
    <row r="1217" spans="2:9" ht="15">
      <c r="B1217" s="7" t="s">
        <v>2693</v>
      </c>
      <c r="C1217" s="10">
        <v>42124</v>
      </c>
      <c r="D1217" s="10">
        <v>42116</v>
      </c>
      <c r="E1217" s="18">
        <v>-16</v>
      </c>
      <c r="F1217" s="13" t="str">
        <f t="shared" si="29"/>
        <v>On-time</v>
      </c>
      <c r="G1217" s="19" t="str">
        <f>_xlfn.XLOOKUP(B1217,tblARV[ASN/DN '#],tblARV[Country],"Not found")</f>
        <v>Uganda</v>
      </c>
      <c r="H1217" s="19" t="str">
        <f>_xlfn.XLOOKUP($B1217,tblARV[ASN/DN '#],tblARV[Fulfill Via],"Not found")</f>
        <v>From RDC</v>
      </c>
      <c r="I1217" s="19" t="str">
        <f>_xlfn.XLOOKUP($B1217,tblARV[ASN/DN '#],tblARV[Vendor],"Not found")</f>
        <v>SCMS from RDC</v>
      </c>
    </row>
    <row r="1218" spans="2:9" ht="15">
      <c r="B1218" s="7" t="s">
        <v>1715</v>
      </c>
      <c r="C1218" s="10">
        <v>42124</v>
      </c>
      <c r="D1218" s="10">
        <v>42116</v>
      </c>
      <c r="E1218" s="18">
        <v>-16</v>
      </c>
      <c r="F1218" s="13" t="str">
        <f t="shared" si="29"/>
        <v>On-time</v>
      </c>
      <c r="G1218" s="19" t="str">
        <f>_xlfn.XLOOKUP(B1218,tblARV[ASN/DN '#],tblARV[Country],"Not found")</f>
        <v>Uganda</v>
      </c>
      <c r="H1218" s="19" t="str">
        <f>_xlfn.XLOOKUP($B1218,tblARV[ASN/DN '#],tblARV[Fulfill Via],"Not found")</f>
        <v>From RDC</v>
      </c>
      <c r="I1218" s="19" t="str">
        <f>_xlfn.XLOOKUP($B1218,tblARV[ASN/DN '#],tblARV[Vendor],"Not found")</f>
        <v>SCMS from RDC</v>
      </c>
    </row>
    <row r="1219" spans="2:9" ht="15">
      <c r="B1219" s="7" t="s">
        <v>2136</v>
      </c>
      <c r="C1219" s="10">
        <v>42124</v>
      </c>
      <c r="D1219" s="10">
        <v>42116</v>
      </c>
      <c r="E1219" s="18">
        <v>-8</v>
      </c>
      <c r="F1219" s="13" t="str">
        <f t="shared" si="29"/>
        <v>On-time</v>
      </c>
      <c r="G1219" s="19" t="str">
        <f>_xlfn.XLOOKUP(B1219,tblARV[ASN/DN '#],tblARV[Country],"Not found")</f>
        <v>Uganda</v>
      </c>
      <c r="H1219" s="19" t="str">
        <f>_xlfn.XLOOKUP($B1219,tblARV[ASN/DN '#],tblARV[Fulfill Via],"Not found")</f>
        <v>From RDC</v>
      </c>
      <c r="I1219" s="19" t="str">
        <f>_xlfn.XLOOKUP($B1219,tblARV[ASN/DN '#],tblARV[Vendor],"Not found")</f>
        <v>SCMS from RDC</v>
      </c>
    </row>
    <row r="1220" spans="2:9" ht="15">
      <c r="B1220" s="7" t="s">
        <v>1928</v>
      </c>
      <c r="C1220" s="10">
        <v>42170</v>
      </c>
      <c r="D1220" s="10">
        <v>42138</v>
      </c>
      <c r="E1220" s="18">
        <v>-224</v>
      </c>
      <c r="F1220" s="13" t="str">
        <f t="shared" si="29"/>
        <v>On-time</v>
      </c>
      <c r="G1220" s="19" t="str">
        <f>_xlfn.XLOOKUP(B1220,tblARV[ASN/DN '#],tblARV[Country],"Not found")</f>
        <v>Uganda</v>
      </c>
      <c r="H1220" s="19" t="str">
        <f>_xlfn.XLOOKUP($B1220,tblARV[ASN/DN '#],tblARV[Fulfill Via],"Not found")</f>
        <v>From RDC</v>
      </c>
      <c r="I1220" s="19" t="str">
        <f>_xlfn.XLOOKUP($B1220,tblARV[ASN/DN '#],tblARV[Vendor],"Not found")</f>
        <v>SCMS from RDC</v>
      </c>
    </row>
    <row r="1221" spans="2:9" ht="15">
      <c r="B1221" s="7" t="s">
        <v>2695</v>
      </c>
      <c r="C1221" s="10">
        <v>42185</v>
      </c>
      <c r="D1221" s="10">
        <v>42129</v>
      </c>
      <c r="E1221" s="18">
        <v>-56</v>
      </c>
      <c r="F1221" s="13" t="str">
        <f t="shared" si="29"/>
        <v>On-time</v>
      </c>
      <c r="G1221" s="19" t="str">
        <f>_xlfn.XLOOKUP(B1221,tblARV[ASN/DN '#],tblARV[Country],"Not found")</f>
        <v>Rwanda</v>
      </c>
      <c r="H1221" s="19" t="str">
        <f>_xlfn.XLOOKUP($B1221,tblARV[ASN/DN '#],tblARV[Fulfill Via],"Not found")</f>
        <v>From RDC</v>
      </c>
      <c r="I1221" s="19" t="str">
        <f>_xlfn.XLOOKUP($B1221,tblARV[ASN/DN '#],tblARV[Vendor],"Not found")</f>
        <v>SCMS from RDC</v>
      </c>
    </row>
    <row r="1222" spans="2:9" ht="15">
      <c r="B1222" s="7" t="s">
        <v>2140</v>
      </c>
      <c r="C1222" s="10">
        <v>42124</v>
      </c>
      <c r="D1222" s="10">
        <v>42139</v>
      </c>
      <c r="E1222" s="18">
        <v>15</v>
      </c>
      <c r="F1222" s="13" t="str">
        <f t="shared" si="29"/>
        <v>Late</v>
      </c>
      <c r="G1222" s="19" t="str">
        <f>_xlfn.XLOOKUP(B1222,tblARV[ASN/DN '#],tblARV[Country],"Not found")</f>
        <v>Uganda</v>
      </c>
      <c r="H1222" s="19" t="str">
        <f>_xlfn.XLOOKUP($B1222,tblARV[ASN/DN '#],tblARV[Fulfill Via],"Not found")</f>
        <v>From RDC</v>
      </c>
      <c r="I1222" s="19" t="str">
        <f>_xlfn.XLOOKUP($B1222,tblARV[ASN/DN '#],tblARV[Vendor],"Not found")</f>
        <v>SCMS from RDC</v>
      </c>
    </row>
    <row r="1223" spans="2:9" ht="15">
      <c r="B1223" s="7" t="s">
        <v>2809</v>
      </c>
      <c r="C1223" s="10">
        <v>42185</v>
      </c>
      <c r="D1223" s="10">
        <v>42159</v>
      </c>
      <c r="E1223" s="18">
        <v>-52</v>
      </c>
      <c r="F1223" s="13" t="str">
        <f t="shared" si="29"/>
        <v>On-time</v>
      </c>
      <c r="G1223" s="19" t="str">
        <f>_xlfn.XLOOKUP(B1223,tblARV[ASN/DN '#],tblARV[Country],"Not found")</f>
        <v>Uganda</v>
      </c>
      <c r="H1223" s="19" t="str">
        <f>_xlfn.XLOOKUP($B1223,tblARV[ASN/DN '#],tblARV[Fulfill Via],"Not found")</f>
        <v>From RDC</v>
      </c>
      <c r="I1223" s="19" t="str">
        <f>_xlfn.XLOOKUP($B1223,tblARV[ASN/DN '#],tblARV[Vendor],"Not found")</f>
        <v>SCMS from RDC</v>
      </c>
    </row>
    <row r="1224" spans="2:9" ht="15">
      <c r="B1224" s="7" t="s">
        <v>1930</v>
      </c>
      <c r="C1224" s="10">
        <v>42170</v>
      </c>
      <c r="D1224" s="10">
        <v>42159</v>
      </c>
      <c r="E1224" s="18">
        <v>-22</v>
      </c>
      <c r="F1224" s="13" t="str">
        <f t="shared" si="29"/>
        <v>On-time</v>
      </c>
      <c r="G1224" s="19" t="str">
        <f>_xlfn.XLOOKUP(B1224,tblARV[ASN/DN '#],tblARV[Country],"Not found")</f>
        <v>Uganda</v>
      </c>
      <c r="H1224" s="19" t="str">
        <f>_xlfn.XLOOKUP($B1224,tblARV[ASN/DN '#],tblARV[Fulfill Via],"Not found")</f>
        <v>From RDC</v>
      </c>
      <c r="I1224" s="19" t="str">
        <f>_xlfn.XLOOKUP($B1224,tblARV[ASN/DN '#],tblARV[Vendor],"Not found")</f>
        <v>SCMS from RDC</v>
      </c>
    </row>
    <row r="1225" spans="2:9" ht="15">
      <c r="B1225" s="7" t="s">
        <v>2561</v>
      </c>
      <c r="C1225" s="10">
        <v>42185</v>
      </c>
      <c r="D1225" s="10">
        <v>42172</v>
      </c>
      <c r="E1225" s="18">
        <v>-13</v>
      </c>
      <c r="F1225" s="13" t="str">
        <f t="shared" si="29"/>
        <v>On-time</v>
      </c>
      <c r="G1225" s="19" t="str">
        <f>_xlfn.XLOOKUP(B1225,tblARV[ASN/DN '#],tblARV[Country],"Not found")</f>
        <v>Rwanda</v>
      </c>
      <c r="H1225" s="19" t="str">
        <f>_xlfn.XLOOKUP($B1225,tblARV[ASN/DN '#],tblARV[Fulfill Via],"Not found")</f>
        <v>From RDC</v>
      </c>
      <c r="I1225" s="19" t="str">
        <f>_xlfn.XLOOKUP($B1225,tblARV[ASN/DN '#],tblARV[Vendor],"Not found")</f>
        <v>SCMS from RDC</v>
      </c>
    </row>
    <row r="1226" spans="2:9" ht="15">
      <c r="B1226" s="7" t="s">
        <v>2852</v>
      </c>
      <c r="C1226" s="10">
        <v>42213</v>
      </c>
      <c r="D1226" s="10">
        <v>42174</v>
      </c>
      <c r="E1226" s="18">
        <v>-39</v>
      </c>
      <c r="F1226" s="13" t="str">
        <f t="shared" si="29"/>
        <v>On-time</v>
      </c>
      <c r="G1226" s="19" t="str">
        <f>_xlfn.XLOOKUP(B1226,tblARV[ASN/DN '#],tblARV[Country],"Not found")</f>
        <v>South Sudan</v>
      </c>
      <c r="H1226" s="19" t="str">
        <f>_xlfn.XLOOKUP($B1226,tblARV[ASN/DN '#],tblARV[Fulfill Via],"Not found")</f>
        <v>From RDC</v>
      </c>
      <c r="I1226" s="19" t="str">
        <f>_xlfn.XLOOKUP($B1226,tblARV[ASN/DN '#],tblARV[Vendor],"Not found")</f>
        <v>SCMS from RDC</v>
      </c>
    </row>
    <row r="1227" spans="2:9" ht="15">
      <c r="B1227" s="7" t="s">
        <v>2844</v>
      </c>
      <c r="C1227" s="10">
        <v>42180</v>
      </c>
      <c r="D1227" s="10">
        <v>42174</v>
      </c>
      <c r="E1227" s="18">
        <v>-12</v>
      </c>
      <c r="F1227" s="13" t="str">
        <f t="shared" si="29"/>
        <v>On-time</v>
      </c>
      <c r="G1227" s="19" t="str">
        <f>_xlfn.XLOOKUP(B1227,tblARV[ASN/DN '#],tblARV[Country],"Not found")</f>
        <v>South Sudan</v>
      </c>
      <c r="H1227" s="19" t="str">
        <f>_xlfn.XLOOKUP($B1227,tblARV[ASN/DN '#],tblARV[Fulfill Via],"Not found")</f>
        <v>From RDC</v>
      </c>
      <c r="I1227" s="19" t="str">
        <f>_xlfn.XLOOKUP($B1227,tblARV[ASN/DN '#],tblARV[Vendor],"Not found")</f>
        <v>SCMS from RDC</v>
      </c>
    </row>
    <row r="1228" spans="2:9" ht="15">
      <c r="B1228" s="7" t="s">
        <v>2144</v>
      </c>
      <c r="C1228" s="10">
        <v>42185</v>
      </c>
      <c r="D1228" s="10">
        <v>42184</v>
      </c>
      <c r="E1228" s="18">
        <v>-1</v>
      </c>
      <c r="F1228" s="13" t="str">
        <f t="shared" si="29"/>
        <v>On-time</v>
      </c>
      <c r="G1228" s="19" t="str">
        <f>_xlfn.XLOOKUP(B1228,tblARV[ASN/DN '#],tblARV[Country],"Not found")</f>
        <v>Rwanda</v>
      </c>
      <c r="H1228" s="19" t="str">
        <f>_xlfn.XLOOKUP($B1228,tblARV[ASN/DN '#],tblARV[Fulfill Via],"Not found")</f>
        <v>From RDC</v>
      </c>
      <c r="I1228" s="19" t="str">
        <f>_xlfn.XLOOKUP($B1228,tblARV[ASN/DN '#],tblARV[Vendor],"Not found")</f>
        <v>SCMS from RDC</v>
      </c>
    </row>
    <row r="1229" spans="2:9" ht="15">
      <c r="B1229" s="7" t="s">
        <v>2433</v>
      </c>
      <c r="C1229" s="10">
        <v>42200</v>
      </c>
      <c r="D1229" s="10">
        <v>42194</v>
      </c>
      <c r="E1229" s="18">
        <v>-6</v>
      </c>
      <c r="F1229" s="13" t="str">
        <f t="shared" si="29"/>
        <v>On-time</v>
      </c>
      <c r="G1229" s="19" t="str">
        <f>_xlfn.XLOOKUP(B1229,tblARV[ASN/DN '#],tblARV[Country],"Not found")</f>
        <v>Uganda</v>
      </c>
      <c r="H1229" s="19" t="str">
        <f>_xlfn.XLOOKUP($B1229,tblARV[ASN/DN '#],tblARV[Fulfill Via],"Not found")</f>
        <v>From RDC</v>
      </c>
      <c r="I1229" s="19" t="str">
        <f>_xlfn.XLOOKUP($B1229,tblARV[ASN/DN '#],tblARV[Vendor],"Not found")</f>
        <v>SCMS from RDC</v>
      </c>
    </row>
    <row r="1230" spans="2:9" ht="15">
      <c r="B1230" s="7" t="s">
        <v>2303</v>
      </c>
      <c r="C1230" s="10">
        <v>42185</v>
      </c>
      <c r="D1230" s="10">
        <v>42172</v>
      </c>
      <c r="E1230" s="18">
        <v>-13</v>
      </c>
      <c r="F1230" s="13" t="str">
        <f t="shared" si="29"/>
        <v>On-time</v>
      </c>
      <c r="G1230" s="19" t="str">
        <f>_xlfn.XLOOKUP(B1230,tblARV[ASN/DN '#],tblARV[Country],"Not found")</f>
        <v>Rwanda</v>
      </c>
      <c r="H1230" s="19" t="str">
        <f>_xlfn.XLOOKUP($B1230,tblARV[ASN/DN '#],tblARV[Fulfill Via],"Not found")</f>
        <v>From RDC</v>
      </c>
      <c r="I1230" s="19" t="str">
        <f>_xlfn.XLOOKUP($B1230,tblARV[ASN/DN '#],tblARV[Vendor],"Not found")</f>
        <v>SCMS from RDC</v>
      </c>
    </row>
    <row r="1231" spans="2:9" ht="15">
      <c r="B1231" s="7" t="s">
        <v>438</v>
      </c>
      <c r="C1231" s="10">
        <v>39158</v>
      </c>
      <c r="D1231" s="10">
        <v>39158</v>
      </c>
      <c r="E1231" s="18">
        <v>0</v>
      </c>
      <c r="F1231" s="13" t="str">
        <f t="shared" si="29"/>
        <v>On-time</v>
      </c>
      <c r="G1231" s="19" t="str">
        <f>_xlfn.XLOOKUP(B1231,tblARV[ASN/DN '#],tblARV[Country],"Not found")</f>
        <v>Rwanda</v>
      </c>
      <c r="H1231" s="19" t="str">
        <f>_xlfn.XLOOKUP($B1231,tblARV[ASN/DN '#],tblARV[Fulfill Via],"Not found")</f>
        <v>From RDC</v>
      </c>
      <c r="I1231" s="19" t="str">
        <f>_xlfn.XLOOKUP($B1231,tblARV[ASN/DN '#],tblARV[Vendor],"Not found")</f>
        <v>SCMS from RDC</v>
      </c>
    </row>
    <row r="1232" spans="2:9" ht="15">
      <c r="B1232" s="7" t="s">
        <v>306</v>
      </c>
      <c r="C1232" s="10">
        <v>39426</v>
      </c>
      <c r="D1232" s="10">
        <v>39426</v>
      </c>
      <c r="E1232" s="18">
        <v>0</v>
      </c>
      <c r="F1232" s="13" t="str">
        <f t="shared" si="29"/>
        <v>On-time</v>
      </c>
      <c r="G1232" s="19" t="str">
        <f>_xlfn.XLOOKUP(B1232,tblARV[ASN/DN '#],tblARV[Country],"Not found")</f>
        <v>Uganda</v>
      </c>
      <c r="H1232" s="19" t="str">
        <f>_xlfn.XLOOKUP($B1232,tblARV[ASN/DN '#],tblARV[Fulfill Via],"Not found")</f>
        <v>From RDC</v>
      </c>
      <c r="I1232" s="19" t="str">
        <f>_xlfn.XLOOKUP($B1232,tblARV[ASN/DN '#],tblARV[Vendor],"Not found")</f>
        <v>SCMS from RDC</v>
      </c>
    </row>
    <row r="1233" spans="2:9" ht="15">
      <c r="B1233" s="7" t="s">
        <v>2142</v>
      </c>
      <c r="C1233" s="10">
        <v>42216</v>
      </c>
      <c r="D1233" s="10">
        <v>42195</v>
      </c>
      <c r="E1233" s="18">
        <v>-21</v>
      </c>
      <c r="F1233" s="13" t="str">
        <f t="shared" si="29"/>
        <v>On-time</v>
      </c>
      <c r="G1233" s="19" t="str">
        <f>_xlfn.XLOOKUP(B1233,tblARV[ASN/DN '#],tblARV[Country],"Not found")</f>
        <v>Burundi</v>
      </c>
      <c r="H1233" s="19" t="str">
        <f>_xlfn.XLOOKUP($B1233,tblARV[ASN/DN '#],tblARV[Fulfill Via],"Not found")</f>
        <v>From RDC</v>
      </c>
      <c r="I1233" s="19" t="str">
        <f>_xlfn.XLOOKUP($B1233,tblARV[ASN/DN '#],tblARV[Vendor],"Not found")</f>
        <v>SCMS from RDC</v>
      </c>
    </row>
    <row r="1234" spans="2:9" ht="15">
      <c r="B1234" s="7" t="s">
        <v>1717</v>
      </c>
      <c r="C1234" s="10">
        <v>42216</v>
      </c>
      <c r="D1234" s="10">
        <v>42208</v>
      </c>
      <c r="E1234" s="18">
        <v>-24</v>
      </c>
      <c r="F1234" s="13" t="str">
        <f t="shared" si="29"/>
        <v>On-time</v>
      </c>
      <c r="G1234" s="19" t="str">
        <f>_xlfn.XLOOKUP(B1234,tblARV[ASN/DN '#],tblARV[Country],"Not found")</f>
        <v>Uganda</v>
      </c>
      <c r="H1234" s="19" t="str">
        <f>_xlfn.XLOOKUP($B1234,tblARV[ASN/DN '#],tblARV[Fulfill Via],"Not found")</f>
        <v>From RDC</v>
      </c>
      <c r="I1234" s="19" t="str">
        <f>_xlfn.XLOOKUP($B1234,tblARV[ASN/DN '#],tblARV[Vendor],"Not found")</f>
        <v>SCMS from RDC</v>
      </c>
    </row>
    <row r="1235" spans="2:9" ht="15">
      <c r="B1235" s="7" t="s">
        <v>1719</v>
      </c>
      <c r="C1235" s="10">
        <v>42216</v>
      </c>
      <c r="D1235" s="10">
        <v>42208</v>
      </c>
      <c r="E1235" s="18">
        <v>-24</v>
      </c>
      <c r="F1235" s="13" t="str">
        <f t="shared" si="29"/>
        <v>On-time</v>
      </c>
      <c r="G1235" s="19" t="str">
        <f>_xlfn.XLOOKUP(B1235,tblARV[ASN/DN '#],tblARV[Country],"Not found")</f>
        <v>Uganda</v>
      </c>
      <c r="H1235" s="19" t="str">
        <f>_xlfn.XLOOKUP($B1235,tblARV[ASN/DN '#],tblARV[Fulfill Via],"Not found")</f>
        <v>From RDC</v>
      </c>
      <c r="I1235" s="19" t="str">
        <f>_xlfn.XLOOKUP($B1235,tblARV[ASN/DN '#],tblARV[Vendor],"Not found")</f>
        <v>SCMS from RDC</v>
      </c>
    </row>
    <row r="1236" spans="2:9" ht="15">
      <c r="B1236" s="7" t="s">
        <v>2697</v>
      </c>
      <c r="C1236" s="10">
        <v>42234</v>
      </c>
      <c r="D1236" s="10">
        <v>42241</v>
      </c>
      <c r="E1236" s="18">
        <v>7</v>
      </c>
      <c r="F1236" s="13" t="str">
        <f t="shared" si="29"/>
        <v>Late</v>
      </c>
      <c r="G1236" s="19" t="str">
        <f>_xlfn.XLOOKUP(B1236,tblARV[ASN/DN '#],tblARV[Country],"Not found")</f>
        <v>Rwanda</v>
      </c>
      <c r="H1236" s="19" t="str">
        <f>_xlfn.XLOOKUP($B1236,tblARV[ASN/DN '#],tblARV[Fulfill Via],"Not found")</f>
        <v>From RDC</v>
      </c>
      <c r="I1236" s="19" t="str">
        <f>_xlfn.XLOOKUP($B1236,tblARV[ASN/DN '#],tblARV[Vendor],"Not found")</f>
        <v>SCMS from RDC</v>
      </c>
    </row>
    <row r="1237" spans="2:9" ht="15">
      <c r="B1237" s="7" t="s">
        <v>1721</v>
      </c>
      <c r="C1237" s="10">
        <v>42230</v>
      </c>
      <c r="D1237" s="10">
        <v>42224</v>
      </c>
      <c r="E1237" s="18">
        <v>-12</v>
      </c>
      <c r="F1237" s="13" t="str">
        <f t="shared" ref="F1237:F1300" si="30">IF($E1237&lt;=0,"On-time","Late")</f>
        <v>On-time</v>
      </c>
      <c r="G1237" s="19" t="str">
        <f>_xlfn.XLOOKUP(B1237,tblARV[ASN/DN '#],tblARV[Country],"Not found")</f>
        <v>Uganda</v>
      </c>
      <c r="H1237" s="19" t="str">
        <f>_xlfn.XLOOKUP($B1237,tblARV[ASN/DN '#],tblARV[Fulfill Via],"Not found")</f>
        <v>From RDC</v>
      </c>
      <c r="I1237" s="19" t="str">
        <f>_xlfn.XLOOKUP($B1237,tblARV[ASN/DN '#],tblARV[Vendor],"Not found")</f>
        <v>SCMS from RDC</v>
      </c>
    </row>
    <row r="1238" spans="2:9" ht="15">
      <c r="B1238" s="7" t="s">
        <v>1932</v>
      </c>
      <c r="C1238" s="10">
        <v>42234</v>
      </c>
      <c r="D1238" s="10">
        <v>42222</v>
      </c>
      <c r="E1238" s="18">
        <v>-24</v>
      </c>
      <c r="F1238" s="13" t="str">
        <f t="shared" si="30"/>
        <v>On-time</v>
      </c>
      <c r="G1238" s="19" t="str">
        <f>_xlfn.XLOOKUP(B1238,tblARV[ASN/DN '#],tblARV[Country],"Not found")</f>
        <v>Rwanda</v>
      </c>
      <c r="H1238" s="19" t="str">
        <f>_xlfn.XLOOKUP($B1238,tblARV[ASN/DN '#],tblARV[Fulfill Via],"Not found")</f>
        <v>From RDC</v>
      </c>
      <c r="I1238" s="19" t="str">
        <f>_xlfn.XLOOKUP($B1238,tblARV[ASN/DN '#],tblARV[Vendor],"Not found")</f>
        <v>SCMS from RDC</v>
      </c>
    </row>
    <row r="1239" spans="2:9" ht="15">
      <c r="B1239" s="7" t="s">
        <v>2563</v>
      </c>
      <c r="C1239" s="10">
        <v>42277</v>
      </c>
      <c r="D1239" s="10">
        <v>42219</v>
      </c>
      <c r="E1239" s="18">
        <v>-58</v>
      </c>
      <c r="F1239" s="13" t="str">
        <f t="shared" si="30"/>
        <v>On-time</v>
      </c>
      <c r="G1239" s="19" t="str">
        <f>_xlfn.XLOOKUP(B1239,tblARV[ASN/DN '#],tblARV[Country],"Not found")</f>
        <v>Rwanda</v>
      </c>
      <c r="H1239" s="19" t="str">
        <f>_xlfn.XLOOKUP($B1239,tblARV[ASN/DN '#],tblARV[Fulfill Via],"Not found")</f>
        <v>From RDC</v>
      </c>
      <c r="I1239" s="19" t="str">
        <f>_xlfn.XLOOKUP($B1239,tblARV[ASN/DN '#],tblARV[Vendor],"Not found")</f>
        <v>SCMS from RDC</v>
      </c>
    </row>
    <row r="1240" spans="2:9" ht="15">
      <c r="B1240" s="7" t="s">
        <v>1723</v>
      </c>
      <c r="C1240" s="10">
        <v>42255</v>
      </c>
      <c r="D1240" s="10">
        <v>42242</v>
      </c>
      <c r="E1240" s="18">
        <v>-26</v>
      </c>
      <c r="F1240" s="13" t="str">
        <f t="shared" si="30"/>
        <v>On-time</v>
      </c>
      <c r="G1240" s="19" t="str">
        <f>_xlfn.XLOOKUP(B1240,tblARV[ASN/DN '#],tblARV[Country],"Not found")</f>
        <v>Rwanda</v>
      </c>
      <c r="H1240" s="19" t="str">
        <f>_xlfn.XLOOKUP($B1240,tblARV[ASN/DN '#],tblARV[Fulfill Via],"Not found")</f>
        <v>From RDC</v>
      </c>
      <c r="I1240" s="19" t="str">
        <f>_xlfn.XLOOKUP($B1240,tblARV[ASN/DN '#],tblARV[Vendor],"Not found")</f>
        <v>SCMS from RDC</v>
      </c>
    </row>
    <row r="1241" spans="2:9" ht="15">
      <c r="B1241" s="7" t="s">
        <v>2146</v>
      </c>
      <c r="C1241" s="10">
        <v>42255</v>
      </c>
      <c r="D1241" s="10">
        <v>42242</v>
      </c>
      <c r="E1241" s="18">
        <v>-13</v>
      </c>
      <c r="F1241" s="13" t="str">
        <f t="shared" si="30"/>
        <v>On-time</v>
      </c>
      <c r="G1241" s="19" t="str">
        <f>_xlfn.XLOOKUP(B1241,tblARV[ASN/DN '#],tblARV[Country],"Not found")</f>
        <v>Rwanda</v>
      </c>
      <c r="H1241" s="19" t="str">
        <f>_xlfn.XLOOKUP($B1241,tblARV[ASN/DN '#],tblARV[Fulfill Via],"Not found")</f>
        <v>From RDC</v>
      </c>
      <c r="I1241" s="19" t="str">
        <f>_xlfn.XLOOKUP($B1241,tblARV[ASN/DN '#],tblARV[Vendor],"Not found")</f>
        <v>SCMS from RDC</v>
      </c>
    </row>
    <row r="1242" spans="2:9" ht="15">
      <c r="B1242" s="7" t="s">
        <v>308</v>
      </c>
      <c r="C1242" s="10">
        <v>39426</v>
      </c>
      <c r="D1242" s="10">
        <v>39426</v>
      </c>
      <c r="E1242" s="18">
        <v>0</v>
      </c>
      <c r="F1242" s="13" t="str">
        <f t="shared" si="30"/>
        <v>On-time</v>
      </c>
      <c r="G1242" s="19" t="str">
        <f>_xlfn.XLOOKUP(B1242,tblARV[ASN/DN '#],tblARV[Country],"Not found")</f>
        <v>Uganda</v>
      </c>
      <c r="H1242" s="19" t="str">
        <f>_xlfn.XLOOKUP($B1242,tblARV[ASN/DN '#],tblARV[Fulfill Via],"Not found")</f>
        <v>From RDC</v>
      </c>
      <c r="I1242" s="19" t="str">
        <f>_xlfn.XLOOKUP($B1242,tblARV[ASN/DN '#],tblARV[Vendor],"Not found")</f>
        <v>SCMS from RDC</v>
      </c>
    </row>
    <row r="1243" spans="2:9" ht="15">
      <c r="B1243" s="7" t="s">
        <v>228</v>
      </c>
      <c r="C1243" s="10">
        <v>39412</v>
      </c>
      <c r="D1243" s="10">
        <v>39412</v>
      </c>
      <c r="E1243" s="18">
        <v>0</v>
      </c>
      <c r="F1243" s="13" t="str">
        <f t="shared" si="30"/>
        <v>On-time</v>
      </c>
      <c r="G1243" s="19" t="str">
        <f>_xlfn.XLOOKUP(B1243,tblARV[ASN/DN '#],tblARV[Country],"Not found")</f>
        <v>Ethiopia</v>
      </c>
      <c r="H1243" s="19" t="str">
        <f>_xlfn.XLOOKUP($B1243,tblARV[ASN/DN '#],tblARV[Fulfill Via],"Not found")</f>
        <v>From RDC</v>
      </c>
      <c r="I1243" s="19" t="str">
        <f>_xlfn.XLOOKUP($B1243,tblARV[ASN/DN '#],tblARV[Vendor],"Not found")</f>
        <v>SCMS from RDC</v>
      </c>
    </row>
    <row r="1244" spans="2:9" ht="15">
      <c r="B1244" s="7" t="s">
        <v>246</v>
      </c>
      <c r="C1244" s="10">
        <v>39526</v>
      </c>
      <c r="D1244" s="10">
        <v>39526</v>
      </c>
      <c r="E1244" s="18">
        <v>0</v>
      </c>
      <c r="F1244" s="13" t="str">
        <f t="shared" si="30"/>
        <v>On-time</v>
      </c>
      <c r="G1244" s="19" t="str">
        <f>_xlfn.XLOOKUP(B1244,tblARV[ASN/DN '#],tblARV[Country],"Not found")</f>
        <v>Uganda</v>
      </c>
      <c r="H1244" s="19" t="str">
        <f>_xlfn.XLOOKUP($B1244,tblARV[ASN/DN '#],tblARV[Fulfill Via],"Not found")</f>
        <v>From RDC</v>
      </c>
      <c r="I1244" s="19" t="str">
        <f>_xlfn.XLOOKUP($B1244,tblARV[ASN/DN '#],tblARV[Vendor],"Not found")</f>
        <v>SCMS from RDC</v>
      </c>
    </row>
    <row r="1245" spans="2:9" ht="15">
      <c r="B1245" s="7" t="s">
        <v>442</v>
      </c>
      <c r="C1245" s="10">
        <v>39462</v>
      </c>
      <c r="D1245" s="10">
        <v>39462</v>
      </c>
      <c r="E1245" s="18">
        <v>0</v>
      </c>
      <c r="F1245" s="13" t="str">
        <f t="shared" si="30"/>
        <v>On-time</v>
      </c>
      <c r="G1245" s="19" t="str">
        <f>_xlfn.XLOOKUP(B1245,tblARV[ASN/DN '#],tblARV[Country],"Not found")</f>
        <v>Uganda</v>
      </c>
      <c r="H1245" s="19" t="str">
        <f>_xlfn.XLOOKUP($B1245,tblARV[ASN/DN '#],tblARV[Fulfill Via],"Not found")</f>
        <v>From RDC</v>
      </c>
      <c r="I1245" s="19" t="str">
        <f>_xlfn.XLOOKUP($B1245,tblARV[ASN/DN '#],tblARV[Vendor],"Not found")</f>
        <v>SCMS from RDC</v>
      </c>
    </row>
    <row r="1246" spans="2:9" ht="15">
      <c r="B1246" s="7" t="s">
        <v>524</v>
      </c>
      <c r="C1246" s="10">
        <v>39436</v>
      </c>
      <c r="D1246" s="10">
        <v>39436</v>
      </c>
      <c r="E1246" s="18">
        <v>0</v>
      </c>
      <c r="F1246" s="13" t="str">
        <f t="shared" si="30"/>
        <v>On-time</v>
      </c>
      <c r="G1246" s="19" t="str">
        <f>_xlfn.XLOOKUP(B1246,tblARV[ASN/DN '#],tblARV[Country],"Not found")</f>
        <v>Ethiopia</v>
      </c>
      <c r="H1246" s="19" t="str">
        <f>_xlfn.XLOOKUP($B1246,tblARV[ASN/DN '#],tblARV[Fulfill Via],"Not found")</f>
        <v>From RDC</v>
      </c>
      <c r="I1246" s="19" t="str">
        <f>_xlfn.XLOOKUP($B1246,tblARV[ASN/DN '#],tblARV[Vendor],"Not found")</f>
        <v>SCMS from RDC</v>
      </c>
    </row>
    <row r="1247" spans="2:9" ht="15">
      <c r="B1247" s="7" t="s">
        <v>530</v>
      </c>
      <c r="C1247" s="10">
        <v>39478</v>
      </c>
      <c r="D1247" s="10">
        <v>39478</v>
      </c>
      <c r="E1247" s="18">
        <v>0</v>
      </c>
      <c r="F1247" s="13" t="str">
        <f t="shared" si="30"/>
        <v>On-time</v>
      </c>
      <c r="G1247" s="19" t="str">
        <f>_xlfn.XLOOKUP(B1247,tblARV[ASN/DN '#],tblARV[Country],"Not found")</f>
        <v>Rwanda</v>
      </c>
      <c r="H1247" s="19" t="str">
        <f>_xlfn.XLOOKUP($B1247,tblARV[ASN/DN '#],tblARV[Fulfill Via],"Not found")</f>
        <v>From RDC</v>
      </c>
      <c r="I1247" s="19" t="str">
        <f>_xlfn.XLOOKUP($B1247,tblARV[ASN/DN '#],tblARV[Vendor],"Not found")</f>
        <v>SCMS from RDC</v>
      </c>
    </row>
    <row r="1248" spans="2:9" ht="15">
      <c r="B1248" s="7" t="s">
        <v>322</v>
      </c>
      <c r="C1248" s="10">
        <v>39457</v>
      </c>
      <c r="D1248" s="10">
        <v>39457</v>
      </c>
      <c r="E1248" s="18">
        <v>0</v>
      </c>
      <c r="F1248" s="13" t="str">
        <f t="shared" si="30"/>
        <v>On-time</v>
      </c>
      <c r="G1248" s="19" t="str">
        <f>_xlfn.XLOOKUP(B1248,tblARV[ASN/DN '#],tblARV[Country],"Not found")</f>
        <v>Ethiopia</v>
      </c>
      <c r="H1248" s="19" t="str">
        <f>_xlfn.XLOOKUP($B1248,tblARV[ASN/DN '#],tblARV[Fulfill Via],"Not found")</f>
        <v>From RDC</v>
      </c>
      <c r="I1248" s="19" t="str">
        <f>_xlfn.XLOOKUP($B1248,tblARV[ASN/DN '#],tblARV[Vendor],"Not found")</f>
        <v>SCMS from RDC</v>
      </c>
    </row>
    <row r="1249" spans="2:9" ht="15">
      <c r="B1249" s="7" t="s">
        <v>446</v>
      </c>
      <c r="C1249" s="10">
        <v>39430</v>
      </c>
      <c r="D1249" s="10">
        <v>39430</v>
      </c>
      <c r="E1249" s="18">
        <v>0</v>
      </c>
      <c r="F1249" s="13" t="str">
        <f t="shared" si="30"/>
        <v>On-time</v>
      </c>
      <c r="G1249" s="19" t="str">
        <f>_xlfn.XLOOKUP(B1249,tblARV[ASN/DN '#],tblARV[Country],"Not found")</f>
        <v>Ethiopia</v>
      </c>
      <c r="H1249" s="19" t="str">
        <f>_xlfn.XLOOKUP($B1249,tblARV[ASN/DN '#],tblARV[Fulfill Via],"Not found")</f>
        <v>From RDC</v>
      </c>
      <c r="I1249" s="19" t="str">
        <f>_xlfn.XLOOKUP($B1249,tblARV[ASN/DN '#],tblARV[Vendor],"Not found")</f>
        <v>SCMS from RDC</v>
      </c>
    </row>
    <row r="1250" spans="2:9" ht="15">
      <c r="B1250" s="7" t="s">
        <v>314</v>
      </c>
      <c r="C1250" s="10">
        <v>39436</v>
      </c>
      <c r="D1250" s="10">
        <v>39436</v>
      </c>
      <c r="E1250" s="18">
        <v>0</v>
      </c>
      <c r="F1250" s="13" t="str">
        <f t="shared" si="30"/>
        <v>On-time</v>
      </c>
      <c r="G1250" s="19" t="str">
        <f>_xlfn.XLOOKUP(B1250,tblARV[ASN/DN '#],tblARV[Country],"Not found")</f>
        <v>Ethiopia</v>
      </c>
      <c r="H1250" s="19" t="str">
        <f>_xlfn.XLOOKUP($B1250,tblARV[ASN/DN '#],tblARV[Fulfill Via],"Not found")</f>
        <v>From RDC</v>
      </c>
      <c r="I1250" s="19" t="str">
        <f>_xlfn.XLOOKUP($B1250,tblARV[ASN/DN '#],tblARV[Vendor],"Not found")</f>
        <v>SCMS from RDC</v>
      </c>
    </row>
    <row r="1251" spans="2:9" ht="15">
      <c r="B1251" s="7" t="s">
        <v>625</v>
      </c>
      <c r="C1251" s="10">
        <v>39478</v>
      </c>
      <c r="D1251" s="10">
        <v>39478</v>
      </c>
      <c r="E1251" s="18">
        <v>0</v>
      </c>
      <c r="F1251" s="13" t="str">
        <f t="shared" si="30"/>
        <v>On-time</v>
      </c>
      <c r="G1251" s="19" t="str">
        <f>_xlfn.XLOOKUP(B1251,tblARV[ASN/DN '#],tblARV[Country],"Not found")</f>
        <v>Ethiopia</v>
      </c>
      <c r="H1251" s="19" t="str">
        <f>_xlfn.XLOOKUP($B1251,tblARV[ASN/DN '#],tblARV[Fulfill Via],"Not found")</f>
        <v>From RDC</v>
      </c>
      <c r="I1251" s="19" t="str">
        <f>_xlfn.XLOOKUP($B1251,tblARV[ASN/DN '#],tblARV[Vendor],"Not found")</f>
        <v>SCMS from RDC</v>
      </c>
    </row>
    <row r="1252" spans="2:9" ht="15">
      <c r="B1252" s="7" t="s">
        <v>669</v>
      </c>
      <c r="C1252" s="10">
        <v>39436</v>
      </c>
      <c r="D1252" s="10">
        <v>39436</v>
      </c>
      <c r="E1252" s="18">
        <v>0</v>
      </c>
      <c r="F1252" s="13" t="str">
        <f t="shared" si="30"/>
        <v>On-time</v>
      </c>
      <c r="G1252" s="19" t="str">
        <f>_xlfn.XLOOKUP(B1252,tblARV[ASN/DN '#],tblARV[Country],"Not found")</f>
        <v>Ethiopia</v>
      </c>
      <c r="H1252" s="19" t="str">
        <f>_xlfn.XLOOKUP($B1252,tblARV[ASN/DN '#],tblARV[Fulfill Via],"Not found")</f>
        <v>From RDC</v>
      </c>
      <c r="I1252" s="19" t="str">
        <f>_xlfn.XLOOKUP($B1252,tblARV[ASN/DN '#],tblARV[Vendor],"Not found")</f>
        <v>SCMS from RDC</v>
      </c>
    </row>
    <row r="1253" spans="2:9" ht="15">
      <c r="B1253" s="7" t="s">
        <v>574</v>
      </c>
      <c r="C1253" s="10">
        <v>39436</v>
      </c>
      <c r="D1253" s="10">
        <v>39436</v>
      </c>
      <c r="E1253" s="18">
        <v>0</v>
      </c>
      <c r="F1253" s="13" t="str">
        <f t="shared" si="30"/>
        <v>On-time</v>
      </c>
      <c r="G1253" s="19" t="str">
        <f>_xlfn.XLOOKUP(B1253,tblARV[ASN/DN '#],tblARV[Country],"Not found")</f>
        <v>Ethiopia</v>
      </c>
      <c r="H1253" s="19" t="str">
        <f>_xlfn.XLOOKUP($B1253,tblARV[ASN/DN '#],tblARV[Fulfill Via],"Not found")</f>
        <v>From RDC</v>
      </c>
      <c r="I1253" s="19" t="str">
        <f>_xlfn.XLOOKUP($B1253,tblARV[ASN/DN '#],tblARV[Vendor],"Not found")</f>
        <v>SCMS from RDC</v>
      </c>
    </row>
    <row r="1254" spans="2:9" ht="15">
      <c r="B1254" s="7" t="s">
        <v>310</v>
      </c>
      <c r="C1254" s="10">
        <v>39498</v>
      </c>
      <c r="D1254" s="10">
        <v>39498</v>
      </c>
      <c r="E1254" s="18">
        <v>0</v>
      </c>
      <c r="F1254" s="13" t="str">
        <f t="shared" si="30"/>
        <v>On-time</v>
      </c>
      <c r="G1254" s="19" t="str">
        <f>_xlfn.XLOOKUP(B1254,tblARV[ASN/DN '#],tblARV[Country],"Not found")</f>
        <v>Ethiopia</v>
      </c>
      <c r="H1254" s="19" t="str">
        <f>_xlfn.XLOOKUP($B1254,tblARV[ASN/DN '#],tblARV[Fulfill Via],"Not found")</f>
        <v>From RDC</v>
      </c>
      <c r="I1254" s="19" t="str">
        <f>_xlfn.XLOOKUP($B1254,tblARV[ASN/DN '#],tblARV[Vendor],"Not found")</f>
        <v>SCMS from RDC</v>
      </c>
    </row>
    <row r="1255" spans="2:9" ht="15">
      <c r="B1255" s="7" t="s">
        <v>627</v>
      </c>
      <c r="C1255" s="10">
        <v>39482</v>
      </c>
      <c r="D1255" s="10">
        <v>39482</v>
      </c>
      <c r="E1255" s="18">
        <v>0</v>
      </c>
      <c r="F1255" s="13" t="str">
        <f t="shared" si="30"/>
        <v>On-time</v>
      </c>
      <c r="G1255" s="19" t="str">
        <f>_xlfn.XLOOKUP(B1255,tblARV[ASN/DN '#],tblARV[Country],"Not found")</f>
        <v>Ethiopia</v>
      </c>
      <c r="H1255" s="19" t="str">
        <f>_xlfn.XLOOKUP($B1255,tblARV[ASN/DN '#],tblARV[Fulfill Via],"Not found")</f>
        <v>From RDC</v>
      </c>
      <c r="I1255" s="19" t="str">
        <f>_xlfn.XLOOKUP($B1255,tblARV[ASN/DN '#],tblARV[Vendor],"Not found")</f>
        <v>SCMS from RDC</v>
      </c>
    </row>
    <row r="1256" spans="2:9" ht="15">
      <c r="B1256" s="7" t="s">
        <v>576</v>
      </c>
      <c r="C1256" s="10">
        <v>39436</v>
      </c>
      <c r="D1256" s="10">
        <v>39436</v>
      </c>
      <c r="E1256" s="18">
        <v>0</v>
      </c>
      <c r="F1256" s="13" t="str">
        <f t="shared" si="30"/>
        <v>On-time</v>
      </c>
      <c r="G1256" s="19" t="str">
        <f>_xlfn.XLOOKUP(B1256,tblARV[ASN/DN '#],tblARV[Country],"Not found")</f>
        <v>Ethiopia</v>
      </c>
      <c r="H1256" s="19" t="str">
        <f>_xlfn.XLOOKUP($B1256,tblARV[ASN/DN '#],tblARV[Fulfill Via],"Not found")</f>
        <v>From RDC</v>
      </c>
      <c r="I1256" s="19" t="str">
        <f>_xlfn.XLOOKUP($B1256,tblARV[ASN/DN '#],tblARV[Vendor],"Not found")</f>
        <v>SCMS from RDC</v>
      </c>
    </row>
    <row r="1257" spans="2:9" ht="15">
      <c r="B1257" s="7" t="s">
        <v>528</v>
      </c>
      <c r="C1257" s="10">
        <v>39436</v>
      </c>
      <c r="D1257" s="10">
        <v>39436</v>
      </c>
      <c r="E1257" s="18">
        <v>0</v>
      </c>
      <c r="F1257" s="13" t="str">
        <f t="shared" si="30"/>
        <v>On-time</v>
      </c>
      <c r="G1257" s="19" t="str">
        <f>_xlfn.XLOOKUP(B1257,tblARV[ASN/DN '#],tblARV[Country],"Not found")</f>
        <v>Ethiopia</v>
      </c>
      <c r="H1257" s="19" t="str">
        <f>_xlfn.XLOOKUP($B1257,tblARV[ASN/DN '#],tblARV[Fulfill Via],"Not found")</f>
        <v>From RDC</v>
      </c>
      <c r="I1257" s="19" t="str">
        <f>_xlfn.XLOOKUP($B1257,tblARV[ASN/DN '#],tblARV[Vendor],"Not found")</f>
        <v>SCMS from RDC</v>
      </c>
    </row>
    <row r="1258" spans="2:9" ht="15">
      <c r="B1258" s="7" t="s">
        <v>316</v>
      </c>
      <c r="C1258" s="10">
        <v>39436</v>
      </c>
      <c r="D1258" s="10">
        <v>39436</v>
      </c>
      <c r="E1258" s="18">
        <v>0</v>
      </c>
      <c r="F1258" s="13" t="str">
        <f t="shared" si="30"/>
        <v>On-time</v>
      </c>
      <c r="G1258" s="19" t="str">
        <f>_xlfn.XLOOKUP(B1258,tblARV[ASN/DN '#],tblARV[Country],"Not found")</f>
        <v>Ethiopia</v>
      </c>
      <c r="H1258" s="19" t="str">
        <f>_xlfn.XLOOKUP($B1258,tblARV[ASN/DN '#],tblARV[Fulfill Via],"Not found")</f>
        <v>From RDC</v>
      </c>
      <c r="I1258" s="19" t="str">
        <f>_xlfn.XLOOKUP($B1258,tblARV[ASN/DN '#],tblARV[Vendor],"Not found")</f>
        <v>SCMS from RDC</v>
      </c>
    </row>
    <row r="1259" spans="2:9" ht="15">
      <c r="B1259" s="7" t="s">
        <v>392</v>
      </c>
      <c r="C1259" s="10">
        <v>39436</v>
      </c>
      <c r="D1259" s="10">
        <v>39436</v>
      </c>
      <c r="E1259" s="18">
        <v>0</v>
      </c>
      <c r="F1259" s="13" t="str">
        <f t="shared" si="30"/>
        <v>On-time</v>
      </c>
      <c r="G1259" s="19" t="str">
        <f>_xlfn.XLOOKUP(B1259,tblARV[ASN/DN '#],tblARV[Country],"Not found")</f>
        <v>Ethiopia</v>
      </c>
      <c r="H1259" s="19" t="str">
        <f>_xlfn.XLOOKUP($B1259,tblARV[ASN/DN '#],tblARV[Fulfill Via],"Not found")</f>
        <v>From RDC</v>
      </c>
      <c r="I1259" s="19" t="str">
        <f>_xlfn.XLOOKUP($B1259,tblARV[ASN/DN '#],tblARV[Vendor],"Not found")</f>
        <v>SCMS from RDC</v>
      </c>
    </row>
    <row r="1260" spans="2:9" ht="15">
      <c r="B1260" s="7" t="s">
        <v>318</v>
      </c>
      <c r="C1260" s="10">
        <v>39433</v>
      </c>
      <c r="D1260" s="10">
        <v>39433</v>
      </c>
      <c r="E1260" s="18">
        <v>0</v>
      </c>
      <c r="F1260" s="13" t="str">
        <f t="shared" si="30"/>
        <v>On-time</v>
      </c>
      <c r="G1260" s="19" t="str">
        <f>_xlfn.XLOOKUP(B1260,tblARV[ASN/DN '#],tblARV[Country],"Not found")</f>
        <v>Ethiopia</v>
      </c>
      <c r="H1260" s="19" t="str">
        <f>_xlfn.XLOOKUP($B1260,tblARV[ASN/DN '#],tblARV[Fulfill Via],"Not found")</f>
        <v>From RDC</v>
      </c>
      <c r="I1260" s="19" t="str">
        <f>_xlfn.XLOOKUP($B1260,tblARV[ASN/DN '#],tblARV[Vendor],"Not found")</f>
        <v>SCMS from RDC</v>
      </c>
    </row>
    <row r="1261" spans="2:9" ht="15">
      <c r="B1261" s="7" t="s">
        <v>674</v>
      </c>
      <c r="C1261" s="10">
        <v>39493</v>
      </c>
      <c r="D1261" s="10">
        <v>39493</v>
      </c>
      <c r="E1261" s="18">
        <v>0</v>
      </c>
      <c r="F1261" s="13" t="str">
        <f t="shared" si="30"/>
        <v>On-time</v>
      </c>
      <c r="G1261" s="19" t="str">
        <f>_xlfn.XLOOKUP(B1261,tblARV[ASN/DN '#],tblARV[Country],"Not found")</f>
        <v>Uganda</v>
      </c>
      <c r="H1261" s="19" t="str">
        <f>_xlfn.XLOOKUP($B1261,tblARV[ASN/DN '#],tblARV[Fulfill Via],"Not found")</f>
        <v>From RDC</v>
      </c>
      <c r="I1261" s="19" t="str">
        <f>_xlfn.XLOOKUP($B1261,tblARV[ASN/DN '#],tblARV[Vendor],"Not found")</f>
        <v>SCMS from RDC</v>
      </c>
    </row>
    <row r="1262" spans="2:9" ht="15">
      <c r="B1262" s="7" t="s">
        <v>623</v>
      </c>
      <c r="C1262" s="10">
        <v>39436</v>
      </c>
      <c r="D1262" s="10">
        <v>39441</v>
      </c>
      <c r="E1262" s="18">
        <v>5</v>
      </c>
      <c r="F1262" s="13" t="str">
        <f t="shared" si="30"/>
        <v>Late</v>
      </c>
      <c r="G1262" s="19" t="str">
        <f>_xlfn.XLOOKUP(B1262,tblARV[ASN/DN '#],tblARV[Country],"Not found")</f>
        <v>Ethiopia</v>
      </c>
      <c r="H1262" s="19" t="str">
        <f>_xlfn.XLOOKUP($B1262,tblARV[ASN/DN '#],tblARV[Fulfill Via],"Not found")</f>
        <v>From RDC</v>
      </c>
      <c r="I1262" s="19" t="str">
        <f>_xlfn.XLOOKUP($B1262,tblARV[ASN/DN '#],tblARV[Vendor],"Not found")</f>
        <v>SCMS from RDC</v>
      </c>
    </row>
    <row r="1263" spans="2:9" ht="15">
      <c r="B1263" s="7" t="s">
        <v>450</v>
      </c>
      <c r="C1263" s="10">
        <v>39436</v>
      </c>
      <c r="D1263" s="10">
        <v>39463</v>
      </c>
      <c r="E1263" s="18">
        <v>27</v>
      </c>
      <c r="F1263" s="13" t="str">
        <f t="shared" si="30"/>
        <v>Late</v>
      </c>
      <c r="G1263" s="19" t="str">
        <f>_xlfn.XLOOKUP(B1263,tblARV[ASN/DN '#],tblARV[Country],"Not found")</f>
        <v>Ethiopia</v>
      </c>
      <c r="H1263" s="19" t="str">
        <f>_xlfn.XLOOKUP($B1263,tblARV[ASN/DN '#],tblARV[Fulfill Via],"Not found")</f>
        <v>From RDC</v>
      </c>
      <c r="I1263" s="19" t="str">
        <f>_xlfn.XLOOKUP($B1263,tblARV[ASN/DN '#],tblARV[Vendor],"Not found")</f>
        <v>SCMS from RDC</v>
      </c>
    </row>
    <row r="1264" spans="2:9" ht="15">
      <c r="B1264" s="7" t="s">
        <v>672</v>
      </c>
      <c r="C1264" s="10">
        <v>39436</v>
      </c>
      <c r="D1264" s="10">
        <v>39456</v>
      </c>
      <c r="E1264" s="18">
        <v>20</v>
      </c>
      <c r="F1264" s="13" t="str">
        <f t="shared" si="30"/>
        <v>Late</v>
      </c>
      <c r="G1264" s="19" t="str">
        <f>_xlfn.XLOOKUP(B1264,tblARV[ASN/DN '#],tblARV[Country],"Not found")</f>
        <v>Ethiopia</v>
      </c>
      <c r="H1264" s="19" t="str">
        <f>_xlfn.XLOOKUP($B1264,tblARV[ASN/DN '#],tblARV[Fulfill Via],"Not found")</f>
        <v>From RDC</v>
      </c>
      <c r="I1264" s="19" t="str">
        <f>_xlfn.XLOOKUP($B1264,tblARV[ASN/DN '#],tblARV[Vendor],"Not found")</f>
        <v>SCMS from RDC</v>
      </c>
    </row>
    <row r="1265" spans="2:9" ht="15">
      <c r="B1265" s="7" t="s">
        <v>536</v>
      </c>
      <c r="C1265" s="10">
        <v>39476</v>
      </c>
      <c r="D1265" s="10">
        <v>39476</v>
      </c>
      <c r="E1265" s="18">
        <v>0</v>
      </c>
      <c r="F1265" s="13" t="str">
        <f t="shared" si="30"/>
        <v>On-time</v>
      </c>
      <c r="G1265" s="19" t="str">
        <f>_xlfn.XLOOKUP(B1265,tblARV[ASN/DN '#],tblARV[Country],"Not found")</f>
        <v>Ethiopia</v>
      </c>
      <c r="H1265" s="19" t="str">
        <f>_xlfn.XLOOKUP($B1265,tblARV[ASN/DN '#],tblARV[Fulfill Via],"Not found")</f>
        <v>From RDC</v>
      </c>
      <c r="I1265" s="19" t="str">
        <f>_xlfn.XLOOKUP($B1265,tblARV[ASN/DN '#],tblARV[Vendor],"Not found")</f>
        <v>SCMS from RDC</v>
      </c>
    </row>
    <row r="1266" spans="2:9" ht="15">
      <c r="B1266" s="7" t="s">
        <v>534</v>
      </c>
      <c r="C1266" s="10">
        <v>39518</v>
      </c>
      <c r="D1266" s="10">
        <v>39518</v>
      </c>
      <c r="E1266" s="18">
        <v>0</v>
      </c>
      <c r="F1266" s="13" t="str">
        <f t="shared" si="30"/>
        <v>On-time</v>
      </c>
      <c r="G1266" s="19" t="str">
        <f>_xlfn.XLOOKUP(B1266,tblARV[ASN/DN '#],tblARV[Country],"Not found")</f>
        <v>Uganda</v>
      </c>
      <c r="H1266" s="19" t="str">
        <f>_xlfn.XLOOKUP($B1266,tblARV[ASN/DN '#],tblARV[Fulfill Via],"Not found")</f>
        <v>From RDC</v>
      </c>
      <c r="I1266" s="19" t="str">
        <f>_xlfn.XLOOKUP($B1266,tblARV[ASN/DN '#],tblARV[Vendor],"Not found")</f>
        <v>SCMS from RDC</v>
      </c>
    </row>
    <row r="1267" spans="2:9" ht="15">
      <c r="B1267" s="7" t="s">
        <v>232</v>
      </c>
      <c r="C1267" s="10">
        <v>39484</v>
      </c>
      <c r="D1267" s="10">
        <v>39484</v>
      </c>
      <c r="E1267" s="18">
        <v>0</v>
      </c>
      <c r="F1267" s="13" t="str">
        <f t="shared" si="30"/>
        <v>On-time</v>
      </c>
      <c r="G1267" s="19" t="str">
        <f>_xlfn.XLOOKUP(B1267,tblARV[ASN/DN '#],tblARV[Country],"Not found")</f>
        <v>Tanzania</v>
      </c>
      <c r="H1267" s="19" t="str">
        <f>_xlfn.XLOOKUP($B1267,tblARV[ASN/DN '#],tblARV[Fulfill Via],"Not found")</f>
        <v>From RDC</v>
      </c>
      <c r="I1267" s="19" t="str">
        <f>_xlfn.XLOOKUP($B1267,tblARV[ASN/DN '#],tblARV[Vendor],"Not found")</f>
        <v>SCMS from RDC</v>
      </c>
    </row>
    <row r="1268" spans="2:9" ht="15">
      <c r="B1268" s="7" t="s">
        <v>328</v>
      </c>
      <c r="C1268" s="10">
        <v>39503</v>
      </c>
      <c r="D1268" s="10">
        <v>39503</v>
      </c>
      <c r="E1268" s="18">
        <v>0</v>
      </c>
      <c r="F1268" s="13" t="str">
        <f t="shared" si="30"/>
        <v>On-time</v>
      </c>
      <c r="G1268" s="19" t="str">
        <f>_xlfn.XLOOKUP(B1268,tblARV[ASN/DN '#],tblARV[Country],"Not found")</f>
        <v>Tanzania</v>
      </c>
      <c r="H1268" s="19" t="str">
        <f>_xlfn.XLOOKUP($B1268,tblARV[ASN/DN '#],tblARV[Fulfill Via],"Not found")</f>
        <v>From RDC</v>
      </c>
      <c r="I1268" s="19" t="str">
        <f>_xlfn.XLOOKUP($B1268,tblARV[ASN/DN '#],tblARV[Vendor],"Not found")</f>
        <v>SCMS from RDC</v>
      </c>
    </row>
    <row r="1269" spans="2:9" ht="15">
      <c r="B1269" s="7" t="s">
        <v>324</v>
      </c>
      <c r="C1269" s="10">
        <v>39475</v>
      </c>
      <c r="D1269" s="10">
        <v>39475</v>
      </c>
      <c r="E1269" s="18">
        <v>0</v>
      </c>
      <c r="F1269" s="13" t="str">
        <f t="shared" si="30"/>
        <v>On-time</v>
      </c>
      <c r="G1269" s="19" t="str">
        <f>_xlfn.XLOOKUP(B1269,tblARV[ASN/DN '#],tblARV[Country],"Not found")</f>
        <v>Rwanda</v>
      </c>
      <c r="H1269" s="19" t="str">
        <f>_xlfn.XLOOKUP($B1269,tblARV[ASN/DN '#],tblARV[Fulfill Via],"Not found")</f>
        <v>From RDC</v>
      </c>
      <c r="I1269" s="19" t="str">
        <f>_xlfn.XLOOKUP($B1269,tblARV[ASN/DN '#],tblARV[Vendor],"Not found")</f>
        <v>SCMS from RDC</v>
      </c>
    </row>
    <row r="1270" spans="2:9" ht="15">
      <c r="B1270" s="7" t="s">
        <v>326</v>
      </c>
      <c r="C1270" s="10">
        <v>39478</v>
      </c>
      <c r="D1270" s="10">
        <v>39478</v>
      </c>
      <c r="E1270" s="18">
        <v>0</v>
      </c>
      <c r="F1270" s="13" t="str">
        <f t="shared" si="30"/>
        <v>On-time</v>
      </c>
      <c r="G1270" s="19" t="str">
        <f>_xlfn.XLOOKUP(B1270,tblARV[ASN/DN '#],tblARV[Country],"Not found")</f>
        <v>Ethiopia</v>
      </c>
      <c r="H1270" s="19" t="str">
        <f>_xlfn.XLOOKUP($B1270,tblARV[ASN/DN '#],tblARV[Fulfill Via],"Not found")</f>
        <v>From RDC</v>
      </c>
      <c r="I1270" s="19" t="str">
        <f>_xlfn.XLOOKUP($B1270,tblARV[ASN/DN '#],tblARV[Vendor],"Not found")</f>
        <v>SCMS from RDC</v>
      </c>
    </row>
    <row r="1271" spans="2:9" ht="15">
      <c r="B1271" s="7" t="s">
        <v>532</v>
      </c>
      <c r="C1271" s="10">
        <v>39479</v>
      </c>
      <c r="D1271" s="10">
        <v>39479</v>
      </c>
      <c r="E1271" s="18">
        <v>0</v>
      </c>
      <c r="F1271" s="13" t="str">
        <f t="shared" si="30"/>
        <v>On-time</v>
      </c>
      <c r="G1271" s="19" t="str">
        <f>_xlfn.XLOOKUP(B1271,tblARV[ASN/DN '#],tblARV[Country],"Not found")</f>
        <v>Ethiopia</v>
      </c>
      <c r="H1271" s="19" t="str">
        <f>_xlfn.XLOOKUP($B1271,tblARV[ASN/DN '#],tblARV[Fulfill Via],"Not found")</f>
        <v>From RDC</v>
      </c>
      <c r="I1271" s="19" t="str">
        <f>_xlfn.XLOOKUP($B1271,tblARV[ASN/DN '#],tblARV[Vendor],"Not found")</f>
        <v>SCMS from RDC</v>
      </c>
    </row>
    <row r="1272" spans="2:9" ht="15">
      <c r="B1272" s="7" t="s">
        <v>448</v>
      </c>
      <c r="C1272" s="10">
        <v>39485</v>
      </c>
      <c r="D1272" s="10">
        <v>39485</v>
      </c>
      <c r="E1272" s="18">
        <v>0</v>
      </c>
      <c r="F1272" s="13" t="str">
        <f t="shared" si="30"/>
        <v>On-time</v>
      </c>
      <c r="G1272" s="19" t="str">
        <f>_xlfn.XLOOKUP(B1272,tblARV[ASN/DN '#],tblARV[Country],"Not found")</f>
        <v>Ethiopia</v>
      </c>
      <c r="H1272" s="19" t="str">
        <f>_xlfn.XLOOKUP($B1272,tblARV[ASN/DN '#],tblARV[Fulfill Via],"Not found")</f>
        <v>From RDC</v>
      </c>
      <c r="I1272" s="19" t="str">
        <f>_xlfn.XLOOKUP($B1272,tblARV[ASN/DN '#],tblARV[Vendor],"Not found")</f>
        <v>SCMS from RDC</v>
      </c>
    </row>
    <row r="1273" spans="2:9" ht="15">
      <c r="B1273" s="7" t="s">
        <v>394</v>
      </c>
      <c r="C1273" s="10">
        <v>39475</v>
      </c>
      <c r="D1273" s="10">
        <v>39475</v>
      </c>
      <c r="E1273" s="18">
        <v>0</v>
      </c>
      <c r="F1273" s="13" t="str">
        <f t="shared" si="30"/>
        <v>On-time</v>
      </c>
      <c r="G1273" s="19" t="str">
        <f>_xlfn.XLOOKUP(B1273,tblARV[ASN/DN '#],tblARV[Country],"Not found")</f>
        <v>Rwanda</v>
      </c>
      <c r="H1273" s="19" t="str">
        <f>_xlfn.XLOOKUP($B1273,tblARV[ASN/DN '#],tblARV[Fulfill Via],"Not found")</f>
        <v>From RDC</v>
      </c>
      <c r="I1273" s="19" t="str">
        <f>_xlfn.XLOOKUP($B1273,tblARV[ASN/DN '#],tblARV[Vendor],"Not found")</f>
        <v>SCMS from RDC</v>
      </c>
    </row>
    <row r="1274" spans="2:9" ht="15">
      <c r="B1274" s="7" t="s">
        <v>234</v>
      </c>
      <c r="C1274" s="10">
        <v>39513</v>
      </c>
      <c r="D1274" s="10">
        <v>39513</v>
      </c>
      <c r="E1274" s="18">
        <v>0</v>
      </c>
      <c r="F1274" s="13" t="str">
        <f t="shared" si="30"/>
        <v>On-time</v>
      </c>
      <c r="G1274" s="19" t="str">
        <f>_xlfn.XLOOKUP(B1274,tblARV[ASN/DN '#],tblARV[Country],"Not found")</f>
        <v>Uganda</v>
      </c>
      <c r="H1274" s="19" t="str">
        <f>_xlfn.XLOOKUP($B1274,tblARV[ASN/DN '#],tblARV[Fulfill Via],"Not found")</f>
        <v>From RDC</v>
      </c>
      <c r="I1274" s="19" t="str">
        <f>_xlfn.XLOOKUP($B1274,tblARV[ASN/DN '#],tblARV[Vendor],"Not found")</f>
        <v>SCMS from RDC</v>
      </c>
    </row>
    <row r="1275" spans="2:9" ht="15">
      <c r="B1275" s="7" t="s">
        <v>240</v>
      </c>
      <c r="C1275" s="10">
        <v>39506</v>
      </c>
      <c r="D1275" s="10">
        <v>39506</v>
      </c>
      <c r="E1275" s="18">
        <v>0</v>
      </c>
      <c r="F1275" s="13" t="str">
        <f t="shared" si="30"/>
        <v>On-time</v>
      </c>
      <c r="G1275" s="19" t="str">
        <f>_xlfn.XLOOKUP(B1275,tblARV[ASN/DN '#],tblARV[Country],"Not found")</f>
        <v>Uganda</v>
      </c>
      <c r="H1275" s="19" t="str">
        <f>_xlfn.XLOOKUP($B1275,tblARV[ASN/DN '#],tblARV[Fulfill Via],"Not found")</f>
        <v>From RDC</v>
      </c>
      <c r="I1275" s="19" t="str">
        <f>_xlfn.XLOOKUP($B1275,tblARV[ASN/DN '#],tblARV[Vendor],"Not found")</f>
        <v>SCMS from RDC</v>
      </c>
    </row>
    <row r="1276" spans="2:9" ht="15">
      <c r="B1276" s="7" t="s">
        <v>444</v>
      </c>
      <c r="C1276" s="10">
        <v>39507</v>
      </c>
      <c r="D1276" s="10">
        <v>39507</v>
      </c>
      <c r="E1276" s="18">
        <v>0</v>
      </c>
      <c r="F1276" s="13" t="str">
        <f t="shared" si="30"/>
        <v>On-time</v>
      </c>
      <c r="G1276" s="19" t="str">
        <f>_xlfn.XLOOKUP(B1276,tblARV[ASN/DN '#],tblARV[Country],"Not found")</f>
        <v>Rwanda</v>
      </c>
      <c r="H1276" s="19" t="str">
        <f>_xlfn.XLOOKUP($B1276,tblARV[ASN/DN '#],tblARV[Fulfill Via],"Not found")</f>
        <v>From RDC</v>
      </c>
      <c r="I1276" s="19" t="str">
        <f>_xlfn.XLOOKUP($B1276,tblARV[ASN/DN '#],tblARV[Vendor],"Not found")</f>
        <v>SCMS from RDC</v>
      </c>
    </row>
    <row r="1277" spans="2:9" ht="15">
      <c r="B1277" s="7" t="s">
        <v>332</v>
      </c>
      <c r="C1277" s="10">
        <v>39483</v>
      </c>
      <c r="D1277" s="10">
        <v>39483</v>
      </c>
      <c r="E1277" s="18">
        <v>0</v>
      </c>
      <c r="F1277" s="13" t="str">
        <f t="shared" si="30"/>
        <v>On-time</v>
      </c>
      <c r="G1277" s="19" t="str">
        <f>_xlfn.XLOOKUP(B1277,tblARV[ASN/DN '#],tblARV[Country],"Not found")</f>
        <v>Ethiopia</v>
      </c>
      <c r="H1277" s="19" t="str">
        <f>_xlfn.XLOOKUP($B1277,tblARV[ASN/DN '#],tblARV[Fulfill Via],"Not found")</f>
        <v>From RDC</v>
      </c>
      <c r="I1277" s="19" t="str">
        <f>_xlfn.XLOOKUP($B1277,tblARV[ASN/DN '#],tblARV[Vendor],"Not found")</f>
        <v>SCMS from RDC</v>
      </c>
    </row>
    <row r="1278" spans="2:9" ht="15">
      <c r="B1278" s="7" t="s">
        <v>283</v>
      </c>
      <c r="C1278" s="10">
        <v>39114</v>
      </c>
      <c r="D1278" s="10">
        <v>39114</v>
      </c>
      <c r="E1278" s="18">
        <v>0</v>
      </c>
      <c r="F1278" s="13" t="str">
        <f t="shared" si="30"/>
        <v>On-time</v>
      </c>
      <c r="G1278" s="19" t="str">
        <f>_xlfn.XLOOKUP(B1278,tblARV[ASN/DN '#],tblARV[Country],"Not found")</f>
        <v>Rwanda</v>
      </c>
      <c r="H1278" s="19" t="str">
        <f>_xlfn.XLOOKUP($B1278,tblARV[ASN/DN '#],tblARV[Fulfill Via],"Not found")</f>
        <v>From RDC</v>
      </c>
      <c r="I1278" s="19" t="str">
        <f>_xlfn.XLOOKUP($B1278,tblARV[ASN/DN '#],tblARV[Vendor],"Not found")</f>
        <v>SCMS from RDC</v>
      </c>
    </row>
    <row r="1279" spans="2:9" ht="15">
      <c r="B1279" s="7" t="s">
        <v>671</v>
      </c>
      <c r="C1279" s="10">
        <v>39518</v>
      </c>
      <c r="D1279" s="10">
        <v>39518</v>
      </c>
      <c r="E1279" s="18">
        <v>0</v>
      </c>
      <c r="F1279" s="13" t="str">
        <f t="shared" si="30"/>
        <v>On-time</v>
      </c>
      <c r="G1279" s="19" t="str">
        <f>_xlfn.XLOOKUP(B1279,tblARV[ASN/DN '#],tblARV[Country],"Not found")</f>
        <v>Uganda</v>
      </c>
      <c r="H1279" s="19" t="str">
        <f>_xlfn.XLOOKUP($B1279,tblARV[ASN/DN '#],tblARV[Fulfill Via],"Not found")</f>
        <v>From RDC</v>
      </c>
      <c r="I1279" s="19" t="str">
        <f>_xlfn.XLOOKUP($B1279,tblARV[ASN/DN '#],tblARV[Vendor],"Not found")</f>
        <v>SCMS from RDC</v>
      </c>
    </row>
    <row r="1280" spans="2:9" ht="15">
      <c r="B1280" s="7" t="s">
        <v>681</v>
      </c>
      <c r="C1280" s="10">
        <v>39479</v>
      </c>
      <c r="D1280" s="10">
        <v>39513</v>
      </c>
      <c r="E1280" s="18">
        <v>34</v>
      </c>
      <c r="F1280" s="13" t="str">
        <f t="shared" si="30"/>
        <v>Late</v>
      </c>
      <c r="G1280" s="19" t="str">
        <f>_xlfn.XLOOKUP(B1280,tblARV[ASN/DN '#],tblARV[Country],"Not found")</f>
        <v>Ethiopia</v>
      </c>
      <c r="H1280" s="19" t="str">
        <f>_xlfn.XLOOKUP($B1280,tblARV[ASN/DN '#],tblARV[Fulfill Via],"Not found")</f>
        <v>From RDC</v>
      </c>
      <c r="I1280" s="19" t="str">
        <f>_xlfn.XLOOKUP($B1280,tblARV[ASN/DN '#],tblARV[Vendor],"Not found")</f>
        <v>SCMS from RDC</v>
      </c>
    </row>
    <row r="1281" spans="2:9" ht="15">
      <c r="B1281" s="7" t="s">
        <v>459</v>
      </c>
      <c r="C1281" s="10">
        <v>39513</v>
      </c>
      <c r="D1281" s="10">
        <v>39513</v>
      </c>
      <c r="E1281" s="18">
        <v>0</v>
      </c>
      <c r="F1281" s="13" t="str">
        <f t="shared" si="30"/>
        <v>On-time</v>
      </c>
      <c r="G1281" s="19" t="str">
        <f>_xlfn.XLOOKUP(B1281,tblARV[ASN/DN '#],tblARV[Country],"Not found")</f>
        <v>Ethiopia</v>
      </c>
      <c r="H1281" s="19" t="str">
        <f>_xlfn.XLOOKUP($B1281,tblARV[ASN/DN '#],tblARV[Fulfill Via],"Not found")</f>
        <v>From RDC</v>
      </c>
      <c r="I1281" s="19" t="str">
        <f>_xlfn.XLOOKUP($B1281,tblARV[ASN/DN '#],tblARV[Vendor],"Not found")</f>
        <v>SCMS from RDC</v>
      </c>
    </row>
    <row r="1282" spans="2:9" ht="15">
      <c r="B1282" s="7" t="s">
        <v>345</v>
      </c>
      <c r="C1282" s="10">
        <v>39528</v>
      </c>
      <c r="D1282" s="10">
        <v>39528</v>
      </c>
      <c r="E1282" s="18">
        <v>0</v>
      </c>
      <c r="F1282" s="13" t="str">
        <f t="shared" si="30"/>
        <v>On-time</v>
      </c>
      <c r="G1282" s="19" t="str">
        <f>_xlfn.XLOOKUP(B1282,tblARV[ASN/DN '#],tblARV[Country],"Not found")</f>
        <v>Ethiopia</v>
      </c>
      <c r="H1282" s="19" t="str">
        <f>_xlfn.XLOOKUP($B1282,tblARV[ASN/DN '#],tblARV[Fulfill Via],"Not found")</f>
        <v>From RDC</v>
      </c>
      <c r="I1282" s="19" t="str">
        <f>_xlfn.XLOOKUP($B1282,tblARV[ASN/DN '#],tblARV[Vendor],"Not found")</f>
        <v>SCMS from RDC</v>
      </c>
    </row>
    <row r="1283" spans="2:9" ht="15">
      <c r="B1283" s="7" t="s">
        <v>455</v>
      </c>
      <c r="C1283" s="10">
        <v>39539</v>
      </c>
      <c r="D1283" s="10">
        <v>39539</v>
      </c>
      <c r="E1283" s="18">
        <v>0</v>
      </c>
      <c r="F1283" s="13" t="str">
        <f t="shared" si="30"/>
        <v>On-time</v>
      </c>
      <c r="G1283" s="19" t="str">
        <f>_xlfn.XLOOKUP(B1283,tblARV[ASN/DN '#],tblARV[Country],"Not found")</f>
        <v>Tanzania</v>
      </c>
      <c r="H1283" s="19" t="str">
        <f>_xlfn.XLOOKUP($B1283,tblARV[ASN/DN '#],tblARV[Fulfill Via],"Not found")</f>
        <v>From RDC</v>
      </c>
      <c r="I1283" s="19" t="str">
        <f>_xlfn.XLOOKUP($B1283,tblARV[ASN/DN '#],tblARV[Vendor],"Not found")</f>
        <v>SCMS from RDC</v>
      </c>
    </row>
    <row r="1284" spans="2:9" ht="15">
      <c r="B1284" s="7" t="s">
        <v>586</v>
      </c>
      <c r="C1284" s="10">
        <v>39535</v>
      </c>
      <c r="D1284" s="10">
        <v>39535</v>
      </c>
      <c r="E1284" s="18">
        <v>0</v>
      </c>
      <c r="F1284" s="13" t="str">
        <f t="shared" si="30"/>
        <v>On-time</v>
      </c>
      <c r="G1284" s="19" t="str">
        <f>_xlfn.XLOOKUP(B1284,tblARV[ASN/DN '#],tblARV[Country],"Not found")</f>
        <v>Tanzania</v>
      </c>
      <c r="H1284" s="19" t="str">
        <f>_xlfn.XLOOKUP($B1284,tblARV[ASN/DN '#],tblARV[Fulfill Via],"Not found")</f>
        <v>From RDC</v>
      </c>
      <c r="I1284" s="19" t="str">
        <f>_xlfn.XLOOKUP($B1284,tblARV[ASN/DN '#],tblARV[Vendor],"Not found")</f>
        <v>SCMS from RDC</v>
      </c>
    </row>
    <row r="1285" spans="2:9" ht="15">
      <c r="B1285" s="7" t="s">
        <v>457</v>
      </c>
      <c r="C1285" s="10">
        <v>39545</v>
      </c>
      <c r="D1285" s="10">
        <v>39545</v>
      </c>
      <c r="E1285" s="18">
        <v>0</v>
      </c>
      <c r="F1285" s="13" t="str">
        <f t="shared" si="30"/>
        <v>On-time</v>
      </c>
      <c r="G1285" s="19" t="str">
        <f>_xlfn.XLOOKUP(B1285,tblARV[ASN/DN '#],tblARV[Country],"Not found")</f>
        <v>Uganda</v>
      </c>
      <c r="H1285" s="19" t="str">
        <f>_xlfn.XLOOKUP($B1285,tblARV[ASN/DN '#],tblARV[Fulfill Via],"Not found")</f>
        <v>From RDC</v>
      </c>
      <c r="I1285" s="19" t="str">
        <f>_xlfn.XLOOKUP($B1285,tblARV[ASN/DN '#],tblARV[Vendor],"Not found")</f>
        <v>SCMS from RDC</v>
      </c>
    </row>
    <row r="1286" spans="2:9" ht="15">
      <c r="B1286" s="7" t="s">
        <v>578</v>
      </c>
      <c r="C1286" s="10">
        <v>39539</v>
      </c>
      <c r="D1286" s="10">
        <v>39539</v>
      </c>
      <c r="E1286" s="18">
        <v>0</v>
      </c>
      <c r="F1286" s="13" t="str">
        <f t="shared" si="30"/>
        <v>On-time</v>
      </c>
      <c r="G1286" s="19" t="str">
        <f>_xlfn.XLOOKUP(B1286,tblARV[ASN/DN '#],tblARV[Country],"Not found")</f>
        <v>Tanzania</v>
      </c>
      <c r="H1286" s="19" t="str">
        <f>_xlfn.XLOOKUP($B1286,tblARV[ASN/DN '#],tblARV[Fulfill Via],"Not found")</f>
        <v>From RDC</v>
      </c>
      <c r="I1286" s="19" t="str">
        <f>_xlfn.XLOOKUP($B1286,tblARV[ASN/DN '#],tblARV[Vendor],"Not found")</f>
        <v>SCMS from RDC</v>
      </c>
    </row>
    <row r="1287" spans="2:9" ht="15">
      <c r="B1287" s="7" t="s">
        <v>452</v>
      </c>
      <c r="C1287" s="10">
        <v>39535</v>
      </c>
      <c r="D1287" s="10">
        <v>39535</v>
      </c>
      <c r="E1287" s="18">
        <v>0</v>
      </c>
      <c r="F1287" s="13" t="str">
        <f t="shared" si="30"/>
        <v>On-time</v>
      </c>
      <c r="G1287" s="19" t="str">
        <f>_xlfn.XLOOKUP(B1287,tblARV[ASN/DN '#],tblARV[Country],"Not found")</f>
        <v>Tanzania</v>
      </c>
      <c r="H1287" s="19" t="str">
        <f>_xlfn.XLOOKUP($B1287,tblARV[ASN/DN '#],tblARV[Fulfill Via],"Not found")</f>
        <v>From RDC</v>
      </c>
      <c r="I1287" s="19" t="str">
        <f>_xlfn.XLOOKUP($B1287,tblARV[ASN/DN '#],tblARV[Vendor],"Not found")</f>
        <v>SCMS from RDC</v>
      </c>
    </row>
    <row r="1288" spans="2:9" ht="15">
      <c r="B1288" s="7" t="s">
        <v>396</v>
      </c>
      <c r="C1288" s="10">
        <v>39519</v>
      </c>
      <c r="D1288" s="10">
        <v>39519</v>
      </c>
      <c r="E1288" s="18">
        <v>0</v>
      </c>
      <c r="F1288" s="13" t="str">
        <f t="shared" si="30"/>
        <v>On-time</v>
      </c>
      <c r="G1288" s="19" t="str">
        <f>_xlfn.XLOOKUP(B1288,tblARV[ASN/DN '#],tblARV[Country],"Not found")</f>
        <v>Ethiopia</v>
      </c>
      <c r="H1288" s="19" t="str">
        <f>_xlfn.XLOOKUP($B1288,tblARV[ASN/DN '#],tblARV[Fulfill Via],"Not found")</f>
        <v>From RDC</v>
      </c>
      <c r="I1288" s="19" t="str">
        <f>_xlfn.XLOOKUP($B1288,tblARV[ASN/DN '#],tblARV[Vendor],"Not found")</f>
        <v>SCMS from RDC</v>
      </c>
    </row>
    <row r="1289" spans="2:9" ht="15">
      <c r="B1289" s="7" t="s">
        <v>339</v>
      </c>
      <c r="C1289" s="10">
        <v>39560</v>
      </c>
      <c r="D1289" s="10">
        <v>39561</v>
      </c>
      <c r="E1289" s="18">
        <v>2</v>
      </c>
      <c r="F1289" s="13" t="str">
        <f t="shared" si="30"/>
        <v>Late</v>
      </c>
      <c r="G1289" s="19" t="str">
        <f>_xlfn.XLOOKUP(B1289,tblARV[ASN/DN '#],tblARV[Country],"Not found")</f>
        <v>Tanzania</v>
      </c>
      <c r="H1289" s="19" t="str">
        <f>_xlfn.XLOOKUP($B1289,tblARV[ASN/DN '#],tblARV[Fulfill Via],"Not found")</f>
        <v>From RDC</v>
      </c>
      <c r="I1289" s="19" t="str">
        <f>_xlfn.XLOOKUP($B1289,tblARV[ASN/DN '#],tblARV[Vendor],"Not found")</f>
        <v>SCMS from RDC</v>
      </c>
    </row>
    <row r="1290" spans="2:9" ht="15">
      <c r="B1290" s="7" t="s">
        <v>538</v>
      </c>
      <c r="C1290" s="10">
        <v>39561</v>
      </c>
      <c r="D1290" s="10">
        <v>39561</v>
      </c>
      <c r="E1290" s="18">
        <v>0</v>
      </c>
      <c r="F1290" s="13" t="str">
        <f t="shared" si="30"/>
        <v>On-time</v>
      </c>
      <c r="G1290" s="19" t="str">
        <f>_xlfn.XLOOKUP(B1290,tblARV[ASN/DN '#],tblARV[Country],"Not found")</f>
        <v>Tanzania</v>
      </c>
      <c r="H1290" s="19" t="str">
        <f>_xlfn.XLOOKUP($B1290,tblARV[ASN/DN '#],tblARV[Fulfill Via],"Not found")</f>
        <v>From RDC</v>
      </c>
      <c r="I1290" s="19" t="str">
        <f>_xlfn.XLOOKUP($B1290,tblARV[ASN/DN '#],tblARV[Vendor],"Not found")</f>
        <v>SCMS from RDC</v>
      </c>
    </row>
    <row r="1291" spans="2:9" ht="15">
      <c r="B1291" s="7" t="s">
        <v>244</v>
      </c>
      <c r="C1291" s="10">
        <v>39532</v>
      </c>
      <c r="D1291" s="10">
        <v>39532</v>
      </c>
      <c r="E1291" s="18">
        <v>0</v>
      </c>
      <c r="F1291" s="13" t="str">
        <f t="shared" si="30"/>
        <v>On-time</v>
      </c>
      <c r="G1291" s="19" t="str">
        <f>_xlfn.XLOOKUP(B1291,tblARV[ASN/DN '#],tblARV[Country],"Not found")</f>
        <v>Ethiopia</v>
      </c>
      <c r="H1291" s="19" t="str">
        <f>_xlfn.XLOOKUP($B1291,tblARV[ASN/DN '#],tblARV[Fulfill Via],"Not found")</f>
        <v>From RDC</v>
      </c>
      <c r="I1291" s="19" t="str">
        <f>_xlfn.XLOOKUP($B1291,tblARV[ASN/DN '#],tblARV[Vendor],"Not found")</f>
        <v>SCMS from RDC</v>
      </c>
    </row>
    <row r="1292" spans="2:9" ht="15">
      <c r="B1292" s="7" t="s">
        <v>678</v>
      </c>
      <c r="C1292" s="10">
        <v>39534</v>
      </c>
      <c r="D1292" s="10">
        <v>39534</v>
      </c>
      <c r="E1292" s="18">
        <v>0</v>
      </c>
      <c r="F1292" s="13" t="str">
        <f t="shared" si="30"/>
        <v>On-time</v>
      </c>
      <c r="G1292" s="19" t="str">
        <f>_xlfn.XLOOKUP(B1292,tblARV[ASN/DN '#],tblARV[Country],"Not found")</f>
        <v>Ethiopia</v>
      </c>
      <c r="H1292" s="19" t="str">
        <f>_xlfn.XLOOKUP($B1292,tblARV[ASN/DN '#],tblARV[Fulfill Via],"Not found")</f>
        <v>From RDC</v>
      </c>
      <c r="I1292" s="19" t="str">
        <f>_xlfn.XLOOKUP($B1292,tblARV[ASN/DN '#],tblARV[Vendor],"Not found")</f>
        <v>SCMS from RDC</v>
      </c>
    </row>
    <row r="1293" spans="2:9" ht="15">
      <c r="B1293" s="7" t="s">
        <v>680</v>
      </c>
      <c r="C1293" s="10">
        <v>39555</v>
      </c>
      <c r="D1293" s="10">
        <v>39555</v>
      </c>
      <c r="E1293" s="18">
        <v>0</v>
      </c>
      <c r="F1293" s="13" t="str">
        <f t="shared" si="30"/>
        <v>On-time</v>
      </c>
      <c r="G1293" s="19" t="str">
        <f>_xlfn.XLOOKUP(B1293,tblARV[ASN/DN '#],tblARV[Country],"Not found")</f>
        <v>Uganda</v>
      </c>
      <c r="H1293" s="19" t="str">
        <f>_xlfn.XLOOKUP($B1293,tblARV[ASN/DN '#],tblARV[Fulfill Via],"Not found")</f>
        <v>From RDC</v>
      </c>
      <c r="I1293" s="19" t="str">
        <f>_xlfn.XLOOKUP($B1293,tblARV[ASN/DN '#],tblARV[Vendor],"Not found")</f>
        <v>SCMS from RDC</v>
      </c>
    </row>
    <row r="1294" spans="2:9" ht="15">
      <c r="B1294" s="7" t="s">
        <v>540</v>
      </c>
      <c r="C1294" s="10">
        <v>39561</v>
      </c>
      <c r="D1294" s="10">
        <v>39561</v>
      </c>
      <c r="E1294" s="18">
        <v>0</v>
      </c>
      <c r="F1294" s="13" t="str">
        <f t="shared" si="30"/>
        <v>On-time</v>
      </c>
      <c r="G1294" s="19" t="str">
        <f>_xlfn.XLOOKUP(B1294,tblARV[ASN/DN '#],tblARV[Country],"Not found")</f>
        <v>Tanzania</v>
      </c>
      <c r="H1294" s="19" t="str">
        <f>_xlfn.XLOOKUP($B1294,tblARV[ASN/DN '#],tblARV[Fulfill Via],"Not found")</f>
        <v>From RDC</v>
      </c>
      <c r="I1294" s="19" t="str">
        <f>_xlfn.XLOOKUP($B1294,tblARV[ASN/DN '#],tblARV[Vendor],"Not found")</f>
        <v>SCMS from RDC</v>
      </c>
    </row>
    <row r="1295" spans="2:9" ht="15">
      <c r="B1295" s="7" t="s">
        <v>398</v>
      </c>
      <c r="C1295" s="10">
        <v>39559</v>
      </c>
      <c r="D1295" s="10">
        <v>39559</v>
      </c>
      <c r="E1295" s="18">
        <v>0</v>
      </c>
      <c r="F1295" s="13" t="str">
        <f t="shared" si="30"/>
        <v>On-time</v>
      </c>
      <c r="G1295" s="19" t="str">
        <f>_xlfn.XLOOKUP(B1295,tblARV[ASN/DN '#],tblARV[Country],"Not found")</f>
        <v>Ethiopia</v>
      </c>
      <c r="H1295" s="19" t="str">
        <f>_xlfn.XLOOKUP($B1295,tblARV[ASN/DN '#],tblARV[Fulfill Via],"Not found")</f>
        <v>From RDC</v>
      </c>
      <c r="I1295" s="19" t="str">
        <f>_xlfn.XLOOKUP($B1295,tblARV[ASN/DN '#],tblARV[Vendor],"Not found")</f>
        <v>SCMS from RDC</v>
      </c>
    </row>
    <row r="1296" spans="2:9" ht="15">
      <c r="B1296" s="7" t="s">
        <v>633</v>
      </c>
      <c r="C1296" s="10">
        <v>39587</v>
      </c>
      <c r="D1296" s="10">
        <v>39587</v>
      </c>
      <c r="E1296" s="18">
        <v>0</v>
      </c>
      <c r="F1296" s="13" t="str">
        <f t="shared" si="30"/>
        <v>On-time</v>
      </c>
      <c r="G1296" s="19" t="str">
        <f>_xlfn.XLOOKUP(B1296,tblARV[ASN/DN '#],tblARV[Country],"Not found")</f>
        <v>Uganda</v>
      </c>
      <c r="H1296" s="19" t="str">
        <f>_xlfn.XLOOKUP($B1296,tblARV[ASN/DN '#],tblARV[Fulfill Via],"Not found")</f>
        <v>From RDC</v>
      </c>
      <c r="I1296" s="19" t="str">
        <f>_xlfn.XLOOKUP($B1296,tblARV[ASN/DN '#],tblARV[Vendor],"Not found")</f>
        <v>SCMS from RDC</v>
      </c>
    </row>
    <row r="1297" spans="2:9" ht="15">
      <c r="B1297" s="7" t="s">
        <v>580</v>
      </c>
      <c r="C1297" s="10">
        <v>39601</v>
      </c>
      <c r="D1297" s="10">
        <v>39601</v>
      </c>
      <c r="E1297" s="18">
        <v>0</v>
      </c>
      <c r="F1297" s="13" t="str">
        <f t="shared" si="30"/>
        <v>On-time</v>
      </c>
      <c r="G1297" s="19" t="str">
        <f>_xlfn.XLOOKUP(B1297,tblARV[ASN/DN '#],tblARV[Country],"Not found")</f>
        <v>Uganda</v>
      </c>
      <c r="H1297" s="19" t="str">
        <f>_xlfn.XLOOKUP($B1297,tblARV[ASN/DN '#],tblARV[Fulfill Via],"Not found")</f>
        <v>From RDC</v>
      </c>
      <c r="I1297" s="19" t="str">
        <f>_xlfn.XLOOKUP($B1297,tblARV[ASN/DN '#],tblARV[Vendor],"Not found")</f>
        <v>SCMS from RDC</v>
      </c>
    </row>
    <row r="1298" spans="2:9" ht="15">
      <c r="B1298" s="7" t="s">
        <v>637</v>
      </c>
      <c r="C1298" s="10">
        <v>39559</v>
      </c>
      <c r="D1298" s="10">
        <v>39559</v>
      </c>
      <c r="E1298" s="18">
        <v>0</v>
      </c>
      <c r="F1298" s="13" t="str">
        <f t="shared" si="30"/>
        <v>On-time</v>
      </c>
      <c r="G1298" s="19" t="str">
        <f>_xlfn.XLOOKUP(B1298,tblARV[ASN/DN '#],tblARV[Country],"Not found")</f>
        <v>Ethiopia</v>
      </c>
      <c r="H1298" s="19" t="str">
        <f>_xlfn.XLOOKUP($B1298,tblARV[ASN/DN '#],tblARV[Fulfill Via],"Not found")</f>
        <v>From RDC</v>
      </c>
      <c r="I1298" s="19" t="str">
        <f>_xlfn.XLOOKUP($B1298,tblARV[ASN/DN '#],tblARV[Vendor],"Not found")</f>
        <v>SCMS from RDC</v>
      </c>
    </row>
    <row r="1299" spans="2:9" ht="15">
      <c r="B1299" s="7" t="s">
        <v>337</v>
      </c>
      <c r="C1299" s="10">
        <v>39568</v>
      </c>
      <c r="D1299" s="10">
        <v>39568</v>
      </c>
      <c r="E1299" s="18">
        <v>0</v>
      </c>
      <c r="F1299" s="13" t="str">
        <f t="shared" si="30"/>
        <v>On-time</v>
      </c>
      <c r="G1299" s="19" t="str">
        <f>_xlfn.XLOOKUP(B1299,tblARV[ASN/DN '#],tblARV[Country],"Not found")</f>
        <v>Tanzania</v>
      </c>
      <c r="H1299" s="19" t="str">
        <f>_xlfn.XLOOKUP($B1299,tblARV[ASN/DN '#],tblARV[Fulfill Via],"Not found")</f>
        <v>From RDC</v>
      </c>
      <c r="I1299" s="19" t="str">
        <f>_xlfn.XLOOKUP($B1299,tblARV[ASN/DN '#],tblARV[Vendor],"Not found")</f>
        <v>SCMS from RDC</v>
      </c>
    </row>
    <row r="1300" spans="2:9" ht="15">
      <c r="B1300" s="7" t="s">
        <v>629</v>
      </c>
      <c r="C1300" s="10">
        <v>39629</v>
      </c>
      <c r="D1300" s="10">
        <v>39629</v>
      </c>
      <c r="E1300" s="18">
        <v>0</v>
      </c>
      <c r="F1300" s="13" t="str">
        <f t="shared" si="30"/>
        <v>On-time</v>
      </c>
      <c r="G1300" s="19" t="str">
        <f>_xlfn.XLOOKUP(B1300,tblARV[ASN/DN '#],tblARV[Country],"Not found")</f>
        <v>Tanzania</v>
      </c>
      <c r="H1300" s="19" t="str">
        <f>_xlfn.XLOOKUP($B1300,tblARV[ASN/DN '#],tblARV[Fulfill Via],"Not found")</f>
        <v>From RDC</v>
      </c>
      <c r="I1300" s="19" t="str">
        <f>_xlfn.XLOOKUP($B1300,tblARV[ASN/DN '#],tblARV[Vendor],"Not found")</f>
        <v>SCMS from RDC</v>
      </c>
    </row>
    <row r="1301" spans="2:9" ht="15">
      <c r="B1301" s="7" t="s">
        <v>641</v>
      </c>
      <c r="C1301" s="10">
        <v>39630</v>
      </c>
      <c r="D1301" s="10">
        <v>39630</v>
      </c>
      <c r="E1301" s="18">
        <v>0</v>
      </c>
      <c r="F1301" s="13" t="str">
        <f t="shared" ref="F1301:F1349" si="31">IF($E1301&lt;=0,"On-time","Late")</f>
        <v>On-time</v>
      </c>
      <c r="G1301" s="19" t="str">
        <f>_xlfn.XLOOKUP(B1301,tblARV[ASN/DN '#],tblARV[Country],"Not found")</f>
        <v>Tanzania</v>
      </c>
      <c r="H1301" s="19" t="str">
        <f>_xlfn.XLOOKUP($B1301,tblARV[ASN/DN '#],tblARV[Fulfill Via],"Not found")</f>
        <v>From RDC</v>
      </c>
      <c r="I1301" s="19" t="str">
        <f>_xlfn.XLOOKUP($B1301,tblARV[ASN/DN '#],tblARV[Vendor],"Not found")</f>
        <v>SCMS from RDC</v>
      </c>
    </row>
    <row r="1302" spans="2:9" ht="15">
      <c r="B1302" s="7" t="s">
        <v>639</v>
      </c>
      <c r="C1302" s="10">
        <v>39629</v>
      </c>
      <c r="D1302" s="10">
        <v>39629</v>
      </c>
      <c r="E1302" s="18">
        <v>0</v>
      </c>
      <c r="F1302" s="13" t="str">
        <f t="shared" si="31"/>
        <v>On-time</v>
      </c>
      <c r="G1302" s="19" t="str">
        <f>_xlfn.XLOOKUP(B1302,tblARV[ASN/DN '#],tblARV[Country],"Not found")</f>
        <v>Tanzania</v>
      </c>
      <c r="H1302" s="19" t="str">
        <f>_xlfn.XLOOKUP($B1302,tblARV[ASN/DN '#],tblARV[Fulfill Via],"Not found")</f>
        <v>From RDC</v>
      </c>
      <c r="I1302" s="19" t="str">
        <f>_xlfn.XLOOKUP($B1302,tblARV[ASN/DN '#],tblARV[Vendor],"Not found")</f>
        <v>SCMS from RDC</v>
      </c>
    </row>
    <row r="1303" spans="2:9" ht="15">
      <c r="B1303" s="7" t="s">
        <v>335</v>
      </c>
      <c r="C1303" s="10">
        <v>39638</v>
      </c>
      <c r="D1303" s="10">
        <v>39638</v>
      </c>
      <c r="E1303" s="18">
        <v>0</v>
      </c>
      <c r="F1303" s="13" t="str">
        <f t="shared" si="31"/>
        <v>On-time</v>
      </c>
      <c r="G1303" s="19" t="str">
        <f>_xlfn.XLOOKUP(B1303,tblARV[ASN/DN '#],tblARV[Country],"Not found")</f>
        <v>Tanzania</v>
      </c>
      <c r="H1303" s="19" t="str">
        <f>_xlfn.XLOOKUP($B1303,tblARV[ASN/DN '#],tblARV[Fulfill Via],"Not found")</f>
        <v>From RDC</v>
      </c>
      <c r="I1303" s="19" t="str">
        <f>_xlfn.XLOOKUP($B1303,tblARV[ASN/DN '#],tblARV[Vendor],"Not found")</f>
        <v>SCMS from RDC</v>
      </c>
    </row>
    <row r="1304" spans="2:9" ht="15">
      <c r="B1304" s="7" t="s">
        <v>347</v>
      </c>
      <c r="C1304" s="10">
        <v>39638</v>
      </c>
      <c r="D1304" s="10">
        <v>39638</v>
      </c>
      <c r="E1304" s="18">
        <v>0</v>
      </c>
      <c r="F1304" s="13" t="str">
        <f t="shared" si="31"/>
        <v>On-time</v>
      </c>
      <c r="G1304" s="19" t="str">
        <f>_xlfn.XLOOKUP(B1304,tblARV[ASN/DN '#],tblARV[Country],"Not found")</f>
        <v>Tanzania</v>
      </c>
      <c r="H1304" s="19" t="str">
        <f>_xlfn.XLOOKUP($B1304,tblARV[ASN/DN '#],tblARV[Fulfill Via],"Not found")</f>
        <v>From RDC</v>
      </c>
      <c r="I1304" s="19" t="str">
        <f>_xlfn.XLOOKUP($B1304,tblARV[ASN/DN '#],tblARV[Vendor],"Not found")</f>
        <v>SCMS from RDC</v>
      </c>
    </row>
    <row r="1305" spans="2:9" ht="15">
      <c r="B1305" s="7" t="s">
        <v>635</v>
      </c>
      <c r="C1305" s="10">
        <v>39629</v>
      </c>
      <c r="D1305" s="10">
        <v>39629</v>
      </c>
      <c r="E1305" s="18">
        <v>0</v>
      </c>
      <c r="F1305" s="13" t="str">
        <f t="shared" si="31"/>
        <v>On-time</v>
      </c>
      <c r="G1305" s="19" t="str">
        <f>_xlfn.XLOOKUP(B1305,tblARV[ASN/DN '#],tblARV[Country],"Not found")</f>
        <v>Tanzania</v>
      </c>
      <c r="H1305" s="19" t="str">
        <f>_xlfn.XLOOKUP($B1305,tblARV[ASN/DN '#],tblARV[Fulfill Via],"Not found")</f>
        <v>From RDC</v>
      </c>
      <c r="I1305" s="19" t="str">
        <f>_xlfn.XLOOKUP($B1305,tblARV[ASN/DN '#],tblARV[Vendor],"Not found")</f>
        <v>SCMS from RDC</v>
      </c>
    </row>
    <row r="1306" spans="2:9" ht="15">
      <c r="B1306" s="7" t="s">
        <v>250</v>
      </c>
      <c r="C1306" s="10">
        <v>39630</v>
      </c>
      <c r="D1306" s="10">
        <v>39630</v>
      </c>
      <c r="E1306" s="18">
        <v>0</v>
      </c>
      <c r="F1306" s="13" t="str">
        <f t="shared" si="31"/>
        <v>On-time</v>
      </c>
      <c r="G1306" s="19" t="str">
        <f>_xlfn.XLOOKUP(B1306,tblARV[ASN/DN '#],tblARV[Country],"Not found")</f>
        <v>Tanzania</v>
      </c>
      <c r="H1306" s="19" t="str">
        <f>_xlfn.XLOOKUP($B1306,tblARV[ASN/DN '#],tblARV[Fulfill Via],"Not found")</f>
        <v>From RDC</v>
      </c>
      <c r="I1306" s="19" t="str">
        <f>_xlfn.XLOOKUP($B1306,tblARV[ASN/DN '#],tblARV[Vendor],"Not found")</f>
        <v>SCMS from RDC</v>
      </c>
    </row>
    <row r="1307" spans="2:9" ht="15">
      <c r="B1307" s="7" t="s">
        <v>461</v>
      </c>
      <c r="C1307" s="10">
        <v>39639</v>
      </c>
      <c r="D1307" s="10">
        <v>39639</v>
      </c>
      <c r="E1307" s="18">
        <v>0</v>
      </c>
      <c r="F1307" s="13" t="str">
        <f t="shared" si="31"/>
        <v>On-time</v>
      </c>
      <c r="G1307" s="19" t="str">
        <f>_xlfn.XLOOKUP(B1307,tblARV[ASN/DN '#],tblARV[Country],"Not found")</f>
        <v>Tanzania</v>
      </c>
      <c r="H1307" s="19" t="str">
        <f>_xlfn.XLOOKUP($B1307,tblARV[ASN/DN '#],tblARV[Fulfill Via],"Not found")</f>
        <v>From RDC</v>
      </c>
      <c r="I1307" s="19" t="str">
        <f>_xlfn.XLOOKUP($B1307,tblARV[ASN/DN '#],tblARV[Vendor],"Not found")</f>
        <v>SCMS from RDC</v>
      </c>
    </row>
    <row r="1308" spans="2:9" ht="15">
      <c r="B1308" s="7" t="s">
        <v>643</v>
      </c>
      <c r="C1308" s="10">
        <v>39639</v>
      </c>
      <c r="D1308" s="10">
        <v>39639</v>
      </c>
      <c r="E1308" s="18">
        <v>0</v>
      </c>
      <c r="F1308" s="13" t="str">
        <f t="shared" si="31"/>
        <v>On-time</v>
      </c>
      <c r="G1308" s="19" t="str">
        <f>_xlfn.XLOOKUP(B1308,tblARV[ASN/DN '#],tblARV[Country],"Not found")</f>
        <v>Uganda</v>
      </c>
      <c r="H1308" s="19" t="str">
        <f>_xlfn.XLOOKUP($B1308,tblARV[ASN/DN '#],tblARV[Fulfill Via],"Not found")</f>
        <v>From RDC</v>
      </c>
      <c r="I1308" s="19" t="str">
        <f>_xlfn.XLOOKUP($B1308,tblARV[ASN/DN '#],tblARV[Vendor],"Not found")</f>
        <v>SCMS from RDC</v>
      </c>
    </row>
    <row r="1309" spans="2:9" ht="15">
      <c r="B1309" s="7" t="s">
        <v>631</v>
      </c>
      <c r="C1309" s="10">
        <v>39707</v>
      </c>
      <c r="D1309" s="10">
        <v>39707</v>
      </c>
      <c r="E1309" s="18">
        <v>0</v>
      </c>
      <c r="F1309" s="13" t="str">
        <f t="shared" si="31"/>
        <v>On-time</v>
      </c>
      <c r="G1309" s="19" t="str">
        <f>_xlfn.XLOOKUP(B1309,tblARV[ASN/DN '#],tblARV[Country],"Not found")</f>
        <v>Tanzania</v>
      </c>
      <c r="H1309" s="19" t="str">
        <f>_xlfn.XLOOKUP($B1309,tblARV[ASN/DN '#],tblARV[Fulfill Via],"Not found")</f>
        <v>From RDC</v>
      </c>
      <c r="I1309" s="19" t="str">
        <f>_xlfn.XLOOKUP($B1309,tblARV[ASN/DN '#],tblARV[Vendor],"Not found")</f>
        <v>SCMS from RDC</v>
      </c>
    </row>
    <row r="1310" spans="2:9" ht="15">
      <c r="B1310" s="7" t="s">
        <v>584</v>
      </c>
      <c r="C1310" s="10">
        <v>39651</v>
      </c>
      <c r="D1310" s="10">
        <v>39651</v>
      </c>
      <c r="E1310" s="18">
        <v>0</v>
      </c>
      <c r="F1310" s="13" t="str">
        <f t="shared" si="31"/>
        <v>On-time</v>
      </c>
      <c r="G1310" s="19" t="str">
        <f>_xlfn.XLOOKUP(B1310,tblARV[ASN/DN '#],tblARV[Country],"Not found")</f>
        <v>Uganda</v>
      </c>
      <c r="H1310" s="19" t="str">
        <f>_xlfn.XLOOKUP($B1310,tblARV[ASN/DN '#],tblARV[Fulfill Via],"Not found")</f>
        <v>From RDC</v>
      </c>
      <c r="I1310" s="19" t="str">
        <f>_xlfn.XLOOKUP($B1310,tblARV[ASN/DN '#],tblARV[Vendor],"Not found")</f>
        <v>SCMS from RDC</v>
      </c>
    </row>
    <row r="1311" spans="2:9" ht="15">
      <c r="B1311" s="7" t="s">
        <v>341</v>
      </c>
      <c r="C1311" s="10">
        <v>39640</v>
      </c>
      <c r="D1311" s="10">
        <v>39640</v>
      </c>
      <c r="E1311" s="18">
        <v>0</v>
      </c>
      <c r="F1311" s="13" t="str">
        <f t="shared" si="31"/>
        <v>On-time</v>
      </c>
      <c r="G1311" s="19" t="str">
        <f>_xlfn.XLOOKUP(B1311,tblARV[ASN/DN '#],tblARV[Country],"Not found")</f>
        <v>Uganda</v>
      </c>
      <c r="H1311" s="19" t="str">
        <f>_xlfn.XLOOKUP($B1311,tblARV[ASN/DN '#],tblARV[Fulfill Via],"Not found")</f>
        <v>From RDC</v>
      </c>
      <c r="I1311" s="19" t="str">
        <f>_xlfn.XLOOKUP($B1311,tblARV[ASN/DN '#],tblARV[Vendor],"Not found")</f>
        <v>SCMS from RDC</v>
      </c>
    </row>
    <row r="1312" spans="2:9" ht="15">
      <c r="B1312" s="7" t="s">
        <v>343</v>
      </c>
      <c r="C1312" s="10">
        <v>39640</v>
      </c>
      <c r="D1312" s="10">
        <v>39640</v>
      </c>
      <c r="E1312" s="18">
        <v>0</v>
      </c>
      <c r="F1312" s="13" t="str">
        <f t="shared" si="31"/>
        <v>On-time</v>
      </c>
      <c r="G1312" s="19" t="str">
        <f>_xlfn.XLOOKUP(B1312,tblARV[ASN/DN '#],tblARV[Country],"Not found")</f>
        <v>Uganda</v>
      </c>
      <c r="H1312" s="19" t="str">
        <f>_xlfn.XLOOKUP($B1312,tblARV[ASN/DN '#],tblARV[Fulfill Via],"Not found")</f>
        <v>From RDC</v>
      </c>
      <c r="I1312" s="19" t="str">
        <f>_xlfn.XLOOKUP($B1312,tblARV[ASN/DN '#],tblARV[Vendor],"Not found")</f>
        <v>SCMS from RDC</v>
      </c>
    </row>
    <row r="1313" spans="2:9" ht="15">
      <c r="B1313" s="7" t="s">
        <v>248</v>
      </c>
      <c r="C1313" s="10">
        <v>39638</v>
      </c>
      <c r="D1313" s="10">
        <v>39638</v>
      </c>
      <c r="E1313" s="18">
        <v>0</v>
      </c>
      <c r="F1313" s="13" t="str">
        <f t="shared" si="31"/>
        <v>On-time</v>
      </c>
      <c r="G1313" s="19" t="str">
        <f>_xlfn.XLOOKUP(B1313,tblARV[ASN/DN '#],tblARV[Country],"Not found")</f>
        <v>Tanzania</v>
      </c>
      <c r="H1313" s="19" t="str">
        <f>_xlfn.XLOOKUP($B1313,tblARV[ASN/DN '#],tblARV[Fulfill Via],"Not found")</f>
        <v>From RDC</v>
      </c>
      <c r="I1313" s="19" t="str">
        <f>_xlfn.XLOOKUP($B1313,tblARV[ASN/DN '#],tblARV[Vendor],"Not found")</f>
        <v>SCMS from RDC</v>
      </c>
    </row>
    <row r="1314" spans="2:9" ht="15">
      <c r="B1314" s="7" t="s">
        <v>683</v>
      </c>
      <c r="C1314" s="10">
        <v>39681</v>
      </c>
      <c r="D1314" s="10">
        <v>39681</v>
      </c>
      <c r="E1314" s="18">
        <v>0</v>
      </c>
      <c r="F1314" s="13" t="str">
        <f t="shared" si="31"/>
        <v>On-time</v>
      </c>
      <c r="G1314" s="19" t="str">
        <f>_xlfn.XLOOKUP(B1314,tblARV[ASN/DN '#],tblARV[Country],"Not found")</f>
        <v>Uganda</v>
      </c>
      <c r="H1314" s="19" t="str">
        <f>_xlfn.XLOOKUP($B1314,tblARV[ASN/DN '#],tblARV[Fulfill Via],"Not found")</f>
        <v>From RDC</v>
      </c>
      <c r="I1314" s="19" t="str">
        <f>_xlfn.XLOOKUP($B1314,tblARV[ASN/DN '#],tblARV[Vendor],"Not found")</f>
        <v>SCMS from RDC</v>
      </c>
    </row>
    <row r="1315" spans="2:9" ht="15">
      <c r="B1315" s="7" t="s">
        <v>400</v>
      </c>
      <c r="C1315" s="10">
        <v>39681</v>
      </c>
      <c r="D1315" s="10">
        <v>39681</v>
      </c>
      <c r="E1315" s="18">
        <v>0</v>
      </c>
      <c r="F1315" s="13" t="str">
        <f t="shared" si="31"/>
        <v>On-time</v>
      </c>
      <c r="G1315" s="19" t="str">
        <f>_xlfn.XLOOKUP(B1315,tblARV[ASN/DN '#],tblARV[Country],"Not found")</f>
        <v>Uganda</v>
      </c>
      <c r="H1315" s="19" t="str">
        <f>_xlfn.XLOOKUP($B1315,tblARV[ASN/DN '#],tblARV[Fulfill Via],"Not found")</f>
        <v>From RDC</v>
      </c>
      <c r="I1315" s="19" t="str">
        <f>_xlfn.XLOOKUP($B1315,tblARV[ASN/DN '#],tblARV[Vendor],"Not found")</f>
        <v>SCMS from RDC</v>
      </c>
    </row>
    <row r="1316" spans="2:9" ht="15">
      <c r="B1316" s="7" t="s">
        <v>402</v>
      </c>
      <c r="C1316" s="10">
        <v>39681</v>
      </c>
      <c r="D1316" s="10">
        <v>39681</v>
      </c>
      <c r="E1316" s="18">
        <v>0</v>
      </c>
      <c r="F1316" s="13" t="str">
        <f t="shared" si="31"/>
        <v>On-time</v>
      </c>
      <c r="G1316" s="19" t="str">
        <f>_xlfn.XLOOKUP(B1316,tblARV[ASN/DN '#],tblARV[Country],"Not found")</f>
        <v>Uganda</v>
      </c>
      <c r="H1316" s="19" t="str">
        <f>_xlfn.XLOOKUP($B1316,tblARV[ASN/DN '#],tblARV[Fulfill Via],"Not found")</f>
        <v>From RDC</v>
      </c>
      <c r="I1316" s="19" t="str">
        <f>_xlfn.XLOOKUP($B1316,tblARV[ASN/DN '#],tblARV[Vendor],"Not found")</f>
        <v>SCMS from RDC</v>
      </c>
    </row>
    <row r="1317" spans="2:9" ht="15">
      <c r="B1317" s="7" t="s">
        <v>242</v>
      </c>
      <c r="C1317" s="10">
        <v>39658</v>
      </c>
      <c r="D1317" s="10">
        <v>39658</v>
      </c>
      <c r="E1317" s="18">
        <v>0</v>
      </c>
      <c r="F1317" s="13" t="str">
        <f t="shared" si="31"/>
        <v>On-time</v>
      </c>
      <c r="G1317" s="19" t="str">
        <f>_xlfn.XLOOKUP(B1317,tblARV[ASN/DN '#],tblARV[Country],"Not found")</f>
        <v>Tanzania</v>
      </c>
      <c r="H1317" s="19" t="str">
        <f>_xlfn.XLOOKUP($B1317,tblARV[ASN/DN '#],tblARV[Fulfill Via],"Not found")</f>
        <v>From RDC</v>
      </c>
      <c r="I1317" s="19" t="str">
        <f>_xlfn.XLOOKUP($B1317,tblARV[ASN/DN '#],tblARV[Vendor],"Not found")</f>
        <v>SCMS from RDC</v>
      </c>
    </row>
    <row r="1318" spans="2:9" ht="15">
      <c r="B1318" s="7" t="s">
        <v>676</v>
      </c>
      <c r="C1318" s="10">
        <v>39681</v>
      </c>
      <c r="D1318" s="10">
        <v>39681</v>
      </c>
      <c r="E1318" s="18">
        <v>0</v>
      </c>
      <c r="F1318" s="13" t="str">
        <f t="shared" si="31"/>
        <v>On-time</v>
      </c>
      <c r="G1318" s="19" t="str">
        <f>_xlfn.XLOOKUP(B1318,tblARV[ASN/DN '#],tblARV[Country],"Not found")</f>
        <v>Tanzania</v>
      </c>
      <c r="H1318" s="19" t="str">
        <f>_xlfn.XLOOKUP($B1318,tblARV[ASN/DN '#],tblARV[Fulfill Via],"Not found")</f>
        <v>From RDC</v>
      </c>
      <c r="I1318" s="19" t="str">
        <f>_xlfn.XLOOKUP($B1318,tblARV[ASN/DN '#],tblARV[Vendor],"Not found")</f>
        <v>SCMS from RDC</v>
      </c>
    </row>
    <row r="1319" spans="2:9" ht="15">
      <c r="B1319" s="7" t="s">
        <v>582</v>
      </c>
      <c r="C1319" s="10">
        <v>39664</v>
      </c>
      <c r="D1319" s="10">
        <v>39664</v>
      </c>
      <c r="E1319" s="18">
        <v>0</v>
      </c>
      <c r="F1319" s="13" t="str">
        <f t="shared" si="31"/>
        <v>On-time</v>
      </c>
      <c r="G1319" s="19" t="str">
        <f>_xlfn.XLOOKUP(B1319,tblARV[ASN/DN '#],tblARV[Country],"Not found")</f>
        <v>Uganda</v>
      </c>
      <c r="H1319" s="19" t="str">
        <f>_xlfn.XLOOKUP($B1319,tblARV[ASN/DN '#],tblARV[Fulfill Via],"Not found")</f>
        <v>From RDC</v>
      </c>
      <c r="I1319" s="19" t="str">
        <f>_xlfn.XLOOKUP($B1319,tblARV[ASN/DN '#],tblARV[Vendor],"Not found")</f>
        <v>SCMS from RDC</v>
      </c>
    </row>
    <row r="1320" spans="2:9" ht="15">
      <c r="B1320" s="7" t="s">
        <v>685</v>
      </c>
      <c r="C1320" s="10">
        <v>39682</v>
      </c>
      <c r="D1320" s="10">
        <v>39682</v>
      </c>
      <c r="E1320" s="18">
        <v>0</v>
      </c>
      <c r="F1320" s="13" t="str">
        <f t="shared" si="31"/>
        <v>On-time</v>
      </c>
      <c r="G1320" s="19" t="str">
        <f>_xlfn.XLOOKUP(B1320,tblARV[ASN/DN '#],tblARV[Country],"Not found")</f>
        <v>Tanzania</v>
      </c>
      <c r="H1320" s="19" t="str">
        <f>_xlfn.XLOOKUP($B1320,tblARV[ASN/DN '#],tblARV[Fulfill Via],"Not found")</f>
        <v>From RDC</v>
      </c>
      <c r="I1320" s="19" t="str">
        <f>_xlfn.XLOOKUP($B1320,tblARV[ASN/DN '#],tblARV[Vendor],"Not found")</f>
        <v>SCMS from RDC</v>
      </c>
    </row>
    <row r="1321" spans="2:9" ht="15">
      <c r="B1321" s="7" t="s">
        <v>266</v>
      </c>
      <c r="C1321" s="10">
        <v>39682</v>
      </c>
      <c r="D1321" s="10">
        <v>39682</v>
      </c>
      <c r="E1321" s="18">
        <v>0</v>
      </c>
      <c r="F1321" s="13" t="str">
        <f t="shared" si="31"/>
        <v>On-time</v>
      </c>
      <c r="G1321" s="19" t="str">
        <f>_xlfn.XLOOKUP(B1321,tblARV[ASN/DN '#],tblARV[Country],"Not found")</f>
        <v>Tanzania</v>
      </c>
      <c r="H1321" s="19" t="str">
        <f>_xlfn.XLOOKUP($B1321,tblARV[ASN/DN '#],tblARV[Fulfill Via],"Not found")</f>
        <v>From RDC</v>
      </c>
      <c r="I1321" s="19" t="str">
        <f>_xlfn.XLOOKUP($B1321,tblARV[ASN/DN '#],tblARV[Vendor],"Not found")</f>
        <v>SCMS from RDC</v>
      </c>
    </row>
    <row r="1322" spans="2:9" ht="15">
      <c r="B1322" s="7" t="s">
        <v>695</v>
      </c>
      <c r="C1322" s="10">
        <v>39682</v>
      </c>
      <c r="D1322" s="10">
        <v>39682</v>
      </c>
      <c r="E1322" s="18">
        <v>0</v>
      </c>
      <c r="F1322" s="13" t="str">
        <f t="shared" si="31"/>
        <v>On-time</v>
      </c>
      <c r="G1322" s="19" t="str">
        <f>_xlfn.XLOOKUP(B1322,tblARV[ASN/DN '#],tblARV[Country],"Not found")</f>
        <v>Tanzania</v>
      </c>
      <c r="H1322" s="19" t="str">
        <f>_xlfn.XLOOKUP($B1322,tblARV[ASN/DN '#],tblARV[Fulfill Via],"Not found")</f>
        <v>From RDC</v>
      </c>
      <c r="I1322" s="19" t="str">
        <f>_xlfn.XLOOKUP($B1322,tblARV[ASN/DN '#],tblARV[Vendor],"Not found")</f>
        <v>SCMS from RDC</v>
      </c>
    </row>
    <row r="1323" spans="2:9" ht="15">
      <c r="B1323" s="7" t="s">
        <v>546</v>
      </c>
      <c r="C1323" s="10">
        <v>39689</v>
      </c>
      <c r="D1323" s="10">
        <v>39689</v>
      </c>
      <c r="E1323" s="18">
        <v>0</v>
      </c>
      <c r="F1323" s="13" t="str">
        <f t="shared" si="31"/>
        <v>On-time</v>
      </c>
      <c r="G1323" s="19" t="str">
        <f>_xlfn.XLOOKUP(B1323,tblARV[ASN/DN '#],tblARV[Country],"Not found")</f>
        <v>Tanzania</v>
      </c>
      <c r="H1323" s="19" t="str">
        <f>_xlfn.XLOOKUP($B1323,tblARV[ASN/DN '#],tblARV[Fulfill Via],"Not found")</f>
        <v>From RDC</v>
      </c>
      <c r="I1323" s="19" t="str">
        <f>_xlfn.XLOOKUP($B1323,tblARV[ASN/DN '#],tblARV[Vendor],"Not found")</f>
        <v>SCMS from RDC</v>
      </c>
    </row>
    <row r="1324" spans="2:9" ht="15">
      <c r="B1324" s="7" t="s">
        <v>271</v>
      </c>
      <c r="C1324" s="10">
        <v>39682</v>
      </c>
      <c r="D1324" s="10">
        <v>39682</v>
      </c>
      <c r="E1324" s="18">
        <v>0</v>
      </c>
      <c r="F1324" s="13" t="str">
        <f t="shared" si="31"/>
        <v>On-time</v>
      </c>
      <c r="G1324" s="19" t="str">
        <f>_xlfn.XLOOKUP(B1324,tblARV[ASN/DN '#],tblARV[Country],"Not found")</f>
        <v>Tanzania</v>
      </c>
      <c r="H1324" s="19" t="str">
        <f>_xlfn.XLOOKUP($B1324,tblARV[ASN/DN '#],tblARV[Fulfill Via],"Not found")</f>
        <v>From RDC</v>
      </c>
      <c r="I1324" s="19" t="str">
        <f>_xlfn.XLOOKUP($B1324,tblARV[ASN/DN '#],tblARV[Vendor],"Not found")</f>
        <v>SCMS from RDC</v>
      </c>
    </row>
    <row r="1325" spans="2:9" ht="15">
      <c r="B1325" s="7" t="s">
        <v>262</v>
      </c>
      <c r="C1325" s="10">
        <v>39706</v>
      </c>
      <c r="D1325" s="10">
        <v>39706</v>
      </c>
      <c r="E1325" s="18">
        <v>0</v>
      </c>
      <c r="F1325" s="13" t="str">
        <f t="shared" si="31"/>
        <v>On-time</v>
      </c>
      <c r="G1325" s="19" t="str">
        <f>_xlfn.XLOOKUP(B1325,tblARV[ASN/DN '#],tblARV[Country],"Not found")</f>
        <v>Tanzania</v>
      </c>
      <c r="H1325" s="19" t="str">
        <f>_xlfn.XLOOKUP($B1325,tblARV[ASN/DN '#],tblARV[Fulfill Via],"Not found")</f>
        <v>From RDC</v>
      </c>
      <c r="I1325" s="19" t="str">
        <f>_xlfn.XLOOKUP($B1325,tblARV[ASN/DN '#],tblARV[Vendor],"Not found")</f>
        <v>SCMS from RDC</v>
      </c>
    </row>
    <row r="1326" spans="2:9" ht="15">
      <c r="B1326" s="7" t="s">
        <v>353</v>
      </c>
      <c r="C1326" s="10">
        <v>39714</v>
      </c>
      <c r="D1326" s="10">
        <v>39714</v>
      </c>
      <c r="E1326" s="18">
        <v>0</v>
      </c>
      <c r="F1326" s="13" t="str">
        <f t="shared" si="31"/>
        <v>On-time</v>
      </c>
      <c r="G1326" s="19" t="str">
        <f>_xlfn.XLOOKUP(B1326,tblARV[ASN/DN '#],tblARV[Country],"Not found")</f>
        <v>Tanzania</v>
      </c>
      <c r="H1326" s="19" t="str">
        <f>_xlfn.XLOOKUP($B1326,tblARV[ASN/DN '#],tblARV[Fulfill Via],"Not found")</f>
        <v>From RDC</v>
      </c>
      <c r="I1326" s="19" t="str">
        <f>_xlfn.XLOOKUP($B1326,tblARV[ASN/DN '#],tblARV[Vendor],"Not found")</f>
        <v>SCMS from RDC</v>
      </c>
    </row>
    <row r="1327" spans="2:9" ht="15">
      <c r="B1327" s="7" t="s">
        <v>477</v>
      </c>
      <c r="C1327" s="10">
        <v>39706</v>
      </c>
      <c r="D1327" s="10">
        <v>39706</v>
      </c>
      <c r="E1327" s="18">
        <v>0</v>
      </c>
      <c r="F1327" s="13" t="str">
        <f t="shared" si="31"/>
        <v>On-time</v>
      </c>
      <c r="G1327" s="19" t="str">
        <f>_xlfn.XLOOKUP(B1327,tblARV[ASN/DN '#],tblARV[Country],"Not found")</f>
        <v>Tanzania</v>
      </c>
      <c r="H1327" s="19" t="str">
        <f>_xlfn.XLOOKUP($B1327,tblARV[ASN/DN '#],tblARV[Fulfill Via],"Not found")</f>
        <v>From RDC</v>
      </c>
      <c r="I1327" s="19" t="str">
        <f>_xlfn.XLOOKUP($B1327,tblARV[ASN/DN '#],tblARV[Vendor],"Not found")</f>
        <v>SCMS from RDC</v>
      </c>
    </row>
    <row r="1328" spans="2:9" ht="15">
      <c r="B1328" s="7" t="s">
        <v>481</v>
      </c>
      <c r="C1328" s="10">
        <v>39716</v>
      </c>
      <c r="D1328" s="10">
        <v>39716</v>
      </c>
      <c r="E1328" s="18">
        <v>0</v>
      </c>
      <c r="F1328" s="13" t="str">
        <f t="shared" si="31"/>
        <v>On-time</v>
      </c>
      <c r="G1328" s="19" t="str">
        <f>_xlfn.XLOOKUP(B1328,tblARV[ASN/DN '#],tblARV[Country],"Not found")</f>
        <v>Uganda</v>
      </c>
      <c r="H1328" s="19" t="str">
        <f>_xlfn.XLOOKUP($B1328,tblARV[ASN/DN '#],tblARV[Fulfill Via],"Not found")</f>
        <v>From RDC</v>
      </c>
      <c r="I1328" s="19" t="str">
        <f>_xlfn.XLOOKUP($B1328,tblARV[ASN/DN '#],tblARV[Vendor],"Not found")</f>
        <v>SCMS from RDC</v>
      </c>
    </row>
    <row r="1329" spans="2:9" ht="15">
      <c r="B1329" s="7" t="s">
        <v>483</v>
      </c>
      <c r="C1329" s="10">
        <v>39717</v>
      </c>
      <c r="D1329" s="10">
        <v>39717</v>
      </c>
      <c r="E1329" s="18">
        <v>0</v>
      </c>
      <c r="F1329" s="13" t="str">
        <f t="shared" si="31"/>
        <v>On-time</v>
      </c>
      <c r="G1329" s="19" t="str">
        <f>_xlfn.XLOOKUP(B1329,tblARV[ASN/DN '#],tblARV[Country],"Not found")</f>
        <v>Tanzania</v>
      </c>
      <c r="H1329" s="19" t="str">
        <f>_xlfn.XLOOKUP($B1329,tblARV[ASN/DN '#],tblARV[Fulfill Via],"Not found")</f>
        <v>From RDC</v>
      </c>
      <c r="I1329" s="19" t="str">
        <f>_xlfn.XLOOKUP($B1329,tblARV[ASN/DN '#],tblARV[Vendor],"Not found")</f>
        <v>SCMS from RDC</v>
      </c>
    </row>
    <row r="1330" spans="2:9" ht="15">
      <c r="B1330" s="7" t="s">
        <v>285</v>
      </c>
      <c r="C1330" s="10">
        <v>39118</v>
      </c>
      <c r="D1330" s="10">
        <v>39118</v>
      </c>
      <c r="E1330" s="18">
        <v>0</v>
      </c>
      <c r="F1330" s="13" t="str">
        <f t="shared" si="31"/>
        <v>On-time</v>
      </c>
      <c r="G1330" s="19" t="str">
        <f>_xlfn.XLOOKUP(B1330,tblARV[ASN/DN '#],tblARV[Country],"Not found")</f>
        <v>Rwanda</v>
      </c>
      <c r="H1330" s="19" t="str">
        <f>_xlfn.XLOOKUP($B1330,tblARV[ASN/DN '#],tblARV[Fulfill Via],"Not found")</f>
        <v>From RDC</v>
      </c>
      <c r="I1330" s="19" t="str">
        <f>_xlfn.XLOOKUP($B1330,tblARV[ASN/DN '#],tblARV[Vendor],"Not found")</f>
        <v>SCMS from RDC</v>
      </c>
    </row>
    <row r="1331" spans="2:9" ht="15">
      <c r="B1331" s="7" t="s">
        <v>463</v>
      </c>
      <c r="C1331" s="10">
        <v>39717</v>
      </c>
      <c r="D1331" s="10">
        <v>39717</v>
      </c>
      <c r="E1331" s="18">
        <v>0</v>
      </c>
      <c r="F1331" s="13" t="str">
        <f t="shared" si="31"/>
        <v>On-time</v>
      </c>
      <c r="G1331" s="19" t="str">
        <f>_xlfn.XLOOKUP(B1331,tblARV[ASN/DN '#],tblARV[Country],"Not found")</f>
        <v>Tanzania</v>
      </c>
      <c r="H1331" s="19" t="str">
        <f>_xlfn.XLOOKUP($B1331,tblARV[ASN/DN '#],tblARV[Fulfill Via],"Not found")</f>
        <v>From RDC</v>
      </c>
      <c r="I1331" s="19" t="str">
        <f>_xlfn.XLOOKUP($B1331,tblARV[ASN/DN '#],tblARV[Vendor],"Not found")</f>
        <v>SCMS from RDC</v>
      </c>
    </row>
    <row r="1332" spans="2:9" ht="15">
      <c r="B1332" s="7" t="s">
        <v>404</v>
      </c>
      <c r="C1332" s="10">
        <v>39717</v>
      </c>
      <c r="D1332" s="10">
        <v>39717</v>
      </c>
      <c r="E1332" s="18">
        <v>0</v>
      </c>
      <c r="F1332" s="13" t="str">
        <f t="shared" si="31"/>
        <v>On-time</v>
      </c>
      <c r="G1332" s="19" t="str">
        <f>_xlfn.XLOOKUP(B1332,tblARV[ASN/DN '#],tblARV[Country],"Not found")</f>
        <v>Tanzania</v>
      </c>
      <c r="H1332" s="19" t="str">
        <f>_xlfn.XLOOKUP($B1332,tblARV[ASN/DN '#],tblARV[Fulfill Via],"Not found")</f>
        <v>From RDC</v>
      </c>
      <c r="I1332" s="19" t="str">
        <f>_xlfn.XLOOKUP($B1332,tblARV[ASN/DN '#],tblARV[Vendor],"Not found")</f>
        <v>SCMS from RDC</v>
      </c>
    </row>
    <row r="1333" spans="2:9" ht="15">
      <c r="B1333" s="7" t="s">
        <v>689</v>
      </c>
      <c r="C1333" s="10">
        <v>39707</v>
      </c>
      <c r="D1333" s="10">
        <v>39707</v>
      </c>
      <c r="E1333" s="18">
        <v>0</v>
      </c>
      <c r="F1333" s="13" t="str">
        <f t="shared" si="31"/>
        <v>On-time</v>
      </c>
      <c r="G1333" s="19" t="str">
        <f>_xlfn.XLOOKUP(B1333,tblARV[ASN/DN '#],tblARV[Country],"Not found")</f>
        <v>Ethiopia</v>
      </c>
      <c r="H1333" s="19" t="str">
        <f>_xlfn.XLOOKUP($B1333,tblARV[ASN/DN '#],tblARV[Fulfill Via],"Not found")</f>
        <v>From RDC</v>
      </c>
      <c r="I1333" s="19" t="str">
        <f>_xlfn.XLOOKUP($B1333,tblARV[ASN/DN '#],tblARV[Vendor],"Not found")</f>
        <v>SCMS from RDC</v>
      </c>
    </row>
    <row r="1334" spans="2:9" ht="15">
      <c r="B1334" s="7" t="s">
        <v>421</v>
      </c>
      <c r="C1334" s="10">
        <v>39729</v>
      </c>
      <c r="D1334" s="10">
        <v>39729</v>
      </c>
      <c r="E1334" s="18">
        <v>0</v>
      </c>
      <c r="F1334" s="13" t="str">
        <f t="shared" si="31"/>
        <v>On-time</v>
      </c>
      <c r="G1334" s="19" t="str">
        <f>_xlfn.XLOOKUP(B1334,tblARV[ASN/DN '#],tblARV[Country],"Not found")</f>
        <v>Uganda</v>
      </c>
      <c r="H1334" s="19" t="str">
        <f>_xlfn.XLOOKUP($B1334,tblARV[ASN/DN '#],tblARV[Fulfill Via],"Not found")</f>
        <v>From RDC</v>
      </c>
      <c r="I1334" s="19" t="str">
        <f>_xlfn.XLOOKUP($B1334,tblARV[ASN/DN '#],tblARV[Vendor],"Not found")</f>
        <v>SCMS from RDC</v>
      </c>
    </row>
    <row r="1335" spans="2:9" ht="15">
      <c r="B1335" s="7" t="s">
        <v>349</v>
      </c>
      <c r="C1335" s="10">
        <v>39742</v>
      </c>
      <c r="D1335" s="10">
        <v>39742</v>
      </c>
      <c r="E1335" s="18">
        <v>0</v>
      </c>
      <c r="F1335" s="13" t="str">
        <f t="shared" si="31"/>
        <v>On-time</v>
      </c>
      <c r="G1335" s="19" t="str">
        <f>_xlfn.XLOOKUP(B1335,tblARV[ASN/DN '#],tblARV[Country],"Not found")</f>
        <v>Tanzania</v>
      </c>
      <c r="H1335" s="19" t="str">
        <f>_xlfn.XLOOKUP($B1335,tblARV[ASN/DN '#],tblARV[Fulfill Via],"Not found")</f>
        <v>From RDC</v>
      </c>
      <c r="I1335" s="19" t="str">
        <f>_xlfn.XLOOKUP($B1335,tblARV[ASN/DN '#],tblARV[Vendor],"Not found")</f>
        <v>SCMS from RDC</v>
      </c>
    </row>
    <row r="1336" spans="2:9" ht="15">
      <c r="B1336" s="7" t="s">
        <v>492</v>
      </c>
      <c r="C1336" s="10">
        <v>39749</v>
      </c>
      <c r="D1336" s="10">
        <v>39749</v>
      </c>
      <c r="E1336" s="18">
        <v>0</v>
      </c>
      <c r="F1336" s="13" t="str">
        <f t="shared" si="31"/>
        <v>On-time</v>
      </c>
      <c r="G1336" s="19" t="str">
        <f>_xlfn.XLOOKUP(B1336,tblARV[ASN/DN '#],tblARV[Country],"Not found")</f>
        <v>Rwanda</v>
      </c>
      <c r="H1336" s="19" t="str">
        <f>_xlfn.XLOOKUP($B1336,tblARV[ASN/DN '#],tblARV[Fulfill Via],"Not found")</f>
        <v>From RDC</v>
      </c>
      <c r="I1336" s="19" t="str">
        <f>_xlfn.XLOOKUP($B1336,tblARV[ASN/DN '#],tblARV[Vendor],"Not found")</f>
        <v>SCMS from RDC</v>
      </c>
    </row>
    <row r="1337" spans="2:9" ht="15">
      <c r="B1337" s="7" t="s">
        <v>542</v>
      </c>
      <c r="C1337" s="10">
        <v>39757</v>
      </c>
      <c r="D1337" s="10">
        <v>39757</v>
      </c>
      <c r="E1337" s="18">
        <v>0</v>
      </c>
      <c r="F1337" s="13" t="str">
        <f t="shared" si="31"/>
        <v>On-time</v>
      </c>
      <c r="G1337" s="19" t="str">
        <f>_xlfn.XLOOKUP(B1337,tblARV[ASN/DN '#],tblARV[Country],"Not found")</f>
        <v>Rwanda</v>
      </c>
      <c r="H1337" s="19" t="str">
        <f>_xlfn.XLOOKUP($B1337,tblARV[ASN/DN '#],tblARV[Fulfill Via],"Not found")</f>
        <v>From RDC</v>
      </c>
      <c r="I1337" s="19" t="str">
        <f>_xlfn.XLOOKUP($B1337,tblARV[ASN/DN '#],tblARV[Vendor],"Not found")</f>
        <v>SCMS from RDC</v>
      </c>
    </row>
    <row r="1338" spans="2:9" ht="15">
      <c r="B1338" s="7" t="s">
        <v>406</v>
      </c>
      <c r="C1338" s="10">
        <v>39791</v>
      </c>
      <c r="D1338" s="10">
        <v>39791</v>
      </c>
      <c r="E1338" s="18">
        <v>0</v>
      </c>
      <c r="F1338" s="13" t="str">
        <f t="shared" si="31"/>
        <v>On-time</v>
      </c>
      <c r="G1338" s="19" t="str">
        <f>_xlfn.XLOOKUP(B1338,tblARV[ASN/DN '#],tblARV[Country],"Not found")</f>
        <v>Uganda</v>
      </c>
      <c r="H1338" s="19" t="str">
        <f>_xlfn.XLOOKUP($B1338,tblARV[ASN/DN '#],tblARV[Fulfill Via],"Not found")</f>
        <v>From RDC</v>
      </c>
      <c r="I1338" s="19" t="str">
        <f>_xlfn.XLOOKUP($B1338,tblARV[ASN/DN '#],tblARV[Vendor],"Not found")</f>
        <v>SCMS from RDC</v>
      </c>
    </row>
    <row r="1339" spans="2:9" ht="15">
      <c r="B1339" s="7" t="s">
        <v>475</v>
      </c>
      <c r="C1339" s="10">
        <v>39756</v>
      </c>
      <c r="D1339" s="10">
        <v>39756</v>
      </c>
      <c r="E1339" s="18">
        <v>0</v>
      </c>
      <c r="F1339" s="13" t="str">
        <f t="shared" si="31"/>
        <v>On-time</v>
      </c>
      <c r="G1339" s="19" t="str">
        <f>_xlfn.XLOOKUP(B1339,tblARV[ASN/DN '#],tblARV[Country],"Not found")</f>
        <v>Uganda</v>
      </c>
      <c r="H1339" s="19" t="str">
        <f>_xlfn.XLOOKUP($B1339,tblARV[ASN/DN '#],tblARV[Fulfill Via],"Not found")</f>
        <v>From RDC</v>
      </c>
      <c r="I1339" s="19" t="str">
        <f>_xlfn.XLOOKUP($B1339,tblARV[ASN/DN '#],tblARV[Vendor],"Not found")</f>
        <v>SCMS from RDC</v>
      </c>
    </row>
    <row r="1340" spans="2:9" ht="15">
      <c r="B1340" s="7" t="s">
        <v>645</v>
      </c>
      <c r="C1340" s="10">
        <v>39846</v>
      </c>
      <c r="D1340" s="10">
        <v>39846</v>
      </c>
      <c r="E1340" s="18">
        <v>0</v>
      </c>
      <c r="F1340" s="13" t="str">
        <f t="shared" si="31"/>
        <v>On-time</v>
      </c>
      <c r="G1340" s="19" t="str">
        <f>_xlfn.XLOOKUP(B1340,tblARV[ASN/DN '#],tblARV[Country],"Not found")</f>
        <v>Uganda</v>
      </c>
      <c r="H1340" s="19" t="str">
        <f>_xlfn.XLOOKUP($B1340,tblARV[ASN/DN '#],tblARV[Fulfill Via],"Not found")</f>
        <v>From RDC</v>
      </c>
      <c r="I1340" s="19" t="str">
        <f>_xlfn.XLOOKUP($B1340,tblARV[ASN/DN '#],tblARV[Vendor],"Not found")</f>
        <v>SCMS from RDC</v>
      </c>
    </row>
    <row r="1341" spans="2:9" ht="15">
      <c r="B1341" s="7" t="s">
        <v>260</v>
      </c>
      <c r="C1341" s="10">
        <v>39756</v>
      </c>
      <c r="D1341" s="10">
        <v>39756</v>
      </c>
      <c r="E1341" s="18">
        <v>0</v>
      </c>
      <c r="F1341" s="13" t="str">
        <f t="shared" si="31"/>
        <v>On-time</v>
      </c>
      <c r="G1341" s="19" t="str">
        <f>_xlfn.XLOOKUP(B1341,tblARV[ASN/DN '#],tblARV[Country],"Not found")</f>
        <v>Uganda</v>
      </c>
      <c r="H1341" s="19" t="str">
        <f>_xlfn.XLOOKUP($B1341,tblARV[ASN/DN '#],tblARV[Fulfill Via],"Not found")</f>
        <v>From RDC</v>
      </c>
      <c r="I1341" s="19" t="str">
        <f>_xlfn.XLOOKUP($B1341,tblARV[ASN/DN '#],tblARV[Vendor],"Not found")</f>
        <v>SCMS from RDC</v>
      </c>
    </row>
    <row r="1342" spans="2:9" ht="15">
      <c r="B1342" s="7" t="s">
        <v>486</v>
      </c>
      <c r="C1342" s="10">
        <v>39822</v>
      </c>
      <c r="D1342" s="10">
        <v>39822</v>
      </c>
      <c r="E1342" s="18">
        <v>0</v>
      </c>
      <c r="F1342" s="13" t="str">
        <f t="shared" si="31"/>
        <v>On-time</v>
      </c>
      <c r="G1342" s="19" t="str">
        <f>_xlfn.XLOOKUP(B1342,tblARV[ASN/DN '#],tblARV[Country],"Not found")</f>
        <v>Uganda</v>
      </c>
      <c r="H1342" s="19" t="str">
        <f>_xlfn.XLOOKUP($B1342,tblARV[ASN/DN '#],tblARV[Fulfill Via],"Not found")</f>
        <v>From RDC</v>
      </c>
      <c r="I1342" s="19" t="str">
        <f>_xlfn.XLOOKUP($B1342,tblARV[ASN/DN '#],tblARV[Vendor],"Not found")</f>
        <v>SCMS from RDC</v>
      </c>
    </row>
    <row r="1343" spans="2:9" ht="15">
      <c r="B1343" s="7" t="s">
        <v>269</v>
      </c>
      <c r="C1343" s="10">
        <v>39822</v>
      </c>
      <c r="D1343" s="10">
        <v>39822</v>
      </c>
      <c r="E1343" s="18">
        <v>0</v>
      </c>
      <c r="F1343" s="13" t="str">
        <f t="shared" si="31"/>
        <v>On-time</v>
      </c>
      <c r="G1343" s="19" t="str">
        <f>_xlfn.XLOOKUP(B1343,tblARV[ASN/DN '#],tblARV[Country],"Not found")</f>
        <v>Uganda</v>
      </c>
      <c r="H1343" s="19" t="str">
        <f>_xlfn.XLOOKUP($B1343,tblARV[ASN/DN '#],tblARV[Fulfill Via],"Not found")</f>
        <v>From RDC</v>
      </c>
      <c r="I1343" s="19" t="str">
        <f>_xlfn.XLOOKUP($B1343,tblARV[ASN/DN '#],tblARV[Vendor],"Not found")</f>
        <v>SCMS from RDC</v>
      </c>
    </row>
    <row r="1344" spans="2:9" ht="15">
      <c r="B1344" s="7" t="s">
        <v>594</v>
      </c>
      <c r="C1344" s="10">
        <v>39819</v>
      </c>
      <c r="D1344" s="10">
        <v>39819</v>
      </c>
      <c r="E1344" s="18">
        <v>0</v>
      </c>
      <c r="F1344" s="13" t="str">
        <f t="shared" si="31"/>
        <v>On-time</v>
      </c>
      <c r="G1344" s="19" t="str">
        <f>_xlfn.XLOOKUP(B1344,tblARV[ASN/DN '#],tblARV[Country],"Not found")</f>
        <v>Uganda</v>
      </c>
      <c r="H1344" s="19" t="str">
        <f>_xlfn.XLOOKUP($B1344,tblARV[ASN/DN '#],tblARV[Fulfill Via],"Not found")</f>
        <v>From RDC</v>
      </c>
      <c r="I1344" s="19" t="str">
        <f>_xlfn.XLOOKUP($B1344,tblARV[ASN/DN '#],tblARV[Vendor],"Not found")</f>
        <v>SCMS from RDC</v>
      </c>
    </row>
    <row r="1345" spans="2:9" ht="15">
      <c r="B1345" s="7" t="s">
        <v>357</v>
      </c>
      <c r="C1345" s="10">
        <v>39791</v>
      </c>
      <c r="D1345" s="10">
        <v>39791</v>
      </c>
      <c r="E1345" s="18">
        <v>0</v>
      </c>
      <c r="F1345" s="13" t="str">
        <f t="shared" si="31"/>
        <v>On-time</v>
      </c>
      <c r="G1345" s="19" t="str">
        <f>_xlfn.XLOOKUP(B1345,tblARV[ASN/DN '#],tblARV[Country],"Not found")</f>
        <v>Uganda</v>
      </c>
      <c r="H1345" s="19" t="str">
        <f>_xlfn.XLOOKUP($B1345,tblARV[ASN/DN '#],tblARV[Fulfill Via],"Not found")</f>
        <v>From RDC</v>
      </c>
      <c r="I1345" s="19" t="str">
        <f>_xlfn.XLOOKUP($B1345,tblARV[ASN/DN '#],tblARV[Vendor],"Not found")</f>
        <v>SCMS from RDC</v>
      </c>
    </row>
    <row r="1346" spans="2:9" ht="15">
      <c r="B1346" s="7" t="s">
        <v>479</v>
      </c>
      <c r="C1346" s="10">
        <v>39822</v>
      </c>
      <c r="D1346" s="10">
        <v>39822</v>
      </c>
      <c r="E1346" s="18">
        <v>0</v>
      </c>
      <c r="F1346" s="13" t="str">
        <f t="shared" si="31"/>
        <v>On-time</v>
      </c>
      <c r="G1346" s="19" t="str">
        <f>_xlfn.XLOOKUP(B1346,tblARV[ASN/DN '#],tblARV[Country],"Not found")</f>
        <v>Uganda</v>
      </c>
      <c r="H1346" s="19" t="str">
        <f>_xlfn.XLOOKUP($B1346,tblARV[ASN/DN '#],tblARV[Fulfill Via],"Not found")</f>
        <v>From RDC</v>
      </c>
      <c r="I1346" s="19" t="str">
        <f>_xlfn.XLOOKUP($B1346,tblARV[ASN/DN '#],tblARV[Vendor],"Not found")</f>
        <v>SCMS from RDC</v>
      </c>
    </row>
    <row r="1347" spans="2:9" ht="15">
      <c r="B1347" s="7" t="s">
        <v>359</v>
      </c>
      <c r="C1347" s="10">
        <v>39784</v>
      </c>
      <c r="D1347" s="10">
        <v>39784</v>
      </c>
      <c r="E1347" s="18">
        <v>0</v>
      </c>
      <c r="F1347" s="13" t="str">
        <f t="shared" si="31"/>
        <v>On-time</v>
      </c>
      <c r="G1347" s="19" t="str">
        <f>_xlfn.XLOOKUP(B1347,tblARV[ASN/DN '#],tblARV[Country],"Not found")</f>
        <v>Uganda</v>
      </c>
      <c r="H1347" s="19" t="str">
        <f>_xlfn.XLOOKUP($B1347,tblARV[ASN/DN '#],tblARV[Fulfill Via],"Not found")</f>
        <v>From RDC</v>
      </c>
      <c r="I1347" s="19" t="str">
        <f>_xlfn.XLOOKUP($B1347,tblARV[ASN/DN '#],tblARV[Vendor],"Not found")</f>
        <v>SCMS from RDC</v>
      </c>
    </row>
    <row r="1348" spans="2:9" ht="15">
      <c r="B1348" s="7" t="s">
        <v>417</v>
      </c>
      <c r="C1348" s="10">
        <v>39779</v>
      </c>
      <c r="D1348" s="10">
        <v>39779</v>
      </c>
      <c r="E1348" s="18">
        <v>0</v>
      </c>
      <c r="F1348" s="13" t="str">
        <f t="shared" si="31"/>
        <v>On-time</v>
      </c>
      <c r="G1348" s="19" t="str">
        <f>_xlfn.XLOOKUP(B1348,tblARV[ASN/DN '#],tblARV[Country],"Not found")</f>
        <v>Uganda</v>
      </c>
      <c r="H1348" s="19" t="str">
        <f>_xlfn.XLOOKUP($B1348,tblARV[ASN/DN '#],tblARV[Fulfill Via],"Not found")</f>
        <v>From RDC</v>
      </c>
      <c r="I1348" s="19" t="str">
        <f>_xlfn.XLOOKUP($B1348,tblARV[ASN/DN '#],tblARV[Vendor],"Not found")</f>
        <v>SCMS from RDC</v>
      </c>
    </row>
    <row r="1349" spans="2:9" ht="15">
      <c r="B1349" s="7" t="s">
        <v>469</v>
      </c>
      <c r="C1349" s="10">
        <v>39797</v>
      </c>
      <c r="D1349" s="10">
        <v>39797</v>
      </c>
      <c r="E1349" s="18">
        <v>0</v>
      </c>
      <c r="F1349" s="13" t="str">
        <f t="shared" si="31"/>
        <v>On-time</v>
      </c>
      <c r="G1349" s="19" t="str">
        <f>_xlfn.XLOOKUP(B1349,tblARV[ASN/DN '#],tblARV[Country],"Not found")</f>
        <v>Uganda</v>
      </c>
      <c r="H1349" s="19" t="str">
        <f>_xlfn.XLOOKUP($B1349,tblARV[ASN/DN '#],tblARV[Fulfill Via],"Not found")</f>
        <v>From RDC</v>
      </c>
      <c r="I1349" s="19" t="str">
        <f>_xlfn.XLOOKUP($B1349,tblARV[ASN/DN '#],tblARV[Vendor],"Not found")</f>
        <v>SCMS from RDC</v>
      </c>
    </row>
    <row r="1350" spans="2:9" ht="15">
      <c r="B1350"/>
      <c r="C1350"/>
      <c r="D1350"/>
      <c r="E1350"/>
      <c r="F1350" s="11"/>
      <c r="G1350"/>
      <c r="H1350"/>
    </row>
    <row r="1351" spans="2:9" ht="15">
      <c r="B1351"/>
      <c r="C1351"/>
      <c r="D1351"/>
      <c r="E1351"/>
    </row>
    <row r="1352" spans="2:9" ht="15">
      <c r="B1352"/>
      <c r="C1352"/>
      <c r="D1352"/>
      <c r="E1352"/>
    </row>
    <row r="1353" spans="2:9" ht="15">
      <c r="B1353"/>
      <c r="C1353"/>
      <c r="D1353"/>
      <c r="E1353"/>
    </row>
    <row r="1354" spans="2:9" ht="15">
      <c r="B1354"/>
      <c r="C1354"/>
      <c r="D1354"/>
      <c r="E1354"/>
    </row>
    <row r="1355" spans="2:9" ht="15">
      <c r="B1355"/>
      <c r="C1355"/>
      <c r="D1355"/>
      <c r="E1355"/>
    </row>
    <row r="1356" spans="2:9" ht="15">
      <c r="B1356"/>
      <c r="C1356"/>
      <c r="D1356"/>
      <c r="E1356"/>
    </row>
    <row r="1357" spans="2:9" ht="15">
      <c r="B1357"/>
      <c r="C1357"/>
      <c r="D1357"/>
      <c r="E1357"/>
    </row>
    <row r="1358" spans="2:9" ht="15">
      <c r="B1358"/>
      <c r="C1358"/>
      <c r="D1358"/>
      <c r="E1358"/>
    </row>
    <row r="1359" spans="2:9" ht="15">
      <c r="B1359"/>
      <c r="C1359"/>
      <c r="D1359"/>
      <c r="E1359"/>
    </row>
    <row r="1360" spans="2:9" ht="15">
      <c r="B1360"/>
      <c r="C1360"/>
      <c r="D1360"/>
      <c r="E1360"/>
    </row>
    <row r="1361" spans="2:5" ht="15">
      <c r="B1361"/>
      <c r="C1361"/>
      <c r="D1361"/>
      <c r="E1361"/>
    </row>
    <row r="1362" spans="2:5" ht="15">
      <c r="B1362"/>
      <c r="C1362"/>
      <c r="D1362"/>
      <c r="E1362"/>
    </row>
    <row r="1363" spans="2:5" ht="15">
      <c r="B1363"/>
      <c r="C1363"/>
      <c r="D1363"/>
      <c r="E1363"/>
    </row>
    <row r="1364" spans="2:5" ht="15">
      <c r="B1364"/>
      <c r="C1364"/>
      <c r="D1364"/>
      <c r="E1364"/>
    </row>
    <row r="1365" spans="2:5" ht="15">
      <c r="B1365"/>
      <c r="C1365"/>
      <c r="D1365"/>
      <c r="E1365"/>
    </row>
    <row r="1366" spans="2:5" ht="15">
      <c r="B1366"/>
      <c r="C1366"/>
      <c r="D1366"/>
      <c r="E1366"/>
    </row>
    <row r="1367" spans="2:5" ht="15">
      <c r="B1367"/>
      <c r="C1367"/>
      <c r="D1367"/>
      <c r="E1367"/>
    </row>
    <row r="1368" spans="2:5" ht="15">
      <c r="B1368"/>
      <c r="C1368"/>
      <c r="D1368"/>
      <c r="E1368"/>
    </row>
    <row r="1369" spans="2:5" ht="15">
      <c r="B1369"/>
      <c r="C1369"/>
      <c r="D1369"/>
      <c r="E1369"/>
    </row>
    <row r="1370" spans="2:5" ht="15">
      <c r="B1370"/>
      <c r="C1370"/>
      <c r="D1370"/>
      <c r="E1370"/>
    </row>
    <row r="1371" spans="2:5" ht="15">
      <c r="B1371"/>
      <c r="C1371"/>
      <c r="D1371"/>
      <c r="E1371"/>
    </row>
    <row r="1372" spans="2:5" ht="15">
      <c r="B1372"/>
      <c r="C1372"/>
      <c r="D1372"/>
      <c r="E1372"/>
    </row>
    <row r="1373" spans="2:5" ht="15">
      <c r="B1373"/>
      <c r="C1373"/>
      <c r="D1373"/>
      <c r="E1373"/>
    </row>
    <row r="1374" spans="2:5" ht="15">
      <c r="B1374"/>
      <c r="C1374"/>
      <c r="D1374"/>
      <c r="E1374"/>
    </row>
    <row r="1375" spans="2:5" ht="15">
      <c r="B1375"/>
      <c r="C1375"/>
      <c r="D1375"/>
      <c r="E1375"/>
    </row>
    <row r="1376" spans="2:5" ht="15">
      <c r="B1376"/>
      <c r="C1376"/>
      <c r="D1376"/>
      <c r="E1376"/>
    </row>
    <row r="1377" spans="2:5" ht="15">
      <c r="B1377"/>
      <c r="C1377"/>
      <c r="D1377"/>
      <c r="E1377"/>
    </row>
    <row r="1378" spans="2:5" ht="15">
      <c r="B1378"/>
      <c r="C1378"/>
      <c r="D1378"/>
      <c r="E1378"/>
    </row>
    <row r="1379" spans="2:5" ht="15">
      <c r="B1379"/>
      <c r="C1379"/>
      <c r="D1379"/>
      <c r="E1379"/>
    </row>
    <row r="1380" spans="2:5" ht="15">
      <c r="B1380"/>
      <c r="C1380"/>
      <c r="D1380"/>
      <c r="E1380"/>
    </row>
    <row r="1381" spans="2:5" ht="15">
      <c r="B1381"/>
      <c r="C1381"/>
      <c r="D1381"/>
      <c r="E1381"/>
    </row>
    <row r="1382" spans="2:5" ht="15">
      <c r="B1382"/>
      <c r="C1382"/>
      <c r="D1382"/>
      <c r="E1382"/>
    </row>
    <row r="1383" spans="2:5" ht="15">
      <c r="B1383"/>
      <c r="C1383"/>
      <c r="D1383"/>
      <c r="E1383"/>
    </row>
    <row r="1384" spans="2:5" ht="15">
      <c r="B1384"/>
      <c r="C1384"/>
      <c r="D1384"/>
      <c r="E1384"/>
    </row>
    <row r="1385" spans="2:5" ht="15">
      <c r="B1385"/>
      <c r="C1385"/>
      <c r="D1385"/>
      <c r="E1385"/>
    </row>
    <row r="1386" spans="2:5" ht="15">
      <c r="B1386"/>
      <c r="C1386"/>
      <c r="D1386"/>
      <c r="E1386"/>
    </row>
    <row r="1387" spans="2:5" ht="15">
      <c r="B1387"/>
      <c r="C1387"/>
      <c r="D1387"/>
      <c r="E1387"/>
    </row>
    <row r="1388" spans="2:5" ht="15">
      <c r="B1388"/>
      <c r="C1388"/>
      <c r="D1388"/>
      <c r="E1388"/>
    </row>
    <row r="1389" spans="2:5" ht="15">
      <c r="B1389"/>
      <c r="C1389"/>
      <c r="D1389"/>
      <c r="E1389"/>
    </row>
    <row r="1390" spans="2:5" ht="15">
      <c r="B1390"/>
      <c r="C1390"/>
      <c r="D1390"/>
      <c r="E1390"/>
    </row>
    <row r="1391" spans="2:5" ht="15">
      <c r="B1391"/>
      <c r="C1391"/>
      <c r="D1391"/>
      <c r="E1391"/>
    </row>
    <row r="1392" spans="2:5" ht="15">
      <c r="B1392"/>
      <c r="C1392"/>
      <c r="D1392"/>
      <c r="E1392"/>
    </row>
    <row r="1393" spans="2:5" ht="15">
      <c r="B1393"/>
      <c r="C1393"/>
      <c r="D1393"/>
      <c r="E1393"/>
    </row>
    <row r="1394" spans="2:5" ht="15">
      <c r="B1394"/>
      <c r="C1394"/>
      <c r="D1394"/>
      <c r="E1394"/>
    </row>
    <row r="1395" spans="2:5" ht="15">
      <c r="B1395"/>
      <c r="C1395"/>
      <c r="D1395"/>
      <c r="E1395"/>
    </row>
    <row r="1396" spans="2:5" ht="15">
      <c r="B1396"/>
      <c r="C1396"/>
      <c r="D1396"/>
      <c r="E1396"/>
    </row>
    <row r="1397" spans="2:5" ht="15">
      <c r="B1397"/>
      <c r="C1397"/>
      <c r="D1397"/>
      <c r="E1397"/>
    </row>
    <row r="1398" spans="2:5" ht="15">
      <c r="B1398"/>
      <c r="C1398"/>
      <c r="D1398"/>
      <c r="E1398"/>
    </row>
    <row r="1399" spans="2:5" ht="15">
      <c r="B1399"/>
      <c r="C1399"/>
      <c r="D1399"/>
      <c r="E1399"/>
    </row>
    <row r="1400" spans="2:5" ht="15">
      <c r="B1400"/>
      <c r="C1400"/>
      <c r="D1400"/>
      <c r="E1400"/>
    </row>
    <row r="1401" spans="2:5" ht="15">
      <c r="B1401"/>
      <c r="C1401"/>
      <c r="D1401"/>
      <c r="E1401"/>
    </row>
    <row r="1402" spans="2:5" ht="15">
      <c r="B1402"/>
      <c r="C1402"/>
      <c r="D1402"/>
      <c r="E1402"/>
    </row>
    <row r="1403" spans="2:5" ht="15">
      <c r="B1403"/>
      <c r="C1403"/>
      <c r="D1403"/>
      <c r="E1403"/>
    </row>
    <row r="1404" spans="2:5" ht="15">
      <c r="B1404"/>
      <c r="C1404"/>
      <c r="D1404"/>
      <c r="E1404"/>
    </row>
    <row r="1405" spans="2:5" ht="15">
      <c r="B1405"/>
      <c r="C1405"/>
      <c r="D1405"/>
      <c r="E1405"/>
    </row>
    <row r="1406" spans="2:5" ht="15">
      <c r="B1406"/>
      <c r="C1406"/>
      <c r="D1406"/>
      <c r="E1406"/>
    </row>
    <row r="1407" spans="2:5" ht="15">
      <c r="B1407"/>
      <c r="C1407"/>
      <c r="D1407"/>
      <c r="E1407"/>
    </row>
    <row r="1408" spans="2:5" ht="15">
      <c r="B1408"/>
      <c r="C1408"/>
      <c r="D1408"/>
      <c r="E1408"/>
    </row>
    <row r="1409" spans="2:5" ht="15">
      <c r="B1409"/>
      <c r="C1409"/>
      <c r="D1409"/>
      <c r="E1409"/>
    </row>
    <row r="1410" spans="2:5" ht="15">
      <c r="B1410"/>
      <c r="C1410"/>
      <c r="D1410"/>
      <c r="E1410"/>
    </row>
    <row r="1411" spans="2:5" ht="15">
      <c r="B1411"/>
      <c r="C1411"/>
      <c r="D1411"/>
      <c r="E1411"/>
    </row>
    <row r="1412" spans="2:5" ht="15">
      <c r="B1412"/>
      <c r="C1412"/>
      <c r="D1412"/>
      <c r="E1412"/>
    </row>
    <row r="1413" spans="2:5" ht="15">
      <c r="B1413"/>
      <c r="C1413"/>
      <c r="D1413"/>
      <c r="E1413"/>
    </row>
    <row r="1414" spans="2:5" ht="15">
      <c r="B1414"/>
      <c r="C1414"/>
      <c r="D1414"/>
      <c r="E1414"/>
    </row>
    <row r="1415" spans="2:5" ht="15">
      <c r="B1415"/>
      <c r="C1415"/>
      <c r="D1415"/>
      <c r="E1415"/>
    </row>
    <row r="1416" spans="2:5" ht="15">
      <c r="B1416"/>
      <c r="C1416"/>
      <c r="D1416"/>
      <c r="E1416"/>
    </row>
    <row r="1417" spans="2:5" ht="15">
      <c r="B1417"/>
      <c r="C1417"/>
      <c r="D1417"/>
      <c r="E1417"/>
    </row>
    <row r="1418" spans="2:5" ht="15">
      <c r="B1418"/>
      <c r="C1418"/>
      <c r="D1418"/>
      <c r="E1418"/>
    </row>
    <row r="1419" spans="2:5" ht="15">
      <c r="B1419"/>
      <c r="C1419"/>
      <c r="D1419"/>
      <c r="E1419"/>
    </row>
    <row r="1420" spans="2:5" ht="15">
      <c r="B1420"/>
      <c r="C1420"/>
      <c r="D1420"/>
      <c r="E1420"/>
    </row>
    <row r="1421" spans="2:5" ht="15">
      <c r="B1421"/>
      <c r="C1421"/>
      <c r="D1421"/>
      <c r="E1421"/>
    </row>
    <row r="1422" spans="2:5" ht="15">
      <c r="B1422"/>
      <c r="C1422"/>
      <c r="D1422"/>
      <c r="E1422"/>
    </row>
    <row r="1423" spans="2:5" ht="15">
      <c r="B1423"/>
      <c r="C1423"/>
      <c r="D1423"/>
      <c r="E1423"/>
    </row>
    <row r="1424" spans="2:5" ht="15">
      <c r="B1424"/>
      <c r="C1424"/>
      <c r="D1424"/>
      <c r="E1424"/>
    </row>
    <row r="1425" spans="2:5" ht="15">
      <c r="B1425"/>
      <c r="C1425"/>
      <c r="D1425"/>
      <c r="E1425"/>
    </row>
    <row r="1426" spans="2:5" ht="15">
      <c r="B1426"/>
      <c r="C1426"/>
      <c r="D1426"/>
      <c r="E1426"/>
    </row>
    <row r="1427" spans="2:5" ht="15">
      <c r="B1427"/>
      <c r="C1427"/>
      <c r="D1427"/>
      <c r="E1427"/>
    </row>
    <row r="1428" spans="2:5" ht="15">
      <c r="B1428"/>
      <c r="C1428"/>
      <c r="D1428"/>
      <c r="E1428"/>
    </row>
    <row r="1429" spans="2:5" ht="15">
      <c r="B1429"/>
      <c r="C1429"/>
      <c r="D1429"/>
      <c r="E1429"/>
    </row>
    <row r="1430" spans="2:5" ht="15">
      <c r="B1430"/>
      <c r="C1430"/>
      <c r="D1430"/>
      <c r="E1430"/>
    </row>
    <row r="1431" spans="2:5" ht="15">
      <c r="B1431"/>
      <c r="C1431"/>
      <c r="D1431"/>
      <c r="E1431"/>
    </row>
    <row r="1432" spans="2:5" ht="15">
      <c r="B1432"/>
      <c r="C1432"/>
      <c r="D1432"/>
      <c r="E1432"/>
    </row>
    <row r="1433" spans="2:5" ht="15">
      <c r="B1433"/>
      <c r="C1433"/>
      <c r="D1433"/>
      <c r="E1433"/>
    </row>
    <row r="1434" spans="2:5" ht="15">
      <c r="B1434"/>
      <c r="C1434"/>
      <c r="D1434"/>
      <c r="E1434"/>
    </row>
    <row r="1435" spans="2:5" ht="15">
      <c r="B1435"/>
      <c r="C1435"/>
      <c r="D1435"/>
      <c r="E1435"/>
    </row>
    <row r="1436" spans="2:5" ht="15">
      <c r="B1436"/>
      <c r="C1436"/>
      <c r="D1436"/>
      <c r="E1436"/>
    </row>
    <row r="1437" spans="2:5" ht="15">
      <c r="B1437"/>
      <c r="C1437"/>
      <c r="D1437"/>
      <c r="E1437"/>
    </row>
    <row r="1438" spans="2:5" ht="15">
      <c r="B1438"/>
      <c r="C1438"/>
      <c r="D1438"/>
      <c r="E1438"/>
    </row>
    <row r="1439" spans="2:5" ht="15">
      <c r="B1439"/>
      <c r="C1439"/>
      <c r="D1439"/>
      <c r="E1439"/>
    </row>
    <row r="1440" spans="2:5" ht="15">
      <c r="B1440"/>
      <c r="C1440"/>
      <c r="D1440"/>
      <c r="E1440"/>
    </row>
    <row r="1441" spans="2:5" ht="15">
      <c r="B1441"/>
      <c r="C1441"/>
      <c r="D1441"/>
      <c r="E1441"/>
    </row>
    <row r="1442" spans="2:5" ht="15">
      <c r="B1442"/>
      <c r="C1442"/>
      <c r="D1442"/>
      <c r="E1442"/>
    </row>
    <row r="1443" spans="2:5" ht="15">
      <c r="B1443"/>
      <c r="C1443"/>
      <c r="D1443"/>
      <c r="E1443"/>
    </row>
    <row r="1444" spans="2:5" ht="15">
      <c r="B1444"/>
      <c r="C1444"/>
      <c r="D1444"/>
      <c r="E1444"/>
    </row>
    <row r="1445" spans="2:5" ht="15">
      <c r="B1445"/>
      <c r="C1445"/>
      <c r="D1445"/>
      <c r="E1445"/>
    </row>
    <row r="1446" spans="2:5" ht="15">
      <c r="B1446"/>
      <c r="C1446"/>
      <c r="D1446"/>
      <c r="E1446"/>
    </row>
    <row r="1447" spans="2:5" ht="15">
      <c r="B1447"/>
      <c r="C1447"/>
      <c r="D1447"/>
      <c r="E1447"/>
    </row>
    <row r="1448" spans="2:5" ht="15">
      <c r="B1448"/>
      <c r="C1448"/>
      <c r="D1448"/>
      <c r="E1448"/>
    </row>
    <row r="1449" spans="2:5" ht="15">
      <c r="B1449"/>
      <c r="C1449"/>
      <c r="D1449"/>
      <c r="E1449"/>
    </row>
    <row r="1450" spans="2:5" ht="15">
      <c r="B1450"/>
      <c r="C1450"/>
      <c r="D1450"/>
      <c r="E1450"/>
    </row>
    <row r="1451" spans="2:5" ht="15">
      <c r="B1451"/>
      <c r="C1451"/>
      <c r="D1451"/>
      <c r="E1451"/>
    </row>
    <row r="1452" spans="2:5" ht="15">
      <c r="B1452"/>
      <c r="C1452"/>
      <c r="D1452"/>
      <c r="E1452"/>
    </row>
    <row r="1453" spans="2:5" ht="15">
      <c r="B1453"/>
      <c r="C1453"/>
      <c r="D1453"/>
      <c r="E1453"/>
    </row>
    <row r="1454" spans="2:5" ht="15">
      <c r="B1454"/>
      <c r="C1454"/>
      <c r="D1454"/>
      <c r="E1454"/>
    </row>
    <row r="1455" spans="2:5" ht="15">
      <c r="B1455"/>
      <c r="C1455"/>
      <c r="D1455"/>
      <c r="E1455"/>
    </row>
    <row r="1456" spans="2:5" ht="15">
      <c r="B1456"/>
      <c r="C1456"/>
      <c r="D1456"/>
      <c r="E1456"/>
    </row>
    <row r="1457" spans="2:5" ht="15">
      <c r="B1457"/>
      <c r="C1457"/>
      <c r="D1457"/>
      <c r="E1457"/>
    </row>
    <row r="1458" spans="2:5" ht="15">
      <c r="B1458"/>
      <c r="C1458"/>
      <c r="D1458"/>
      <c r="E1458"/>
    </row>
    <row r="1459" spans="2:5" ht="15">
      <c r="B1459"/>
      <c r="C1459"/>
      <c r="D1459"/>
      <c r="E1459"/>
    </row>
    <row r="1460" spans="2:5" ht="15">
      <c r="B1460"/>
      <c r="C1460"/>
      <c r="D1460"/>
      <c r="E1460"/>
    </row>
    <row r="1461" spans="2:5" ht="15">
      <c r="B1461"/>
      <c r="C1461"/>
      <c r="D1461"/>
      <c r="E1461"/>
    </row>
    <row r="1462" spans="2:5" ht="15">
      <c r="B1462"/>
      <c r="C1462"/>
      <c r="D1462"/>
      <c r="E1462"/>
    </row>
    <row r="1463" spans="2:5" ht="15">
      <c r="B1463"/>
      <c r="C1463"/>
      <c r="D1463"/>
      <c r="E1463"/>
    </row>
    <row r="1464" spans="2:5" ht="15">
      <c r="B1464"/>
      <c r="C1464"/>
      <c r="D1464"/>
      <c r="E1464"/>
    </row>
    <row r="1465" spans="2:5" ht="15">
      <c r="B1465"/>
      <c r="C1465"/>
      <c r="D1465"/>
      <c r="E1465"/>
    </row>
    <row r="1466" spans="2:5" ht="15">
      <c r="B1466"/>
      <c r="C1466"/>
      <c r="D1466"/>
      <c r="E1466"/>
    </row>
    <row r="1467" spans="2:5" ht="15">
      <c r="B1467"/>
      <c r="C1467"/>
      <c r="D1467"/>
      <c r="E1467"/>
    </row>
    <row r="1468" spans="2:5" ht="15">
      <c r="B1468"/>
      <c r="C1468"/>
      <c r="D1468"/>
      <c r="E1468"/>
    </row>
    <row r="1469" spans="2:5" ht="15">
      <c r="B1469"/>
      <c r="C1469"/>
      <c r="D1469"/>
      <c r="E1469"/>
    </row>
    <row r="1470" spans="2:5" ht="15">
      <c r="B1470"/>
      <c r="C1470"/>
      <c r="D1470"/>
      <c r="E1470"/>
    </row>
    <row r="1471" spans="2:5" ht="15">
      <c r="B1471"/>
      <c r="C1471"/>
      <c r="D1471"/>
      <c r="E1471"/>
    </row>
    <row r="1472" spans="2:5" ht="15">
      <c r="B1472"/>
      <c r="C1472"/>
      <c r="D1472"/>
      <c r="E1472"/>
    </row>
    <row r="1473" spans="2:5" ht="15">
      <c r="B1473"/>
      <c r="C1473"/>
      <c r="D1473"/>
      <c r="E1473"/>
    </row>
    <row r="1474" spans="2:5" ht="15">
      <c r="B1474"/>
      <c r="C1474"/>
      <c r="D1474"/>
      <c r="E1474"/>
    </row>
    <row r="1475" spans="2:5" ht="15">
      <c r="B1475"/>
      <c r="C1475"/>
      <c r="D1475"/>
      <c r="E1475"/>
    </row>
    <row r="1476" spans="2:5" ht="15">
      <c r="B1476"/>
      <c r="C1476"/>
      <c r="D1476"/>
      <c r="E1476"/>
    </row>
    <row r="1477" spans="2:5" ht="15">
      <c r="B1477"/>
      <c r="C1477"/>
      <c r="D1477"/>
      <c r="E1477"/>
    </row>
    <row r="1478" spans="2:5" ht="15">
      <c r="B1478"/>
      <c r="C1478"/>
      <c r="D1478"/>
      <c r="E1478"/>
    </row>
    <row r="1479" spans="2:5" ht="15">
      <c r="B1479"/>
      <c r="C1479"/>
      <c r="D1479"/>
      <c r="E1479"/>
    </row>
    <row r="1480" spans="2:5" ht="15">
      <c r="B1480"/>
      <c r="C1480"/>
      <c r="D1480"/>
      <c r="E1480"/>
    </row>
    <row r="1481" spans="2:5" ht="15">
      <c r="B1481"/>
      <c r="C1481"/>
      <c r="D1481"/>
      <c r="E1481"/>
    </row>
    <row r="1482" spans="2:5" ht="15">
      <c r="B1482"/>
      <c r="C1482"/>
      <c r="D1482"/>
      <c r="E1482"/>
    </row>
    <row r="1483" spans="2:5" ht="15">
      <c r="B1483"/>
      <c r="C1483"/>
      <c r="D1483"/>
      <c r="E1483"/>
    </row>
    <row r="1484" spans="2:5" ht="15">
      <c r="B1484"/>
      <c r="C1484"/>
      <c r="D1484"/>
      <c r="E1484"/>
    </row>
    <row r="1485" spans="2:5" ht="15">
      <c r="B1485"/>
      <c r="C1485"/>
      <c r="D1485"/>
      <c r="E1485"/>
    </row>
    <row r="1486" spans="2:5" ht="15">
      <c r="B1486"/>
      <c r="C1486"/>
      <c r="D1486"/>
      <c r="E1486"/>
    </row>
    <row r="1487" spans="2:5" ht="15">
      <c r="B1487"/>
      <c r="C1487"/>
      <c r="D1487"/>
      <c r="E1487"/>
    </row>
    <row r="1488" spans="2:5" ht="15">
      <c r="B1488"/>
      <c r="C1488"/>
      <c r="D1488"/>
      <c r="E1488"/>
    </row>
    <row r="1489" spans="2:5" ht="15">
      <c r="B1489"/>
      <c r="C1489"/>
      <c r="D1489"/>
      <c r="E1489"/>
    </row>
    <row r="1490" spans="2:5" ht="15">
      <c r="B1490"/>
      <c r="C1490"/>
      <c r="D1490"/>
      <c r="E1490"/>
    </row>
    <row r="1491" spans="2:5" ht="15">
      <c r="B1491"/>
      <c r="C1491"/>
      <c r="D1491"/>
      <c r="E1491"/>
    </row>
    <row r="1492" spans="2:5" ht="15">
      <c r="B1492"/>
      <c r="C1492"/>
      <c r="D1492"/>
      <c r="E1492"/>
    </row>
    <row r="1493" spans="2:5" ht="15">
      <c r="B1493"/>
      <c r="C1493"/>
      <c r="D1493"/>
      <c r="E1493"/>
    </row>
    <row r="1494" spans="2:5" ht="15">
      <c r="B1494"/>
      <c r="C1494"/>
      <c r="D1494"/>
      <c r="E1494"/>
    </row>
    <row r="1495" spans="2:5" ht="15">
      <c r="B1495"/>
      <c r="C1495"/>
      <c r="D1495"/>
      <c r="E1495"/>
    </row>
    <row r="1496" spans="2:5" ht="15">
      <c r="B1496"/>
      <c r="C1496"/>
      <c r="D1496"/>
      <c r="E1496"/>
    </row>
    <row r="1497" spans="2:5" ht="15">
      <c r="B1497"/>
      <c r="C1497"/>
      <c r="D1497"/>
      <c r="E1497"/>
    </row>
    <row r="1498" spans="2:5" ht="15">
      <c r="B1498"/>
      <c r="C1498"/>
      <c r="D1498"/>
      <c r="E1498"/>
    </row>
    <row r="1499" spans="2:5" ht="15">
      <c r="B1499"/>
      <c r="C1499"/>
      <c r="D1499"/>
      <c r="E1499"/>
    </row>
    <row r="1500" spans="2:5" ht="15">
      <c r="B1500"/>
      <c r="C1500"/>
      <c r="D1500"/>
      <c r="E1500"/>
    </row>
    <row r="1501" spans="2:5" ht="15">
      <c r="B1501"/>
      <c r="C1501"/>
      <c r="D1501"/>
      <c r="E1501"/>
    </row>
    <row r="1502" spans="2:5" ht="15">
      <c r="B1502"/>
      <c r="C1502"/>
      <c r="D1502"/>
      <c r="E1502"/>
    </row>
    <row r="1503" spans="2:5" ht="15">
      <c r="B1503"/>
      <c r="C1503"/>
      <c r="D1503"/>
      <c r="E1503"/>
    </row>
    <row r="1504" spans="2:5" ht="15">
      <c r="B1504"/>
      <c r="C1504"/>
      <c r="D1504"/>
      <c r="E1504"/>
    </row>
    <row r="1505" spans="2:5" ht="15">
      <c r="B1505"/>
      <c r="C1505"/>
      <c r="D1505"/>
      <c r="E1505"/>
    </row>
    <row r="1506" spans="2:5" ht="15">
      <c r="B1506"/>
      <c r="C1506"/>
      <c r="D1506"/>
      <c r="E1506"/>
    </row>
    <row r="1507" spans="2:5" ht="15">
      <c r="B1507"/>
      <c r="C1507"/>
      <c r="D1507"/>
      <c r="E1507"/>
    </row>
    <row r="1508" spans="2:5" ht="15">
      <c r="B1508"/>
      <c r="C1508"/>
      <c r="D1508"/>
      <c r="E1508"/>
    </row>
    <row r="1509" spans="2:5" ht="15">
      <c r="B1509"/>
      <c r="C1509"/>
      <c r="D1509"/>
      <c r="E1509"/>
    </row>
    <row r="1510" spans="2:5" ht="15">
      <c r="B1510"/>
      <c r="C1510"/>
      <c r="D1510"/>
      <c r="E1510"/>
    </row>
    <row r="1511" spans="2:5" ht="15">
      <c r="B1511"/>
      <c r="C1511"/>
      <c r="D1511"/>
      <c r="E1511"/>
    </row>
    <row r="1512" spans="2:5" ht="15">
      <c r="B1512"/>
      <c r="C1512"/>
      <c r="D1512"/>
      <c r="E1512"/>
    </row>
    <row r="1513" spans="2:5" ht="15">
      <c r="B1513"/>
      <c r="C1513"/>
      <c r="D1513"/>
      <c r="E1513"/>
    </row>
    <row r="1514" spans="2:5" ht="15">
      <c r="B1514"/>
      <c r="C1514"/>
      <c r="D1514"/>
      <c r="E1514"/>
    </row>
    <row r="1515" spans="2:5" ht="15">
      <c r="B1515"/>
      <c r="C1515"/>
      <c r="D1515"/>
      <c r="E1515"/>
    </row>
    <row r="1516" spans="2:5" ht="15">
      <c r="B1516"/>
      <c r="C1516"/>
      <c r="D1516"/>
      <c r="E1516"/>
    </row>
    <row r="1517" spans="2:5" ht="15">
      <c r="B1517"/>
      <c r="C1517"/>
      <c r="D1517"/>
      <c r="E1517"/>
    </row>
    <row r="1518" spans="2:5" ht="15">
      <c r="B1518"/>
      <c r="C1518"/>
      <c r="D1518"/>
      <c r="E1518"/>
    </row>
    <row r="1519" spans="2:5" ht="15">
      <c r="B1519"/>
      <c r="C1519"/>
      <c r="D1519"/>
      <c r="E1519"/>
    </row>
    <row r="1520" spans="2:5" ht="15">
      <c r="B1520"/>
      <c r="C1520"/>
      <c r="D1520"/>
      <c r="E1520"/>
    </row>
    <row r="1521" spans="2:5" ht="15">
      <c r="B1521"/>
      <c r="C1521"/>
      <c r="D1521"/>
      <c r="E1521"/>
    </row>
    <row r="1522" spans="2:5" ht="15">
      <c r="B1522"/>
      <c r="C1522"/>
      <c r="D1522"/>
      <c r="E1522"/>
    </row>
    <row r="1523" spans="2:5" ht="15">
      <c r="B1523"/>
      <c r="C1523"/>
      <c r="D1523"/>
      <c r="E1523"/>
    </row>
    <row r="1524" spans="2:5" ht="15">
      <c r="B1524"/>
      <c r="C1524"/>
      <c r="D1524"/>
      <c r="E1524"/>
    </row>
    <row r="1525" spans="2:5" ht="15">
      <c r="B1525"/>
      <c r="C1525"/>
      <c r="D1525"/>
      <c r="E1525"/>
    </row>
    <row r="1526" spans="2:5" ht="15">
      <c r="B1526"/>
      <c r="C1526"/>
      <c r="D1526"/>
      <c r="E1526"/>
    </row>
    <row r="1527" spans="2:5" ht="15">
      <c r="B1527"/>
      <c r="C1527"/>
      <c r="D1527"/>
      <c r="E1527"/>
    </row>
    <row r="1528" spans="2:5" ht="15">
      <c r="B1528"/>
      <c r="C1528"/>
      <c r="D1528"/>
      <c r="E1528"/>
    </row>
    <row r="1529" spans="2:5" ht="15">
      <c r="B1529"/>
      <c r="C1529"/>
      <c r="D1529"/>
      <c r="E1529"/>
    </row>
    <row r="1530" spans="2:5" ht="15">
      <c r="B1530"/>
      <c r="C1530"/>
      <c r="D1530"/>
      <c r="E1530"/>
    </row>
    <row r="1531" spans="2:5" ht="15">
      <c r="B1531"/>
      <c r="C1531"/>
      <c r="D1531"/>
      <c r="E1531"/>
    </row>
    <row r="1532" spans="2:5" ht="15">
      <c r="B1532"/>
      <c r="C1532"/>
      <c r="D1532"/>
      <c r="E1532"/>
    </row>
    <row r="1533" spans="2:5" ht="15">
      <c r="B1533"/>
      <c r="C1533"/>
      <c r="D1533"/>
      <c r="E1533"/>
    </row>
    <row r="1534" spans="2:5" ht="15">
      <c r="B1534"/>
      <c r="C1534"/>
      <c r="D1534"/>
      <c r="E1534"/>
    </row>
    <row r="1535" spans="2:5" ht="15">
      <c r="B1535"/>
      <c r="C1535"/>
      <c r="D1535"/>
      <c r="E1535"/>
    </row>
    <row r="1536" spans="2:5" ht="15">
      <c r="B1536"/>
      <c r="C1536"/>
      <c r="D1536"/>
      <c r="E1536"/>
    </row>
    <row r="1537" spans="2:5" ht="15">
      <c r="B1537"/>
      <c r="C1537"/>
      <c r="D1537"/>
      <c r="E1537"/>
    </row>
    <row r="1538" spans="2:5" ht="15">
      <c r="B1538"/>
      <c r="C1538"/>
      <c r="D1538"/>
      <c r="E1538"/>
    </row>
    <row r="1539" spans="2:5" ht="15">
      <c r="B1539"/>
      <c r="C1539"/>
      <c r="D1539"/>
      <c r="E1539"/>
    </row>
    <row r="1540" spans="2:5" ht="15">
      <c r="B1540"/>
      <c r="C1540"/>
      <c r="D1540"/>
      <c r="E1540"/>
    </row>
    <row r="1541" spans="2:5" ht="15">
      <c r="B1541"/>
      <c r="C1541"/>
      <c r="D1541"/>
      <c r="E1541"/>
    </row>
    <row r="1542" spans="2:5" ht="15">
      <c r="B1542"/>
      <c r="C1542"/>
      <c r="D1542"/>
      <c r="E1542"/>
    </row>
    <row r="1543" spans="2:5" ht="15">
      <c r="B1543"/>
      <c r="C1543"/>
      <c r="D1543"/>
      <c r="E1543"/>
    </row>
    <row r="1544" spans="2:5" ht="15">
      <c r="B1544"/>
      <c r="C1544"/>
      <c r="D1544"/>
      <c r="E1544"/>
    </row>
    <row r="1545" spans="2:5" ht="15">
      <c r="B1545"/>
      <c r="C1545"/>
      <c r="D1545"/>
      <c r="E1545"/>
    </row>
    <row r="1546" spans="2:5" ht="15">
      <c r="B1546"/>
      <c r="C1546"/>
      <c r="D1546"/>
      <c r="E1546"/>
    </row>
    <row r="1547" spans="2:5" ht="15">
      <c r="B1547"/>
      <c r="C1547"/>
      <c r="D1547"/>
      <c r="E1547"/>
    </row>
    <row r="1548" spans="2:5" ht="15">
      <c r="B1548"/>
      <c r="C1548"/>
      <c r="D1548"/>
      <c r="E1548"/>
    </row>
    <row r="1549" spans="2:5" ht="15">
      <c r="B1549"/>
      <c r="C1549"/>
      <c r="D1549"/>
      <c r="E1549"/>
    </row>
    <row r="1550" spans="2:5" ht="15">
      <c r="B1550"/>
      <c r="C1550"/>
      <c r="D1550"/>
      <c r="E1550"/>
    </row>
    <row r="1551" spans="2:5" ht="15">
      <c r="B1551"/>
      <c r="C1551"/>
      <c r="D1551"/>
      <c r="E1551"/>
    </row>
    <row r="1552" spans="2:5" ht="15">
      <c r="B1552"/>
      <c r="C1552"/>
      <c r="D1552"/>
      <c r="E1552"/>
    </row>
    <row r="1553" spans="2:5" ht="15">
      <c r="B1553"/>
      <c r="C1553"/>
      <c r="D1553"/>
      <c r="E1553"/>
    </row>
    <row r="1554" spans="2:5" ht="15">
      <c r="B1554"/>
      <c r="C1554"/>
      <c r="D1554"/>
      <c r="E1554"/>
    </row>
    <row r="1555" spans="2:5" ht="15">
      <c r="B1555"/>
      <c r="C1555"/>
      <c r="D1555"/>
      <c r="E1555"/>
    </row>
    <row r="1556" spans="2:5" ht="15">
      <c r="B1556"/>
      <c r="C1556"/>
      <c r="D1556"/>
      <c r="E1556"/>
    </row>
    <row r="1557" spans="2:5" ht="15">
      <c r="B1557"/>
      <c r="C1557"/>
      <c r="D1557"/>
      <c r="E1557"/>
    </row>
    <row r="1558" spans="2:5" ht="15">
      <c r="B1558"/>
      <c r="C1558"/>
      <c r="D1558"/>
      <c r="E1558"/>
    </row>
    <row r="1559" spans="2:5" ht="15">
      <c r="B1559"/>
      <c r="C1559"/>
      <c r="D1559"/>
      <c r="E1559"/>
    </row>
    <row r="1560" spans="2:5" ht="15">
      <c r="B1560"/>
      <c r="C1560"/>
      <c r="D1560"/>
      <c r="E1560"/>
    </row>
    <row r="1561" spans="2:5" ht="15">
      <c r="B1561"/>
      <c r="C1561"/>
      <c r="D1561"/>
      <c r="E1561"/>
    </row>
    <row r="1562" spans="2:5" ht="15">
      <c r="B1562"/>
      <c r="C1562"/>
      <c r="D1562"/>
      <c r="E1562"/>
    </row>
    <row r="1563" spans="2:5" ht="15">
      <c r="B1563"/>
      <c r="C1563"/>
      <c r="D1563"/>
      <c r="E1563"/>
    </row>
    <row r="1564" spans="2:5" ht="15">
      <c r="B1564"/>
      <c r="C1564"/>
      <c r="D1564"/>
      <c r="E1564"/>
    </row>
    <row r="1565" spans="2:5" ht="15">
      <c r="B1565"/>
      <c r="C1565"/>
      <c r="D1565"/>
      <c r="E1565"/>
    </row>
    <row r="1566" spans="2:5" ht="15">
      <c r="B1566"/>
      <c r="C1566"/>
      <c r="D1566"/>
      <c r="E1566"/>
    </row>
    <row r="1567" spans="2:5" ht="15">
      <c r="B1567"/>
      <c r="C1567"/>
      <c r="D1567"/>
      <c r="E1567"/>
    </row>
    <row r="1568" spans="2:5" ht="15">
      <c r="B1568"/>
      <c r="C1568"/>
      <c r="D1568"/>
      <c r="E1568"/>
    </row>
    <row r="1569" spans="2:5" ht="15">
      <c r="B1569"/>
      <c r="C1569"/>
      <c r="D1569"/>
      <c r="E1569"/>
    </row>
    <row r="1570" spans="2:5" ht="15">
      <c r="B1570"/>
      <c r="C1570"/>
      <c r="D1570"/>
      <c r="E1570"/>
    </row>
    <row r="1571" spans="2:5" ht="15">
      <c r="B1571"/>
      <c r="C1571"/>
      <c r="D1571"/>
      <c r="E1571"/>
    </row>
    <row r="1572" spans="2:5" ht="15">
      <c r="B1572"/>
      <c r="C1572"/>
      <c r="D1572"/>
      <c r="E1572"/>
    </row>
    <row r="1573" spans="2:5" ht="15">
      <c r="B1573"/>
      <c r="C1573"/>
      <c r="D1573"/>
      <c r="E1573"/>
    </row>
    <row r="1574" spans="2:5" ht="15">
      <c r="B1574"/>
      <c r="C1574"/>
      <c r="D1574"/>
      <c r="E1574"/>
    </row>
    <row r="1575" spans="2:5" ht="15">
      <c r="B1575"/>
      <c r="C1575"/>
      <c r="D1575"/>
      <c r="E1575"/>
    </row>
    <row r="1576" spans="2:5" ht="15">
      <c r="B1576"/>
      <c r="C1576"/>
      <c r="D1576"/>
      <c r="E1576"/>
    </row>
    <row r="1577" spans="2:5" ht="15">
      <c r="B1577"/>
      <c r="C1577"/>
      <c r="D1577"/>
      <c r="E1577"/>
    </row>
    <row r="1578" spans="2:5" ht="15">
      <c r="B1578"/>
      <c r="C1578"/>
      <c r="D1578"/>
      <c r="E1578"/>
    </row>
    <row r="1579" spans="2:5" ht="15">
      <c r="B1579"/>
      <c r="C1579"/>
      <c r="D1579"/>
      <c r="E1579"/>
    </row>
    <row r="1580" spans="2:5" ht="15">
      <c r="B1580"/>
      <c r="C1580"/>
      <c r="D1580"/>
      <c r="E1580"/>
    </row>
    <row r="1581" spans="2:5" ht="15">
      <c r="B1581"/>
      <c r="C1581"/>
      <c r="D1581"/>
      <c r="E1581"/>
    </row>
    <row r="1582" spans="2:5" ht="15">
      <c r="B1582"/>
      <c r="C1582"/>
      <c r="D1582"/>
      <c r="E1582"/>
    </row>
    <row r="1583" spans="2:5" ht="15">
      <c r="B1583"/>
      <c r="C1583"/>
      <c r="D1583"/>
      <c r="E1583"/>
    </row>
    <row r="1584" spans="2:5" ht="15">
      <c r="B1584"/>
      <c r="C1584"/>
      <c r="D1584"/>
      <c r="E1584"/>
    </row>
    <row r="1585" spans="2:5" ht="15">
      <c r="B1585"/>
      <c r="C1585"/>
      <c r="D1585"/>
      <c r="E1585"/>
    </row>
    <row r="1586" spans="2:5" ht="15">
      <c r="B1586"/>
      <c r="C1586"/>
      <c r="D1586"/>
      <c r="E1586"/>
    </row>
    <row r="1587" spans="2:5" ht="15">
      <c r="B1587"/>
      <c r="C1587"/>
      <c r="D1587"/>
      <c r="E1587"/>
    </row>
    <row r="1588" spans="2:5" ht="15">
      <c r="B1588"/>
      <c r="C1588"/>
      <c r="D1588"/>
      <c r="E1588"/>
    </row>
    <row r="1589" spans="2:5" ht="15">
      <c r="B1589"/>
      <c r="C1589"/>
      <c r="D1589"/>
      <c r="E1589"/>
    </row>
    <row r="1590" spans="2:5" ht="15">
      <c r="B1590"/>
      <c r="C1590"/>
      <c r="D1590"/>
      <c r="E1590"/>
    </row>
    <row r="1591" spans="2:5" ht="15">
      <c r="B1591"/>
      <c r="C1591"/>
      <c r="D1591"/>
      <c r="E1591"/>
    </row>
    <row r="1592" spans="2:5" ht="15">
      <c r="B1592"/>
      <c r="C1592"/>
      <c r="D1592"/>
      <c r="E1592"/>
    </row>
    <row r="1593" spans="2:5" ht="15">
      <c r="B1593"/>
      <c r="C1593"/>
      <c r="D1593"/>
      <c r="E1593"/>
    </row>
    <row r="1594" spans="2:5" ht="15">
      <c r="B1594"/>
      <c r="C1594"/>
      <c r="D1594"/>
      <c r="E1594"/>
    </row>
    <row r="1595" spans="2:5" ht="15">
      <c r="B1595"/>
      <c r="C1595"/>
      <c r="D1595"/>
      <c r="E1595"/>
    </row>
    <row r="1596" spans="2:5" ht="15">
      <c r="B1596"/>
      <c r="C1596"/>
      <c r="D1596"/>
      <c r="E1596"/>
    </row>
    <row r="1597" spans="2:5" ht="15">
      <c r="B1597"/>
      <c r="C1597"/>
      <c r="D1597"/>
      <c r="E1597"/>
    </row>
    <row r="1598" spans="2:5" ht="15">
      <c r="B1598"/>
      <c r="C1598"/>
      <c r="D1598"/>
      <c r="E1598"/>
    </row>
    <row r="1599" spans="2:5" ht="15">
      <c r="B1599"/>
      <c r="C1599"/>
      <c r="D1599"/>
      <c r="E1599"/>
    </row>
    <row r="1600" spans="2:5" ht="15">
      <c r="B1600"/>
      <c r="C1600"/>
      <c r="D1600"/>
      <c r="E1600"/>
    </row>
    <row r="1601" spans="2:5" ht="15">
      <c r="B1601"/>
      <c r="C1601"/>
      <c r="D1601"/>
      <c r="E1601"/>
    </row>
    <row r="1602" spans="2:5" ht="15">
      <c r="B1602"/>
      <c r="C1602"/>
      <c r="D1602"/>
      <c r="E1602"/>
    </row>
    <row r="1603" spans="2:5" ht="15">
      <c r="B1603"/>
      <c r="C1603"/>
      <c r="D1603"/>
      <c r="E1603"/>
    </row>
    <row r="1604" spans="2:5" ht="15">
      <c r="B1604"/>
      <c r="C1604"/>
      <c r="D1604"/>
      <c r="E1604"/>
    </row>
    <row r="1605" spans="2:5" ht="15">
      <c r="B1605"/>
      <c r="C1605"/>
      <c r="D1605"/>
      <c r="E1605"/>
    </row>
    <row r="1606" spans="2:5" ht="15">
      <c r="B1606"/>
      <c r="C1606"/>
      <c r="D1606"/>
      <c r="E1606"/>
    </row>
    <row r="1607" spans="2:5" ht="15">
      <c r="B1607"/>
      <c r="C1607"/>
      <c r="D1607"/>
      <c r="E1607"/>
    </row>
    <row r="1608" spans="2:5" ht="15">
      <c r="B1608"/>
      <c r="C1608"/>
      <c r="D1608"/>
      <c r="E1608"/>
    </row>
    <row r="1609" spans="2:5" ht="15">
      <c r="B1609"/>
      <c r="C1609"/>
      <c r="D1609"/>
      <c r="E1609"/>
    </row>
    <row r="1610" spans="2:5" ht="15">
      <c r="B1610"/>
      <c r="C1610"/>
      <c r="D1610"/>
      <c r="E1610"/>
    </row>
    <row r="1611" spans="2:5" ht="15">
      <c r="B1611"/>
      <c r="C1611"/>
      <c r="D1611"/>
      <c r="E1611"/>
    </row>
    <row r="1612" spans="2:5" ht="15">
      <c r="B1612"/>
      <c r="C1612"/>
      <c r="D1612"/>
      <c r="E1612"/>
    </row>
    <row r="1613" spans="2:5" ht="15">
      <c r="B1613"/>
      <c r="C1613"/>
      <c r="D1613"/>
      <c r="E1613"/>
    </row>
    <row r="1614" spans="2:5" ht="15">
      <c r="B1614"/>
      <c r="C1614"/>
      <c r="D1614"/>
      <c r="E1614"/>
    </row>
    <row r="1615" spans="2:5" ht="15">
      <c r="B1615"/>
      <c r="C1615"/>
      <c r="D1615"/>
      <c r="E1615"/>
    </row>
    <row r="1616" spans="2:5" ht="15">
      <c r="B1616"/>
      <c r="C1616"/>
      <c r="D1616"/>
      <c r="E1616"/>
    </row>
    <row r="1617" spans="2:5" ht="15">
      <c r="B1617"/>
      <c r="C1617"/>
      <c r="D1617"/>
      <c r="E1617"/>
    </row>
    <row r="1618" spans="2:5" ht="15">
      <c r="B1618"/>
      <c r="C1618"/>
      <c r="D1618"/>
      <c r="E1618"/>
    </row>
    <row r="1619" spans="2:5" ht="15">
      <c r="B1619"/>
      <c r="C1619"/>
      <c r="D1619"/>
      <c r="E1619"/>
    </row>
    <row r="1620" spans="2:5" ht="15">
      <c r="B1620"/>
      <c r="C1620"/>
      <c r="D1620"/>
      <c r="E1620"/>
    </row>
    <row r="1621" spans="2:5" ht="15">
      <c r="B1621"/>
      <c r="C1621"/>
      <c r="D1621"/>
      <c r="E1621"/>
    </row>
    <row r="1622" spans="2:5" ht="15">
      <c r="B1622"/>
      <c r="C1622"/>
      <c r="D1622"/>
      <c r="E1622"/>
    </row>
    <row r="1623" spans="2:5" ht="15">
      <c r="B1623"/>
      <c r="C1623"/>
      <c r="D1623"/>
      <c r="E1623"/>
    </row>
    <row r="1624" spans="2:5" ht="15">
      <c r="B1624"/>
      <c r="C1624"/>
      <c r="D1624"/>
      <c r="E1624"/>
    </row>
    <row r="1625" spans="2:5" ht="15">
      <c r="B1625"/>
      <c r="C1625"/>
      <c r="D1625"/>
      <c r="E1625"/>
    </row>
    <row r="1626" spans="2:5" ht="15">
      <c r="B1626"/>
      <c r="C1626"/>
      <c r="D1626"/>
      <c r="E1626"/>
    </row>
    <row r="1627" spans="2:5" ht="15">
      <c r="B1627"/>
      <c r="C1627"/>
      <c r="D1627"/>
      <c r="E1627"/>
    </row>
    <row r="1628" spans="2:5" ht="15">
      <c r="B1628"/>
      <c r="C1628"/>
      <c r="D1628"/>
      <c r="E1628"/>
    </row>
    <row r="1629" spans="2:5" ht="15">
      <c r="B1629"/>
      <c r="C1629"/>
      <c r="D1629"/>
      <c r="E1629"/>
    </row>
    <row r="1630" spans="2:5" ht="15">
      <c r="B1630"/>
      <c r="C1630"/>
      <c r="D1630"/>
      <c r="E1630"/>
    </row>
    <row r="1631" spans="2:5" ht="15">
      <c r="B1631"/>
      <c r="C1631"/>
      <c r="D1631"/>
      <c r="E1631"/>
    </row>
    <row r="1632" spans="2:5" ht="15">
      <c r="B1632"/>
      <c r="C1632"/>
      <c r="D1632"/>
      <c r="E1632"/>
    </row>
    <row r="1633" spans="2:5" ht="15">
      <c r="B1633"/>
      <c r="C1633"/>
      <c r="D1633"/>
      <c r="E1633"/>
    </row>
    <row r="1634" spans="2:5" ht="15">
      <c r="B1634"/>
      <c r="C1634"/>
      <c r="D1634"/>
      <c r="E1634"/>
    </row>
    <row r="1635" spans="2:5" ht="15">
      <c r="B1635"/>
      <c r="C1635"/>
      <c r="D1635"/>
      <c r="E1635"/>
    </row>
    <row r="1636" spans="2:5" ht="15">
      <c r="B1636"/>
      <c r="C1636"/>
      <c r="D1636"/>
      <c r="E1636"/>
    </row>
    <row r="1637" spans="2:5" ht="15">
      <c r="B1637"/>
      <c r="C1637"/>
      <c r="D1637"/>
      <c r="E1637"/>
    </row>
    <row r="1638" spans="2:5" ht="15">
      <c r="B1638"/>
      <c r="C1638"/>
      <c r="D1638"/>
      <c r="E1638"/>
    </row>
    <row r="1639" spans="2:5" ht="15">
      <c r="B1639"/>
      <c r="C1639"/>
      <c r="D1639"/>
      <c r="E1639"/>
    </row>
    <row r="1640" spans="2:5" ht="15">
      <c r="B1640"/>
      <c r="C1640"/>
      <c r="D1640"/>
      <c r="E1640"/>
    </row>
    <row r="1641" spans="2:5" ht="15">
      <c r="B1641"/>
      <c r="C1641"/>
      <c r="D1641"/>
      <c r="E1641"/>
    </row>
    <row r="1642" spans="2:5" ht="15">
      <c r="B1642"/>
      <c r="C1642"/>
      <c r="D1642"/>
      <c r="E1642"/>
    </row>
    <row r="1643" spans="2:5" ht="15">
      <c r="B1643"/>
      <c r="C1643"/>
      <c r="D1643"/>
      <c r="E1643"/>
    </row>
    <row r="1644" spans="2:5" ht="15">
      <c r="B1644"/>
      <c r="C1644"/>
      <c r="D1644"/>
      <c r="E1644"/>
    </row>
    <row r="1645" spans="2:5" ht="15">
      <c r="B1645"/>
      <c r="C1645"/>
      <c r="D1645"/>
      <c r="E1645"/>
    </row>
    <row r="1646" spans="2:5" ht="15">
      <c r="B1646"/>
      <c r="C1646"/>
      <c r="D1646"/>
      <c r="E1646"/>
    </row>
    <row r="1647" spans="2:5" ht="15">
      <c r="B1647"/>
      <c r="C1647"/>
      <c r="D1647"/>
      <c r="E1647"/>
    </row>
    <row r="1648" spans="2:5" ht="15">
      <c r="B1648"/>
      <c r="C1648"/>
      <c r="D1648"/>
      <c r="E1648"/>
    </row>
    <row r="1649" spans="2:5" ht="15">
      <c r="B1649"/>
      <c r="C1649"/>
      <c r="D1649"/>
      <c r="E1649"/>
    </row>
    <row r="1650" spans="2:5" ht="15">
      <c r="B1650"/>
      <c r="C1650"/>
      <c r="D1650"/>
      <c r="E1650"/>
    </row>
    <row r="1651" spans="2:5" ht="15">
      <c r="B1651"/>
      <c r="C1651"/>
      <c r="D1651"/>
      <c r="E1651"/>
    </row>
    <row r="1652" spans="2:5" ht="15">
      <c r="B1652"/>
      <c r="C1652"/>
      <c r="D1652"/>
      <c r="E1652"/>
    </row>
    <row r="1653" spans="2:5" ht="15">
      <c r="B1653"/>
      <c r="C1653"/>
      <c r="D1653"/>
      <c r="E1653"/>
    </row>
    <row r="1654" spans="2:5" ht="15">
      <c r="B1654"/>
      <c r="C1654"/>
      <c r="D1654"/>
      <c r="E1654"/>
    </row>
    <row r="1655" spans="2:5" ht="15">
      <c r="B1655"/>
      <c r="C1655"/>
      <c r="D1655"/>
      <c r="E1655"/>
    </row>
    <row r="1656" spans="2:5" ht="15">
      <c r="B1656"/>
      <c r="C1656"/>
      <c r="D1656"/>
      <c r="E1656"/>
    </row>
    <row r="1657" spans="2:5" ht="15">
      <c r="B1657"/>
      <c r="C1657"/>
      <c r="D1657"/>
      <c r="E1657"/>
    </row>
    <row r="1658" spans="2:5" ht="15">
      <c r="B1658"/>
      <c r="C1658"/>
      <c r="D1658"/>
      <c r="E1658"/>
    </row>
    <row r="1659" spans="2:5" ht="15">
      <c r="B1659"/>
      <c r="C1659"/>
      <c r="D1659"/>
      <c r="E1659"/>
    </row>
    <row r="1660" spans="2:5" ht="15">
      <c r="B1660"/>
      <c r="C1660"/>
      <c r="D1660"/>
      <c r="E1660"/>
    </row>
    <row r="1661" spans="2:5" ht="15">
      <c r="B1661"/>
      <c r="C1661"/>
      <c r="D1661"/>
      <c r="E1661"/>
    </row>
    <row r="1662" spans="2:5" ht="15">
      <c r="B1662"/>
      <c r="C1662"/>
      <c r="D1662"/>
      <c r="E1662"/>
    </row>
    <row r="1663" spans="2:5" ht="15">
      <c r="B1663"/>
      <c r="C1663"/>
      <c r="D1663"/>
      <c r="E1663"/>
    </row>
    <row r="1664" spans="2:5" ht="15">
      <c r="B1664"/>
      <c r="C1664"/>
      <c r="D1664"/>
      <c r="E1664"/>
    </row>
    <row r="1665" spans="2:5" ht="15">
      <c r="B1665"/>
      <c r="C1665"/>
      <c r="D1665"/>
      <c r="E1665"/>
    </row>
    <row r="1666" spans="2:5" ht="15">
      <c r="B1666"/>
      <c r="C1666"/>
      <c r="D1666"/>
      <c r="E1666"/>
    </row>
    <row r="1667" spans="2:5" ht="15">
      <c r="B1667"/>
      <c r="C1667"/>
      <c r="D1667"/>
      <c r="E1667"/>
    </row>
    <row r="1668" spans="2:5" ht="15">
      <c r="B1668"/>
      <c r="C1668"/>
      <c r="D1668"/>
      <c r="E1668"/>
    </row>
    <row r="1669" spans="2:5" ht="15">
      <c r="B1669"/>
      <c r="C1669"/>
      <c r="D1669"/>
      <c r="E1669"/>
    </row>
    <row r="1670" spans="2:5" ht="15">
      <c r="B1670"/>
      <c r="C1670"/>
      <c r="D1670"/>
      <c r="E1670"/>
    </row>
    <row r="1671" spans="2:5" ht="15">
      <c r="B1671"/>
      <c r="C1671"/>
      <c r="D1671"/>
      <c r="E1671"/>
    </row>
    <row r="1672" spans="2:5" ht="15">
      <c r="B1672"/>
      <c r="C1672"/>
      <c r="D1672"/>
      <c r="E1672"/>
    </row>
    <row r="1673" spans="2:5" ht="15">
      <c r="B1673"/>
      <c r="C1673"/>
      <c r="D1673"/>
      <c r="E1673"/>
    </row>
    <row r="1674" spans="2:5" ht="15">
      <c r="B1674"/>
      <c r="C1674"/>
      <c r="D1674"/>
      <c r="E1674"/>
    </row>
    <row r="1675" spans="2:5" ht="15">
      <c r="B1675"/>
      <c r="C1675"/>
      <c r="D1675"/>
      <c r="E1675"/>
    </row>
    <row r="1676" spans="2:5" ht="15">
      <c r="B1676"/>
      <c r="C1676"/>
      <c r="D1676"/>
      <c r="E1676"/>
    </row>
    <row r="1677" spans="2:5" ht="15">
      <c r="B1677"/>
      <c r="C1677"/>
      <c r="D1677"/>
      <c r="E1677"/>
    </row>
    <row r="1678" spans="2:5" ht="15">
      <c r="B1678"/>
      <c r="C1678"/>
      <c r="D1678"/>
      <c r="E1678"/>
    </row>
    <row r="1679" spans="2:5" ht="15">
      <c r="B1679"/>
      <c r="C1679"/>
      <c r="D1679"/>
      <c r="E1679"/>
    </row>
    <row r="1680" spans="2:5" ht="15">
      <c r="B1680"/>
      <c r="C1680"/>
      <c r="D1680"/>
      <c r="E1680"/>
    </row>
    <row r="1681" spans="2:5" ht="15">
      <c r="B1681"/>
      <c r="C1681"/>
      <c r="D1681"/>
      <c r="E1681"/>
    </row>
    <row r="1682" spans="2:5" ht="15">
      <c r="B1682"/>
      <c r="C1682"/>
      <c r="D1682"/>
      <c r="E1682"/>
    </row>
    <row r="1683" spans="2:5" ht="15">
      <c r="B1683"/>
      <c r="C1683"/>
      <c r="D1683"/>
      <c r="E1683"/>
    </row>
    <row r="1684" spans="2:5" ht="15">
      <c r="B1684"/>
      <c r="C1684"/>
      <c r="D1684"/>
      <c r="E1684"/>
    </row>
    <row r="1685" spans="2:5" ht="15">
      <c r="B1685"/>
      <c r="C1685"/>
      <c r="D1685"/>
      <c r="E1685"/>
    </row>
    <row r="1686" spans="2:5" ht="15">
      <c r="B1686"/>
      <c r="C1686"/>
      <c r="D1686"/>
      <c r="E1686"/>
    </row>
    <row r="1687" spans="2:5" ht="15">
      <c r="B1687"/>
      <c r="C1687"/>
      <c r="D1687"/>
      <c r="E1687"/>
    </row>
    <row r="1688" spans="2:5" ht="15">
      <c r="B1688"/>
      <c r="C1688"/>
      <c r="D1688"/>
      <c r="E1688"/>
    </row>
    <row r="1689" spans="2:5" ht="15">
      <c r="B1689"/>
      <c r="C1689"/>
      <c r="D1689"/>
      <c r="E1689"/>
    </row>
    <row r="1690" spans="2:5" ht="15">
      <c r="B1690"/>
      <c r="C1690"/>
      <c r="D1690"/>
      <c r="E1690"/>
    </row>
    <row r="1691" spans="2:5" ht="15">
      <c r="B1691"/>
      <c r="C1691"/>
      <c r="D1691"/>
      <c r="E1691"/>
    </row>
    <row r="1692" spans="2:5" ht="15">
      <c r="B1692"/>
      <c r="C1692"/>
      <c r="D1692"/>
      <c r="E1692"/>
    </row>
    <row r="1693" spans="2:5" ht="15">
      <c r="B1693"/>
      <c r="C1693"/>
      <c r="D1693"/>
      <c r="E1693"/>
    </row>
    <row r="1694" spans="2:5" ht="15">
      <c r="B1694"/>
      <c r="C1694"/>
      <c r="D1694"/>
      <c r="E1694"/>
    </row>
    <row r="1695" spans="2:5" ht="15">
      <c r="B1695"/>
      <c r="C1695"/>
      <c r="D1695"/>
      <c r="E1695"/>
    </row>
    <row r="1696" spans="2:5" ht="15">
      <c r="B1696"/>
      <c r="C1696"/>
      <c r="D1696"/>
      <c r="E1696"/>
    </row>
    <row r="1697" spans="2:5" ht="15">
      <c r="B1697"/>
      <c r="C1697"/>
      <c r="D1697"/>
      <c r="E1697"/>
    </row>
    <row r="1698" spans="2:5" ht="15">
      <c r="B1698"/>
      <c r="C1698"/>
      <c r="D1698"/>
      <c r="E1698"/>
    </row>
    <row r="1699" spans="2:5" ht="15">
      <c r="B1699"/>
      <c r="C1699"/>
      <c r="D1699"/>
      <c r="E1699"/>
    </row>
    <row r="1700" spans="2:5" ht="15">
      <c r="B1700"/>
      <c r="C1700"/>
      <c r="D1700"/>
      <c r="E1700"/>
    </row>
    <row r="1701" spans="2:5" ht="15">
      <c r="B1701"/>
      <c r="C1701"/>
      <c r="D1701"/>
      <c r="E1701"/>
    </row>
    <row r="1702" spans="2:5" ht="15">
      <c r="B1702"/>
      <c r="C1702"/>
      <c r="D1702"/>
      <c r="E1702"/>
    </row>
    <row r="1703" spans="2:5" ht="15">
      <c r="B1703"/>
      <c r="C1703"/>
      <c r="D1703"/>
      <c r="E1703"/>
    </row>
    <row r="1704" spans="2:5" ht="15">
      <c r="B1704"/>
      <c r="C1704"/>
      <c r="D1704"/>
      <c r="E1704"/>
    </row>
    <row r="1705" spans="2:5" ht="15">
      <c r="B1705"/>
      <c r="C1705"/>
      <c r="D1705"/>
      <c r="E1705"/>
    </row>
    <row r="1706" spans="2:5" ht="15">
      <c r="B1706"/>
      <c r="C1706"/>
      <c r="D1706"/>
      <c r="E1706"/>
    </row>
    <row r="1707" spans="2:5" ht="15">
      <c r="B1707"/>
      <c r="C1707"/>
      <c r="D1707"/>
      <c r="E1707"/>
    </row>
    <row r="1708" spans="2:5" ht="15">
      <c r="B1708"/>
      <c r="C1708"/>
      <c r="D1708"/>
      <c r="E1708"/>
    </row>
    <row r="1709" spans="2:5" ht="15">
      <c r="B1709"/>
      <c r="C1709"/>
      <c r="D1709"/>
      <c r="E1709"/>
    </row>
    <row r="1710" spans="2:5" ht="15">
      <c r="B1710"/>
      <c r="C1710"/>
      <c r="D1710"/>
      <c r="E1710"/>
    </row>
    <row r="1711" spans="2:5" ht="15">
      <c r="B1711"/>
      <c r="C1711"/>
      <c r="D1711"/>
      <c r="E1711"/>
    </row>
    <row r="1712" spans="2:5" ht="15">
      <c r="B1712"/>
      <c r="C1712"/>
      <c r="D1712"/>
      <c r="E1712"/>
    </row>
    <row r="1713" spans="2:5" ht="15">
      <c r="B1713"/>
      <c r="C1713"/>
      <c r="D1713"/>
      <c r="E1713"/>
    </row>
    <row r="1714" spans="2:5" ht="15">
      <c r="B1714"/>
      <c r="C1714"/>
      <c r="D1714"/>
      <c r="E1714"/>
    </row>
    <row r="1715" spans="2:5" ht="15">
      <c r="B1715"/>
      <c r="C1715"/>
      <c r="D1715"/>
      <c r="E1715"/>
    </row>
    <row r="1716" spans="2:5" ht="15">
      <c r="B1716"/>
      <c r="C1716"/>
      <c r="D1716"/>
      <c r="E1716"/>
    </row>
    <row r="1717" spans="2:5" ht="15">
      <c r="B1717"/>
      <c r="C1717"/>
      <c r="D1717"/>
      <c r="E1717"/>
    </row>
    <row r="1718" spans="2:5" ht="15">
      <c r="B1718"/>
      <c r="C1718"/>
      <c r="D1718"/>
      <c r="E1718"/>
    </row>
    <row r="1719" spans="2:5" ht="15">
      <c r="B1719"/>
      <c r="C1719"/>
      <c r="D1719"/>
      <c r="E1719"/>
    </row>
    <row r="1720" spans="2:5" ht="15">
      <c r="B1720"/>
      <c r="C1720"/>
      <c r="D1720"/>
      <c r="E1720"/>
    </row>
    <row r="1721" spans="2:5" ht="15">
      <c r="B1721"/>
      <c r="C1721"/>
      <c r="D1721"/>
      <c r="E1721"/>
    </row>
    <row r="1722" spans="2:5" ht="15">
      <c r="B1722"/>
      <c r="C1722"/>
      <c r="D1722"/>
      <c r="E1722"/>
    </row>
    <row r="1723" spans="2:5" ht="15">
      <c r="B1723"/>
      <c r="C1723"/>
      <c r="D1723"/>
      <c r="E1723"/>
    </row>
    <row r="1724" spans="2:5" ht="15">
      <c r="B1724"/>
      <c r="C1724"/>
      <c r="D1724"/>
      <c r="E1724"/>
    </row>
    <row r="1725" spans="2:5" ht="15">
      <c r="B1725"/>
      <c r="C1725"/>
      <c r="D1725"/>
      <c r="E1725"/>
    </row>
    <row r="1726" spans="2:5" ht="15">
      <c r="B1726"/>
      <c r="C1726"/>
      <c r="D1726"/>
      <c r="E1726"/>
    </row>
    <row r="1727" spans="2:5" ht="15">
      <c r="B1727"/>
      <c r="C1727"/>
      <c r="D1727"/>
      <c r="E1727"/>
    </row>
    <row r="1728" spans="2:5" ht="15">
      <c r="B1728"/>
      <c r="C1728"/>
      <c r="D1728"/>
      <c r="E1728"/>
    </row>
    <row r="1729" spans="2:5" ht="15">
      <c r="B1729"/>
      <c r="C1729"/>
      <c r="D1729"/>
      <c r="E1729"/>
    </row>
    <row r="1730" spans="2:5" ht="15">
      <c r="B1730"/>
      <c r="C1730"/>
      <c r="D1730"/>
      <c r="E1730"/>
    </row>
    <row r="1731" spans="2:5" ht="15">
      <c r="B1731"/>
      <c r="C1731"/>
      <c r="D1731"/>
      <c r="E1731"/>
    </row>
    <row r="1732" spans="2:5" ht="15">
      <c r="B1732"/>
      <c r="C1732"/>
      <c r="D1732"/>
      <c r="E1732"/>
    </row>
    <row r="1733" spans="2:5" ht="15">
      <c r="B1733"/>
      <c r="C1733"/>
      <c r="D1733"/>
      <c r="E1733"/>
    </row>
    <row r="1734" spans="2:5" ht="15">
      <c r="B1734"/>
      <c r="C1734"/>
      <c r="D1734"/>
      <c r="E1734"/>
    </row>
    <row r="1735" spans="2:5" ht="15">
      <c r="B1735"/>
      <c r="C1735"/>
      <c r="D1735"/>
      <c r="E1735"/>
    </row>
    <row r="1736" spans="2:5" ht="15">
      <c r="B1736"/>
      <c r="C1736"/>
      <c r="D1736"/>
      <c r="E1736"/>
    </row>
    <row r="1737" spans="2:5" ht="15">
      <c r="B1737"/>
      <c r="C1737"/>
      <c r="D1737"/>
      <c r="E1737"/>
    </row>
    <row r="1738" spans="2:5" ht="15">
      <c r="B1738"/>
      <c r="C1738"/>
      <c r="D1738"/>
      <c r="E1738"/>
    </row>
    <row r="1739" spans="2:5" ht="15">
      <c r="B1739"/>
      <c r="C1739"/>
      <c r="D1739"/>
      <c r="E1739"/>
    </row>
    <row r="1740" spans="2:5" ht="15">
      <c r="B1740"/>
      <c r="C1740"/>
      <c r="D1740"/>
      <c r="E1740"/>
    </row>
    <row r="1741" spans="2:5" ht="15">
      <c r="B1741"/>
      <c r="C1741"/>
      <c r="D1741"/>
      <c r="E1741"/>
    </row>
    <row r="1742" spans="2:5" ht="15">
      <c r="B1742"/>
      <c r="C1742"/>
      <c r="D1742"/>
      <c r="E1742"/>
    </row>
    <row r="1743" spans="2:5" ht="15">
      <c r="B1743"/>
      <c r="C1743"/>
      <c r="D1743"/>
      <c r="E1743"/>
    </row>
    <row r="1744" spans="2:5" ht="15">
      <c r="B1744"/>
      <c r="C1744"/>
      <c r="D1744"/>
      <c r="E1744"/>
    </row>
    <row r="1745" spans="2:5" ht="15">
      <c r="B1745"/>
      <c r="C1745"/>
      <c r="D1745"/>
      <c r="E1745"/>
    </row>
    <row r="1746" spans="2:5" ht="15">
      <c r="B1746"/>
      <c r="C1746"/>
      <c r="D1746"/>
      <c r="E1746"/>
    </row>
    <row r="1747" spans="2:5" ht="15">
      <c r="B1747"/>
      <c r="C1747"/>
      <c r="D1747"/>
      <c r="E1747"/>
    </row>
    <row r="1748" spans="2:5" ht="15">
      <c r="B1748"/>
      <c r="C1748"/>
      <c r="D1748"/>
      <c r="E1748"/>
    </row>
    <row r="1749" spans="2:5" ht="15">
      <c r="B1749"/>
      <c r="C1749"/>
      <c r="D1749"/>
      <c r="E1749"/>
    </row>
    <row r="1750" spans="2:5" ht="15">
      <c r="B1750"/>
      <c r="C1750"/>
      <c r="D1750"/>
      <c r="E1750"/>
    </row>
    <row r="1751" spans="2:5" ht="15">
      <c r="B1751"/>
      <c r="C1751"/>
      <c r="D1751"/>
      <c r="E1751"/>
    </row>
    <row r="1752" spans="2:5" ht="15">
      <c r="B1752"/>
      <c r="C1752"/>
      <c r="D1752"/>
      <c r="E1752"/>
    </row>
    <row r="1753" spans="2:5" ht="15">
      <c r="B1753"/>
      <c r="C1753"/>
      <c r="D1753"/>
      <c r="E1753"/>
    </row>
    <row r="1754" spans="2:5" ht="15">
      <c r="B1754"/>
      <c r="C1754"/>
      <c r="D1754"/>
      <c r="E1754"/>
    </row>
    <row r="1755" spans="2:5" ht="15">
      <c r="B1755"/>
      <c r="C1755"/>
      <c r="D1755"/>
      <c r="E1755"/>
    </row>
    <row r="1756" spans="2:5" ht="15">
      <c r="B1756"/>
      <c r="C1756"/>
      <c r="D1756"/>
      <c r="E1756"/>
    </row>
    <row r="1757" spans="2:5" ht="15">
      <c r="B1757"/>
      <c r="C1757"/>
      <c r="D1757"/>
      <c r="E1757"/>
    </row>
    <row r="1758" spans="2:5" ht="15">
      <c r="B1758"/>
      <c r="C1758"/>
      <c r="D1758"/>
      <c r="E1758"/>
    </row>
    <row r="1759" spans="2:5" ht="15">
      <c r="B1759"/>
      <c r="C1759"/>
      <c r="D1759"/>
      <c r="E1759"/>
    </row>
    <row r="1760" spans="2:5" ht="15">
      <c r="B1760"/>
      <c r="C1760"/>
      <c r="D1760"/>
      <c r="E1760"/>
    </row>
    <row r="1761" spans="2:5" ht="15">
      <c r="B1761"/>
      <c r="C1761"/>
      <c r="D1761"/>
      <c r="E1761"/>
    </row>
    <row r="1762" spans="2:5" ht="15">
      <c r="B1762"/>
      <c r="C1762"/>
      <c r="D1762"/>
      <c r="E1762"/>
    </row>
    <row r="1763" spans="2:5" ht="15">
      <c r="B1763"/>
      <c r="C1763"/>
      <c r="D1763"/>
      <c r="E1763"/>
    </row>
    <row r="1764" spans="2:5" ht="15">
      <c r="B1764"/>
      <c r="C1764"/>
      <c r="D1764"/>
      <c r="E1764"/>
    </row>
    <row r="1765" spans="2:5" ht="15">
      <c r="B1765"/>
      <c r="C1765"/>
      <c r="D1765"/>
      <c r="E1765"/>
    </row>
    <row r="1766" spans="2:5" ht="15">
      <c r="B1766"/>
      <c r="C1766"/>
      <c r="D1766"/>
      <c r="E1766"/>
    </row>
    <row r="1767" spans="2:5" ht="15">
      <c r="B1767"/>
      <c r="C1767"/>
      <c r="D1767"/>
      <c r="E1767"/>
    </row>
    <row r="1768" spans="2:5" ht="15">
      <c r="B1768"/>
      <c r="C1768"/>
      <c r="D1768"/>
      <c r="E1768"/>
    </row>
    <row r="1769" spans="2:5" ht="15">
      <c r="B1769"/>
      <c r="C1769"/>
      <c r="D1769"/>
      <c r="E1769"/>
    </row>
    <row r="1770" spans="2:5" ht="15">
      <c r="B1770"/>
      <c r="C1770"/>
      <c r="D1770"/>
      <c r="E1770"/>
    </row>
    <row r="1771" spans="2:5" ht="15">
      <c r="B1771"/>
      <c r="C1771"/>
      <c r="D1771"/>
      <c r="E1771"/>
    </row>
    <row r="1772" spans="2:5" ht="15">
      <c r="B1772"/>
      <c r="C1772"/>
      <c r="D1772"/>
      <c r="E1772"/>
    </row>
    <row r="1773" spans="2:5" ht="15">
      <c r="B1773"/>
      <c r="C1773"/>
      <c r="D1773"/>
      <c r="E1773"/>
    </row>
    <row r="1774" spans="2:5" ht="15">
      <c r="B1774"/>
      <c r="C1774"/>
      <c r="D1774"/>
      <c r="E1774"/>
    </row>
    <row r="1775" spans="2:5" ht="15">
      <c r="B1775"/>
      <c r="C1775"/>
      <c r="D1775"/>
      <c r="E1775"/>
    </row>
    <row r="1776" spans="2:5" ht="15">
      <c r="B1776"/>
      <c r="C1776"/>
      <c r="D1776"/>
      <c r="E1776"/>
    </row>
    <row r="1777" spans="2:5" ht="15">
      <c r="B1777"/>
      <c r="C1777"/>
      <c r="D1777"/>
      <c r="E1777"/>
    </row>
    <row r="1778" spans="2:5" ht="15">
      <c r="B1778"/>
      <c r="C1778"/>
      <c r="D1778"/>
      <c r="E1778"/>
    </row>
    <row r="1779" spans="2:5" ht="15">
      <c r="B1779"/>
      <c r="C1779"/>
      <c r="D1779"/>
      <c r="E1779"/>
    </row>
    <row r="1780" spans="2:5" ht="15">
      <c r="B1780"/>
      <c r="C1780"/>
      <c r="D1780"/>
      <c r="E1780"/>
    </row>
    <row r="1781" spans="2:5" ht="15">
      <c r="B1781"/>
      <c r="C1781"/>
      <c r="D1781"/>
      <c r="E1781"/>
    </row>
    <row r="1782" spans="2:5" ht="15">
      <c r="B1782"/>
      <c r="C1782"/>
      <c r="D1782"/>
      <c r="E1782"/>
    </row>
    <row r="1783" spans="2:5" ht="15">
      <c r="B1783"/>
      <c r="C1783"/>
      <c r="D1783"/>
      <c r="E1783"/>
    </row>
    <row r="1784" spans="2:5" ht="15">
      <c r="B1784"/>
      <c r="C1784"/>
      <c r="D1784"/>
      <c r="E1784"/>
    </row>
    <row r="1785" spans="2:5" ht="15">
      <c r="B1785"/>
      <c r="C1785"/>
      <c r="D1785"/>
      <c r="E1785"/>
    </row>
    <row r="1786" spans="2:5" ht="15">
      <c r="B1786"/>
      <c r="C1786"/>
      <c r="D1786"/>
      <c r="E1786"/>
    </row>
    <row r="1787" spans="2:5" ht="15">
      <c r="B1787"/>
      <c r="C1787"/>
      <c r="D1787"/>
      <c r="E1787"/>
    </row>
    <row r="1788" spans="2:5" ht="15">
      <c r="B1788"/>
      <c r="C1788"/>
      <c r="D1788"/>
      <c r="E1788"/>
    </row>
    <row r="1789" spans="2:5" ht="15">
      <c r="B1789"/>
      <c r="C1789"/>
      <c r="D1789"/>
      <c r="E1789"/>
    </row>
    <row r="1790" spans="2:5" ht="15">
      <c r="B1790"/>
      <c r="C1790"/>
      <c r="D1790"/>
      <c r="E1790"/>
    </row>
    <row r="1791" spans="2:5" ht="15">
      <c r="B1791"/>
      <c r="C1791"/>
      <c r="D1791"/>
      <c r="E1791"/>
    </row>
    <row r="1792" spans="2:5" ht="15">
      <c r="B1792"/>
      <c r="C1792"/>
      <c r="D1792"/>
      <c r="E1792"/>
    </row>
    <row r="1793" spans="2:5" ht="15">
      <c r="B1793"/>
      <c r="C1793"/>
      <c r="D1793"/>
      <c r="E1793"/>
    </row>
    <row r="1794" spans="2:5" ht="15">
      <c r="B1794"/>
      <c r="C1794"/>
      <c r="D1794"/>
      <c r="E1794"/>
    </row>
    <row r="1795" spans="2:5" ht="15">
      <c r="B1795"/>
      <c r="C1795"/>
      <c r="D1795"/>
      <c r="E1795"/>
    </row>
    <row r="1796" spans="2:5" ht="15">
      <c r="B1796"/>
      <c r="C1796"/>
      <c r="D1796"/>
      <c r="E1796"/>
    </row>
    <row r="1797" spans="2:5" ht="15">
      <c r="B1797"/>
      <c r="C1797"/>
      <c r="D1797"/>
      <c r="E1797"/>
    </row>
    <row r="1798" spans="2:5" ht="15">
      <c r="B1798"/>
      <c r="C1798"/>
      <c r="D1798"/>
      <c r="E1798"/>
    </row>
    <row r="1799" spans="2:5" ht="15">
      <c r="B1799"/>
      <c r="C1799"/>
      <c r="D1799"/>
      <c r="E1799"/>
    </row>
    <row r="1800" spans="2:5" ht="15">
      <c r="B1800"/>
      <c r="C1800"/>
      <c r="D1800"/>
      <c r="E1800"/>
    </row>
    <row r="1801" spans="2:5" ht="15">
      <c r="B1801"/>
      <c r="C1801"/>
      <c r="D1801"/>
      <c r="E1801"/>
    </row>
    <row r="1802" spans="2:5" ht="15">
      <c r="B1802"/>
      <c r="C1802"/>
      <c r="D1802"/>
      <c r="E1802"/>
    </row>
    <row r="1803" spans="2:5" ht="15">
      <c r="B1803"/>
      <c r="C1803"/>
      <c r="D1803"/>
      <c r="E1803"/>
    </row>
    <row r="1804" spans="2:5" ht="15">
      <c r="B1804"/>
      <c r="C1804"/>
      <c r="D1804"/>
      <c r="E1804"/>
    </row>
    <row r="1805" spans="2:5" ht="15">
      <c r="B1805"/>
      <c r="C1805"/>
      <c r="D1805"/>
      <c r="E1805"/>
    </row>
    <row r="1806" spans="2:5" ht="15">
      <c r="B1806"/>
      <c r="C1806"/>
      <c r="D1806"/>
      <c r="E1806"/>
    </row>
    <row r="1807" spans="2:5" ht="15">
      <c r="B1807"/>
      <c r="C1807"/>
      <c r="D1807"/>
      <c r="E1807"/>
    </row>
    <row r="1808" spans="2:5" ht="15">
      <c r="B1808"/>
      <c r="C1808"/>
      <c r="D1808"/>
      <c r="E1808"/>
    </row>
    <row r="1809" spans="2:5" ht="15">
      <c r="B1809"/>
      <c r="C1809"/>
      <c r="D1809"/>
      <c r="E1809"/>
    </row>
    <row r="1810" spans="2:5" ht="15">
      <c r="B1810"/>
      <c r="C1810"/>
      <c r="D1810"/>
      <c r="E1810"/>
    </row>
    <row r="1811" spans="2:5" ht="15">
      <c r="B1811"/>
      <c r="C1811"/>
      <c r="D1811"/>
      <c r="E1811"/>
    </row>
    <row r="1812" spans="2:5" ht="15">
      <c r="B1812"/>
      <c r="C1812"/>
      <c r="D1812"/>
      <c r="E1812"/>
    </row>
    <row r="1813" spans="2:5" ht="15">
      <c r="B1813"/>
      <c r="C1813"/>
      <c r="D1813"/>
      <c r="E1813"/>
    </row>
    <row r="1814" spans="2:5" ht="15">
      <c r="B1814"/>
      <c r="C1814"/>
      <c r="D1814"/>
      <c r="E1814"/>
    </row>
    <row r="1815" spans="2:5" ht="15">
      <c r="B1815"/>
      <c r="C1815"/>
      <c r="D1815"/>
      <c r="E1815"/>
    </row>
    <row r="1816" spans="2:5" ht="15">
      <c r="B1816"/>
      <c r="C1816"/>
      <c r="D1816"/>
      <c r="E1816"/>
    </row>
    <row r="1817" spans="2:5" ht="15">
      <c r="B1817"/>
      <c r="C1817"/>
      <c r="D1817"/>
      <c r="E1817"/>
    </row>
    <row r="1818" spans="2:5" ht="15">
      <c r="B1818"/>
      <c r="C1818"/>
      <c r="D1818"/>
      <c r="E1818"/>
    </row>
    <row r="1819" spans="2:5" ht="15">
      <c r="B1819"/>
      <c r="C1819"/>
      <c r="D1819"/>
      <c r="E1819"/>
    </row>
    <row r="1820" spans="2:5" ht="15">
      <c r="B1820"/>
      <c r="C1820"/>
      <c r="D1820"/>
      <c r="E1820"/>
    </row>
    <row r="1821" spans="2:5" ht="15">
      <c r="B1821"/>
      <c r="C1821"/>
      <c r="D1821"/>
      <c r="E1821"/>
    </row>
    <row r="1822" spans="2:5" ht="15">
      <c r="B1822"/>
      <c r="C1822"/>
      <c r="D1822"/>
      <c r="E1822"/>
    </row>
    <row r="1823" spans="2:5" ht="15">
      <c r="B1823"/>
      <c r="C1823"/>
      <c r="D1823"/>
      <c r="E1823"/>
    </row>
    <row r="1824" spans="2:5" ht="15">
      <c r="B1824"/>
      <c r="C1824"/>
      <c r="D1824"/>
      <c r="E1824"/>
    </row>
    <row r="1825" spans="2:5" ht="15">
      <c r="B1825"/>
      <c r="C1825"/>
      <c r="D1825"/>
      <c r="E1825"/>
    </row>
    <row r="1826" spans="2:5" ht="15">
      <c r="B1826"/>
      <c r="C1826"/>
      <c r="D1826"/>
      <c r="E1826"/>
    </row>
    <row r="1827" spans="2:5" ht="15">
      <c r="B1827"/>
      <c r="C1827"/>
      <c r="D1827"/>
      <c r="E1827"/>
    </row>
    <row r="1828" spans="2:5" ht="15">
      <c r="B1828"/>
      <c r="C1828"/>
      <c r="D1828"/>
      <c r="E1828"/>
    </row>
    <row r="1829" spans="2:5" ht="15">
      <c r="B1829"/>
      <c r="C1829"/>
      <c r="D1829"/>
      <c r="E1829"/>
    </row>
    <row r="1830" spans="2:5" ht="15">
      <c r="B1830"/>
      <c r="C1830"/>
      <c r="D1830"/>
      <c r="E1830"/>
    </row>
    <row r="1831" spans="2:5" ht="15">
      <c r="B1831"/>
      <c r="C1831"/>
      <c r="D1831"/>
      <c r="E1831"/>
    </row>
    <row r="1832" spans="2:5" ht="15">
      <c r="B1832"/>
      <c r="C1832"/>
      <c r="D1832"/>
      <c r="E1832"/>
    </row>
    <row r="1833" spans="2:5" ht="15">
      <c r="B1833"/>
      <c r="C1833"/>
      <c r="D1833"/>
      <c r="E1833"/>
    </row>
    <row r="1834" spans="2:5" ht="15">
      <c r="B1834"/>
      <c r="C1834"/>
      <c r="D1834"/>
      <c r="E1834"/>
    </row>
    <row r="1835" spans="2:5" ht="15">
      <c r="B1835"/>
      <c r="C1835"/>
      <c r="D1835"/>
      <c r="E1835"/>
    </row>
    <row r="1836" spans="2:5" ht="15">
      <c r="B1836"/>
      <c r="C1836"/>
      <c r="D1836"/>
      <c r="E1836"/>
    </row>
    <row r="1837" spans="2:5" ht="15">
      <c r="B1837"/>
      <c r="C1837"/>
      <c r="D1837"/>
      <c r="E1837"/>
    </row>
    <row r="1838" spans="2:5" ht="15">
      <c r="B1838"/>
      <c r="C1838"/>
      <c r="D1838"/>
      <c r="E1838"/>
    </row>
    <row r="1839" spans="2:5" ht="15">
      <c r="B1839"/>
      <c r="C1839"/>
      <c r="D1839"/>
      <c r="E1839"/>
    </row>
    <row r="1840" spans="2:5" ht="15">
      <c r="B1840"/>
      <c r="C1840"/>
      <c r="D1840"/>
      <c r="E1840"/>
    </row>
    <row r="1841" spans="2:5" ht="15">
      <c r="B1841"/>
      <c r="C1841"/>
      <c r="D1841"/>
      <c r="E1841"/>
    </row>
    <row r="1842" spans="2:5" ht="15">
      <c r="B1842"/>
      <c r="C1842"/>
      <c r="D1842"/>
      <c r="E1842"/>
    </row>
    <row r="1843" spans="2:5" ht="15">
      <c r="B1843"/>
      <c r="C1843"/>
      <c r="D1843"/>
      <c r="E1843"/>
    </row>
    <row r="1844" spans="2:5" ht="15">
      <c r="B1844"/>
      <c r="C1844"/>
      <c r="D1844"/>
      <c r="E1844"/>
    </row>
    <row r="1845" spans="2:5" ht="15">
      <c r="B1845"/>
      <c r="C1845"/>
      <c r="D1845"/>
      <c r="E1845"/>
    </row>
    <row r="1846" spans="2:5" ht="15">
      <c r="B1846"/>
      <c r="C1846"/>
      <c r="D1846"/>
      <c r="E1846"/>
    </row>
    <row r="1847" spans="2:5" ht="15">
      <c r="B1847"/>
      <c r="C1847"/>
      <c r="D1847"/>
      <c r="E1847"/>
    </row>
    <row r="1848" spans="2:5" ht="15">
      <c r="B1848"/>
      <c r="C1848"/>
      <c r="D1848"/>
      <c r="E1848"/>
    </row>
    <row r="1849" spans="2:5" ht="15">
      <c r="B1849"/>
      <c r="C1849"/>
      <c r="D1849"/>
      <c r="E1849"/>
    </row>
    <row r="1850" spans="2:5" ht="15">
      <c r="B1850"/>
      <c r="C1850"/>
      <c r="D1850"/>
      <c r="E1850"/>
    </row>
    <row r="1851" spans="2:5" ht="15">
      <c r="B1851"/>
      <c r="C1851"/>
      <c r="D1851"/>
      <c r="E1851"/>
    </row>
    <row r="1852" spans="2:5" ht="15">
      <c r="B1852"/>
      <c r="C1852"/>
      <c r="D1852"/>
      <c r="E1852"/>
    </row>
    <row r="1853" spans="2:5" ht="15">
      <c r="B1853"/>
      <c r="C1853"/>
      <c r="D1853"/>
      <c r="E1853"/>
    </row>
    <row r="1854" spans="2:5" ht="15">
      <c r="B1854"/>
      <c r="C1854"/>
      <c r="D1854"/>
      <c r="E1854"/>
    </row>
    <row r="1855" spans="2:5" ht="15">
      <c r="B1855"/>
      <c r="C1855"/>
      <c r="D1855"/>
      <c r="E1855"/>
    </row>
    <row r="1856" spans="2:5" ht="15">
      <c r="B1856"/>
      <c r="C1856"/>
      <c r="D1856"/>
      <c r="E1856"/>
    </row>
    <row r="1857" spans="2:5" ht="15">
      <c r="B1857"/>
      <c r="C1857"/>
      <c r="D1857"/>
      <c r="E1857"/>
    </row>
    <row r="1858" spans="2:5" ht="15">
      <c r="B1858"/>
      <c r="C1858"/>
      <c r="D1858"/>
      <c r="E1858"/>
    </row>
    <row r="1859" spans="2:5" ht="15">
      <c r="B1859"/>
      <c r="C1859"/>
      <c r="D1859"/>
      <c r="E1859"/>
    </row>
    <row r="1860" spans="2:5" ht="15">
      <c r="B1860"/>
      <c r="C1860"/>
      <c r="D1860"/>
      <c r="E1860"/>
    </row>
    <row r="1861" spans="2:5" ht="15">
      <c r="B1861"/>
      <c r="C1861"/>
      <c r="D1861"/>
      <c r="E1861"/>
    </row>
    <row r="1862" spans="2:5" ht="15">
      <c r="B1862"/>
      <c r="C1862"/>
      <c r="D1862"/>
      <c r="E1862"/>
    </row>
    <row r="1863" spans="2:5" ht="15">
      <c r="B1863"/>
      <c r="C1863"/>
      <c r="D1863"/>
      <c r="E1863"/>
    </row>
    <row r="1864" spans="2:5" ht="15">
      <c r="B1864"/>
      <c r="C1864"/>
      <c r="D1864"/>
      <c r="E1864"/>
    </row>
    <row r="1865" spans="2:5" ht="15">
      <c r="B1865"/>
      <c r="C1865"/>
      <c r="D1865"/>
      <c r="E1865"/>
    </row>
    <row r="1866" spans="2:5" ht="15">
      <c r="B1866"/>
      <c r="C1866"/>
      <c r="D1866"/>
      <c r="E1866"/>
    </row>
    <row r="1867" spans="2:5" ht="15">
      <c r="B1867"/>
      <c r="C1867"/>
      <c r="D1867"/>
      <c r="E1867"/>
    </row>
    <row r="1868" spans="2:5" ht="15">
      <c r="B1868"/>
      <c r="C1868"/>
      <c r="D1868"/>
      <c r="E1868"/>
    </row>
    <row r="1869" spans="2:5" ht="15">
      <c r="B1869"/>
      <c r="C1869"/>
      <c r="D1869"/>
      <c r="E1869"/>
    </row>
    <row r="1870" spans="2:5" ht="15">
      <c r="B1870"/>
      <c r="C1870"/>
      <c r="D1870"/>
      <c r="E1870"/>
    </row>
    <row r="1871" spans="2:5" ht="15">
      <c r="B1871"/>
      <c r="C1871"/>
      <c r="D1871"/>
      <c r="E1871"/>
    </row>
    <row r="1872" spans="2:5" ht="15">
      <c r="B1872"/>
      <c r="C1872"/>
      <c r="D1872"/>
      <c r="E1872"/>
    </row>
    <row r="1873" spans="2:5" ht="15">
      <c r="B1873"/>
      <c r="C1873"/>
      <c r="D1873"/>
      <c r="E1873"/>
    </row>
    <row r="1874" spans="2:5" ht="15">
      <c r="B1874"/>
      <c r="C1874"/>
      <c r="D1874"/>
      <c r="E1874"/>
    </row>
    <row r="1875" spans="2:5" ht="15">
      <c r="B1875"/>
      <c r="C1875"/>
      <c r="D1875"/>
      <c r="E1875"/>
    </row>
    <row r="1876" spans="2:5" ht="15">
      <c r="B1876"/>
      <c r="C1876"/>
      <c r="D1876"/>
      <c r="E1876"/>
    </row>
    <row r="1877" spans="2:5" ht="15">
      <c r="B1877"/>
      <c r="C1877"/>
      <c r="D1877"/>
      <c r="E1877"/>
    </row>
    <row r="1878" spans="2:5" ht="15">
      <c r="B1878"/>
      <c r="C1878"/>
      <c r="D1878"/>
      <c r="E1878"/>
    </row>
    <row r="1879" spans="2:5" ht="15">
      <c r="B1879"/>
      <c r="C1879"/>
      <c r="D1879"/>
      <c r="E1879"/>
    </row>
    <row r="1880" spans="2:5" ht="15">
      <c r="B1880"/>
      <c r="C1880"/>
      <c r="D1880"/>
      <c r="E1880"/>
    </row>
    <row r="1881" spans="2:5" ht="15">
      <c r="B1881"/>
      <c r="C1881"/>
      <c r="D1881"/>
      <c r="E1881"/>
    </row>
    <row r="1882" spans="2:5" ht="15">
      <c r="B1882"/>
      <c r="C1882"/>
      <c r="D1882"/>
      <c r="E1882"/>
    </row>
    <row r="1883" spans="2:5" ht="15">
      <c r="B1883"/>
      <c r="C1883"/>
      <c r="D1883"/>
      <c r="E1883"/>
    </row>
    <row r="1884" spans="2:5" ht="15">
      <c r="B1884"/>
      <c r="C1884"/>
      <c r="D1884"/>
      <c r="E1884"/>
    </row>
    <row r="1885" spans="2:5" ht="15">
      <c r="B1885"/>
      <c r="C1885"/>
      <c r="D1885"/>
      <c r="E1885"/>
    </row>
    <row r="1886" spans="2:5" ht="15">
      <c r="B1886"/>
      <c r="C1886"/>
      <c r="D1886"/>
      <c r="E1886"/>
    </row>
    <row r="1887" spans="2:5" ht="15">
      <c r="B1887"/>
      <c r="C1887"/>
      <c r="D1887"/>
      <c r="E1887"/>
    </row>
    <row r="1888" spans="2:5" ht="15">
      <c r="B1888"/>
      <c r="C1888"/>
      <c r="D1888"/>
      <c r="E1888"/>
    </row>
    <row r="1889" spans="2:5" ht="15">
      <c r="B1889"/>
      <c r="C1889"/>
      <c r="D1889"/>
      <c r="E1889"/>
    </row>
    <row r="1890" spans="2:5" ht="15">
      <c r="B1890"/>
      <c r="C1890"/>
      <c r="D1890"/>
      <c r="E1890"/>
    </row>
    <row r="1891" spans="2:5" ht="15">
      <c r="B1891"/>
      <c r="C1891"/>
      <c r="D1891"/>
      <c r="E1891"/>
    </row>
    <row r="1892" spans="2:5" ht="15">
      <c r="B1892"/>
      <c r="C1892"/>
      <c r="D1892"/>
      <c r="E1892"/>
    </row>
    <row r="1893" spans="2:5" ht="15">
      <c r="B1893"/>
      <c r="C1893"/>
      <c r="D1893"/>
      <c r="E1893"/>
    </row>
    <row r="1894" spans="2:5" ht="15">
      <c r="B1894"/>
      <c r="C1894"/>
      <c r="D1894"/>
      <c r="E1894"/>
    </row>
    <row r="1895" spans="2:5" ht="15">
      <c r="B1895"/>
      <c r="C1895"/>
      <c r="D1895"/>
      <c r="E1895"/>
    </row>
    <row r="1896" spans="2:5" ht="15">
      <c r="B1896"/>
      <c r="C1896"/>
      <c r="D1896"/>
      <c r="E1896"/>
    </row>
    <row r="1897" spans="2:5" ht="15">
      <c r="B1897"/>
      <c r="C1897"/>
      <c r="D1897"/>
      <c r="E1897"/>
    </row>
    <row r="1898" spans="2:5" ht="15">
      <c r="B1898"/>
      <c r="C1898"/>
      <c r="D1898"/>
      <c r="E1898"/>
    </row>
    <row r="1899" spans="2:5" ht="15">
      <c r="B1899"/>
      <c r="C1899"/>
      <c r="D1899"/>
      <c r="E1899"/>
    </row>
    <row r="1900" spans="2:5" ht="15">
      <c r="B1900"/>
    </row>
    <row r="1901" spans="2:5" ht="15">
      <c r="B1901"/>
    </row>
    <row r="1902" spans="2:5" ht="15">
      <c r="B1902"/>
    </row>
    <row r="1903" spans="2:5" ht="15">
      <c r="B1903"/>
    </row>
    <row r="1904" spans="2:5" ht="15">
      <c r="B1904"/>
    </row>
    <row r="1905" spans="2:2" ht="15">
      <c r="B1905"/>
    </row>
    <row r="1906" spans="2:2" ht="15">
      <c r="B1906"/>
    </row>
    <row r="1907" spans="2:2" ht="15">
      <c r="B1907"/>
    </row>
    <row r="1908" spans="2:2" ht="15">
      <c r="B1908"/>
    </row>
    <row r="1909" spans="2:2" ht="15">
      <c r="B1909"/>
    </row>
    <row r="1910" spans="2:2" ht="15">
      <c r="B1910"/>
    </row>
    <row r="1911" spans="2:2" ht="15">
      <c r="B1911"/>
    </row>
    <row r="1912" spans="2:2" ht="15">
      <c r="B1912"/>
    </row>
    <row r="1913" spans="2:2" ht="15">
      <c r="B1913"/>
    </row>
    <row r="1914" spans="2:2" ht="15">
      <c r="B1914"/>
    </row>
    <row r="1915" spans="2:2" ht="15">
      <c r="B1915"/>
    </row>
    <row r="1916" spans="2:2" ht="15">
      <c r="B1916"/>
    </row>
    <row r="1917" spans="2:2" ht="15">
      <c r="B1917"/>
    </row>
    <row r="1918" spans="2:2" ht="15">
      <c r="B1918"/>
    </row>
    <row r="1919" spans="2:2" ht="15">
      <c r="B1919"/>
    </row>
    <row r="1920" spans="2:2" ht="15">
      <c r="B1920"/>
    </row>
    <row r="1921" spans="2:2" ht="15">
      <c r="B1921"/>
    </row>
    <row r="1922" spans="2:2" ht="15">
      <c r="B1922"/>
    </row>
    <row r="1923" spans="2:2" ht="15">
      <c r="B1923"/>
    </row>
    <row r="1924" spans="2:2" ht="15">
      <c r="B1924"/>
    </row>
    <row r="1925" spans="2:2" ht="15">
      <c r="B1925"/>
    </row>
    <row r="1926" spans="2:2" ht="15">
      <c r="B1926"/>
    </row>
    <row r="1927" spans="2:2" ht="15">
      <c r="B1927"/>
    </row>
    <row r="1928" spans="2:2" ht="15">
      <c r="B1928"/>
    </row>
    <row r="1929" spans="2:2" ht="15">
      <c r="B1929"/>
    </row>
    <row r="1930" spans="2:2" ht="15">
      <c r="B1930"/>
    </row>
    <row r="1931" spans="2:2" ht="15">
      <c r="B1931"/>
    </row>
    <row r="1932" spans="2:2" ht="15">
      <c r="B1932"/>
    </row>
    <row r="1933" spans="2:2" ht="15">
      <c r="B1933"/>
    </row>
    <row r="1934" spans="2:2" ht="15">
      <c r="B1934"/>
    </row>
    <row r="1935" spans="2:2" ht="15">
      <c r="B1935"/>
    </row>
    <row r="1936" spans="2:2" ht="15">
      <c r="B1936"/>
    </row>
    <row r="1937" spans="2:2" ht="15">
      <c r="B1937"/>
    </row>
    <row r="1938" spans="2:2" ht="15">
      <c r="B1938"/>
    </row>
    <row r="1939" spans="2:2" ht="15">
      <c r="B1939"/>
    </row>
    <row r="1940" spans="2:2" ht="15">
      <c r="B1940"/>
    </row>
    <row r="1941" spans="2:2" ht="15">
      <c r="B1941"/>
    </row>
    <row r="1942" spans="2:2" ht="15">
      <c r="B1942"/>
    </row>
    <row r="1943" spans="2:2" ht="15">
      <c r="B1943"/>
    </row>
    <row r="1944" spans="2:2" ht="15">
      <c r="B1944"/>
    </row>
    <row r="1945" spans="2:2" ht="15">
      <c r="B1945"/>
    </row>
    <row r="1946" spans="2:2" ht="15">
      <c r="B1946"/>
    </row>
    <row r="1947" spans="2:2" ht="15">
      <c r="B1947"/>
    </row>
    <row r="1948" spans="2:2" ht="15">
      <c r="B1948"/>
    </row>
    <row r="1949" spans="2:2" ht="15">
      <c r="B1949"/>
    </row>
    <row r="1950" spans="2:2" ht="15">
      <c r="B1950"/>
    </row>
    <row r="1951" spans="2:2" ht="15">
      <c r="B1951"/>
    </row>
    <row r="1952" spans="2:2" ht="15">
      <c r="B1952"/>
    </row>
    <row r="1953" spans="2:2" ht="15">
      <c r="B1953"/>
    </row>
    <row r="1954" spans="2:2" ht="15">
      <c r="B1954"/>
    </row>
    <row r="1955" spans="2:2" ht="15">
      <c r="B1955"/>
    </row>
    <row r="1956" spans="2:2" ht="15">
      <c r="B1956"/>
    </row>
    <row r="1957" spans="2:2" ht="15">
      <c r="B1957"/>
    </row>
    <row r="1958" spans="2:2" ht="15">
      <c r="B1958"/>
    </row>
    <row r="1959" spans="2:2" ht="15">
      <c r="B1959"/>
    </row>
    <row r="1960" spans="2:2" ht="15">
      <c r="B1960"/>
    </row>
    <row r="1961" spans="2:2" ht="15">
      <c r="B1961"/>
    </row>
    <row r="1962" spans="2:2" ht="15">
      <c r="B1962"/>
    </row>
    <row r="1963" spans="2:2" ht="15">
      <c r="B1963"/>
    </row>
    <row r="1964" spans="2:2" ht="15">
      <c r="B1964"/>
    </row>
    <row r="1965" spans="2:2" ht="15">
      <c r="B1965"/>
    </row>
    <row r="1966" spans="2:2" ht="15">
      <c r="B1966"/>
    </row>
    <row r="1967" spans="2:2" ht="15">
      <c r="B1967"/>
    </row>
    <row r="1968" spans="2:2" ht="15">
      <c r="B1968"/>
    </row>
    <row r="1969" spans="2:2" ht="15">
      <c r="B1969"/>
    </row>
    <row r="1970" spans="2:2" ht="15">
      <c r="B1970"/>
    </row>
    <row r="1971" spans="2:2" ht="15">
      <c r="B1971"/>
    </row>
    <row r="1972" spans="2:2" ht="15">
      <c r="B1972"/>
    </row>
    <row r="1973" spans="2:2" ht="15">
      <c r="B1973"/>
    </row>
    <row r="1974" spans="2:2" ht="15">
      <c r="B1974"/>
    </row>
    <row r="1975" spans="2:2" ht="15">
      <c r="B1975"/>
    </row>
    <row r="1976" spans="2:2" ht="15">
      <c r="B1976"/>
    </row>
    <row r="1977" spans="2:2" ht="15">
      <c r="B1977"/>
    </row>
    <row r="1978" spans="2:2" ht="15">
      <c r="B1978"/>
    </row>
    <row r="1979" spans="2:2" ht="15">
      <c r="B1979"/>
    </row>
    <row r="1980" spans="2:2" ht="15">
      <c r="B1980"/>
    </row>
    <row r="1981" spans="2:2" ht="15">
      <c r="B1981"/>
    </row>
    <row r="1982" spans="2:2" ht="15">
      <c r="B1982"/>
    </row>
    <row r="1983" spans="2:2" ht="15">
      <c r="B1983"/>
    </row>
    <row r="1984" spans="2:2" ht="15">
      <c r="B1984"/>
    </row>
    <row r="1985" spans="2:2" ht="15">
      <c r="B1985"/>
    </row>
    <row r="1986" spans="2:2" ht="15">
      <c r="B1986"/>
    </row>
    <row r="1987" spans="2:2" ht="15">
      <c r="B1987"/>
    </row>
    <row r="1988" spans="2:2" ht="15">
      <c r="B1988"/>
    </row>
    <row r="1989" spans="2:2" ht="15">
      <c r="B1989"/>
    </row>
    <row r="1990" spans="2:2" ht="15">
      <c r="B1990"/>
    </row>
    <row r="1991" spans="2:2" ht="15">
      <c r="B1991"/>
    </row>
    <row r="1992" spans="2:2" ht="15">
      <c r="B1992"/>
    </row>
    <row r="1993" spans="2:2" ht="15">
      <c r="B1993"/>
    </row>
    <row r="1994" spans="2:2" ht="15">
      <c r="B1994"/>
    </row>
    <row r="1995" spans="2:2" ht="15">
      <c r="B1995"/>
    </row>
    <row r="1996" spans="2:2" ht="15">
      <c r="B1996"/>
    </row>
    <row r="1997" spans="2:2" ht="15">
      <c r="B1997"/>
    </row>
    <row r="1998" spans="2:2" ht="15">
      <c r="B1998"/>
    </row>
    <row r="1999" spans="2:2" ht="15">
      <c r="B1999"/>
    </row>
    <row r="2000" spans="2:2" ht="15">
      <c r="B2000"/>
    </row>
    <row r="2001" spans="2:2" ht="15">
      <c r="B2001"/>
    </row>
    <row r="2002" spans="2:2" ht="15">
      <c r="B2002"/>
    </row>
    <row r="2003" spans="2:2" ht="15">
      <c r="B2003"/>
    </row>
    <row r="2004" spans="2:2" ht="15">
      <c r="B2004"/>
    </row>
    <row r="2005" spans="2:2" ht="15">
      <c r="B2005"/>
    </row>
    <row r="2006" spans="2:2" ht="15">
      <c r="B2006"/>
    </row>
    <row r="2007" spans="2:2" ht="15">
      <c r="B2007"/>
    </row>
    <row r="2008" spans="2:2" ht="15">
      <c r="B2008"/>
    </row>
    <row r="2009" spans="2:2" ht="15">
      <c r="B2009"/>
    </row>
    <row r="2010" spans="2:2" ht="15">
      <c r="B2010"/>
    </row>
    <row r="2011" spans="2:2" ht="15">
      <c r="B2011"/>
    </row>
    <row r="2012" spans="2:2" ht="15">
      <c r="B2012"/>
    </row>
    <row r="2013" spans="2:2" ht="15">
      <c r="B2013"/>
    </row>
    <row r="2014" spans="2:2" ht="15">
      <c r="B2014"/>
    </row>
    <row r="2015" spans="2:2" ht="15">
      <c r="B2015"/>
    </row>
    <row r="2016" spans="2:2" ht="15">
      <c r="B2016"/>
    </row>
    <row r="2017" spans="2:2" ht="15">
      <c r="B2017"/>
    </row>
    <row r="2018" spans="2:2" ht="15">
      <c r="B2018"/>
    </row>
    <row r="2019" spans="2:2" ht="15">
      <c r="B2019"/>
    </row>
    <row r="2020" spans="2:2" ht="15">
      <c r="B2020"/>
    </row>
    <row r="2021" spans="2:2" ht="15">
      <c r="B2021"/>
    </row>
    <row r="2022" spans="2:2" ht="15">
      <c r="B2022"/>
    </row>
    <row r="2023" spans="2:2" ht="15">
      <c r="B2023"/>
    </row>
    <row r="2024" spans="2:2" ht="15">
      <c r="B2024"/>
    </row>
    <row r="2025" spans="2:2" ht="15">
      <c r="B2025"/>
    </row>
    <row r="2026" spans="2:2" ht="15">
      <c r="B2026"/>
    </row>
    <row r="2027" spans="2:2" ht="15">
      <c r="B2027"/>
    </row>
    <row r="2028" spans="2:2" ht="15">
      <c r="B2028"/>
    </row>
    <row r="2029" spans="2:2" ht="15">
      <c r="B2029"/>
    </row>
    <row r="2030" spans="2:2" ht="15">
      <c r="B2030"/>
    </row>
    <row r="2031" spans="2:2" ht="15">
      <c r="B2031"/>
    </row>
    <row r="2032" spans="2:2" ht="15">
      <c r="B2032"/>
    </row>
    <row r="2033" spans="2:2" ht="15">
      <c r="B2033"/>
    </row>
    <row r="2034" spans="2:2" ht="15">
      <c r="B2034"/>
    </row>
    <row r="2035" spans="2:2" ht="15">
      <c r="B2035"/>
    </row>
    <row r="2036" spans="2:2" ht="15">
      <c r="B2036"/>
    </row>
    <row r="2037" spans="2:2" ht="15">
      <c r="B2037"/>
    </row>
    <row r="2038" spans="2:2" ht="15">
      <c r="B2038"/>
    </row>
    <row r="2039" spans="2:2" ht="15">
      <c r="B2039"/>
    </row>
    <row r="2040" spans="2:2" ht="15">
      <c r="B2040"/>
    </row>
    <row r="2041" spans="2:2" ht="15">
      <c r="B2041"/>
    </row>
    <row r="2042" spans="2:2" ht="15">
      <c r="B2042"/>
    </row>
    <row r="2043" spans="2:2" ht="15">
      <c r="B2043"/>
    </row>
    <row r="2044" spans="2:2" ht="15">
      <c r="B2044"/>
    </row>
    <row r="2045" spans="2:2" ht="15">
      <c r="B2045"/>
    </row>
    <row r="2046" spans="2:2" ht="15">
      <c r="B2046"/>
    </row>
    <row r="2047" spans="2:2" ht="15">
      <c r="B2047"/>
    </row>
    <row r="2048" spans="2:2" ht="15">
      <c r="B2048"/>
    </row>
    <row r="2049" spans="2:2" ht="15">
      <c r="B2049"/>
    </row>
    <row r="2050" spans="2:2" ht="15">
      <c r="B2050"/>
    </row>
    <row r="2051" spans="2:2" ht="15">
      <c r="B2051"/>
    </row>
    <row r="2052" spans="2:2" ht="15">
      <c r="B2052"/>
    </row>
    <row r="2053" spans="2:2" ht="15">
      <c r="B2053"/>
    </row>
    <row r="2054" spans="2:2" ht="15">
      <c r="B2054"/>
    </row>
    <row r="2055" spans="2:2" ht="15">
      <c r="B2055"/>
    </row>
    <row r="2056" spans="2:2" ht="15">
      <c r="B2056"/>
    </row>
    <row r="2057" spans="2:2" ht="15">
      <c r="B2057"/>
    </row>
    <row r="2058" spans="2:2" ht="15">
      <c r="B2058"/>
    </row>
    <row r="2059" spans="2:2" ht="15">
      <c r="B2059"/>
    </row>
    <row r="2060" spans="2:2" ht="15">
      <c r="B2060"/>
    </row>
    <row r="2061" spans="2:2" ht="15">
      <c r="B2061"/>
    </row>
    <row r="2062" spans="2:2" ht="15">
      <c r="B2062"/>
    </row>
    <row r="2063" spans="2:2" ht="15">
      <c r="B2063"/>
    </row>
    <row r="2064" spans="2:2" ht="15">
      <c r="B2064"/>
    </row>
    <row r="2065" spans="2:2" ht="15">
      <c r="B2065"/>
    </row>
    <row r="2066" spans="2:2" ht="15">
      <c r="B2066"/>
    </row>
    <row r="2067" spans="2:2" ht="15">
      <c r="B2067"/>
    </row>
    <row r="2068" spans="2:2" ht="15">
      <c r="B2068"/>
    </row>
    <row r="2069" spans="2:2" ht="15">
      <c r="B2069"/>
    </row>
    <row r="2070" spans="2:2" ht="15">
      <c r="B2070"/>
    </row>
    <row r="2071" spans="2:2" ht="15">
      <c r="B2071"/>
    </row>
    <row r="2072" spans="2:2" ht="15">
      <c r="B2072"/>
    </row>
    <row r="2073" spans="2:2" ht="15">
      <c r="B2073"/>
    </row>
    <row r="2074" spans="2:2" ht="15">
      <c r="B2074"/>
    </row>
    <row r="2075" spans="2:2" ht="15">
      <c r="B2075"/>
    </row>
    <row r="2076" spans="2:2" ht="15">
      <c r="B2076"/>
    </row>
    <row r="2077" spans="2:2" ht="15">
      <c r="B2077"/>
    </row>
    <row r="2078" spans="2:2" ht="15">
      <c r="B2078"/>
    </row>
    <row r="2079" spans="2:2" ht="15">
      <c r="B2079"/>
    </row>
    <row r="2080" spans="2:2" ht="15">
      <c r="B2080"/>
    </row>
    <row r="2081" spans="2:2" ht="15">
      <c r="B2081"/>
    </row>
    <row r="2082" spans="2:2" ht="15">
      <c r="B2082"/>
    </row>
    <row r="2083" spans="2:2" ht="15">
      <c r="B2083"/>
    </row>
    <row r="2084" spans="2:2" ht="15">
      <c r="B2084"/>
    </row>
    <row r="2085" spans="2:2" ht="15">
      <c r="B2085"/>
    </row>
    <row r="2086" spans="2:2" ht="15">
      <c r="B2086"/>
    </row>
    <row r="2087" spans="2:2" ht="15">
      <c r="B2087"/>
    </row>
    <row r="2088" spans="2:2" ht="15">
      <c r="B2088"/>
    </row>
    <row r="2089" spans="2:2" ht="15">
      <c r="B2089"/>
    </row>
    <row r="2090" spans="2:2" ht="15">
      <c r="B2090"/>
    </row>
    <row r="2091" spans="2:2" ht="15">
      <c r="B2091"/>
    </row>
    <row r="2092" spans="2:2" ht="15">
      <c r="B2092"/>
    </row>
    <row r="2093" spans="2:2" ht="15">
      <c r="B2093"/>
    </row>
    <row r="2094" spans="2:2" ht="15">
      <c r="B2094"/>
    </row>
    <row r="2095" spans="2:2" ht="15">
      <c r="B2095"/>
    </row>
    <row r="2096" spans="2:2" ht="15">
      <c r="B2096"/>
    </row>
    <row r="2097" spans="2:2" ht="15">
      <c r="B2097"/>
    </row>
    <row r="2098" spans="2:2" ht="15">
      <c r="B2098"/>
    </row>
    <row r="2099" spans="2:2" ht="15">
      <c r="B2099"/>
    </row>
    <row r="2100" spans="2:2" ht="15">
      <c r="B2100"/>
    </row>
    <row r="2101" spans="2:2" ht="15">
      <c r="B2101"/>
    </row>
    <row r="2102" spans="2:2" ht="15">
      <c r="B2102"/>
    </row>
    <row r="2103" spans="2:2" ht="15">
      <c r="B2103"/>
    </row>
    <row r="2104" spans="2:2" ht="15">
      <c r="B2104"/>
    </row>
    <row r="2105" spans="2:2" ht="15">
      <c r="B2105"/>
    </row>
    <row r="2106" spans="2:2" ht="15">
      <c r="B2106"/>
    </row>
    <row r="2107" spans="2:2" ht="15">
      <c r="B2107"/>
    </row>
    <row r="2108" spans="2:2" ht="15">
      <c r="B2108"/>
    </row>
    <row r="2109" spans="2:2" ht="15">
      <c r="B2109"/>
    </row>
    <row r="2110" spans="2:2" ht="15">
      <c r="B2110"/>
    </row>
    <row r="2111" spans="2:2" ht="15">
      <c r="B2111"/>
    </row>
    <row r="2112" spans="2:2" ht="15">
      <c r="B2112"/>
    </row>
    <row r="2113" spans="2:2" ht="15">
      <c r="B2113"/>
    </row>
    <row r="2114" spans="2:2" ht="15">
      <c r="B2114"/>
    </row>
    <row r="2115" spans="2:2" ht="15">
      <c r="B2115"/>
    </row>
    <row r="2116" spans="2:2" ht="15">
      <c r="B2116"/>
    </row>
    <row r="2117" spans="2:2" ht="15">
      <c r="B2117"/>
    </row>
    <row r="2118" spans="2:2" ht="15">
      <c r="B2118"/>
    </row>
    <row r="2119" spans="2:2" ht="15">
      <c r="B2119"/>
    </row>
    <row r="2120" spans="2:2" ht="15">
      <c r="B2120"/>
    </row>
    <row r="2121" spans="2:2" ht="15">
      <c r="B2121"/>
    </row>
    <row r="2122" spans="2:2" ht="15">
      <c r="B2122"/>
    </row>
    <row r="2123" spans="2:2" ht="15">
      <c r="B2123"/>
    </row>
    <row r="2124" spans="2:2" ht="15">
      <c r="B2124"/>
    </row>
    <row r="2125" spans="2:2" ht="15">
      <c r="B2125"/>
    </row>
    <row r="2126" spans="2:2" ht="15">
      <c r="B2126"/>
    </row>
    <row r="2127" spans="2:2" ht="15">
      <c r="B2127"/>
    </row>
    <row r="2128" spans="2:2" ht="15">
      <c r="B2128"/>
    </row>
    <row r="2129" spans="2:2" ht="15">
      <c r="B2129"/>
    </row>
    <row r="2130" spans="2:2" ht="15">
      <c r="B2130"/>
    </row>
    <row r="2131" spans="2:2" ht="15">
      <c r="B2131"/>
    </row>
    <row r="2132" spans="2:2" ht="15">
      <c r="B2132"/>
    </row>
    <row r="2133" spans="2:2" ht="15">
      <c r="B2133"/>
    </row>
    <row r="2134" spans="2:2" ht="15">
      <c r="B2134"/>
    </row>
    <row r="2135" spans="2:2" ht="15">
      <c r="B2135"/>
    </row>
    <row r="2136" spans="2:2" ht="15">
      <c r="B2136"/>
    </row>
    <row r="2137" spans="2:2" ht="15">
      <c r="B2137"/>
    </row>
    <row r="2138" spans="2:2" ht="15">
      <c r="B2138"/>
    </row>
    <row r="2139" spans="2:2" ht="15">
      <c r="B2139"/>
    </row>
    <row r="2140" spans="2:2" ht="15">
      <c r="B2140"/>
    </row>
    <row r="2141" spans="2:2" ht="15">
      <c r="B2141"/>
    </row>
    <row r="2142" spans="2:2" ht="15">
      <c r="B2142"/>
    </row>
    <row r="2143" spans="2:2" ht="15">
      <c r="B2143"/>
    </row>
    <row r="2144" spans="2:2" ht="15">
      <c r="B2144"/>
    </row>
    <row r="2145" spans="2:2" ht="15">
      <c r="B2145"/>
    </row>
    <row r="2146" spans="2:2" ht="15">
      <c r="B2146"/>
    </row>
    <row r="2147" spans="2:2" ht="15">
      <c r="B2147"/>
    </row>
    <row r="2148" spans="2:2" ht="15">
      <c r="B2148"/>
    </row>
    <row r="2149" spans="2:2" ht="15">
      <c r="B2149"/>
    </row>
    <row r="2150" spans="2:2" ht="15">
      <c r="B2150"/>
    </row>
    <row r="2151" spans="2:2" ht="15">
      <c r="B2151"/>
    </row>
    <row r="2152" spans="2:2" ht="15">
      <c r="B2152"/>
    </row>
    <row r="2153" spans="2:2" ht="15">
      <c r="B2153"/>
    </row>
    <row r="2154" spans="2:2" ht="15">
      <c r="B2154"/>
    </row>
    <row r="2155" spans="2:2" ht="15">
      <c r="B2155"/>
    </row>
    <row r="2156" spans="2:2" ht="15">
      <c r="B2156"/>
    </row>
    <row r="2157" spans="2:2" ht="15">
      <c r="B2157"/>
    </row>
    <row r="2158" spans="2:2" ht="15">
      <c r="B2158"/>
    </row>
    <row r="2159" spans="2:2" ht="15">
      <c r="B2159"/>
    </row>
    <row r="2160" spans="2:2" ht="15">
      <c r="B2160"/>
    </row>
    <row r="2161" spans="2:2" ht="15">
      <c r="B2161"/>
    </row>
    <row r="2162" spans="2:2" ht="15">
      <c r="B2162"/>
    </row>
    <row r="2163" spans="2:2" ht="15">
      <c r="B2163"/>
    </row>
    <row r="2164" spans="2:2" ht="15">
      <c r="B2164"/>
    </row>
    <row r="2165" spans="2:2" ht="15">
      <c r="B2165"/>
    </row>
    <row r="2166" spans="2:2" ht="15">
      <c r="B2166"/>
    </row>
    <row r="2167" spans="2:2" ht="15">
      <c r="B2167"/>
    </row>
    <row r="2168" spans="2:2" ht="15">
      <c r="B2168"/>
    </row>
    <row r="2169" spans="2:2" ht="15">
      <c r="B2169"/>
    </row>
    <row r="2170" spans="2:2" ht="15">
      <c r="B2170"/>
    </row>
    <row r="2171" spans="2:2" ht="15">
      <c r="B2171"/>
    </row>
    <row r="2172" spans="2:2" ht="15">
      <c r="B2172"/>
    </row>
    <row r="2173" spans="2:2" ht="15">
      <c r="B2173"/>
    </row>
    <row r="2174" spans="2:2" ht="15">
      <c r="B2174"/>
    </row>
    <row r="2175" spans="2:2" ht="15">
      <c r="B2175"/>
    </row>
    <row r="2176" spans="2:2" ht="15">
      <c r="B2176"/>
    </row>
    <row r="2177" spans="2:2" ht="15">
      <c r="B2177"/>
    </row>
    <row r="2178" spans="2:2" ht="15">
      <c r="B2178"/>
    </row>
    <row r="2179" spans="2:2" ht="15">
      <c r="B2179"/>
    </row>
    <row r="2180" spans="2:2" ht="15">
      <c r="B2180"/>
    </row>
    <row r="2181" spans="2:2" ht="15">
      <c r="B2181"/>
    </row>
    <row r="2182" spans="2:2" ht="15">
      <c r="B2182"/>
    </row>
    <row r="2183" spans="2:2" ht="15">
      <c r="B2183"/>
    </row>
    <row r="2184" spans="2:2" ht="15">
      <c r="B2184"/>
    </row>
    <row r="2185" spans="2:2" ht="15">
      <c r="B2185"/>
    </row>
    <row r="2186" spans="2:2" ht="15">
      <c r="B2186"/>
    </row>
    <row r="2187" spans="2:2" ht="15">
      <c r="B2187"/>
    </row>
    <row r="2188" spans="2:2" ht="15">
      <c r="B2188"/>
    </row>
    <row r="2189" spans="2:2" ht="15">
      <c r="B2189"/>
    </row>
    <row r="2190" spans="2:2" ht="15">
      <c r="B2190"/>
    </row>
    <row r="2191" spans="2:2" ht="15">
      <c r="B2191"/>
    </row>
    <row r="2192" spans="2:2" ht="15">
      <c r="B2192"/>
    </row>
    <row r="2193" spans="2:2" ht="15">
      <c r="B2193"/>
    </row>
    <row r="2194" spans="2:2" ht="15">
      <c r="B2194"/>
    </row>
    <row r="2195" spans="2:2" ht="15">
      <c r="B2195"/>
    </row>
    <row r="2196" spans="2:2" ht="15">
      <c r="B2196"/>
    </row>
    <row r="2197" spans="2:2" ht="15">
      <c r="B2197"/>
    </row>
    <row r="2198" spans="2:2" ht="15">
      <c r="B2198"/>
    </row>
    <row r="2199" spans="2:2" ht="15">
      <c r="B2199"/>
    </row>
    <row r="2200" spans="2:2" ht="15">
      <c r="B2200"/>
    </row>
    <row r="2201" spans="2:2" ht="15">
      <c r="B2201"/>
    </row>
    <row r="2202" spans="2:2" ht="15">
      <c r="B2202"/>
    </row>
    <row r="2203" spans="2:2" ht="15">
      <c r="B2203"/>
    </row>
    <row r="2204" spans="2:2" ht="15">
      <c r="B2204"/>
    </row>
    <row r="2205" spans="2:2" ht="15">
      <c r="B2205"/>
    </row>
    <row r="2206" spans="2:2" ht="15">
      <c r="B2206"/>
    </row>
    <row r="2207" spans="2:2" ht="15">
      <c r="B2207"/>
    </row>
    <row r="2208" spans="2:2" ht="15">
      <c r="B2208"/>
    </row>
    <row r="2209" spans="2:2" ht="15">
      <c r="B2209"/>
    </row>
    <row r="2210" spans="2:2" ht="15">
      <c r="B2210"/>
    </row>
    <row r="2211" spans="2:2" ht="15">
      <c r="B2211"/>
    </row>
    <row r="2212" spans="2:2" ht="15">
      <c r="B2212"/>
    </row>
    <row r="2213" spans="2:2" ht="15">
      <c r="B2213"/>
    </row>
    <row r="2214" spans="2:2" ht="15">
      <c r="B2214"/>
    </row>
    <row r="2215" spans="2:2" ht="15">
      <c r="B2215"/>
    </row>
    <row r="2216" spans="2:2" ht="15">
      <c r="B2216"/>
    </row>
    <row r="2217" spans="2:2" ht="15">
      <c r="B2217"/>
    </row>
    <row r="2218" spans="2:2" ht="15">
      <c r="B2218"/>
    </row>
    <row r="2219" spans="2:2" ht="15">
      <c r="B2219"/>
    </row>
    <row r="2220" spans="2:2" ht="15">
      <c r="B2220"/>
    </row>
    <row r="2221" spans="2:2" ht="15">
      <c r="B2221"/>
    </row>
    <row r="2222" spans="2:2" ht="15">
      <c r="B2222"/>
    </row>
    <row r="2223" spans="2:2" ht="15">
      <c r="B2223"/>
    </row>
    <row r="2224" spans="2:2" ht="15">
      <c r="B2224"/>
    </row>
    <row r="2225" spans="2:2" ht="15">
      <c r="B2225"/>
    </row>
    <row r="2226" spans="2:2" ht="15">
      <c r="B2226"/>
    </row>
    <row r="2227" spans="2:2" ht="15">
      <c r="B2227"/>
    </row>
    <row r="2228" spans="2:2" ht="15">
      <c r="B2228"/>
    </row>
    <row r="2229" spans="2:2" ht="15">
      <c r="B2229"/>
    </row>
    <row r="2230" spans="2:2" ht="15">
      <c r="B2230"/>
    </row>
    <row r="2231" spans="2:2" ht="15">
      <c r="B2231"/>
    </row>
    <row r="2232" spans="2:2" ht="15">
      <c r="B2232"/>
    </row>
    <row r="2233" spans="2:2" ht="15">
      <c r="B2233"/>
    </row>
    <row r="2234" spans="2:2" ht="15">
      <c r="B2234"/>
    </row>
    <row r="2235" spans="2:2" ht="15">
      <c r="B2235"/>
    </row>
    <row r="2236" spans="2:2" ht="15">
      <c r="B2236"/>
    </row>
    <row r="2237" spans="2:2" ht="15">
      <c r="B2237"/>
    </row>
    <row r="2238" spans="2:2" ht="15">
      <c r="B2238"/>
    </row>
    <row r="2239" spans="2:2" ht="15">
      <c r="B2239"/>
    </row>
    <row r="2240" spans="2:2" ht="15">
      <c r="B2240"/>
    </row>
    <row r="2241" spans="2:2" ht="15">
      <c r="B2241"/>
    </row>
    <row r="2242" spans="2:2" ht="15">
      <c r="B2242"/>
    </row>
    <row r="2243" spans="2:2" ht="15">
      <c r="B2243"/>
    </row>
    <row r="2244" spans="2:2" ht="15">
      <c r="B2244"/>
    </row>
    <row r="2245" spans="2:2" ht="15">
      <c r="B2245"/>
    </row>
    <row r="2246" spans="2:2" ht="15">
      <c r="B2246"/>
    </row>
    <row r="2247" spans="2:2" ht="15">
      <c r="B2247"/>
    </row>
    <row r="2248" spans="2:2" ht="15">
      <c r="B2248"/>
    </row>
    <row r="2249" spans="2:2" ht="15">
      <c r="B2249"/>
    </row>
    <row r="2250" spans="2:2" ht="15">
      <c r="B2250"/>
    </row>
    <row r="2251" spans="2:2" ht="15">
      <c r="B2251"/>
    </row>
    <row r="2252" spans="2:2" ht="15">
      <c r="B2252"/>
    </row>
    <row r="2253" spans="2:2" ht="15">
      <c r="B2253"/>
    </row>
    <row r="2254" spans="2:2" ht="15">
      <c r="B2254"/>
    </row>
    <row r="2255" spans="2:2" ht="15">
      <c r="B2255"/>
    </row>
    <row r="2256" spans="2:2" ht="15">
      <c r="B2256"/>
    </row>
    <row r="2257" spans="2:2" ht="15">
      <c r="B2257"/>
    </row>
    <row r="2258" spans="2:2" ht="15">
      <c r="B2258"/>
    </row>
    <row r="2259" spans="2:2" ht="15">
      <c r="B2259"/>
    </row>
    <row r="2260" spans="2:2" ht="15">
      <c r="B2260"/>
    </row>
    <row r="2261" spans="2:2" ht="15">
      <c r="B2261"/>
    </row>
    <row r="2262" spans="2:2" ht="15">
      <c r="B2262"/>
    </row>
    <row r="2263" spans="2:2" ht="15">
      <c r="B2263"/>
    </row>
    <row r="2264" spans="2:2" ht="15">
      <c r="B2264"/>
    </row>
    <row r="2265" spans="2:2" ht="15">
      <c r="B2265"/>
    </row>
    <row r="2266" spans="2:2" ht="15">
      <c r="B2266"/>
    </row>
    <row r="2267" spans="2:2" ht="15">
      <c r="B2267"/>
    </row>
    <row r="2268" spans="2:2" ht="15">
      <c r="B2268"/>
    </row>
    <row r="2269" spans="2:2" ht="15">
      <c r="B2269"/>
    </row>
    <row r="2270" spans="2:2" ht="15">
      <c r="B2270"/>
    </row>
    <row r="2271" spans="2:2" ht="15">
      <c r="B2271"/>
    </row>
    <row r="2272" spans="2:2" ht="15">
      <c r="B2272"/>
    </row>
    <row r="2273" spans="2:2" ht="15">
      <c r="B2273"/>
    </row>
    <row r="2274" spans="2:2" ht="15">
      <c r="B2274"/>
    </row>
    <row r="2275" spans="2:2" ht="15">
      <c r="B2275"/>
    </row>
    <row r="2276" spans="2:2" ht="15">
      <c r="B2276"/>
    </row>
    <row r="2277" spans="2:2" ht="15">
      <c r="B2277"/>
    </row>
    <row r="2278" spans="2:2" ht="15">
      <c r="B2278"/>
    </row>
    <row r="2279" spans="2:2" ht="15">
      <c r="B2279"/>
    </row>
    <row r="2280" spans="2:2" ht="15">
      <c r="B2280"/>
    </row>
    <row r="2281" spans="2:2" ht="15">
      <c r="B2281"/>
    </row>
    <row r="2282" spans="2:2" ht="15">
      <c r="B2282"/>
    </row>
    <row r="2283" spans="2:2" ht="15">
      <c r="B2283"/>
    </row>
    <row r="2284" spans="2:2" ht="15">
      <c r="B2284"/>
    </row>
    <row r="2285" spans="2:2" ht="15">
      <c r="B2285"/>
    </row>
    <row r="2286" spans="2:2" ht="15">
      <c r="B2286"/>
    </row>
    <row r="2287" spans="2:2" ht="15">
      <c r="B2287"/>
    </row>
    <row r="2288" spans="2:2" ht="15">
      <c r="B2288"/>
    </row>
    <row r="2289" spans="2:2" ht="15">
      <c r="B2289"/>
    </row>
    <row r="2290" spans="2:2" ht="15">
      <c r="B2290"/>
    </row>
    <row r="2291" spans="2:2" ht="15">
      <c r="B2291"/>
    </row>
    <row r="2292" spans="2:2" ht="15">
      <c r="B2292"/>
    </row>
    <row r="2293" spans="2:2" ht="15">
      <c r="B2293"/>
    </row>
    <row r="2294" spans="2:2" ht="15">
      <c r="B2294"/>
    </row>
    <row r="2295" spans="2:2" ht="15">
      <c r="B2295"/>
    </row>
    <row r="2296" spans="2:2" ht="15">
      <c r="B2296"/>
    </row>
    <row r="2297" spans="2:2" ht="15">
      <c r="B2297"/>
    </row>
    <row r="2298" spans="2:2" ht="15">
      <c r="B2298"/>
    </row>
    <row r="2299" spans="2:2" ht="15">
      <c r="B2299"/>
    </row>
    <row r="2300" spans="2:2" ht="15">
      <c r="B2300"/>
    </row>
    <row r="2301" spans="2:2" ht="15">
      <c r="B2301"/>
    </row>
    <row r="2302" spans="2:2" ht="15">
      <c r="B2302"/>
    </row>
    <row r="2303" spans="2:2" ht="15">
      <c r="B2303"/>
    </row>
    <row r="2304" spans="2:2" ht="15">
      <c r="B2304"/>
    </row>
    <row r="2305" spans="2:2" ht="15">
      <c r="B2305"/>
    </row>
    <row r="2306" spans="2:2" ht="15">
      <c r="B2306"/>
    </row>
    <row r="2307" spans="2:2" ht="15">
      <c r="B2307"/>
    </row>
    <row r="2308" spans="2:2" ht="15">
      <c r="B2308"/>
    </row>
    <row r="2309" spans="2:2" ht="15">
      <c r="B2309"/>
    </row>
    <row r="2310" spans="2:2" ht="15">
      <c r="B2310"/>
    </row>
    <row r="2311" spans="2:2" ht="15">
      <c r="B2311"/>
    </row>
    <row r="2312" spans="2:2" ht="15">
      <c r="B2312"/>
    </row>
    <row r="2313" spans="2:2" ht="15">
      <c r="B2313"/>
    </row>
    <row r="2314" spans="2:2" ht="15">
      <c r="B2314"/>
    </row>
    <row r="2315" spans="2:2" ht="15">
      <c r="B2315"/>
    </row>
    <row r="2316" spans="2:2" ht="15">
      <c r="B2316"/>
    </row>
    <row r="2317" spans="2:2" ht="15">
      <c r="B2317"/>
    </row>
    <row r="2318" spans="2:2" ht="15">
      <c r="B2318"/>
    </row>
    <row r="2319" spans="2:2" ht="15">
      <c r="B2319"/>
    </row>
    <row r="2320" spans="2:2" ht="15">
      <c r="B2320"/>
    </row>
    <row r="2321" spans="2:2" ht="15">
      <c r="B2321"/>
    </row>
    <row r="2322" spans="2:2" ht="15">
      <c r="B2322"/>
    </row>
    <row r="2323" spans="2:2" ht="15">
      <c r="B2323"/>
    </row>
    <row r="2324" spans="2:2" ht="15">
      <c r="B2324"/>
    </row>
    <row r="2325" spans="2:2" ht="15">
      <c r="B2325"/>
    </row>
    <row r="2326" spans="2:2" ht="15">
      <c r="B2326"/>
    </row>
    <row r="2327" spans="2:2" ht="15">
      <c r="B2327"/>
    </row>
    <row r="2328" spans="2:2" ht="15">
      <c r="B2328"/>
    </row>
    <row r="2329" spans="2:2" ht="15">
      <c r="B2329"/>
    </row>
    <row r="2330" spans="2:2" ht="15">
      <c r="B2330"/>
    </row>
    <row r="2331" spans="2:2" ht="15">
      <c r="B2331"/>
    </row>
    <row r="2332" spans="2:2" ht="15">
      <c r="B2332"/>
    </row>
    <row r="2333" spans="2:2" ht="15">
      <c r="B2333"/>
    </row>
    <row r="2334" spans="2:2" ht="15">
      <c r="B2334"/>
    </row>
    <row r="2335" spans="2:2" ht="15">
      <c r="B2335"/>
    </row>
    <row r="2336" spans="2:2" ht="15">
      <c r="B2336"/>
    </row>
    <row r="2337" spans="2:2" ht="15">
      <c r="B2337"/>
    </row>
    <row r="2338" spans="2:2" ht="15">
      <c r="B2338"/>
    </row>
    <row r="2339" spans="2:2" ht="15">
      <c r="B2339"/>
    </row>
    <row r="2340" spans="2:2" ht="15">
      <c r="B2340"/>
    </row>
    <row r="2341" spans="2:2" ht="15">
      <c r="B2341"/>
    </row>
    <row r="2342" spans="2:2" ht="15">
      <c r="B2342"/>
    </row>
    <row r="2343" spans="2:2" ht="15">
      <c r="B2343"/>
    </row>
    <row r="2344" spans="2:2" ht="15">
      <c r="B2344"/>
    </row>
    <row r="2345" spans="2:2" ht="15">
      <c r="B2345"/>
    </row>
    <row r="2346" spans="2:2" ht="15">
      <c r="B2346"/>
    </row>
    <row r="2347" spans="2:2" ht="15">
      <c r="B2347"/>
    </row>
    <row r="2348" spans="2:2" ht="15">
      <c r="B2348"/>
    </row>
    <row r="2349" spans="2:2" ht="15">
      <c r="B2349"/>
    </row>
    <row r="2350" spans="2:2" ht="15">
      <c r="B2350"/>
    </row>
    <row r="2351" spans="2:2" ht="15">
      <c r="B2351"/>
    </row>
    <row r="2352" spans="2:2" ht="15">
      <c r="B2352"/>
    </row>
    <row r="2353" spans="2:2" ht="15">
      <c r="B2353"/>
    </row>
    <row r="2354" spans="2:2" ht="15">
      <c r="B2354"/>
    </row>
    <row r="2355" spans="2:2" ht="15">
      <c r="B2355"/>
    </row>
    <row r="2356" spans="2:2" ht="15">
      <c r="B2356"/>
    </row>
    <row r="2357" spans="2:2" ht="15">
      <c r="B2357"/>
    </row>
    <row r="2358" spans="2:2" ht="15">
      <c r="B2358"/>
    </row>
    <row r="2359" spans="2:2" ht="15">
      <c r="B2359"/>
    </row>
    <row r="2360" spans="2:2" ht="15">
      <c r="B2360"/>
    </row>
    <row r="2361" spans="2:2" ht="15">
      <c r="B2361"/>
    </row>
    <row r="2362" spans="2:2" ht="15">
      <c r="B2362"/>
    </row>
    <row r="2363" spans="2:2" ht="15">
      <c r="B2363"/>
    </row>
    <row r="2364" spans="2:2" ht="15">
      <c r="B2364"/>
    </row>
    <row r="2365" spans="2:2" ht="15">
      <c r="B2365"/>
    </row>
    <row r="2366" spans="2:2" ht="15">
      <c r="B2366"/>
    </row>
    <row r="2367" spans="2:2" ht="15">
      <c r="B2367"/>
    </row>
    <row r="2368" spans="2:2" ht="15">
      <c r="B2368"/>
    </row>
    <row r="2369" spans="2:2" ht="15">
      <c r="B2369"/>
    </row>
    <row r="2370" spans="2:2" ht="15">
      <c r="B2370"/>
    </row>
    <row r="2371" spans="2:2" ht="15">
      <c r="B2371"/>
    </row>
    <row r="2372" spans="2:2" ht="15">
      <c r="B2372"/>
    </row>
    <row r="2373" spans="2:2" ht="15">
      <c r="B2373"/>
    </row>
    <row r="2374" spans="2:2" ht="15">
      <c r="B2374"/>
    </row>
    <row r="2375" spans="2:2" ht="15">
      <c r="B2375"/>
    </row>
    <row r="2376" spans="2:2" ht="15">
      <c r="B2376"/>
    </row>
    <row r="2377" spans="2:2" ht="15">
      <c r="B2377"/>
    </row>
    <row r="2378" spans="2:2" ht="15">
      <c r="B2378"/>
    </row>
    <row r="2379" spans="2:2" ht="15">
      <c r="B2379"/>
    </row>
    <row r="2380" spans="2:2" ht="15">
      <c r="B2380"/>
    </row>
    <row r="2381" spans="2:2" ht="15">
      <c r="B2381"/>
    </row>
    <row r="2382" spans="2:2" ht="15">
      <c r="B2382"/>
    </row>
    <row r="2383" spans="2:2" ht="15">
      <c r="B2383"/>
    </row>
    <row r="2384" spans="2:2" ht="15">
      <c r="B2384"/>
    </row>
    <row r="2385" spans="2:2" ht="15">
      <c r="B2385"/>
    </row>
    <row r="2386" spans="2:2" ht="15">
      <c r="B2386"/>
    </row>
    <row r="2387" spans="2:2" ht="15">
      <c r="B2387"/>
    </row>
    <row r="2388" spans="2:2" ht="15">
      <c r="B2388"/>
    </row>
    <row r="2389" spans="2:2" ht="15">
      <c r="B2389"/>
    </row>
    <row r="2390" spans="2:2" ht="15">
      <c r="B2390"/>
    </row>
    <row r="2391" spans="2:2" ht="15">
      <c r="B2391"/>
    </row>
    <row r="2392" spans="2:2" ht="15">
      <c r="B2392"/>
    </row>
    <row r="2393" spans="2:2" ht="15">
      <c r="B2393"/>
    </row>
    <row r="2394" spans="2:2" ht="15">
      <c r="B2394"/>
    </row>
    <row r="2395" spans="2:2" ht="15">
      <c r="B2395"/>
    </row>
    <row r="2396" spans="2:2" ht="15">
      <c r="B2396"/>
    </row>
    <row r="2397" spans="2:2" ht="15">
      <c r="B2397"/>
    </row>
    <row r="2398" spans="2:2" ht="15">
      <c r="B2398"/>
    </row>
    <row r="2399" spans="2:2" ht="15">
      <c r="B2399"/>
    </row>
    <row r="2400" spans="2:2" ht="15">
      <c r="B2400"/>
    </row>
    <row r="2401" spans="2:2" ht="15">
      <c r="B2401"/>
    </row>
    <row r="2402" spans="2:2" ht="15">
      <c r="B2402"/>
    </row>
    <row r="2403" spans="2:2" ht="15">
      <c r="B2403"/>
    </row>
    <row r="2404" spans="2:2" ht="15">
      <c r="B2404"/>
    </row>
    <row r="2405" spans="2:2" ht="15">
      <c r="B2405"/>
    </row>
    <row r="2406" spans="2:2" ht="15">
      <c r="B2406"/>
    </row>
    <row r="2407" spans="2:2" ht="15">
      <c r="B2407"/>
    </row>
    <row r="2408" spans="2:2" ht="15">
      <c r="B2408"/>
    </row>
    <row r="2409" spans="2:2" ht="15">
      <c r="B2409"/>
    </row>
    <row r="2410" spans="2:2" ht="15">
      <c r="B2410"/>
    </row>
    <row r="2411" spans="2:2" ht="15">
      <c r="B2411"/>
    </row>
    <row r="2412" spans="2:2" ht="15">
      <c r="B2412"/>
    </row>
    <row r="2413" spans="2:2" ht="15">
      <c r="B2413"/>
    </row>
    <row r="2414" spans="2:2" ht="15">
      <c r="B2414"/>
    </row>
    <row r="2415" spans="2:2" ht="15">
      <c r="B2415"/>
    </row>
    <row r="2416" spans="2:2" ht="15">
      <c r="B2416"/>
    </row>
    <row r="2417" spans="2:2" ht="15">
      <c r="B2417"/>
    </row>
    <row r="2418" spans="2:2" ht="15">
      <c r="B2418"/>
    </row>
    <row r="2419" spans="2:2" ht="15">
      <c r="B2419"/>
    </row>
    <row r="2420" spans="2:2" ht="15">
      <c r="B2420"/>
    </row>
    <row r="2421" spans="2:2" ht="15">
      <c r="B2421"/>
    </row>
    <row r="2422" spans="2:2" ht="15">
      <c r="B2422"/>
    </row>
    <row r="2423" spans="2:2" ht="15">
      <c r="B2423"/>
    </row>
    <row r="2424" spans="2:2" ht="15">
      <c r="B2424"/>
    </row>
    <row r="2425" spans="2:2" ht="15">
      <c r="B2425"/>
    </row>
    <row r="2426" spans="2:2" ht="15">
      <c r="B2426"/>
    </row>
    <row r="2427" spans="2:2" ht="15">
      <c r="B2427"/>
    </row>
    <row r="2428" spans="2:2" ht="15">
      <c r="B2428"/>
    </row>
    <row r="2429" spans="2:2" ht="15">
      <c r="B2429"/>
    </row>
    <row r="2430" spans="2:2" ht="15">
      <c r="B2430"/>
    </row>
    <row r="2431" spans="2:2" ht="15">
      <c r="B2431"/>
    </row>
    <row r="2432" spans="2:2" ht="15">
      <c r="B2432"/>
    </row>
    <row r="2433" spans="2:2" ht="15">
      <c r="B2433"/>
    </row>
    <row r="2434" spans="2:2" ht="15">
      <c r="B2434"/>
    </row>
    <row r="2435" spans="2:2" ht="15">
      <c r="B2435"/>
    </row>
    <row r="2436" spans="2:2" ht="15">
      <c r="B2436"/>
    </row>
    <row r="2437" spans="2:2" ht="15">
      <c r="B2437"/>
    </row>
    <row r="2438" spans="2:2" ht="15">
      <c r="B2438"/>
    </row>
    <row r="2439" spans="2:2" ht="15">
      <c r="B2439"/>
    </row>
    <row r="2440" spans="2:2" ht="15">
      <c r="B2440"/>
    </row>
    <row r="2441" spans="2:2" ht="15">
      <c r="B2441"/>
    </row>
    <row r="2442" spans="2:2" ht="15">
      <c r="B2442"/>
    </row>
    <row r="2443" spans="2:2" ht="15">
      <c r="B2443"/>
    </row>
    <row r="2444" spans="2:2" ht="15">
      <c r="B2444"/>
    </row>
    <row r="2445" spans="2:2" ht="15">
      <c r="B2445"/>
    </row>
    <row r="2446" spans="2:2" ht="15">
      <c r="B2446"/>
    </row>
    <row r="2447" spans="2:2" ht="15">
      <c r="B2447"/>
    </row>
    <row r="2448" spans="2:2" ht="15">
      <c r="B2448"/>
    </row>
    <row r="2449" spans="2:2" ht="15">
      <c r="B2449"/>
    </row>
    <row r="2450" spans="2:2" ht="15">
      <c r="B2450"/>
    </row>
    <row r="2451" spans="2:2" ht="15">
      <c r="B2451"/>
    </row>
    <row r="2452" spans="2:2" ht="15">
      <c r="B2452"/>
    </row>
    <row r="2453" spans="2:2" ht="15">
      <c r="B2453"/>
    </row>
    <row r="2454" spans="2:2" ht="15">
      <c r="B2454"/>
    </row>
    <row r="2455" spans="2:2" ht="15">
      <c r="B2455"/>
    </row>
    <row r="2456" spans="2:2" ht="15">
      <c r="B2456"/>
    </row>
    <row r="2457" spans="2:2" ht="15">
      <c r="B2457"/>
    </row>
    <row r="2458" spans="2:2" ht="15">
      <c r="B2458"/>
    </row>
    <row r="2459" spans="2:2" ht="15">
      <c r="B2459"/>
    </row>
    <row r="2460" spans="2:2" ht="15">
      <c r="B2460"/>
    </row>
    <row r="2461" spans="2:2" ht="15">
      <c r="B2461"/>
    </row>
    <row r="2462" spans="2:2" ht="15">
      <c r="B2462"/>
    </row>
    <row r="2463" spans="2:2" ht="15">
      <c r="B2463"/>
    </row>
    <row r="2464" spans="2:2" ht="15">
      <c r="B2464"/>
    </row>
    <row r="2465" spans="2:2" ht="15">
      <c r="B2465"/>
    </row>
    <row r="2466" spans="2:2" ht="15">
      <c r="B2466"/>
    </row>
    <row r="2467" spans="2:2" ht="15">
      <c r="B2467"/>
    </row>
    <row r="2468" spans="2:2" ht="15">
      <c r="B2468"/>
    </row>
    <row r="2469" spans="2:2" ht="15">
      <c r="B2469"/>
    </row>
    <row r="2470" spans="2:2" ht="15">
      <c r="B2470"/>
    </row>
    <row r="2471" spans="2:2" ht="15">
      <c r="B2471"/>
    </row>
    <row r="2472" spans="2:2" ht="15">
      <c r="B2472"/>
    </row>
    <row r="2473" spans="2:2" ht="15">
      <c r="B2473"/>
    </row>
    <row r="2474" spans="2:2" ht="15">
      <c r="B2474"/>
    </row>
    <row r="2475" spans="2:2" ht="15">
      <c r="B2475"/>
    </row>
    <row r="2476" spans="2:2" ht="15">
      <c r="B2476"/>
    </row>
    <row r="2477" spans="2:2" ht="15">
      <c r="B2477"/>
    </row>
    <row r="2478" spans="2:2" ht="15">
      <c r="B2478"/>
    </row>
    <row r="2479" spans="2:2" ht="15">
      <c r="B2479"/>
    </row>
    <row r="2480" spans="2:2" ht="15">
      <c r="B2480"/>
    </row>
    <row r="2481" spans="2:2" ht="15">
      <c r="B2481"/>
    </row>
    <row r="2482" spans="2:2" ht="15">
      <c r="B2482"/>
    </row>
    <row r="2483" spans="2:2" ht="15">
      <c r="B2483"/>
    </row>
    <row r="2484" spans="2:2" ht="15">
      <c r="B2484"/>
    </row>
    <row r="2485" spans="2:2" ht="15">
      <c r="B2485"/>
    </row>
    <row r="2486" spans="2:2" ht="15">
      <c r="B2486"/>
    </row>
    <row r="2487" spans="2:2" ht="15">
      <c r="B2487"/>
    </row>
    <row r="2488" spans="2:2" ht="15">
      <c r="B2488"/>
    </row>
    <row r="2489" spans="2:2" ht="15">
      <c r="B2489"/>
    </row>
    <row r="2490" spans="2:2" ht="15">
      <c r="B2490"/>
    </row>
    <row r="2491" spans="2:2" ht="15">
      <c r="B2491"/>
    </row>
    <row r="2492" spans="2:2" ht="15">
      <c r="B2492"/>
    </row>
    <row r="2493" spans="2:2" ht="15">
      <c r="B2493"/>
    </row>
    <row r="2494" spans="2:2" ht="15">
      <c r="B2494"/>
    </row>
    <row r="2495" spans="2:2" ht="15">
      <c r="B2495"/>
    </row>
    <row r="2496" spans="2:2" ht="15">
      <c r="B2496"/>
    </row>
    <row r="2497" spans="2:2" ht="15">
      <c r="B2497"/>
    </row>
    <row r="2498" spans="2:2" ht="15">
      <c r="B2498"/>
    </row>
    <row r="2499" spans="2:2" ht="15">
      <c r="B2499"/>
    </row>
    <row r="2500" spans="2:2" ht="15">
      <c r="B2500"/>
    </row>
    <row r="2501" spans="2:2" ht="15">
      <c r="B2501"/>
    </row>
    <row r="2502" spans="2:2" ht="15">
      <c r="B2502"/>
    </row>
    <row r="2503" spans="2:2" ht="15">
      <c r="B2503"/>
    </row>
    <row r="2504" spans="2:2" ht="15">
      <c r="B2504"/>
    </row>
    <row r="2505" spans="2:2" ht="15">
      <c r="B2505"/>
    </row>
    <row r="2506" spans="2:2" ht="15">
      <c r="B2506"/>
    </row>
    <row r="2507" spans="2:2" ht="15">
      <c r="B2507"/>
    </row>
    <row r="2508" spans="2:2" ht="15">
      <c r="B2508"/>
    </row>
    <row r="2509" spans="2:2" ht="15">
      <c r="B2509"/>
    </row>
    <row r="2510" spans="2:2" ht="15">
      <c r="B2510"/>
    </row>
    <row r="2511" spans="2:2" ht="15">
      <c r="B2511"/>
    </row>
    <row r="2512" spans="2:2" ht="15">
      <c r="B2512"/>
    </row>
    <row r="2513" spans="2:2" ht="15">
      <c r="B2513"/>
    </row>
    <row r="2514" spans="2:2" ht="15">
      <c r="B2514"/>
    </row>
    <row r="2515" spans="2:2" ht="15">
      <c r="B2515"/>
    </row>
    <row r="2516" spans="2:2" ht="15">
      <c r="B2516"/>
    </row>
    <row r="2517" spans="2:2" ht="15">
      <c r="B2517"/>
    </row>
    <row r="2518" spans="2:2" ht="15">
      <c r="B2518"/>
    </row>
    <row r="2519" spans="2:2" ht="15">
      <c r="B2519"/>
    </row>
    <row r="2520" spans="2:2" ht="15">
      <c r="B2520"/>
    </row>
    <row r="2521" spans="2:2" ht="15">
      <c r="B2521"/>
    </row>
    <row r="2522" spans="2:2" ht="15">
      <c r="B2522"/>
    </row>
    <row r="2523" spans="2:2" ht="15">
      <c r="B2523"/>
    </row>
    <row r="2524" spans="2:2" ht="15">
      <c r="B2524"/>
    </row>
    <row r="2525" spans="2:2" ht="15">
      <c r="B2525"/>
    </row>
    <row r="2526" spans="2:2" ht="15">
      <c r="B2526"/>
    </row>
    <row r="2527" spans="2:2" ht="15">
      <c r="B2527"/>
    </row>
    <row r="2528" spans="2:2" ht="15">
      <c r="B2528"/>
    </row>
    <row r="2529" spans="2:2" ht="15">
      <c r="B2529"/>
    </row>
    <row r="2530" spans="2:2" ht="15">
      <c r="B2530"/>
    </row>
    <row r="2531" spans="2:2" ht="15">
      <c r="B2531"/>
    </row>
    <row r="2532" spans="2:2" ht="15">
      <c r="B2532"/>
    </row>
    <row r="2533" spans="2:2" ht="15">
      <c r="B2533"/>
    </row>
    <row r="2534" spans="2:2" ht="15">
      <c r="B2534"/>
    </row>
    <row r="2535" spans="2:2" ht="15">
      <c r="B2535"/>
    </row>
    <row r="2536" spans="2:2" ht="15">
      <c r="B2536"/>
    </row>
    <row r="2537" spans="2:2" ht="15">
      <c r="B2537"/>
    </row>
    <row r="2538" spans="2:2" ht="15">
      <c r="B2538"/>
    </row>
    <row r="2539" spans="2:2" ht="15">
      <c r="B2539"/>
    </row>
    <row r="2540" spans="2:2" ht="15">
      <c r="B2540"/>
    </row>
    <row r="2541" spans="2:2" ht="15">
      <c r="B2541"/>
    </row>
    <row r="2542" spans="2:2" ht="15">
      <c r="B2542"/>
    </row>
    <row r="2543" spans="2:2" ht="15">
      <c r="B2543"/>
    </row>
    <row r="2544" spans="2:2" ht="15">
      <c r="B2544"/>
    </row>
    <row r="2545" spans="2:2" ht="15">
      <c r="B2545"/>
    </row>
    <row r="2546" spans="2:2" ht="15">
      <c r="B2546"/>
    </row>
    <row r="2547" spans="2:2" ht="15">
      <c r="B2547"/>
    </row>
    <row r="2548" spans="2:2" ht="15">
      <c r="B2548"/>
    </row>
    <row r="2549" spans="2:2" ht="15">
      <c r="B2549"/>
    </row>
    <row r="2550" spans="2:2" ht="15">
      <c r="B2550"/>
    </row>
    <row r="2551" spans="2:2" ht="15">
      <c r="B2551"/>
    </row>
    <row r="2552" spans="2:2" ht="15">
      <c r="B2552"/>
    </row>
    <row r="2553" spans="2:2" ht="15">
      <c r="B2553"/>
    </row>
    <row r="2554" spans="2:2" ht="15">
      <c r="B2554"/>
    </row>
    <row r="2555" spans="2:2" ht="15">
      <c r="B2555"/>
    </row>
    <row r="2556" spans="2:2" ht="15">
      <c r="B2556"/>
    </row>
    <row r="2557" spans="2:2" ht="15">
      <c r="B2557"/>
    </row>
    <row r="2558" spans="2:2" ht="15">
      <c r="B2558"/>
    </row>
    <row r="2559" spans="2:2" ht="15">
      <c r="B2559"/>
    </row>
    <row r="2560" spans="2:2" ht="15">
      <c r="B2560"/>
    </row>
    <row r="2561" spans="2:2" ht="15">
      <c r="B2561"/>
    </row>
    <row r="2562" spans="2:2" ht="15">
      <c r="B2562"/>
    </row>
    <row r="2563" spans="2:2" ht="15">
      <c r="B2563"/>
    </row>
    <row r="2564" spans="2:2" ht="15">
      <c r="B2564"/>
    </row>
    <row r="2565" spans="2:2" ht="15">
      <c r="B2565"/>
    </row>
    <row r="2566" spans="2:2" ht="15">
      <c r="B2566"/>
    </row>
    <row r="2567" spans="2:2" ht="15">
      <c r="B2567"/>
    </row>
    <row r="2568" spans="2:2" ht="15">
      <c r="B2568"/>
    </row>
    <row r="2569" spans="2:2" ht="15">
      <c r="B2569"/>
    </row>
    <row r="2570" spans="2:2" ht="15">
      <c r="B2570"/>
    </row>
    <row r="2571" spans="2:2" ht="15">
      <c r="B2571"/>
    </row>
    <row r="2572" spans="2:2" ht="15">
      <c r="B2572"/>
    </row>
    <row r="2573" spans="2:2" ht="15">
      <c r="B2573"/>
    </row>
    <row r="2574" spans="2:2" ht="15">
      <c r="B2574"/>
    </row>
    <row r="2575" spans="2:2" ht="15">
      <c r="B2575"/>
    </row>
    <row r="2576" spans="2:2" ht="15">
      <c r="B2576"/>
    </row>
    <row r="2577" spans="2:2" ht="15">
      <c r="B2577"/>
    </row>
    <row r="2578" spans="2:2" ht="15">
      <c r="B2578"/>
    </row>
    <row r="2579" spans="2:2" ht="15">
      <c r="B2579"/>
    </row>
    <row r="2580" spans="2:2" ht="15">
      <c r="B2580"/>
    </row>
    <row r="2581" spans="2:2" ht="15">
      <c r="B2581"/>
    </row>
    <row r="2582" spans="2:2" ht="15">
      <c r="B2582"/>
    </row>
    <row r="2583" spans="2:2" ht="15">
      <c r="B2583"/>
    </row>
    <row r="2584" spans="2:2" ht="15">
      <c r="B2584"/>
    </row>
    <row r="2585" spans="2:2" ht="15">
      <c r="B2585"/>
    </row>
    <row r="2586" spans="2:2" ht="15">
      <c r="B2586"/>
    </row>
    <row r="2587" spans="2:2" ht="15">
      <c r="B2587"/>
    </row>
    <row r="2588" spans="2:2" ht="15">
      <c r="B2588"/>
    </row>
    <row r="2589" spans="2:2" ht="15">
      <c r="B2589"/>
    </row>
    <row r="2590" spans="2:2" ht="15">
      <c r="B2590"/>
    </row>
    <row r="2591" spans="2:2" ht="15">
      <c r="B2591"/>
    </row>
    <row r="2592" spans="2:2" ht="15">
      <c r="B2592"/>
    </row>
    <row r="2593" spans="2:2" ht="15">
      <c r="B2593"/>
    </row>
    <row r="2594" spans="2:2" ht="15">
      <c r="B2594"/>
    </row>
    <row r="2595" spans="2:2" ht="15">
      <c r="B2595"/>
    </row>
    <row r="2596" spans="2:2" ht="15">
      <c r="B2596"/>
    </row>
    <row r="2597" spans="2:2" ht="15">
      <c r="B2597"/>
    </row>
    <row r="2598" spans="2:2" ht="15">
      <c r="B2598"/>
    </row>
    <row r="2599" spans="2:2" ht="15">
      <c r="B2599"/>
    </row>
    <row r="2600" spans="2:2" ht="15">
      <c r="B2600"/>
    </row>
    <row r="2601" spans="2:2" ht="15">
      <c r="B2601"/>
    </row>
    <row r="2602" spans="2:2" ht="15">
      <c r="B2602"/>
    </row>
    <row r="2603" spans="2:2" ht="15">
      <c r="B2603"/>
    </row>
    <row r="2604" spans="2:2" ht="15">
      <c r="B2604"/>
    </row>
    <row r="2605" spans="2:2" ht="15">
      <c r="B2605"/>
    </row>
    <row r="2606" spans="2:2" ht="15">
      <c r="B2606"/>
    </row>
    <row r="2607" spans="2:2" ht="15">
      <c r="B2607"/>
    </row>
    <row r="2608" spans="2:2" ht="15">
      <c r="B2608"/>
    </row>
    <row r="2609" spans="2:2" ht="15">
      <c r="B2609"/>
    </row>
    <row r="2610" spans="2:2" ht="15">
      <c r="B2610"/>
    </row>
    <row r="2611" spans="2:2" ht="15">
      <c r="B2611"/>
    </row>
    <row r="2612" spans="2:2" ht="15">
      <c r="B2612"/>
    </row>
    <row r="2613" spans="2:2" ht="15">
      <c r="B2613"/>
    </row>
    <row r="2614" spans="2:2" ht="15">
      <c r="B2614"/>
    </row>
    <row r="2615" spans="2:2" ht="15">
      <c r="B2615"/>
    </row>
    <row r="2616" spans="2:2" ht="15">
      <c r="B2616"/>
    </row>
    <row r="2617" spans="2:2" ht="15">
      <c r="B2617"/>
    </row>
    <row r="2618" spans="2:2" ht="15">
      <c r="B2618"/>
    </row>
    <row r="2619" spans="2:2" ht="15">
      <c r="B2619"/>
    </row>
    <row r="2620" spans="2:2" ht="15">
      <c r="B2620"/>
    </row>
    <row r="2621" spans="2:2" ht="15">
      <c r="B2621"/>
    </row>
    <row r="2622" spans="2:2" ht="15">
      <c r="B2622"/>
    </row>
    <row r="2623" spans="2:2" ht="15">
      <c r="B2623"/>
    </row>
    <row r="2624" spans="2:2" ht="15">
      <c r="B2624"/>
    </row>
    <row r="2625" spans="2:2" ht="15">
      <c r="B2625"/>
    </row>
    <row r="2626" spans="2:2" ht="15">
      <c r="B2626"/>
    </row>
    <row r="2627" spans="2:2" ht="15">
      <c r="B2627"/>
    </row>
    <row r="2628" spans="2:2" ht="15">
      <c r="B2628"/>
    </row>
    <row r="2629" spans="2:2" ht="15">
      <c r="B2629"/>
    </row>
    <row r="2630" spans="2:2" ht="15">
      <c r="B2630"/>
    </row>
    <row r="2631" spans="2:2" ht="15">
      <c r="B2631"/>
    </row>
    <row r="2632" spans="2:2" ht="15">
      <c r="B2632"/>
    </row>
    <row r="2633" spans="2:2" ht="15">
      <c r="B2633"/>
    </row>
    <row r="2634" spans="2:2" ht="15">
      <c r="B2634"/>
    </row>
    <row r="2635" spans="2:2" ht="15">
      <c r="B2635"/>
    </row>
    <row r="2636" spans="2:2" ht="15">
      <c r="B2636"/>
    </row>
    <row r="2637" spans="2:2" ht="15">
      <c r="B2637"/>
    </row>
    <row r="2638" spans="2:2" ht="15">
      <c r="B2638"/>
    </row>
    <row r="2639" spans="2:2" ht="15">
      <c r="B2639"/>
    </row>
    <row r="2640" spans="2:2" ht="15">
      <c r="B2640"/>
    </row>
    <row r="2641" spans="2:2" ht="15">
      <c r="B2641"/>
    </row>
    <row r="2642" spans="2:2" ht="15">
      <c r="B2642"/>
    </row>
    <row r="2643" spans="2:2" ht="15">
      <c r="B2643"/>
    </row>
    <row r="2644" spans="2:2" ht="15">
      <c r="B2644"/>
    </row>
    <row r="2645" spans="2:2" ht="15">
      <c r="B2645"/>
    </row>
    <row r="2646" spans="2:2" ht="15">
      <c r="B2646"/>
    </row>
    <row r="2647" spans="2:2" ht="15">
      <c r="B2647"/>
    </row>
    <row r="2648" spans="2:2" ht="15">
      <c r="B2648"/>
    </row>
    <row r="2649" spans="2:2" ht="15">
      <c r="B2649"/>
    </row>
    <row r="2650" spans="2:2" ht="15">
      <c r="B2650"/>
    </row>
    <row r="2651" spans="2:2" ht="15">
      <c r="B2651"/>
    </row>
    <row r="2652" spans="2:2" ht="15">
      <c r="B2652"/>
    </row>
    <row r="2653" spans="2:2" ht="15">
      <c r="B2653"/>
    </row>
    <row r="2654" spans="2:2" ht="15">
      <c r="B2654"/>
    </row>
    <row r="2655" spans="2:2" ht="15">
      <c r="B2655"/>
    </row>
    <row r="2656" spans="2:2" ht="15">
      <c r="B2656"/>
    </row>
    <row r="2657" spans="2:2" ht="15">
      <c r="B2657"/>
    </row>
    <row r="2658" spans="2:2" ht="15">
      <c r="B2658"/>
    </row>
    <row r="2659" spans="2:2" ht="15">
      <c r="B2659"/>
    </row>
    <row r="2660" spans="2:2" ht="15">
      <c r="B2660"/>
    </row>
    <row r="2661" spans="2:2" ht="15">
      <c r="B2661"/>
    </row>
    <row r="2662" spans="2:2" ht="15">
      <c r="B2662"/>
    </row>
    <row r="2663" spans="2:2" ht="15">
      <c r="B2663"/>
    </row>
    <row r="2664" spans="2:2" ht="15">
      <c r="B2664"/>
    </row>
    <row r="2665" spans="2:2" ht="15">
      <c r="B2665"/>
    </row>
    <row r="2666" spans="2:2" ht="15">
      <c r="B2666"/>
    </row>
    <row r="2667" spans="2:2" ht="15">
      <c r="B2667"/>
    </row>
    <row r="2668" spans="2:2" ht="15">
      <c r="B2668"/>
    </row>
    <row r="2669" spans="2:2" ht="15">
      <c r="B2669"/>
    </row>
    <row r="2670" spans="2:2" ht="15">
      <c r="B2670"/>
    </row>
    <row r="2671" spans="2:2" ht="15">
      <c r="B2671"/>
    </row>
    <row r="2672" spans="2:2" ht="15">
      <c r="B2672"/>
    </row>
    <row r="2673" spans="2:2" ht="15">
      <c r="B2673"/>
    </row>
    <row r="2674" spans="2:2" ht="15">
      <c r="B2674"/>
    </row>
    <row r="2675" spans="2:2" ht="15">
      <c r="B2675"/>
    </row>
    <row r="2676" spans="2:2" ht="15">
      <c r="B2676"/>
    </row>
    <row r="2677" spans="2:2" ht="15">
      <c r="B2677"/>
    </row>
    <row r="2678" spans="2:2" ht="15">
      <c r="B2678"/>
    </row>
    <row r="2679" spans="2:2" ht="15">
      <c r="B2679"/>
    </row>
    <row r="2680" spans="2:2" ht="15">
      <c r="B2680"/>
    </row>
    <row r="2681" spans="2:2" ht="15">
      <c r="B2681"/>
    </row>
    <row r="2682" spans="2:2" ht="15">
      <c r="B2682"/>
    </row>
    <row r="2683" spans="2:2" ht="15">
      <c r="B2683"/>
    </row>
    <row r="2684" spans="2:2" ht="15">
      <c r="B2684"/>
    </row>
    <row r="2685" spans="2:2" ht="15">
      <c r="B2685"/>
    </row>
    <row r="2686" spans="2:2" ht="15">
      <c r="B2686"/>
    </row>
    <row r="2687" spans="2:2" ht="15">
      <c r="B2687"/>
    </row>
    <row r="2688" spans="2:2" ht="15">
      <c r="B2688"/>
    </row>
    <row r="2689" spans="2:2" ht="15">
      <c r="B2689"/>
    </row>
    <row r="2690" spans="2:2" ht="15">
      <c r="B2690"/>
    </row>
    <row r="2691" spans="2:2" ht="15">
      <c r="B2691"/>
    </row>
    <row r="2692" spans="2:2" ht="15">
      <c r="B2692"/>
    </row>
    <row r="2693" spans="2:2" ht="15">
      <c r="B2693"/>
    </row>
    <row r="2694" spans="2:2" ht="15">
      <c r="B2694"/>
    </row>
    <row r="2695" spans="2:2" ht="15">
      <c r="B2695"/>
    </row>
    <row r="2696" spans="2:2" ht="15">
      <c r="B2696"/>
    </row>
    <row r="2697" spans="2:2" ht="15">
      <c r="B2697"/>
    </row>
    <row r="2698" spans="2:2" ht="15">
      <c r="B2698"/>
    </row>
    <row r="2699" spans="2:2" ht="15">
      <c r="B2699"/>
    </row>
    <row r="2700" spans="2:2" ht="15">
      <c r="B2700"/>
    </row>
    <row r="2701" spans="2:2" ht="15">
      <c r="B2701"/>
    </row>
    <row r="2702" spans="2:2" ht="15">
      <c r="B2702"/>
    </row>
    <row r="2703" spans="2:2" ht="15">
      <c r="B2703"/>
    </row>
    <row r="2704" spans="2:2" ht="15">
      <c r="B2704"/>
    </row>
    <row r="2705" spans="2:2" ht="15">
      <c r="B2705"/>
    </row>
    <row r="2706" spans="2:2" ht="15">
      <c r="B2706"/>
    </row>
    <row r="2707" spans="2:2" ht="15">
      <c r="B2707"/>
    </row>
    <row r="2708" spans="2:2" ht="15">
      <c r="B2708"/>
    </row>
    <row r="2709" spans="2:2" ht="15">
      <c r="B2709"/>
    </row>
    <row r="2710" spans="2:2" ht="15">
      <c r="B2710"/>
    </row>
    <row r="2711" spans="2:2" ht="15">
      <c r="B2711"/>
    </row>
    <row r="2712" spans="2:2" ht="15">
      <c r="B2712"/>
    </row>
    <row r="2713" spans="2:2" ht="15">
      <c r="B2713"/>
    </row>
    <row r="2714" spans="2:2" ht="15">
      <c r="B2714"/>
    </row>
    <row r="2715" spans="2:2" ht="15">
      <c r="B2715"/>
    </row>
    <row r="2716" spans="2:2" ht="15">
      <c r="B2716"/>
    </row>
    <row r="2717" spans="2:2" ht="15">
      <c r="B2717"/>
    </row>
    <row r="2718" spans="2:2" ht="15">
      <c r="B2718"/>
    </row>
    <row r="2719" spans="2:2" ht="15">
      <c r="B2719"/>
    </row>
    <row r="2720" spans="2:2" ht="15">
      <c r="B2720"/>
    </row>
    <row r="2721" spans="2:2" ht="15">
      <c r="B2721"/>
    </row>
    <row r="2722" spans="2:2" ht="15">
      <c r="B2722"/>
    </row>
    <row r="2723" spans="2:2" ht="15">
      <c r="B2723"/>
    </row>
    <row r="2724" spans="2:2" ht="15">
      <c r="B2724"/>
    </row>
    <row r="2725" spans="2:2" ht="15">
      <c r="B2725"/>
    </row>
    <row r="2726" spans="2:2" ht="15">
      <c r="B2726"/>
    </row>
    <row r="2727" spans="2:2" ht="15">
      <c r="B2727"/>
    </row>
    <row r="2728" spans="2:2" ht="15">
      <c r="B2728"/>
    </row>
    <row r="2729" spans="2:2" ht="15">
      <c r="B2729"/>
    </row>
    <row r="2730" spans="2:2" ht="15">
      <c r="B2730"/>
    </row>
    <row r="2731" spans="2:2" ht="15">
      <c r="B2731"/>
    </row>
    <row r="2732" spans="2:2" ht="15">
      <c r="B2732"/>
    </row>
    <row r="2733" spans="2:2" ht="15">
      <c r="B2733"/>
    </row>
    <row r="2734" spans="2:2" ht="15">
      <c r="B2734"/>
    </row>
    <row r="2735" spans="2:2" ht="15">
      <c r="B2735"/>
    </row>
    <row r="2736" spans="2:2" ht="15">
      <c r="B2736"/>
    </row>
    <row r="2737" spans="2:2" ht="15">
      <c r="B2737"/>
    </row>
    <row r="2738" spans="2:2" ht="15">
      <c r="B2738"/>
    </row>
    <row r="2739" spans="2:2" ht="15">
      <c r="B2739"/>
    </row>
    <row r="2740" spans="2:2" ht="15">
      <c r="B2740"/>
    </row>
    <row r="2741" spans="2:2" ht="15">
      <c r="B2741"/>
    </row>
    <row r="2742" spans="2:2" ht="15">
      <c r="B2742"/>
    </row>
    <row r="2743" spans="2:2" ht="15">
      <c r="B2743"/>
    </row>
    <row r="2744" spans="2:2" ht="15">
      <c r="B2744"/>
    </row>
    <row r="2745" spans="2:2" ht="15">
      <c r="B2745"/>
    </row>
    <row r="2746" spans="2:2" ht="15">
      <c r="B2746"/>
    </row>
    <row r="2747" spans="2:2" ht="15">
      <c r="B2747"/>
    </row>
    <row r="2748" spans="2:2" ht="15">
      <c r="B2748"/>
    </row>
    <row r="2749" spans="2:2" ht="15">
      <c r="B2749"/>
    </row>
    <row r="2750" spans="2:2" ht="15">
      <c r="B2750"/>
    </row>
    <row r="2751" spans="2:2" ht="15">
      <c r="B2751"/>
    </row>
    <row r="2752" spans="2:2" ht="15">
      <c r="B2752"/>
    </row>
    <row r="2753" spans="2:2" ht="15">
      <c r="B2753"/>
    </row>
    <row r="2754" spans="2:2" ht="15">
      <c r="B2754"/>
    </row>
    <row r="2755" spans="2:2" ht="15">
      <c r="B2755"/>
    </row>
    <row r="2756" spans="2:2" ht="15">
      <c r="B2756"/>
    </row>
    <row r="2757" spans="2:2" ht="15">
      <c r="B2757"/>
    </row>
    <row r="2758" spans="2:2" ht="15">
      <c r="B2758"/>
    </row>
    <row r="2759" spans="2:2" ht="15">
      <c r="B2759"/>
    </row>
    <row r="2760" spans="2:2" ht="15">
      <c r="B2760"/>
    </row>
    <row r="2761" spans="2:2" ht="15">
      <c r="B2761"/>
    </row>
    <row r="2762" spans="2:2" ht="15">
      <c r="B2762"/>
    </row>
    <row r="2763" spans="2:2" ht="15">
      <c r="B2763"/>
    </row>
    <row r="2764" spans="2:2" ht="15">
      <c r="B2764"/>
    </row>
    <row r="2765" spans="2:2" ht="15">
      <c r="B2765"/>
    </row>
    <row r="2766" spans="2:2" ht="15">
      <c r="B2766"/>
    </row>
    <row r="2767" spans="2:2" ht="15">
      <c r="B2767"/>
    </row>
    <row r="2768" spans="2:2" ht="15">
      <c r="B2768"/>
    </row>
    <row r="2769" spans="2:2" ht="15">
      <c r="B2769"/>
    </row>
    <row r="2770" spans="2:2" ht="15">
      <c r="B2770"/>
    </row>
    <row r="2771" spans="2:2" ht="15">
      <c r="B2771"/>
    </row>
    <row r="2772" spans="2:2" ht="15">
      <c r="B2772"/>
    </row>
    <row r="2773" spans="2:2" ht="15">
      <c r="B2773"/>
    </row>
    <row r="2774" spans="2:2" ht="15">
      <c r="B2774"/>
    </row>
    <row r="2775" spans="2:2" ht="15">
      <c r="B2775"/>
    </row>
    <row r="2776" spans="2:2" ht="15">
      <c r="B2776"/>
    </row>
    <row r="2777" spans="2:2" ht="15">
      <c r="B2777"/>
    </row>
    <row r="2778" spans="2:2" ht="15">
      <c r="B2778"/>
    </row>
    <row r="2779" spans="2:2" ht="15">
      <c r="B2779"/>
    </row>
    <row r="2780" spans="2:2" ht="15">
      <c r="B2780"/>
    </row>
    <row r="2781" spans="2:2" ht="15">
      <c r="B2781"/>
    </row>
    <row r="2782" spans="2:2" ht="15">
      <c r="B2782"/>
    </row>
    <row r="2783" spans="2:2" ht="15">
      <c r="B2783"/>
    </row>
    <row r="2784" spans="2:2" ht="15">
      <c r="B2784"/>
    </row>
    <row r="2785" spans="2:2" ht="15">
      <c r="B2785"/>
    </row>
    <row r="2786" spans="2:2" ht="15">
      <c r="B2786"/>
    </row>
    <row r="2787" spans="2:2" ht="15">
      <c r="B2787"/>
    </row>
    <row r="2788" spans="2:2" ht="15">
      <c r="B2788"/>
    </row>
    <row r="2789" spans="2:2" ht="15">
      <c r="B2789"/>
    </row>
    <row r="2790" spans="2:2" ht="15">
      <c r="B2790"/>
    </row>
    <row r="2791" spans="2:2" ht="15">
      <c r="B2791"/>
    </row>
    <row r="2792" spans="2:2" ht="15">
      <c r="B2792"/>
    </row>
    <row r="2793" spans="2:2" ht="15">
      <c r="B2793"/>
    </row>
    <row r="2794" spans="2:2" ht="15">
      <c r="B2794"/>
    </row>
    <row r="2795" spans="2:2" ht="15">
      <c r="B2795"/>
    </row>
    <row r="2796" spans="2:2" ht="15">
      <c r="B2796"/>
    </row>
    <row r="2797" spans="2:2" ht="15">
      <c r="B2797"/>
    </row>
    <row r="2798" spans="2:2" ht="15">
      <c r="B2798"/>
    </row>
    <row r="2799" spans="2:2" ht="15">
      <c r="B2799"/>
    </row>
    <row r="2800" spans="2:2" ht="15">
      <c r="B2800"/>
    </row>
    <row r="2801" spans="2:2" ht="15">
      <c r="B2801"/>
    </row>
    <row r="2802" spans="2:2" ht="15">
      <c r="B2802"/>
    </row>
    <row r="2803" spans="2:2" ht="15">
      <c r="B2803"/>
    </row>
    <row r="2804" spans="2:2" ht="15">
      <c r="B2804"/>
    </row>
    <row r="2805" spans="2:2" ht="15">
      <c r="B2805"/>
    </row>
    <row r="2806" spans="2:2" ht="15">
      <c r="B2806"/>
    </row>
    <row r="2807" spans="2:2" ht="15">
      <c r="B2807"/>
    </row>
    <row r="2808" spans="2:2" ht="15">
      <c r="B2808"/>
    </row>
    <row r="2809" spans="2:2" ht="15">
      <c r="B2809"/>
    </row>
    <row r="2810" spans="2:2" ht="15">
      <c r="B2810"/>
    </row>
    <row r="2811" spans="2:2" ht="15">
      <c r="B2811"/>
    </row>
    <row r="2812" spans="2:2" ht="15">
      <c r="B2812"/>
    </row>
    <row r="2813" spans="2:2" ht="15">
      <c r="B2813"/>
    </row>
    <row r="2814" spans="2:2" ht="15">
      <c r="B2814"/>
    </row>
    <row r="2815" spans="2:2" ht="15">
      <c r="B2815"/>
    </row>
    <row r="2816" spans="2:2" ht="15">
      <c r="B2816"/>
    </row>
    <row r="2817" spans="2:2" ht="15">
      <c r="B2817"/>
    </row>
    <row r="2818" spans="2:2" ht="15">
      <c r="B2818"/>
    </row>
    <row r="2819" spans="2:2" ht="15">
      <c r="B2819"/>
    </row>
    <row r="2820" spans="2:2" ht="15">
      <c r="B2820"/>
    </row>
    <row r="2821" spans="2:2" ht="15">
      <c r="B2821"/>
    </row>
    <row r="2822" spans="2:2" ht="15">
      <c r="B2822"/>
    </row>
    <row r="2823" spans="2:2" ht="15">
      <c r="B2823"/>
    </row>
    <row r="2824" spans="2:2" ht="15">
      <c r="B2824"/>
    </row>
    <row r="2825" spans="2:2" ht="15">
      <c r="B2825"/>
    </row>
    <row r="2826" spans="2:2" ht="15">
      <c r="B2826"/>
    </row>
    <row r="2827" spans="2:2" ht="15">
      <c r="B2827"/>
    </row>
    <row r="2828" spans="2:2" ht="15">
      <c r="B2828"/>
    </row>
    <row r="2829" spans="2:2" ht="15">
      <c r="B2829"/>
    </row>
    <row r="2830" spans="2:2" ht="15">
      <c r="B2830"/>
    </row>
    <row r="2831" spans="2:2" ht="15">
      <c r="B2831"/>
    </row>
    <row r="2832" spans="2:2" ht="15">
      <c r="B2832"/>
    </row>
    <row r="2833" spans="2:2" ht="15">
      <c r="B2833"/>
    </row>
    <row r="2834" spans="2:2" ht="15">
      <c r="B2834"/>
    </row>
    <row r="2835" spans="2:2" ht="15">
      <c r="B2835"/>
    </row>
    <row r="2836" spans="2:2" ht="15">
      <c r="B2836"/>
    </row>
    <row r="2837" spans="2:2" ht="15">
      <c r="B2837"/>
    </row>
    <row r="2838" spans="2:2" ht="15">
      <c r="B2838"/>
    </row>
    <row r="2839" spans="2:2" ht="15">
      <c r="B2839"/>
    </row>
    <row r="2840" spans="2:2" ht="15">
      <c r="B2840"/>
    </row>
    <row r="2841" spans="2:2" ht="15">
      <c r="B2841"/>
    </row>
    <row r="2842" spans="2:2" ht="15">
      <c r="B2842"/>
    </row>
    <row r="2843" spans="2:2" ht="15">
      <c r="B2843"/>
    </row>
    <row r="2844" spans="2:2" ht="15">
      <c r="B2844"/>
    </row>
    <row r="2845" spans="2:2" ht="15">
      <c r="B2845"/>
    </row>
    <row r="2846" spans="2:2" ht="15">
      <c r="B2846"/>
    </row>
    <row r="2847" spans="2:2" ht="15">
      <c r="B2847"/>
    </row>
    <row r="2848" spans="2:2" ht="15">
      <c r="B2848"/>
    </row>
    <row r="2849" spans="2:2" ht="15">
      <c r="B2849"/>
    </row>
    <row r="2850" spans="2:2" ht="15">
      <c r="B2850"/>
    </row>
    <row r="2851" spans="2:2" ht="15">
      <c r="B2851"/>
    </row>
    <row r="2852" spans="2:2" ht="15">
      <c r="B2852"/>
    </row>
    <row r="2853" spans="2:2" ht="15">
      <c r="B2853"/>
    </row>
    <row r="2854" spans="2:2" ht="15">
      <c r="B2854"/>
    </row>
    <row r="2855" spans="2:2" ht="15">
      <c r="B2855"/>
    </row>
    <row r="2856" spans="2:2" ht="15">
      <c r="B2856"/>
    </row>
    <row r="2857" spans="2:2" ht="15">
      <c r="B2857"/>
    </row>
    <row r="2858" spans="2:2" ht="15">
      <c r="B2858"/>
    </row>
    <row r="2859" spans="2:2" ht="15">
      <c r="B2859"/>
    </row>
    <row r="2860" spans="2:2" ht="15">
      <c r="B2860"/>
    </row>
    <row r="2861" spans="2:2" ht="15">
      <c r="B2861"/>
    </row>
    <row r="2862" spans="2:2" ht="15">
      <c r="B2862"/>
    </row>
    <row r="2863" spans="2:2" ht="15">
      <c r="B2863"/>
    </row>
    <row r="2864" spans="2:2" ht="15">
      <c r="B2864"/>
    </row>
    <row r="2865" spans="2:2" ht="15">
      <c r="B2865"/>
    </row>
    <row r="2866" spans="2:2" ht="15">
      <c r="B2866"/>
    </row>
    <row r="2867" spans="2:2" ht="15">
      <c r="B2867"/>
    </row>
    <row r="2868" spans="2:2" ht="15">
      <c r="B2868"/>
    </row>
    <row r="2869" spans="2:2" ht="15">
      <c r="B2869"/>
    </row>
    <row r="2870" spans="2:2" ht="15">
      <c r="B2870"/>
    </row>
    <row r="2871" spans="2:2" ht="15">
      <c r="B2871"/>
    </row>
    <row r="2872" spans="2:2" ht="15">
      <c r="B2872"/>
    </row>
    <row r="2873" spans="2:2" ht="15">
      <c r="B2873"/>
    </row>
    <row r="2874" spans="2:2" ht="15">
      <c r="B2874"/>
    </row>
    <row r="2875" spans="2:2" ht="15">
      <c r="B2875"/>
    </row>
    <row r="2876" spans="2:2" ht="15">
      <c r="B2876"/>
    </row>
    <row r="2877" spans="2:2" ht="15">
      <c r="B2877"/>
    </row>
    <row r="2878" spans="2:2" ht="15">
      <c r="B2878"/>
    </row>
    <row r="2879" spans="2:2" ht="15">
      <c r="B2879"/>
    </row>
    <row r="2880" spans="2:2" ht="15">
      <c r="B2880"/>
    </row>
    <row r="2881" spans="2:2" ht="15">
      <c r="B2881"/>
    </row>
    <row r="2882" spans="2:2" ht="15">
      <c r="B2882"/>
    </row>
    <row r="2883" spans="2:2" ht="15">
      <c r="B2883"/>
    </row>
    <row r="2884" spans="2:2" ht="15">
      <c r="B2884"/>
    </row>
    <row r="2885" spans="2:2" ht="15">
      <c r="B2885"/>
    </row>
    <row r="2886" spans="2:2" ht="15">
      <c r="B2886"/>
    </row>
    <row r="2887" spans="2:2" ht="15">
      <c r="B2887"/>
    </row>
    <row r="2888" spans="2:2" ht="15">
      <c r="B2888"/>
    </row>
    <row r="2889" spans="2:2" ht="15">
      <c r="B2889"/>
    </row>
    <row r="2890" spans="2:2" ht="15">
      <c r="B2890"/>
    </row>
    <row r="2891" spans="2:2" ht="15">
      <c r="B2891"/>
    </row>
    <row r="2892" spans="2:2" ht="15">
      <c r="B2892"/>
    </row>
    <row r="2893" spans="2:2" ht="15">
      <c r="B2893"/>
    </row>
    <row r="2894" spans="2:2" ht="15">
      <c r="B2894"/>
    </row>
    <row r="2895" spans="2:2" ht="15">
      <c r="B2895"/>
    </row>
    <row r="2896" spans="2:2" ht="15">
      <c r="B2896"/>
    </row>
    <row r="2897" spans="2:2" ht="15">
      <c r="B2897"/>
    </row>
    <row r="2898" spans="2:2" ht="15">
      <c r="B2898"/>
    </row>
    <row r="2899" spans="2:2" ht="15">
      <c r="B2899"/>
    </row>
    <row r="2900" spans="2:2" ht="15">
      <c r="B2900"/>
    </row>
    <row r="2901" spans="2:2" ht="15">
      <c r="B2901"/>
    </row>
    <row r="2902" spans="2:2" ht="15">
      <c r="B2902"/>
    </row>
    <row r="2903" spans="2:2" ht="15">
      <c r="B2903"/>
    </row>
    <row r="2904" spans="2:2" ht="15">
      <c r="B2904"/>
    </row>
    <row r="2905" spans="2:2" ht="15">
      <c r="B2905"/>
    </row>
    <row r="2906" spans="2:2" ht="15">
      <c r="B2906"/>
    </row>
    <row r="2907" spans="2:2" ht="15">
      <c r="B2907"/>
    </row>
    <row r="2908" spans="2:2" ht="15">
      <c r="B2908"/>
    </row>
    <row r="2909" spans="2:2" ht="15">
      <c r="B2909"/>
    </row>
    <row r="2910" spans="2:2" ht="15">
      <c r="B2910"/>
    </row>
    <row r="2911" spans="2:2" ht="15">
      <c r="B2911"/>
    </row>
    <row r="2912" spans="2:2" ht="15">
      <c r="B2912"/>
    </row>
    <row r="2913" spans="2:2" ht="15">
      <c r="B2913"/>
    </row>
    <row r="2914" spans="2:2" ht="15">
      <c r="B2914"/>
    </row>
    <row r="2915" spans="2:2" ht="15">
      <c r="B2915"/>
    </row>
    <row r="2916" spans="2:2" ht="15">
      <c r="B2916"/>
    </row>
    <row r="2917" spans="2:2" ht="15">
      <c r="B2917"/>
    </row>
    <row r="2918" spans="2:2" ht="15">
      <c r="B2918"/>
    </row>
    <row r="2919" spans="2:2" ht="15">
      <c r="B2919"/>
    </row>
    <row r="2920" spans="2:2" ht="15">
      <c r="B2920"/>
    </row>
    <row r="2921" spans="2:2" ht="15">
      <c r="B2921"/>
    </row>
    <row r="2922" spans="2:2" ht="15">
      <c r="B2922"/>
    </row>
    <row r="2923" spans="2:2" ht="15">
      <c r="B2923"/>
    </row>
    <row r="2924" spans="2:2" ht="15">
      <c r="B2924"/>
    </row>
    <row r="2925" spans="2:2" ht="15">
      <c r="B2925"/>
    </row>
    <row r="2926" spans="2:2" ht="15">
      <c r="B2926"/>
    </row>
    <row r="2927" spans="2:2" ht="15">
      <c r="B2927"/>
    </row>
    <row r="2928" spans="2:2" ht="15">
      <c r="B2928"/>
    </row>
    <row r="2929" spans="2:2" ht="15">
      <c r="B2929"/>
    </row>
    <row r="2930" spans="2:2" ht="15">
      <c r="B2930"/>
    </row>
    <row r="2931" spans="2:2" ht="15">
      <c r="B2931"/>
    </row>
    <row r="2932" spans="2:2" ht="15">
      <c r="B2932"/>
    </row>
    <row r="2933" spans="2:2" ht="15">
      <c r="B2933"/>
    </row>
    <row r="2934" spans="2:2" ht="15">
      <c r="B2934"/>
    </row>
    <row r="2935" spans="2:2" ht="15">
      <c r="B2935"/>
    </row>
    <row r="2936" spans="2:2" ht="15">
      <c r="B2936"/>
    </row>
    <row r="2937" spans="2:2" ht="15">
      <c r="B2937"/>
    </row>
    <row r="2938" spans="2:2" ht="15">
      <c r="B2938"/>
    </row>
    <row r="2939" spans="2:2" ht="15">
      <c r="B2939"/>
    </row>
    <row r="2940" spans="2:2" ht="15">
      <c r="B2940"/>
    </row>
    <row r="2941" spans="2:2" ht="15">
      <c r="B2941"/>
    </row>
    <row r="2942" spans="2:2" ht="15">
      <c r="B2942"/>
    </row>
    <row r="2943" spans="2:2" ht="15">
      <c r="B2943"/>
    </row>
    <row r="2944" spans="2:2" ht="15">
      <c r="B2944"/>
    </row>
    <row r="2945" spans="2:2" ht="15">
      <c r="B2945"/>
    </row>
    <row r="2946" spans="2:2" ht="15">
      <c r="B2946"/>
    </row>
    <row r="2947" spans="2:2" ht="15">
      <c r="B2947"/>
    </row>
    <row r="2948" spans="2:2" ht="15">
      <c r="B2948"/>
    </row>
    <row r="2949" spans="2:2" ht="15">
      <c r="B2949"/>
    </row>
    <row r="2950" spans="2:2" ht="15">
      <c r="B2950"/>
    </row>
    <row r="2951" spans="2:2" ht="15">
      <c r="B2951"/>
    </row>
    <row r="2952" spans="2:2" ht="15">
      <c r="B2952"/>
    </row>
    <row r="2953" spans="2:2" ht="15">
      <c r="B2953"/>
    </row>
    <row r="2954" spans="2:2" ht="15">
      <c r="B2954"/>
    </row>
    <row r="2955" spans="2:2" ht="15">
      <c r="B2955"/>
    </row>
    <row r="2956" spans="2:2" ht="15">
      <c r="B2956"/>
    </row>
    <row r="2957" spans="2:2" ht="15">
      <c r="B2957"/>
    </row>
    <row r="2958" spans="2:2" ht="15">
      <c r="B2958"/>
    </row>
    <row r="2959" spans="2:2" ht="15">
      <c r="B2959"/>
    </row>
    <row r="2960" spans="2:2" ht="15">
      <c r="B2960"/>
    </row>
    <row r="2961" spans="2:2" ht="15">
      <c r="B2961"/>
    </row>
    <row r="2962" spans="2:2" ht="15">
      <c r="B2962"/>
    </row>
    <row r="2963" spans="2:2" ht="15">
      <c r="B2963"/>
    </row>
    <row r="2964" spans="2:2" ht="15">
      <c r="B2964"/>
    </row>
    <row r="2965" spans="2:2" ht="15">
      <c r="B2965"/>
    </row>
    <row r="2966" spans="2:2" ht="15">
      <c r="B2966"/>
    </row>
    <row r="2967" spans="2:2" ht="15">
      <c r="B2967"/>
    </row>
    <row r="2968" spans="2:2" ht="15">
      <c r="B2968"/>
    </row>
    <row r="2969" spans="2:2" ht="15">
      <c r="B2969"/>
    </row>
    <row r="2970" spans="2:2" ht="15">
      <c r="B2970"/>
    </row>
    <row r="2971" spans="2:2" ht="15">
      <c r="B2971"/>
    </row>
    <row r="2972" spans="2:2" ht="15">
      <c r="B2972"/>
    </row>
    <row r="2973" spans="2:2" ht="15">
      <c r="B2973"/>
    </row>
    <row r="2974" spans="2:2" ht="15">
      <c r="B2974"/>
    </row>
    <row r="2975" spans="2:2" ht="15">
      <c r="B2975"/>
    </row>
    <row r="2976" spans="2:2" ht="15">
      <c r="B2976"/>
    </row>
    <row r="2977" spans="2:2" ht="15">
      <c r="B2977"/>
    </row>
    <row r="2978" spans="2:2" ht="15">
      <c r="B2978"/>
    </row>
    <row r="2979" spans="2:2" ht="15">
      <c r="B2979"/>
    </row>
    <row r="2980" spans="2:2" ht="15">
      <c r="B2980"/>
    </row>
    <row r="2981" spans="2:2" ht="15">
      <c r="B2981"/>
    </row>
    <row r="2982" spans="2:2" ht="15">
      <c r="B2982"/>
    </row>
    <row r="2983" spans="2:2" ht="15">
      <c r="B2983"/>
    </row>
    <row r="2984" spans="2:2" ht="15">
      <c r="B2984"/>
    </row>
    <row r="2985" spans="2:2" ht="15">
      <c r="B2985"/>
    </row>
    <row r="2986" spans="2:2" ht="15">
      <c r="B2986"/>
    </row>
    <row r="2987" spans="2:2" ht="15">
      <c r="B2987"/>
    </row>
    <row r="2988" spans="2:2" ht="15">
      <c r="B2988"/>
    </row>
    <row r="2989" spans="2:2" ht="15">
      <c r="B2989"/>
    </row>
    <row r="2990" spans="2:2" ht="15">
      <c r="B2990"/>
    </row>
    <row r="2991" spans="2:2" ht="15">
      <c r="B2991"/>
    </row>
    <row r="2992" spans="2:2" ht="15">
      <c r="B2992"/>
    </row>
    <row r="2993" spans="2:2" ht="15">
      <c r="B2993"/>
    </row>
    <row r="2994" spans="2:2" ht="15">
      <c r="B2994"/>
    </row>
    <row r="2995" spans="2:2" ht="15">
      <c r="B2995"/>
    </row>
    <row r="2996" spans="2:2" ht="15">
      <c r="B2996"/>
    </row>
    <row r="2997" spans="2:2" ht="15">
      <c r="B2997"/>
    </row>
    <row r="2998" spans="2:2" ht="15">
      <c r="B2998"/>
    </row>
    <row r="2999" spans="2:2" ht="15">
      <c r="B2999"/>
    </row>
    <row r="3000" spans="2:2" ht="15">
      <c r="B3000"/>
    </row>
    <row r="3001" spans="2:2" ht="15">
      <c r="B3001"/>
    </row>
    <row r="3002" spans="2:2" ht="15">
      <c r="B3002"/>
    </row>
    <row r="3003" spans="2:2" ht="15">
      <c r="B3003"/>
    </row>
    <row r="3004" spans="2:2" ht="15">
      <c r="B3004"/>
    </row>
    <row r="3005" spans="2:2" ht="15">
      <c r="B3005"/>
    </row>
    <row r="3006" spans="2:2" ht="15">
      <c r="B3006"/>
    </row>
    <row r="3007" spans="2:2" ht="15">
      <c r="B3007"/>
    </row>
    <row r="3008" spans="2:2" ht="15">
      <c r="B3008"/>
    </row>
    <row r="3009" spans="2:2" ht="15">
      <c r="B3009"/>
    </row>
    <row r="3010" spans="2:2" ht="15">
      <c r="B3010"/>
    </row>
    <row r="3011" spans="2:2" ht="15">
      <c r="B3011"/>
    </row>
    <row r="3012" spans="2:2" ht="15">
      <c r="B3012"/>
    </row>
    <row r="3013" spans="2:2" ht="15">
      <c r="B3013"/>
    </row>
    <row r="3014" spans="2:2" ht="15">
      <c r="B3014"/>
    </row>
    <row r="3015" spans="2:2" ht="15">
      <c r="B3015"/>
    </row>
    <row r="3016" spans="2:2" ht="15">
      <c r="B3016"/>
    </row>
    <row r="3017" spans="2:2" ht="15">
      <c r="B3017"/>
    </row>
    <row r="3018" spans="2:2" ht="15">
      <c r="B3018"/>
    </row>
    <row r="3019" spans="2:2" ht="15">
      <c r="B3019"/>
    </row>
    <row r="3020" spans="2:2" ht="15">
      <c r="B3020"/>
    </row>
    <row r="3021" spans="2:2" ht="15">
      <c r="B3021"/>
    </row>
    <row r="3022" spans="2:2" ht="15">
      <c r="B3022"/>
    </row>
    <row r="3023" spans="2:2" ht="15">
      <c r="B3023"/>
    </row>
    <row r="3024" spans="2:2" ht="15">
      <c r="B3024"/>
    </row>
    <row r="3025" spans="2:2" ht="15">
      <c r="B3025"/>
    </row>
    <row r="3026" spans="2:2" ht="15">
      <c r="B3026"/>
    </row>
    <row r="3027" spans="2:2" ht="15">
      <c r="B3027"/>
    </row>
    <row r="3028" spans="2:2" ht="15">
      <c r="B3028"/>
    </row>
    <row r="3029" spans="2:2" ht="15">
      <c r="B3029"/>
    </row>
    <row r="3030" spans="2:2" ht="15">
      <c r="B3030"/>
    </row>
    <row r="3031" spans="2:2" ht="15">
      <c r="B3031"/>
    </row>
    <row r="3032" spans="2:2" ht="15">
      <c r="B3032"/>
    </row>
    <row r="3033" spans="2:2" ht="15">
      <c r="B3033"/>
    </row>
    <row r="3034" spans="2:2" ht="15">
      <c r="B3034"/>
    </row>
    <row r="3035" spans="2:2" ht="15">
      <c r="B3035"/>
    </row>
    <row r="3036" spans="2:2" ht="15">
      <c r="B3036"/>
    </row>
    <row r="3037" spans="2:2" ht="15">
      <c r="B3037"/>
    </row>
    <row r="3038" spans="2:2" ht="15">
      <c r="B3038"/>
    </row>
    <row r="3039" spans="2:2" ht="15">
      <c r="B3039"/>
    </row>
    <row r="3040" spans="2:2" ht="15">
      <c r="B3040"/>
    </row>
    <row r="3041" spans="2:2" ht="15">
      <c r="B3041"/>
    </row>
    <row r="3042" spans="2:2" ht="15">
      <c r="B3042"/>
    </row>
    <row r="3043" spans="2:2" ht="15">
      <c r="B3043"/>
    </row>
    <row r="3044" spans="2:2" ht="15">
      <c r="B3044"/>
    </row>
    <row r="3045" spans="2:2" ht="15">
      <c r="B3045"/>
    </row>
    <row r="3046" spans="2:2" ht="15">
      <c r="B3046"/>
    </row>
    <row r="3047" spans="2:2" ht="15">
      <c r="B3047"/>
    </row>
    <row r="3048" spans="2:2" ht="15">
      <c r="B3048"/>
    </row>
    <row r="3049" spans="2:2" ht="15">
      <c r="B3049"/>
    </row>
    <row r="3050" spans="2:2" ht="15">
      <c r="B3050"/>
    </row>
    <row r="3051" spans="2:2" ht="15">
      <c r="B3051"/>
    </row>
    <row r="3052" spans="2:2" ht="15">
      <c r="B3052"/>
    </row>
    <row r="3053" spans="2:2" ht="15">
      <c r="B3053"/>
    </row>
    <row r="3054" spans="2:2" ht="15">
      <c r="B3054"/>
    </row>
    <row r="3055" spans="2:2" ht="15">
      <c r="B3055"/>
    </row>
    <row r="3056" spans="2:2" ht="15">
      <c r="B3056"/>
    </row>
    <row r="3057" spans="2:2" ht="15">
      <c r="B3057"/>
    </row>
    <row r="3058" spans="2:2" ht="15">
      <c r="B3058"/>
    </row>
    <row r="3059" spans="2:2" ht="15">
      <c r="B3059"/>
    </row>
    <row r="3060" spans="2:2" ht="15">
      <c r="B3060"/>
    </row>
    <row r="3061" spans="2:2" ht="15">
      <c r="B3061"/>
    </row>
    <row r="3062" spans="2:2" ht="15">
      <c r="B3062"/>
    </row>
    <row r="3063" spans="2:2" ht="15">
      <c r="B3063"/>
    </row>
    <row r="3064" spans="2:2" ht="15">
      <c r="B3064"/>
    </row>
    <row r="3065" spans="2:2" ht="15">
      <c r="B3065"/>
    </row>
    <row r="3066" spans="2:2" ht="15">
      <c r="B3066"/>
    </row>
    <row r="3067" spans="2:2" ht="15">
      <c r="B3067"/>
    </row>
    <row r="3068" spans="2:2" ht="15">
      <c r="B3068"/>
    </row>
    <row r="3069" spans="2:2" ht="15">
      <c r="B3069"/>
    </row>
    <row r="3070" spans="2:2" ht="15">
      <c r="B3070"/>
    </row>
    <row r="3071" spans="2:2" ht="15">
      <c r="B3071"/>
    </row>
    <row r="3072" spans="2:2" ht="15">
      <c r="B3072"/>
    </row>
    <row r="3073" spans="2:2" ht="15">
      <c r="B3073"/>
    </row>
    <row r="3074" spans="2:2" ht="15">
      <c r="B3074"/>
    </row>
    <row r="3075" spans="2:2" ht="15">
      <c r="B3075"/>
    </row>
    <row r="3076" spans="2:2" ht="15">
      <c r="B3076"/>
    </row>
    <row r="3077" spans="2:2" ht="15">
      <c r="B3077"/>
    </row>
    <row r="3078" spans="2:2" ht="15">
      <c r="B3078"/>
    </row>
    <row r="3079" spans="2:2" ht="15">
      <c r="B3079"/>
    </row>
    <row r="3080" spans="2:2" ht="15">
      <c r="B3080"/>
    </row>
    <row r="3081" spans="2:2" ht="15">
      <c r="B3081"/>
    </row>
    <row r="3082" spans="2:2" ht="15">
      <c r="B3082"/>
    </row>
    <row r="3083" spans="2:2" ht="15">
      <c r="B3083"/>
    </row>
    <row r="3084" spans="2:2" ht="15">
      <c r="B3084"/>
    </row>
    <row r="3085" spans="2:2" ht="15">
      <c r="B3085"/>
    </row>
    <row r="3086" spans="2:2" ht="15">
      <c r="B3086"/>
    </row>
    <row r="3087" spans="2:2" ht="15">
      <c r="B3087"/>
    </row>
    <row r="3088" spans="2:2" ht="15">
      <c r="B3088"/>
    </row>
    <row r="3089" spans="2:2" ht="15">
      <c r="B3089"/>
    </row>
    <row r="3090" spans="2:2" ht="15">
      <c r="B3090"/>
    </row>
    <row r="3091" spans="2:2" ht="15">
      <c r="B3091"/>
    </row>
    <row r="3092" spans="2:2" ht="15">
      <c r="B3092"/>
    </row>
    <row r="3093" spans="2:2" ht="15">
      <c r="B3093"/>
    </row>
    <row r="3094" spans="2:2" ht="15">
      <c r="B3094"/>
    </row>
    <row r="3095" spans="2:2" ht="15">
      <c r="B3095"/>
    </row>
    <row r="3096" spans="2:2" ht="15">
      <c r="B3096"/>
    </row>
    <row r="3097" spans="2:2" ht="15">
      <c r="B3097"/>
    </row>
    <row r="3098" spans="2:2" ht="15">
      <c r="B3098"/>
    </row>
    <row r="3099" spans="2:2" ht="15">
      <c r="B3099"/>
    </row>
    <row r="3100" spans="2:2" ht="15">
      <c r="B3100"/>
    </row>
    <row r="3101" spans="2:2" ht="15">
      <c r="B3101"/>
    </row>
    <row r="3102" spans="2:2" ht="15">
      <c r="B3102"/>
    </row>
    <row r="3103" spans="2:2" ht="15">
      <c r="B3103"/>
    </row>
    <row r="3104" spans="2:2" ht="15">
      <c r="B3104"/>
    </row>
    <row r="3105" spans="2:2" ht="15">
      <c r="B3105"/>
    </row>
    <row r="3106" spans="2:2" ht="15">
      <c r="B3106"/>
    </row>
    <row r="3107" spans="2:2" ht="15">
      <c r="B3107"/>
    </row>
    <row r="3108" spans="2:2" ht="15">
      <c r="B3108"/>
    </row>
    <row r="3109" spans="2:2" ht="15">
      <c r="B3109"/>
    </row>
    <row r="3110" spans="2:2" ht="15">
      <c r="B3110"/>
    </row>
    <row r="3111" spans="2:2" ht="15">
      <c r="B3111"/>
    </row>
    <row r="3112" spans="2:2" ht="15">
      <c r="B3112"/>
    </row>
    <row r="3113" spans="2:2" ht="15">
      <c r="B3113"/>
    </row>
    <row r="3114" spans="2:2" ht="15">
      <c r="B3114"/>
    </row>
    <row r="3115" spans="2:2" ht="15">
      <c r="B3115"/>
    </row>
    <row r="3116" spans="2:2" ht="15">
      <c r="B3116"/>
    </row>
    <row r="3117" spans="2:2" ht="15">
      <c r="B3117"/>
    </row>
    <row r="3118" spans="2:2" ht="15">
      <c r="B3118"/>
    </row>
    <row r="3119" spans="2:2" ht="15">
      <c r="B3119"/>
    </row>
    <row r="3120" spans="2:2" ht="15">
      <c r="B3120"/>
    </row>
    <row r="3121" spans="2:2" ht="15">
      <c r="B3121"/>
    </row>
    <row r="3122" spans="2:2" ht="15">
      <c r="B3122"/>
    </row>
    <row r="3123" spans="2:2" ht="15">
      <c r="B3123"/>
    </row>
    <row r="3124" spans="2:2" ht="15">
      <c r="B3124"/>
    </row>
    <row r="3125" spans="2:2" ht="15">
      <c r="B3125"/>
    </row>
    <row r="3126" spans="2:2" ht="15">
      <c r="B3126"/>
    </row>
    <row r="3127" spans="2:2" ht="15">
      <c r="B3127"/>
    </row>
    <row r="3128" spans="2:2" ht="15">
      <c r="B3128"/>
    </row>
    <row r="3129" spans="2:2" ht="15">
      <c r="B3129"/>
    </row>
    <row r="3130" spans="2:2" ht="15">
      <c r="B3130"/>
    </row>
    <row r="3131" spans="2:2" ht="15">
      <c r="B3131"/>
    </row>
    <row r="3132" spans="2:2" ht="15">
      <c r="B3132"/>
    </row>
    <row r="3133" spans="2:2" ht="15">
      <c r="B3133"/>
    </row>
    <row r="3134" spans="2:2" ht="15">
      <c r="B3134"/>
    </row>
    <row r="3135" spans="2:2" ht="15">
      <c r="B3135"/>
    </row>
    <row r="3136" spans="2:2" ht="15">
      <c r="B3136"/>
    </row>
    <row r="3137" spans="2:2" ht="15">
      <c r="B3137"/>
    </row>
    <row r="3138" spans="2:2" ht="15">
      <c r="B3138"/>
    </row>
    <row r="3139" spans="2:2" ht="15">
      <c r="B3139"/>
    </row>
    <row r="3140" spans="2:2" ht="15">
      <c r="B3140"/>
    </row>
    <row r="3141" spans="2:2" ht="15">
      <c r="B3141"/>
    </row>
    <row r="3142" spans="2:2" ht="15">
      <c r="B3142"/>
    </row>
    <row r="3143" spans="2:2" ht="15">
      <c r="B3143"/>
    </row>
    <row r="3144" spans="2:2" ht="15">
      <c r="B3144"/>
    </row>
    <row r="3145" spans="2:2" ht="15">
      <c r="B3145"/>
    </row>
    <row r="3146" spans="2:2" ht="15">
      <c r="B3146"/>
    </row>
    <row r="3147" spans="2:2" ht="15">
      <c r="B3147"/>
    </row>
    <row r="3148" spans="2:2" ht="15">
      <c r="B3148"/>
    </row>
    <row r="3149" spans="2:2" ht="15">
      <c r="B3149"/>
    </row>
    <row r="3150" spans="2:2" ht="15">
      <c r="B3150"/>
    </row>
    <row r="3151" spans="2:2" ht="15">
      <c r="B3151"/>
    </row>
    <row r="3152" spans="2:2" ht="15">
      <c r="B3152"/>
    </row>
    <row r="3153" spans="2:2" ht="15">
      <c r="B3153"/>
    </row>
    <row r="3154" spans="2:2" ht="15">
      <c r="B3154"/>
    </row>
    <row r="3155" spans="2:2" ht="15">
      <c r="B3155"/>
    </row>
    <row r="3156" spans="2:2" ht="15">
      <c r="B3156"/>
    </row>
    <row r="3157" spans="2:2" ht="15">
      <c r="B3157"/>
    </row>
    <row r="3158" spans="2:2" ht="15">
      <c r="B3158"/>
    </row>
    <row r="3159" spans="2:2" ht="15">
      <c r="B3159"/>
    </row>
    <row r="3160" spans="2:2" ht="15">
      <c r="B3160"/>
    </row>
    <row r="3161" spans="2:2" ht="15">
      <c r="B3161"/>
    </row>
    <row r="3162" spans="2:2" ht="15">
      <c r="B3162"/>
    </row>
    <row r="3163" spans="2:2" ht="15">
      <c r="B3163"/>
    </row>
    <row r="3164" spans="2:2" ht="15">
      <c r="B3164"/>
    </row>
    <row r="3165" spans="2:2" ht="15">
      <c r="B3165"/>
    </row>
    <row r="3166" spans="2:2" ht="15">
      <c r="B3166"/>
    </row>
    <row r="3167" spans="2:2" ht="15">
      <c r="B3167"/>
    </row>
    <row r="3168" spans="2:2" ht="15">
      <c r="B3168"/>
    </row>
    <row r="3169" spans="2:2" ht="15">
      <c r="B3169"/>
    </row>
    <row r="3170" spans="2:2" ht="15">
      <c r="B3170"/>
    </row>
    <row r="3171" spans="2:2" ht="15">
      <c r="B3171"/>
    </row>
    <row r="3172" spans="2:2" ht="15">
      <c r="B3172"/>
    </row>
    <row r="3173" spans="2:2" ht="15">
      <c r="B3173"/>
    </row>
    <row r="3174" spans="2:2" ht="15">
      <c r="B3174"/>
    </row>
    <row r="3175" spans="2:2" ht="15">
      <c r="B3175"/>
    </row>
    <row r="3176" spans="2:2" ht="15">
      <c r="B3176"/>
    </row>
    <row r="3177" spans="2:2" ht="15">
      <c r="B3177"/>
    </row>
    <row r="3178" spans="2:2" ht="15">
      <c r="B3178"/>
    </row>
    <row r="3179" spans="2:2" ht="15">
      <c r="B3179"/>
    </row>
    <row r="3180" spans="2:2" ht="15">
      <c r="B3180"/>
    </row>
    <row r="3181" spans="2:2" ht="15">
      <c r="B3181"/>
    </row>
    <row r="3182" spans="2:2" ht="15">
      <c r="B3182"/>
    </row>
    <row r="3183" spans="2:2" ht="15">
      <c r="B3183"/>
    </row>
    <row r="3184" spans="2:2" ht="15">
      <c r="B3184"/>
    </row>
    <row r="3185" spans="2:2" ht="15">
      <c r="B3185"/>
    </row>
    <row r="3186" spans="2:2" ht="15">
      <c r="B3186"/>
    </row>
    <row r="3187" spans="2:2" ht="15">
      <c r="B3187"/>
    </row>
    <row r="3188" spans="2:2" ht="15">
      <c r="B3188"/>
    </row>
    <row r="3189" spans="2:2" ht="15">
      <c r="B3189"/>
    </row>
    <row r="3190" spans="2:2" ht="15">
      <c r="B3190"/>
    </row>
    <row r="3191" spans="2:2" ht="15">
      <c r="B3191"/>
    </row>
    <row r="3192" spans="2:2" ht="15">
      <c r="B3192"/>
    </row>
    <row r="3193" spans="2:2" ht="15">
      <c r="B3193"/>
    </row>
    <row r="3194" spans="2:2" ht="15">
      <c r="B3194"/>
    </row>
    <row r="3195" spans="2:2" ht="15">
      <c r="B3195"/>
    </row>
    <row r="3196" spans="2:2" ht="15">
      <c r="B3196"/>
    </row>
    <row r="3197" spans="2:2" ht="15">
      <c r="B3197"/>
    </row>
    <row r="3198" spans="2:2" ht="15">
      <c r="B3198"/>
    </row>
    <row r="3199" spans="2:2" ht="15">
      <c r="B3199"/>
    </row>
    <row r="3200" spans="2:2" ht="15">
      <c r="B3200"/>
    </row>
    <row r="3201" spans="2:2" ht="15">
      <c r="B3201"/>
    </row>
    <row r="3202" spans="2:2" ht="15">
      <c r="B3202"/>
    </row>
    <row r="3203" spans="2:2" ht="15">
      <c r="B3203"/>
    </row>
    <row r="3204" spans="2:2" ht="15">
      <c r="B3204"/>
    </row>
    <row r="3205" spans="2:2" ht="15">
      <c r="B3205"/>
    </row>
    <row r="3206" spans="2:2" ht="15">
      <c r="B3206"/>
    </row>
    <row r="3207" spans="2:2" ht="15">
      <c r="B3207"/>
    </row>
    <row r="3208" spans="2:2" ht="15">
      <c r="B3208"/>
    </row>
    <row r="3209" spans="2:2" ht="15">
      <c r="B3209"/>
    </row>
    <row r="3210" spans="2:2" ht="15">
      <c r="B3210"/>
    </row>
    <row r="3211" spans="2:2" ht="15">
      <c r="B3211"/>
    </row>
    <row r="3212" spans="2:2" ht="15">
      <c r="B3212"/>
    </row>
    <row r="3213" spans="2:2" ht="15">
      <c r="B3213"/>
    </row>
    <row r="3214" spans="2:2" ht="15">
      <c r="B3214"/>
    </row>
    <row r="3215" spans="2:2" ht="15">
      <c r="B3215"/>
    </row>
    <row r="3216" spans="2:2" ht="15">
      <c r="B3216"/>
    </row>
    <row r="3217" spans="2:2" ht="15">
      <c r="B3217"/>
    </row>
    <row r="3218" spans="2:2" ht="15">
      <c r="B3218"/>
    </row>
    <row r="3219" spans="2:2" ht="15">
      <c r="B3219"/>
    </row>
    <row r="3220" spans="2:2" ht="15">
      <c r="B3220"/>
    </row>
    <row r="3221" spans="2:2" ht="15">
      <c r="B3221"/>
    </row>
    <row r="3222" spans="2:2" ht="15">
      <c r="B3222"/>
    </row>
    <row r="3223" spans="2:2" ht="15">
      <c r="B3223"/>
    </row>
    <row r="3224" spans="2:2" ht="15">
      <c r="B3224"/>
    </row>
    <row r="3225" spans="2:2" ht="15">
      <c r="B3225"/>
    </row>
    <row r="3226" spans="2:2" ht="15">
      <c r="B3226"/>
    </row>
    <row r="3227" spans="2:2" ht="15">
      <c r="B3227"/>
    </row>
    <row r="3228" spans="2:2" ht="15">
      <c r="B3228"/>
    </row>
    <row r="3229" spans="2:2" ht="15">
      <c r="B3229"/>
    </row>
    <row r="3230" spans="2:2" ht="15">
      <c r="B3230"/>
    </row>
    <row r="3231" spans="2:2" ht="15">
      <c r="B3231"/>
    </row>
    <row r="3232" spans="2:2" ht="15">
      <c r="B3232"/>
    </row>
    <row r="3233" spans="2:2" ht="15">
      <c r="B3233"/>
    </row>
    <row r="3234" spans="2:2" ht="15">
      <c r="B3234"/>
    </row>
    <row r="3235" spans="2:2" ht="15">
      <c r="B3235"/>
    </row>
    <row r="3236" spans="2:2" ht="15">
      <c r="B3236"/>
    </row>
    <row r="3237" spans="2:2" ht="15">
      <c r="B3237"/>
    </row>
    <row r="3238" spans="2:2" ht="15">
      <c r="B3238"/>
    </row>
    <row r="3239" spans="2:2" ht="15">
      <c r="B3239"/>
    </row>
    <row r="3240" spans="2:2" ht="15">
      <c r="B3240"/>
    </row>
    <row r="3241" spans="2:2" ht="15">
      <c r="B3241"/>
    </row>
    <row r="3242" spans="2:2" ht="15">
      <c r="B3242"/>
    </row>
    <row r="3243" spans="2:2" ht="15">
      <c r="B3243"/>
    </row>
    <row r="3244" spans="2:2" ht="15">
      <c r="B3244"/>
    </row>
    <row r="3245" spans="2:2" ht="15">
      <c r="B3245"/>
    </row>
    <row r="3246" spans="2:2" ht="15">
      <c r="B3246"/>
    </row>
    <row r="3247" spans="2:2" ht="15">
      <c r="B3247"/>
    </row>
    <row r="3248" spans="2:2" ht="15">
      <c r="B3248"/>
    </row>
    <row r="3249" spans="2:2" ht="15">
      <c r="B3249"/>
    </row>
    <row r="3250" spans="2:2" ht="15">
      <c r="B3250"/>
    </row>
    <row r="3251" spans="2:2" ht="15">
      <c r="B3251"/>
    </row>
    <row r="3252" spans="2:2" ht="15">
      <c r="B3252"/>
    </row>
    <row r="3253" spans="2:2" ht="15">
      <c r="B3253"/>
    </row>
    <row r="3254" spans="2:2" ht="15">
      <c r="B3254"/>
    </row>
    <row r="3255" spans="2:2" ht="15">
      <c r="B3255"/>
    </row>
    <row r="3256" spans="2:2" ht="15">
      <c r="B3256"/>
    </row>
    <row r="3257" spans="2:2" ht="15">
      <c r="B3257"/>
    </row>
    <row r="3258" spans="2:2" ht="15">
      <c r="B3258"/>
    </row>
    <row r="3259" spans="2:2" ht="15">
      <c r="B3259"/>
    </row>
    <row r="3260" spans="2:2" ht="15">
      <c r="B3260"/>
    </row>
    <row r="3261" spans="2:2" ht="15">
      <c r="B3261"/>
    </row>
    <row r="3262" spans="2:2" ht="15">
      <c r="B3262"/>
    </row>
    <row r="3263" spans="2:2" ht="15">
      <c r="B3263"/>
    </row>
    <row r="3264" spans="2:2" ht="15">
      <c r="B3264"/>
    </row>
    <row r="3265" spans="2:2" ht="15">
      <c r="B3265"/>
    </row>
    <row r="3266" spans="2:2" ht="15">
      <c r="B3266"/>
    </row>
    <row r="3267" spans="2:2" ht="15">
      <c r="B3267"/>
    </row>
    <row r="3268" spans="2:2" ht="15">
      <c r="B3268"/>
    </row>
    <row r="3269" spans="2:2" ht="15">
      <c r="B3269"/>
    </row>
    <row r="3270" spans="2:2" ht="15">
      <c r="B3270"/>
    </row>
    <row r="3271" spans="2:2" ht="15">
      <c r="B3271"/>
    </row>
    <row r="3272" spans="2:2" ht="15">
      <c r="B3272"/>
    </row>
    <row r="3273" spans="2:2" ht="15">
      <c r="B3273"/>
    </row>
    <row r="3274" spans="2:2" ht="15">
      <c r="B3274"/>
    </row>
    <row r="3275" spans="2:2" ht="15">
      <c r="B3275"/>
    </row>
    <row r="3276" spans="2:2" ht="15">
      <c r="B3276"/>
    </row>
    <row r="3277" spans="2:2" ht="15">
      <c r="B3277"/>
    </row>
    <row r="3278" spans="2:2" ht="15">
      <c r="B3278"/>
    </row>
    <row r="3279" spans="2:2" ht="15">
      <c r="B3279"/>
    </row>
    <row r="3280" spans="2:2" ht="15">
      <c r="B3280"/>
    </row>
    <row r="3281" spans="2:2" ht="15">
      <c r="B3281"/>
    </row>
    <row r="3282" spans="2:2" ht="15">
      <c r="B3282"/>
    </row>
    <row r="3283" spans="2:2" ht="15">
      <c r="B3283"/>
    </row>
    <row r="3284" spans="2:2" ht="15">
      <c r="B3284"/>
    </row>
    <row r="3285" spans="2:2" ht="15">
      <c r="B3285"/>
    </row>
    <row r="3286" spans="2:2" ht="15">
      <c r="B3286"/>
    </row>
    <row r="3287" spans="2:2" ht="15">
      <c r="B3287"/>
    </row>
    <row r="3288" spans="2:2" ht="15">
      <c r="B3288"/>
    </row>
    <row r="3289" spans="2:2" ht="15">
      <c r="B3289"/>
    </row>
    <row r="3290" spans="2:2" ht="15">
      <c r="B3290"/>
    </row>
    <row r="3291" spans="2:2" ht="15">
      <c r="B3291"/>
    </row>
    <row r="3292" spans="2:2" ht="15">
      <c r="B3292"/>
    </row>
    <row r="3293" spans="2:2" ht="15">
      <c r="B3293"/>
    </row>
    <row r="3294" spans="2:2" ht="15">
      <c r="B3294"/>
    </row>
    <row r="3295" spans="2:2" ht="15">
      <c r="B3295"/>
    </row>
    <row r="3296" spans="2:2" ht="15">
      <c r="B3296"/>
    </row>
    <row r="3297" spans="2:2" ht="15">
      <c r="B3297"/>
    </row>
    <row r="3298" spans="2:2" ht="15">
      <c r="B3298"/>
    </row>
    <row r="3299" spans="2:2" ht="15">
      <c r="B3299"/>
    </row>
    <row r="3300" spans="2:2" ht="15">
      <c r="B3300"/>
    </row>
    <row r="3301" spans="2:2" ht="15">
      <c r="B3301"/>
    </row>
    <row r="3302" spans="2:2" ht="15">
      <c r="B3302"/>
    </row>
    <row r="3303" spans="2:2" ht="15">
      <c r="B3303"/>
    </row>
    <row r="3304" spans="2:2" ht="15">
      <c r="B3304"/>
    </row>
    <row r="3305" spans="2:2" ht="15">
      <c r="B3305"/>
    </row>
    <row r="3306" spans="2:2" ht="15">
      <c r="B3306"/>
    </row>
    <row r="3307" spans="2:2" ht="15">
      <c r="B3307"/>
    </row>
    <row r="3308" spans="2:2" ht="15">
      <c r="B3308"/>
    </row>
    <row r="3309" spans="2:2" ht="15">
      <c r="B3309"/>
    </row>
    <row r="3310" spans="2:2" ht="15">
      <c r="B3310"/>
    </row>
    <row r="3311" spans="2:2" ht="15">
      <c r="B3311"/>
    </row>
    <row r="3312" spans="2:2" ht="15">
      <c r="B3312"/>
    </row>
    <row r="3313" spans="2:2" ht="15">
      <c r="B3313"/>
    </row>
    <row r="3314" spans="2:2" ht="15">
      <c r="B3314"/>
    </row>
    <row r="3315" spans="2:2" ht="15">
      <c r="B3315"/>
    </row>
    <row r="3316" spans="2:2" ht="15">
      <c r="B3316"/>
    </row>
    <row r="3317" spans="2:2" ht="15">
      <c r="B3317"/>
    </row>
    <row r="3318" spans="2:2" ht="15">
      <c r="B3318"/>
    </row>
    <row r="3319" spans="2:2" ht="15">
      <c r="B3319"/>
    </row>
    <row r="3320" spans="2:2" ht="15">
      <c r="B3320"/>
    </row>
    <row r="3321" spans="2:2" ht="15">
      <c r="B3321"/>
    </row>
    <row r="3322" spans="2:2" ht="15">
      <c r="B3322"/>
    </row>
    <row r="3323" spans="2:2" ht="15">
      <c r="B3323"/>
    </row>
    <row r="3324" spans="2:2" ht="15">
      <c r="B3324"/>
    </row>
    <row r="3325" spans="2:2" ht="15">
      <c r="B3325"/>
    </row>
    <row r="3326" spans="2:2" ht="15">
      <c r="B3326"/>
    </row>
    <row r="3327" spans="2:2" ht="15">
      <c r="B3327"/>
    </row>
    <row r="3328" spans="2:2" ht="15">
      <c r="B3328"/>
    </row>
    <row r="3329" spans="2:2" ht="15">
      <c r="B3329"/>
    </row>
    <row r="3330" spans="2:2" ht="15">
      <c r="B3330"/>
    </row>
    <row r="3331" spans="2:2" ht="15">
      <c r="B3331"/>
    </row>
    <row r="3332" spans="2:2" ht="15">
      <c r="B3332"/>
    </row>
    <row r="3333" spans="2:2" ht="15">
      <c r="B3333"/>
    </row>
    <row r="3334" spans="2:2" ht="15">
      <c r="B3334"/>
    </row>
    <row r="3335" spans="2:2" ht="15">
      <c r="B3335"/>
    </row>
    <row r="3336" spans="2:2" ht="15">
      <c r="B3336"/>
    </row>
    <row r="3337" spans="2:2" ht="15">
      <c r="B3337"/>
    </row>
    <row r="3338" spans="2:2" ht="15">
      <c r="B3338"/>
    </row>
    <row r="3339" spans="2:2" ht="15">
      <c r="B3339"/>
    </row>
    <row r="3340" spans="2:2" ht="15">
      <c r="B3340"/>
    </row>
    <row r="3341" spans="2:2" ht="15">
      <c r="B3341"/>
    </row>
    <row r="3342" spans="2:2" ht="15">
      <c r="B3342"/>
    </row>
    <row r="3343" spans="2:2" ht="15">
      <c r="B3343"/>
    </row>
    <row r="3344" spans="2:2" ht="15">
      <c r="B3344"/>
    </row>
    <row r="3345" spans="2:2" ht="15">
      <c r="B3345"/>
    </row>
    <row r="3346" spans="2:2" ht="15">
      <c r="B3346"/>
    </row>
    <row r="3347" spans="2:2" ht="15">
      <c r="B3347"/>
    </row>
    <row r="3348" spans="2:2" ht="15">
      <c r="B3348"/>
    </row>
    <row r="3349" spans="2:2" ht="15">
      <c r="B3349"/>
    </row>
    <row r="3350" spans="2:2" ht="15">
      <c r="B3350"/>
    </row>
    <row r="3351" spans="2:2" ht="15">
      <c r="B3351"/>
    </row>
    <row r="3352" spans="2:2" ht="15">
      <c r="B3352"/>
    </row>
    <row r="3353" spans="2:2" ht="15">
      <c r="B3353"/>
    </row>
    <row r="3354" spans="2:2" ht="15">
      <c r="B3354"/>
    </row>
    <row r="3355" spans="2:2" ht="15">
      <c r="B3355"/>
    </row>
    <row r="3356" spans="2:2" ht="15">
      <c r="B3356"/>
    </row>
    <row r="3357" spans="2:2" ht="15">
      <c r="B3357"/>
    </row>
    <row r="3358" spans="2:2" ht="15">
      <c r="B3358"/>
    </row>
    <row r="3359" spans="2:2" ht="15">
      <c r="B3359"/>
    </row>
    <row r="3360" spans="2:2" ht="15">
      <c r="B3360"/>
    </row>
    <row r="3361" spans="2:2" ht="15">
      <c r="B3361"/>
    </row>
    <row r="3362" spans="2:2" ht="15">
      <c r="B3362"/>
    </row>
    <row r="3363" spans="2:2" ht="15">
      <c r="B3363"/>
    </row>
    <row r="3364" spans="2:2" ht="15">
      <c r="B3364"/>
    </row>
    <row r="3365" spans="2:2" ht="15">
      <c r="B3365"/>
    </row>
    <row r="3366" spans="2:2" ht="15">
      <c r="B3366"/>
    </row>
    <row r="3367" spans="2:2" ht="15">
      <c r="B3367"/>
    </row>
    <row r="3368" spans="2:2" ht="15">
      <c r="B3368"/>
    </row>
    <row r="3369" spans="2:2" ht="15">
      <c r="B3369"/>
    </row>
    <row r="3370" spans="2:2" ht="15">
      <c r="B3370"/>
    </row>
    <row r="3371" spans="2:2" ht="15">
      <c r="B3371"/>
    </row>
    <row r="3372" spans="2:2" ht="15">
      <c r="B3372"/>
    </row>
    <row r="3373" spans="2:2" ht="15">
      <c r="B3373"/>
    </row>
    <row r="3374" spans="2:2" ht="15">
      <c r="B3374"/>
    </row>
    <row r="3375" spans="2:2" ht="15">
      <c r="B3375"/>
    </row>
    <row r="3376" spans="2:2" ht="15">
      <c r="B3376"/>
    </row>
    <row r="3377" spans="2:2" ht="15">
      <c r="B3377"/>
    </row>
    <row r="3378" spans="2:2" ht="15">
      <c r="B3378"/>
    </row>
    <row r="3379" spans="2:2" ht="15">
      <c r="B3379"/>
    </row>
    <row r="3380" spans="2:2" ht="15">
      <c r="B3380"/>
    </row>
    <row r="3381" spans="2:2" ht="15">
      <c r="B3381"/>
    </row>
    <row r="3382" spans="2:2" ht="15">
      <c r="B3382"/>
    </row>
    <row r="3383" spans="2:2" ht="15">
      <c r="B3383"/>
    </row>
    <row r="3384" spans="2:2" ht="15">
      <c r="B3384"/>
    </row>
    <row r="3385" spans="2:2" ht="15">
      <c r="B3385"/>
    </row>
    <row r="3386" spans="2:2" ht="15">
      <c r="B3386"/>
    </row>
    <row r="3387" spans="2:2" ht="15">
      <c r="B3387"/>
    </row>
    <row r="3388" spans="2:2" ht="15">
      <c r="B3388"/>
    </row>
    <row r="3389" spans="2:2" ht="15">
      <c r="B3389"/>
    </row>
    <row r="3390" spans="2:2" ht="15">
      <c r="B3390"/>
    </row>
    <row r="3391" spans="2:2" ht="15">
      <c r="B3391"/>
    </row>
    <row r="3392" spans="2:2" ht="15">
      <c r="B3392"/>
    </row>
    <row r="3393" spans="2:2" ht="15">
      <c r="B3393"/>
    </row>
    <row r="3394" spans="2:2" ht="15">
      <c r="B3394"/>
    </row>
    <row r="3395" spans="2:2" ht="15">
      <c r="B3395"/>
    </row>
    <row r="3396" spans="2:2" ht="15">
      <c r="B3396"/>
    </row>
    <row r="3397" spans="2:2" ht="15">
      <c r="B3397"/>
    </row>
    <row r="3398" spans="2:2" ht="15">
      <c r="B3398"/>
    </row>
    <row r="3399" spans="2:2" ht="15">
      <c r="B3399"/>
    </row>
    <row r="3400" spans="2:2" ht="15">
      <c r="B3400"/>
    </row>
    <row r="3401" spans="2:2" ht="15">
      <c r="B3401"/>
    </row>
    <row r="3402" spans="2:2" ht="15">
      <c r="B3402"/>
    </row>
    <row r="3403" spans="2:2" ht="15">
      <c r="B3403"/>
    </row>
    <row r="3404" spans="2:2" ht="15">
      <c r="B3404"/>
    </row>
    <row r="3405" spans="2:2" ht="15">
      <c r="B3405"/>
    </row>
    <row r="3406" spans="2:2" ht="15">
      <c r="B3406"/>
    </row>
    <row r="3407" spans="2:2" ht="15">
      <c r="B3407"/>
    </row>
    <row r="3408" spans="2:2" ht="15">
      <c r="B3408"/>
    </row>
    <row r="3409" spans="2:2" ht="15">
      <c r="B3409"/>
    </row>
    <row r="3410" spans="2:2" ht="15">
      <c r="B3410"/>
    </row>
    <row r="3411" spans="2:2" ht="15">
      <c r="B3411"/>
    </row>
    <row r="3412" spans="2:2" ht="15">
      <c r="B3412"/>
    </row>
    <row r="3413" spans="2:2" ht="15">
      <c r="B3413"/>
    </row>
    <row r="3414" spans="2:2" ht="15">
      <c r="B3414"/>
    </row>
    <row r="3415" spans="2:2" ht="15">
      <c r="B3415"/>
    </row>
    <row r="3416" spans="2:2" ht="15">
      <c r="B3416"/>
    </row>
    <row r="3417" spans="2:2" ht="15">
      <c r="B3417"/>
    </row>
    <row r="3418" spans="2:2" ht="15">
      <c r="B3418"/>
    </row>
    <row r="3419" spans="2:2" ht="15">
      <c r="B3419"/>
    </row>
    <row r="3420" spans="2:2" ht="15">
      <c r="B3420"/>
    </row>
    <row r="3421" spans="2:2" ht="15">
      <c r="B3421"/>
    </row>
    <row r="3422" spans="2:2" ht="15">
      <c r="B3422"/>
    </row>
    <row r="3423" spans="2:2" ht="15">
      <c r="B3423"/>
    </row>
    <row r="3424" spans="2:2" ht="15">
      <c r="B3424"/>
    </row>
    <row r="3425" spans="2:2" ht="15">
      <c r="B3425"/>
    </row>
    <row r="3426" spans="2:2" ht="15">
      <c r="B3426"/>
    </row>
    <row r="3427" spans="2:2" ht="15">
      <c r="B3427"/>
    </row>
    <row r="3428" spans="2:2" ht="15">
      <c r="B3428"/>
    </row>
    <row r="3429" spans="2:2" ht="15">
      <c r="B3429"/>
    </row>
    <row r="3430" spans="2:2" ht="15">
      <c r="B3430"/>
    </row>
    <row r="3431" spans="2:2" ht="15">
      <c r="B3431"/>
    </row>
    <row r="3432" spans="2:2" ht="15">
      <c r="B3432"/>
    </row>
    <row r="3433" spans="2:2" ht="15">
      <c r="B3433"/>
    </row>
    <row r="3434" spans="2:2" ht="15">
      <c r="B3434"/>
    </row>
    <row r="3435" spans="2:2" ht="15">
      <c r="B3435"/>
    </row>
    <row r="3436" spans="2:2" ht="15">
      <c r="B3436"/>
    </row>
    <row r="3437" spans="2:2" ht="15">
      <c r="B3437"/>
    </row>
    <row r="3438" spans="2:2" ht="15">
      <c r="B3438"/>
    </row>
    <row r="3439" spans="2:2" ht="15">
      <c r="B3439"/>
    </row>
    <row r="3440" spans="2:2" ht="15">
      <c r="B3440"/>
    </row>
    <row r="3441" spans="2:2" ht="15">
      <c r="B3441"/>
    </row>
    <row r="3442" spans="2:2" ht="15">
      <c r="B3442"/>
    </row>
    <row r="3443" spans="2:2" ht="15">
      <c r="B3443"/>
    </row>
    <row r="3444" spans="2:2" ht="15">
      <c r="B3444"/>
    </row>
    <row r="3445" spans="2:2" ht="15">
      <c r="B3445"/>
    </row>
    <row r="3446" spans="2:2" ht="15">
      <c r="B3446"/>
    </row>
    <row r="3447" spans="2:2" ht="15">
      <c r="B3447"/>
    </row>
    <row r="3448" spans="2:2" ht="15">
      <c r="B3448"/>
    </row>
    <row r="3449" spans="2:2" ht="15">
      <c r="B3449"/>
    </row>
    <row r="3450" spans="2:2" ht="15">
      <c r="B3450"/>
    </row>
    <row r="3451" spans="2:2" ht="15">
      <c r="B3451"/>
    </row>
    <row r="3452" spans="2:2" ht="15">
      <c r="B3452"/>
    </row>
    <row r="3453" spans="2:2" ht="15">
      <c r="B3453"/>
    </row>
    <row r="3454" spans="2:2" ht="15">
      <c r="B3454"/>
    </row>
    <row r="3455" spans="2:2" ht="15">
      <c r="B3455"/>
    </row>
    <row r="3456" spans="2:2" ht="15">
      <c r="B3456"/>
    </row>
    <row r="3457" spans="2:2" ht="15">
      <c r="B3457"/>
    </row>
    <row r="3458" spans="2:2" ht="15">
      <c r="B3458"/>
    </row>
    <row r="3459" spans="2:2" ht="15">
      <c r="B3459"/>
    </row>
    <row r="3460" spans="2:2" ht="15">
      <c r="B3460"/>
    </row>
    <row r="3461" spans="2:2" ht="15">
      <c r="B3461"/>
    </row>
    <row r="3462" spans="2:2" ht="15">
      <c r="B3462"/>
    </row>
    <row r="3463" spans="2:2" ht="15">
      <c r="B3463"/>
    </row>
    <row r="3464" spans="2:2" ht="15">
      <c r="B3464"/>
    </row>
    <row r="3465" spans="2:2" ht="15">
      <c r="B3465"/>
    </row>
    <row r="3466" spans="2:2" ht="15">
      <c r="B3466"/>
    </row>
    <row r="3467" spans="2:2" ht="15">
      <c r="B3467"/>
    </row>
    <row r="3468" spans="2:2" ht="15">
      <c r="B3468"/>
    </row>
    <row r="3469" spans="2:2" ht="15">
      <c r="B3469"/>
    </row>
    <row r="3470" spans="2:2" ht="15">
      <c r="B3470"/>
    </row>
    <row r="3471" spans="2:2" ht="15">
      <c r="B3471"/>
    </row>
    <row r="3472" spans="2:2" ht="15">
      <c r="B3472"/>
    </row>
    <row r="3473" spans="2:2" ht="15">
      <c r="B3473"/>
    </row>
    <row r="3474" spans="2:2" ht="15">
      <c r="B3474"/>
    </row>
    <row r="3475" spans="2:2" ht="15">
      <c r="B3475"/>
    </row>
    <row r="3476" spans="2:2" ht="15">
      <c r="B3476"/>
    </row>
    <row r="3477" spans="2:2" ht="15">
      <c r="B3477"/>
    </row>
    <row r="3478" spans="2:2" ht="15">
      <c r="B3478"/>
    </row>
    <row r="3479" spans="2:2" ht="15">
      <c r="B3479"/>
    </row>
    <row r="3480" spans="2:2" ht="15">
      <c r="B3480"/>
    </row>
    <row r="3481" spans="2:2" ht="15">
      <c r="B3481"/>
    </row>
    <row r="3482" spans="2:2" ht="15">
      <c r="B3482"/>
    </row>
    <row r="3483" spans="2:2" ht="15">
      <c r="B3483"/>
    </row>
    <row r="3484" spans="2:2" ht="15">
      <c r="B3484"/>
    </row>
    <row r="3485" spans="2:2" ht="15">
      <c r="B3485"/>
    </row>
    <row r="3486" spans="2:2" ht="15">
      <c r="B3486"/>
    </row>
    <row r="3487" spans="2:2" ht="15">
      <c r="B3487"/>
    </row>
    <row r="3488" spans="2:2" ht="15">
      <c r="B3488"/>
    </row>
    <row r="3489" spans="2:2" ht="15">
      <c r="B3489"/>
    </row>
    <row r="3490" spans="2:2" ht="15">
      <c r="B3490"/>
    </row>
    <row r="3491" spans="2:2" ht="15">
      <c r="B3491"/>
    </row>
    <row r="3492" spans="2:2" ht="15">
      <c r="B3492"/>
    </row>
    <row r="3493" spans="2:2" ht="15">
      <c r="B3493"/>
    </row>
    <row r="3494" spans="2:2" ht="15">
      <c r="B3494"/>
    </row>
    <row r="3495" spans="2:2" ht="15">
      <c r="B3495"/>
    </row>
    <row r="3496" spans="2:2" ht="15">
      <c r="B3496"/>
    </row>
    <row r="3497" spans="2:2" ht="15">
      <c r="B3497"/>
    </row>
    <row r="3498" spans="2:2" ht="15">
      <c r="B3498"/>
    </row>
    <row r="3499" spans="2:2" ht="15">
      <c r="B3499"/>
    </row>
    <row r="3500" spans="2:2" ht="15">
      <c r="B3500"/>
    </row>
    <row r="3501" spans="2:2" ht="15">
      <c r="B3501"/>
    </row>
    <row r="3502" spans="2:2" ht="15">
      <c r="B3502"/>
    </row>
    <row r="3503" spans="2:2" ht="15">
      <c r="B3503"/>
    </row>
    <row r="3504" spans="2:2" ht="15">
      <c r="B3504"/>
    </row>
    <row r="3505" spans="2:2" ht="15">
      <c r="B3505"/>
    </row>
    <row r="3506" spans="2:2" ht="15">
      <c r="B3506"/>
    </row>
    <row r="3507" spans="2:2" ht="15">
      <c r="B3507"/>
    </row>
    <row r="3508" spans="2:2" ht="15">
      <c r="B3508"/>
    </row>
    <row r="3509" spans="2:2" ht="15">
      <c r="B3509"/>
    </row>
    <row r="3510" spans="2:2" ht="15">
      <c r="B3510"/>
    </row>
    <row r="3511" spans="2:2" ht="15">
      <c r="B3511"/>
    </row>
    <row r="3512" spans="2:2" ht="15">
      <c r="B3512"/>
    </row>
    <row r="3513" spans="2:2" ht="15">
      <c r="B3513"/>
    </row>
    <row r="3514" spans="2:2" ht="15">
      <c r="B3514"/>
    </row>
    <row r="3515" spans="2:2" ht="15">
      <c r="B3515"/>
    </row>
    <row r="3516" spans="2:2" ht="15">
      <c r="B3516"/>
    </row>
    <row r="3517" spans="2:2" ht="15">
      <c r="B3517"/>
    </row>
    <row r="3518" spans="2:2" ht="15">
      <c r="B3518"/>
    </row>
    <row r="3519" spans="2:2" ht="15">
      <c r="B3519"/>
    </row>
    <row r="3520" spans="2:2" ht="15">
      <c r="B3520"/>
    </row>
    <row r="3521" spans="2:2" ht="15">
      <c r="B3521"/>
    </row>
    <row r="3522" spans="2:2" ht="15">
      <c r="B3522"/>
    </row>
    <row r="3523" spans="2:2" ht="15">
      <c r="B3523"/>
    </row>
    <row r="3524" spans="2:2" ht="15">
      <c r="B3524"/>
    </row>
    <row r="3525" spans="2:2" ht="15">
      <c r="B3525"/>
    </row>
    <row r="3526" spans="2:2" ht="15">
      <c r="B3526"/>
    </row>
  </sheetData>
  <sortState xmlns:xlrd2="http://schemas.microsoft.com/office/spreadsheetml/2017/richdata2" ref="N8:O9">
    <sortCondition descending="1" ref="N8:N9"/>
  </sortState>
  <pageMargins left="0.7" right="0.7" top="0.75" bottom="0.75" header="0.3" footer="0.3"/>
  <drawing r:id="rId5"/>
  <legacyDrawing r:id="rId6"/>
  <mc:AlternateContent xmlns:mc="http://schemas.openxmlformats.org/markup-compatibility/2006">
    <mc:Choice Requires="x14">
      <controls>
        <mc:AlternateContent xmlns:mc="http://schemas.openxmlformats.org/markup-compatibility/2006">
          <mc:Choice Requires="x14">
            <control shapeId="1025" r:id="rId7" name="Drop Down 1">
              <controlPr defaultSize="0" autoLine="0" autoPict="0">
                <anchor moveWithCells="1">
                  <from>
                    <xdr:col>13</xdr:col>
                    <xdr:colOff>12700</xdr:colOff>
                    <xdr:row>19</xdr:row>
                    <xdr:rowOff>38100</xdr:rowOff>
                  </from>
                  <to>
                    <xdr:col>13</xdr:col>
                    <xdr:colOff>2584450</xdr:colOff>
                    <xdr:row>20</xdr:row>
                    <xdr:rowOff>63500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F26F2-0C46-4ADF-9D4E-AACD3DE04619}">
  <dimension ref="B1:Q20"/>
  <sheetViews>
    <sheetView showGridLines="0" zoomScale="70" zoomScaleNormal="70" workbookViewId="0"/>
  </sheetViews>
  <sheetFormatPr defaultRowHeight="14.5"/>
  <cols>
    <col min="1" max="1" width="3.81640625" customWidth="1"/>
    <col min="2" max="2" width="11.08984375" customWidth="1"/>
    <col min="9" max="9" width="4" customWidth="1"/>
    <col min="16" max="16" width="4.54296875" customWidth="1"/>
    <col min="17" max="17" width="0.81640625" customWidth="1"/>
  </cols>
  <sheetData>
    <row r="1" spans="2:17" ht="45.5" customHeight="1" thickBot="1">
      <c r="B1" s="25"/>
      <c r="C1" s="25"/>
      <c r="D1" s="25"/>
      <c r="E1" s="26"/>
      <c r="F1" s="26"/>
      <c r="G1" s="26"/>
      <c r="H1" s="24"/>
      <c r="I1" s="24"/>
      <c r="J1" s="24"/>
      <c r="K1" s="24"/>
      <c r="L1" s="24"/>
      <c r="M1" s="24"/>
      <c r="N1" s="24"/>
      <c r="O1" s="24"/>
      <c r="P1" s="24"/>
      <c r="Q1" s="24"/>
    </row>
    <row r="6" spans="2:17" ht="15">
      <c r="B6" s="30" t="s">
        <v>2901</v>
      </c>
      <c r="C6" s="29"/>
      <c r="D6" s="29"/>
      <c r="E6" s="29"/>
      <c r="F6" s="29"/>
      <c r="G6" s="24"/>
      <c r="H6" s="24"/>
      <c r="J6" s="30" t="s">
        <v>2908</v>
      </c>
      <c r="K6" s="29"/>
      <c r="L6" s="29"/>
      <c r="M6" s="29"/>
      <c r="N6" s="29"/>
      <c r="O6" s="24"/>
      <c r="P6" s="24"/>
    </row>
    <row r="8" spans="2:17">
      <c r="B8" s="9" t="s">
        <v>2902</v>
      </c>
      <c r="G8" s="19"/>
    </row>
    <row r="9" spans="2:17">
      <c r="G9" s="31"/>
      <c r="H9" s="31"/>
      <c r="I9" s="31"/>
    </row>
    <row r="10" spans="2:17">
      <c r="B10" s="33" t="str">
        <f>+Calculation!N24</f>
        <v>Country</v>
      </c>
      <c r="C10" s="32" t="str">
        <f>+Calculation!O24</f>
        <v>On-time</v>
      </c>
      <c r="D10" s="32" t="str">
        <f>+Calculation!P24</f>
        <v>Late</v>
      </c>
      <c r="E10" s="32" t="str">
        <f>+Calculation!Q24</f>
        <v>Total</v>
      </c>
      <c r="F10" s="35" t="str">
        <f>+Calculation!R24</f>
        <v>OTD%</v>
      </c>
      <c r="G10" s="37"/>
      <c r="H10" s="31"/>
      <c r="I10" s="31"/>
    </row>
    <row r="11" spans="2:17">
      <c r="B11" t="str">
        <f>Calculation!N25</f>
        <v>Uganda</v>
      </c>
      <c r="C11">
        <f>Calculation!O25</f>
        <v>477</v>
      </c>
      <c r="D11">
        <f>Calculation!P25</f>
        <v>68</v>
      </c>
      <c r="E11">
        <f>Calculation!Q25</f>
        <v>545</v>
      </c>
      <c r="F11" s="38">
        <f>+G11</f>
        <v>0.87522935779816513</v>
      </c>
      <c r="G11" s="34">
        <f>Calculation!R25</f>
        <v>0.87522935779816513</v>
      </c>
      <c r="H11" s="31"/>
      <c r="I11" s="31"/>
    </row>
    <row r="12" spans="2:17">
      <c r="B12" t="str">
        <f>Calculation!N26</f>
        <v>Tanzania</v>
      </c>
      <c r="C12">
        <f>Calculation!O26</f>
        <v>268</v>
      </c>
      <c r="D12">
        <f>Calculation!P26</f>
        <v>45</v>
      </c>
      <c r="E12">
        <f>Calculation!Q26</f>
        <v>313</v>
      </c>
      <c r="F12" s="38">
        <f t="shared" ref="F12:F17" si="0">+G12</f>
        <v>0.85623003194888181</v>
      </c>
      <c r="G12" s="34">
        <f>Calculation!R26</f>
        <v>0.85623003194888181</v>
      </c>
      <c r="H12" s="31"/>
      <c r="I12" s="31"/>
    </row>
    <row r="13" spans="2:17">
      <c r="B13" t="str">
        <f>Calculation!N27</f>
        <v>South Sudan</v>
      </c>
      <c r="C13">
        <f>Calculation!O27</f>
        <v>19</v>
      </c>
      <c r="D13">
        <f>Calculation!P27</f>
        <v>5</v>
      </c>
      <c r="E13">
        <f>Calculation!Q27</f>
        <v>24</v>
      </c>
      <c r="F13" s="38">
        <f t="shared" si="0"/>
        <v>0.79166666666666663</v>
      </c>
      <c r="G13" s="34">
        <f>Calculation!R27</f>
        <v>0.79166666666666663</v>
      </c>
      <c r="H13" s="31"/>
      <c r="I13" s="31"/>
    </row>
    <row r="14" spans="2:17">
      <c r="B14" t="str">
        <f>Calculation!N28</f>
        <v>Rwanda</v>
      </c>
      <c r="C14">
        <f>Calculation!O28</f>
        <v>276</v>
      </c>
      <c r="D14">
        <f>Calculation!P28</f>
        <v>27</v>
      </c>
      <c r="E14">
        <f>Calculation!Q28</f>
        <v>303</v>
      </c>
      <c r="F14" s="38">
        <f t="shared" si="0"/>
        <v>0.91089108910891092</v>
      </c>
      <c r="G14" s="34">
        <f>Calculation!R28</f>
        <v>0.91089108910891092</v>
      </c>
      <c r="H14" s="31"/>
      <c r="I14" s="31"/>
    </row>
    <row r="15" spans="2:17">
      <c r="B15" t="str">
        <f>Calculation!N29</f>
        <v>Kenya</v>
      </c>
      <c r="C15">
        <f>Calculation!O29</f>
        <v>3</v>
      </c>
      <c r="D15">
        <f>Calculation!P29</f>
        <v>0</v>
      </c>
      <c r="E15">
        <f>Calculation!Q29</f>
        <v>3</v>
      </c>
      <c r="F15" s="38">
        <f t="shared" si="0"/>
        <v>1</v>
      </c>
      <c r="G15" s="34">
        <f>Calculation!R29</f>
        <v>1</v>
      </c>
      <c r="H15" s="31"/>
      <c r="I15" s="31"/>
    </row>
    <row r="16" spans="2:17">
      <c r="B16" t="str">
        <f>Calculation!N30</f>
        <v>Ethiopia</v>
      </c>
      <c r="C16">
        <f>Calculation!O30</f>
        <v>96</v>
      </c>
      <c r="D16">
        <f>Calculation!P30</f>
        <v>11</v>
      </c>
      <c r="E16">
        <f>Calculation!Q30</f>
        <v>107</v>
      </c>
      <c r="F16" s="38">
        <f t="shared" si="0"/>
        <v>0.89719626168224298</v>
      </c>
      <c r="G16" s="34">
        <f>Calculation!R30</f>
        <v>0.89719626168224298</v>
      </c>
      <c r="H16" s="31"/>
    </row>
    <row r="17" spans="2:17">
      <c r="B17" t="str">
        <f>Calculation!N31</f>
        <v>Burundi</v>
      </c>
      <c r="C17">
        <f>Calculation!O31</f>
        <v>17</v>
      </c>
      <c r="D17">
        <f>Calculation!P31</f>
        <v>18</v>
      </c>
      <c r="E17">
        <f>Calculation!Q31</f>
        <v>35</v>
      </c>
      <c r="F17" s="38">
        <f t="shared" si="0"/>
        <v>0.48571428571428571</v>
      </c>
      <c r="G17" s="34">
        <f>Calculation!R31</f>
        <v>0.48571428571428571</v>
      </c>
    </row>
    <row r="18" spans="2:17">
      <c r="B18" s="33" t="s">
        <v>2811</v>
      </c>
      <c r="C18" s="33">
        <f>SUM(C11:C17)</f>
        <v>1156</v>
      </c>
      <c r="D18" s="33">
        <f>SUM(D11:D17)</f>
        <v>174</v>
      </c>
      <c r="E18" s="33">
        <f>SUM(E11:E17)</f>
        <v>1330</v>
      </c>
      <c r="F18" s="36">
        <f>C18/$E$18</f>
        <v>0.86917293233082704</v>
      </c>
      <c r="G18" s="37"/>
    </row>
    <row r="20" spans="2:17" ht="15">
      <c r="B20" s="30" t="s">
        <v>2906</v>
      </c>
      <c r="C20" s="29"/>
      <c r="D20" s="29"/>
      <c r="E20" s="29"/>
      <c r="F20" s="29"/>
      <c r="G20" s="24"/>
      <c r="H20" s="30"/>
      <c r="J20" s="30" t="s">
        <v>2907</v>
      </c>
      <c r="K20" s="29"/>
      <c r="L20" s="29"/>
      <c r="M20" s="29"/>
      <c r="N20" s="29"/>
      <c r="O20" s="24"/>
      <c r="P20" s="30"/>
      <c r="Q20" s="30"/>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3" r:id="rId3" name="Drop Down 1">
              <controlPr defaultSize="0" autoLine="0" autoPict="0">
                <anchor moveWithCells="1">
                  <from>
                    <xdr:col>3</xdr:col>
                    <xdr:colOff>31750</xdr:colOff>
                    <xdr:row>6</xdr:row>
                    <xdr:rowOff>177800</xdr:rowOff>
                  </from>
                  <to>
                    <xdr:col>5</xdr:col>
                    <xdr:colOff>196850</xdr:colOff>
                    <xdr:row>8</xdr:row>
                    <xdr:rowOff>6350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1" id="{480653A3-43E2-4BED-84A1-BD9480877FD1}">
            <x14:iconSet iconSet="3Triangles" showValue="0">
              <x14:cfvo type="percent">
                <xm:f>0</xm:f>
              </x14:cfvo>
              <x14:cfvo type="percent">
                <xm:f>33</xm:f>
              </x14:cfvo>
              <x14:cfvo type="percent">
                <xm:f>67</xm:f>
              </x14:cfvo>
            </x14:iconSet>
          </x14:cfRule>
          <xm:sqref>F11:F17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11524-B6C7-49BC-9640-03EA9C1ED8F0}">
  <dimension ref="A1:L57"/>
  <sheetViews>
    <sheetView showGridLines="0" topLeftCell="A38" workbookViewId="0">
      <selection activeCell="H48" sqref="H48:L48"/>
    </sheetView>
  </sheetViews>
  <sheetFormatPr defaultRowHeight="16.5"/>
  <cols>
    <col min="1" max="1" width="3.81640625" style="41" customWidth="1"/>
    <col min="2" max="12" width="10.81640625" style="41" customWidth="1"/>
    <col min="13" max="16384" width="8.7265625" style="41"/>
  </cols>
  <sheetData>
    <row r="1" spans="1:12">
      <c r="A1" s="40"/>
    </row>
    <row r="2" spans="1:12" ht="26">
      <c r="B2" s="42" t="s">
        <v>2909</v>
      </c>
      <c r="C2" s="42"/>
      <c r="D2" s="42"/>
      <c r="E2" s="42"/>
      <c r="F2" s="42"/>
      <c r="G2" s="42"/>
      <c r="H2" s="42"/>
      <c r="I2" s="42"/>
      <c r="J2" s="42"/>
      <c r="K2" s="42"/>
      <c r="L2" s="42"/>
    </row>
    <row r="3" spans="1:12">
      <c r="B3" s="43" t="s">
        <v>2910</v>
      </c>
      <c r="C3" s="43"/>
      <c r="D3" s="43"/>
      <c r="E3" s="43"/>
      <c r="F3" s="43"/>
      <c r="G3" s="43"/>
      <c r="H3" s="43"/>
      <c r="I3" s="43"/>
      <c r="J3" s="43"/>
      <c r="K3" s="43"/>
      <c r="L3" s="43"/>
    </row>
    <row r="4" spans="1:12">
      <c r="B4" s="44"/>
      <c r="C4" s="44"/>
      <c r="D4" s="44"/>
      <c r="E4" s="44"/>
      <c r="F4" s="44"/>
      <c r="G4" s="44"/>
      <c r="H4" s="44"/>
      <c r="I4" s="44"/>
      <c r="J4" s="44"/>
      <c r="K4" s="44"/>
      <c r="L4" s="44"/>
    </row>
    <row r="5" spans="1:12">
      <c r="B5" s="45" t="s">
        <v>2911</v>
      </c>
      <c r="C5" s="45"/>
      <c r="D5" s="45"/>
      <c r="E5" s="45" t="s">
        <v>2912</v>
      </c>
      <c r="F5" s="45"/>
      <c r="G5" s="45"/>
      <c r="H5" s="45" t="s">
        <v>2913</v>
      </c>
      <c r="I5" s="45"/>
      <c r="J5" s="45"/>
      <c r="K5" s="45" t="s">
        <v>2914</v>
      </c>
      <c r="L5" s="45"/>
    </row>
    <row r="6" spans="1:12" ht="24.5">
      <c r="B6" s="46">
        <v>1330</v>
      </c>
      <c r="C6" s="47"/>
      <c r="D6" s="47"/>
      <c r="E6" s="48">
        <v>0.86919999999999997</v>
      </c>
      <c r="F6" s="47"/>
      <c r="G6" s="47"/>
      <c r="H6" s="47" t="s">
        <v>2915</v>
      </c>
      <c r="I6" s="47"/>
      <c r="J6" s="47"/>
      <c r="K6" s="49" t="s">
        <v>2916</v>
      </c>
      <c r="L6" s="49"/>
    </row>
    <row r="7" spans="1:12">
      <c r="B7" s="44"/>
      <c r="C7" s="44"/>
      <c r="D7" s="44"/>
      <c r="E7" s="44"/>
      <c r="F7" s="44"/>
      <c r="G7" s="44"/>
      <c r="H7" s="44"/>
      <c r="I7" s="44"/>
      <c r="J7" s="44"/>
      <c r="K7" s="44"/>
      <c r="L7" s="44"/>
    </row>
    <row r="8" spans="1:12">
      <c r="B8" s="44"/>
      <c r="C8" s="44"/>
      <c r="D8" s="44"/>
      <c r="E8" s="44"/>
      <c r="F8" s="44"/>
      <c r="G8" s="44"/>
      <c r="H8" s="44"/>
      <c r="I8" s="44"/>
      <c r="J8" s="44"/>
      <c r="K8" s="44"/>
      <c r="L8" s="44"/>
    </row>
    <row r="9" spans="1:12">
      <c r="B9" s="50" t="s">
        <v>2917</v>
      </c>
      <c r="C9" s="50"/>
      <c r="D9" s="50"/>
      <c r="E9" s="50"/>
      <c r="F9" s="50"/>
      <c r="G9" s="50"/>
      <c r="H9" s="50"/>
      <c r="I9" s="50"/>
      <c r="J9" s="50"/>
      <c r="K9" s="50"/>
      <c r="L9" s="50"/>
    </row>
    <row r="10" spans="1:12">
      <c r="B10" s="51" t="s">
        <v>2918</v>
      </c>
      <c r="C10" s="51" t="s">
        <v>2918</v>
      </c>
      <c r="D10" s="51" t="s">
        <v>2918</v>
      </c>
      <c r="E10" s="51" t="s">
        <v>2918</v>
      </c>
      <c r="F10" s="51" t="s">
        <v>2918</v>
      </c>
      <c r="G10" s="51" t="s">
        <v>2918</v>
      </c>
      <c r="H10" s="51" t="s">
        <v>2918</v>
      </c>
      <c r="I10" s="51" t="s">
        <v>2918</v>
      </c>
      <c r="J10" s="51" t="s">
        <v>2918</v>
      </c>
      <c r="K10" s="51" t="s">
        <v>2918</v>
      </c>
      <c r="L10" s="51" t="s">
        <v>2918</v>
      </c>
    </row>
    <row r="11" spans="1:12" ht="71.5" customHeight="1">
      <c r="B11" s="51" t="s">
        <v>2918</v>
      </c>
      <c r="C11" s="51" t="s">
        <v>2918</v>
      </c>
      <c r="D11" s="51" t="s">
        <v>2918</v>
      </c>
      <c r="E11" s="51" t="s">
        <v>2918</v>
      </c>
      <c r="F11" s="51" t="s">
        <v>2918</v>
      </c>
      <c r="G11" s="51" t="s">
        <v>2918</v>
      </c>
      <c r="H11" s="51" t="s">
        <v>2918</v>
      </c>
      <c r="I11" s="51" t="s">
        <v>2918</v>
      </c>
      <c r="J11" s="51" t="s">
        <v>2918</v>
      </c>
      <c r="K11" s="51" t="s">
        <v>2918</v>
      </c>
      <c r="L11" s="51" t="s">
        <v>2918</v>
      </c>
    </row>
    <row r="12" spans="1:12">
      <c r="B12" s="44"/>
      <c r="C12" s="44"/>
      <c r="D12" s="44"/>
      <c r="E12" s="44"/>
      <c r="F12" s="44"/>
      <c r="G12" s="44"/>
      <c r="H12" s="44"/>
      <c r="I12" s="44"/>
      <c r="J12" s="44"/>
      <c r="K12" s="44"/>
      <c r="L12" s="44"/>
    </row>
    <row r="13" spans="1:12">
      <c r="B13" s="50" t="s">
        <v>2919</v>
      </c>
      <c r="C13" s="50"/>
      <c r="D13" s="50"/>
      <c r="E13" s="50"/>
      <c r="F13" s="50"/>
      <c r="G13" s="50"/>
      <c r="H13" s="50"/>
      <c r="I13" s="50"/>
      <c r="J13" s="50"/>
      <c r="K13" s="50"/>
      <c r="L13" s="50"/>
    </row>
    <row r="14" spans="1:12">
      <c r="B14" s="52" t="s">
        <v>2920</v>
      </c>
      <c r="C14" s="52" t="s">
        <v>2920</v>
      </c>
      <c r="D14" s="52" t="s">
        <v>2920</v>
      </c>
      <c r="E14" s="52" t="s">
        <v>2920</v>
      </c>
      <c r="F14" s="52" t="s">
        <v>2920</v>
      </c>
      <c r="G14" s="52" t="s">
        <v>2920</v>
      </c>
      <c r="H14" s="52" t="s">
        <v>2920</v>
      </c>
      <c r="I14" s="52" t="s">
        <v>2920</v>
      </c>
      <c r="J14" s="52" t="s">
        <v>2920</v>
      </c>
      <c r="K14" s="52" t="s">
        <v>2920</v>
      </c>
      <c r="L14" s="52" t="s">
        <v>2920</v>
      </c>
    </row>
    <row r="15" spans="1:12">
      <c r="B15" s="52" t="s">
        <v>2920</v>
      </c>
      <c r="C15" s="52" t="s">
        <v>2920</v>
      </c>
      <c r="D15" s="52" t="s">
        <v>2920</v>
      </c>
      <c r="E15" s="52" t="s">
        <v>2920</v>
      </c>
      <c r="F15" s="52" t="s">
        <v>2920</v>
      </c>
      <c r="G15" s="52" t="s">
        <v>2920</v>
      </c>
      <c r="H15" s="52" t="s">
        <v>2920</v>
      </c>
      <c r="I15" s="52" t="s">
        <v>2920</v>
      </c>
      <c r="J15" s="52" t="s">
        <v>2920</v>
      </c>
      <c r="K15" s="52" t="s">
        <v>2920</v>
      </c>
      <c r="L15" s="52" t="s">
        <v>2920</v>
      </c>
    </row>
    <row r="16" spans="1:12">
      <c r="B16" s="44"/>
      <c r="C16" s="44"/>
      <c r="D16" s="44"/>
      <c r="E16" s="44"/>
      <c r="F16" s="44"/>
      <c r="G16" s="44"/>
      <c r="H16" s="44"/>
      <c r="I16" s="44"/>
      <c r="J16" s="44"/>
      <c r="K16" s="44"/>
      <c r="L16" s="44"/>
    </row>
    <row r="17" spans="2:12">
      <c r="B17" s="45" t="s">
        <v>2921</v>
      </c>
      <c r="C17" s="45"/>
      <c r="D17" s="45"/>
      <c r="E17" s="45" t="s">
        <v>2922</v>
      </c>
      <c r="F17" s="45"/>
      <c r="G17" s="45"/>
      <c r="H17" s="45" t="s">
        <v>2923</v>
      </c>
      <c r="I17" s="45"/>
      <c r="J17" s="45"/>
      <c r="K17" s="45"/>
      <c r="L17" s="45"/>
    </row>
    <row r="18" spans="2:12" ht="32.5" customHeight="1">
      <c r="B18" s="53" t="s">
        <v>2924</v>
      </c>
      <c r="C18" s="53"/>
      <c r="D18" s="53"/>
      <c r="E18" s="54" t="s">
        <v>2925</v>
      </c>
      <c r="F18" s="54"/>
      <c r="G18" s="54"/>
      <c r="H18" s="55" t="s">
        <v>2926</v>
      </c>
      <c r="I18" s="55"/>
      <c r="J18" s="55"/>
      <c r="K18" s="55"/>
      <c r="L18" s="55"/>
    </row>
    <row r="19" spans="2:12" ht="32.5" customHeight="1">
      <c r="B19" s="56" t="s">
        <v>2927</v>
      </c>
      <c r="C19" s="56"/>
      <c r="D19" s="56"/>
      <c r="E19" s="57" t="s">
        <v>2928</v>
      </c>
      <c r="F19" s="57"/>
      <c r="G19" s="57"/>
      <c r="H19" s="58" t="s">
        <v>2929</v>
      </c>
      <c r="I19" s="58"/>
      <c r="J19" s="58"/>
      <c r="K19" s="58"/>
      <c r="L19" s="58"/>
    </row>
    <row r="20" spans="2:12" ht="32.5" customHeight="1">
      <c r="B20" s="53" t="s">
        <v>2930</v>
      </c>
      <c r="C20" s="53"/>
      <c r="D20" s="53"/>
      <c r="E20" s="54" t="s">
        <v>2931</v>
      </c>
      <c r="F20" s="54"/>
      <c r="G20" s="54"/>
      <c r="H20" s="55" t="s">
        <v>2932</v>
      </c>
      <c r="I20" s="55"/>
      <c r="J20" s="55"/>
      <c r="K20" s="55"/>
      <c r="L20" s="55"/>
    </row>
    <row r="21" spans="2:12" ht="32.5" customHeight="1">
      <c r="B21" s="56" t="s">
        <v>2933</v>
      </c>
      <c r="C21" s="56"/>
      <c r="D21" s="56"/>
      <c r="E21" s="57" t="s">
        <v>2934</v>
      </c>
      <c r="F21" s="57"/>
      <c r="G21" s="57"/>
      <c r="H21" s="58" t="s">
        <v>2935</v>
      </c>
      <c r="I21" s="58"/>
      <c r="J21" s="58"/>
      <c r="K21" s="58"/>
      <c r="L21" s="58"/>
    </row>
    <row r="22" spans="2:12" ht="32.5" customHeight="1">
      <c r="B22" s="53" t="s">
        <v>2936</v>
      </c>
      <c r="C22" s="53"/>
      <c r="D22" s="53"/>
      <c r="E22" s="54" t="s">
        <v>2937</v>
      </c>
      <c r="F22" s="54"/>
      <c r="G22" s="54"/>
      <c r="H22" s="55" t="s">
        <v>2938</v>
      </c>
      <c r="I22" s="55"/>
      <c r="J22" s="55"/>
      <c r="K22" s="55"/>
      <c r="L22" s="55"/>
    </row>
    <row r="23" spans="2:12">
      <c r="B23" s="44"/>
      <c r="C23" s="44"/>
      <c r="D23" s="44"/>
      <c r="E23" s="44"/>
      <c r="F23" s="44"/>
      <c r="G23" s="44"/>
      <c r="H23" s="44"/>
      <c r="I23" s="44"/>
      <c r="J23" s="44"/>
      <c r="K23" s="44"/>
      <c r="L23" s="44"/>
    </row>
    <row r="24" spans="2:12">
      <c r="B24" s="50" t="s">
        <v>2939</v>
      </c>
      <c r="C24" s="50"/>
      <c r="D24" s="50"/>
      <c r="E24" s="50"/>
      <c r="F24" s="50"/>
      <c r="G24" s="50"/>
      <c r="H24" s="50"/>
      <c r="I24" s="50"/>
      <c r="J24" s="50"/>
      <c r="K24" s="50"/>
      <c r="L24" s="50"/>
    </row>
    <row r="25" spans="2:12">
      <c r="B25" s="52" t="s">
        <v>2940</v>
      </c>
      <c r="C25" s="52" t="s">
        <v>2940</v>
      </c>
      <c r="D25" s="52" t="s">
        <v>2940</v>
      </c>
      <c r="E25" s="52" t="s">
        <v>2940</v>
      </c>
      <c r="F25" s="52" t="s">
        <v>2940</v>
      </c>
      <c r="G25" s="52" t="s">
        <v>2940</v>
      </c>
      <c r="H25" s="52" t="s">
        <v>2940</v>
      </c>
      <c r="I25" s="52" t="s">
        <v>2940</v>
      </c>
      <c r="J25" s="52" t="s">
        <v>2940</v>
      </c>
      <c r="K25" s="52" t="s">
        <v>2940</v>
      </c>
      <c r="L25" s="52" t="s">
        <v>2940</v>
      </c>
    </row>
    <row r="26" spans="2:12" ht="45.5" customHeight="1">
      <c r="B26" s="52" t="s">
        <v>2940</v>
      </c>
      <c r="C26" s="52" t="s">
        <v>2940</v>
      </c>
      <c r="D26" s="52" t="s">
        <v>2940</v>
      </c>
      <c r="E26" s="52" t="s">
        <v>2940</v>
      </c>
      <c r="F26" s="52" t="s">
        <v>2940</v>
      </c>
      <c r="G26" s="52" t="s">
        <v>2940</v>
      </c>
      <c r="H26" s="52" t="s">
        <v>2940</v>
      </c>
      <c r="I26" s="52" t="s">
        <v>2940</v>
      </c>
      <c r="J26" s="52" t="s">
        <v>2940</v>
      </c>
      <c r="K26" s="52" t="s">
        <v>2940</v>
      </c>
      <c r="L26" s="52" t="s">
        <v>2940</v>
      </c>
    </row>
    <row r="27" spans="2:12">
      <c r="B27" s="44"/>
      <c r="C27" s="44"/>
      <c r="D27" s="44"/>
      <c r="E27" s="44"/>
      <c r="F27" s="44"/>
      <c r="G27" s="44"/>
      <c r="H27" s="44"/>
      <c r="I27" s="44"/>
      <c r="J27" s="44"/>
      <c r="K27" s="44"/>
      <c r="L27" s="44"/>
    </row>
    <row r="28" spans="2:12">
      <c r="B28" s="45" t="s">
        <v>2941</v>
      </c>
      <c r="C28" s="45"/>
      <c r="D28" s="45"/>
      <c r="E28" s="45"/>
      <c r="F28" s="45"/>
      <c r="G28" s="45"/>
      <c r="H28" s="45" t="s">
        <v>2942</v>
      </c>
      <c r="I28" s="45"/>
      <c r="J28" s="45" t="s">
        <v>2943</v>
      </c>
      <c r="K28" s="45"/>
      <c r="L28" s="45"/>
    </row>
    <row r="29" spans="2:12">
      <c r="B29" s="59" t="s">
        <v>2944</v>
      </c>
      <c r="C29" s="59"/>
      <c r="D29" s="59"/>
      <c r="E29" s="59"/>
      <c r="F29" s="59"/>
      <c r="G29" s="59"/>
      <c r="H29" s="59" t="s">
        <v>2945</v>
      </c>
      <c r="I29" s="59"/>
      <c r="J29" s="60" t="s">
        <v>2946</v>
      </c>
      <c r="K29" s="60"/>
      <c r="L29" s="60"/>
    </row>
    <row r="30" spans="2:12" ht="32" customHeight="1">
      <c r="B30" s="61" t="s">
        <v>2947</v>
      </c>
      <c r="C30" s="61"/>
      <c r="D30" s="61"/>
      <c r="E30" s="61"/>
      <c r="F30" s="61"/>
      <c r="G30" s="61"/>
      <c r="H30" s="61" t="s">
        <v>2948</v>
      </c>
      <c r="I30" s="61"/>
      <c r="J30" s="62" t="s">
        <v>2949</v>
      </c>
      <c r="K30" s="62"/>
      <c r="L30" s="62"/>
    </row>
    <row r="31" spans="2:12">
      <c r="B31" s="59" t="s">
        <v>2950</v>
      </c>
      <c r="C31" s="59"/>
      <c r="D31" s="59"/>
      <c r="E31" s="59"/>
      <c r="F31" s="59"/>
      <c r="G31" s="59"/>
      <c r="H31" s="59" t="s">
        <v>2948</v>
      </c>
      <c r="I31" s="59"/>
      <c r="J31" s="60" t="s">
        <v>2951</v>
      </c>
      <c r="K31" s="60"/>
      <c r="L31" s="60"/>
    </row>
    <row r="32" spans="2:12">
      <c r="B32" s="61" t="s">
        <v>2952</v>
      </c>
      <c r="C32" s="61"/>
      <c r="D32" s="61"/>
      <c r="E32" s="61"/>
      <c r="F32" s="61"/>
      <c r="G32" s="61"/>
      <c r="H32" s="61" t="s">
        <v>2953</v>
      </c>
      <c r="I32" s="61"/>
      <c r="J32" s="62" t="s">
        <v>2954</v>
      </c>
      <c r="K32" s="62"/>
      <c r="L32" s="62"/>
    </row>
    <row r="33" spans="2:12">
      <c r="B33" s="59" t="s">
        <v>2955</v>
      </c>
      <c r="C33" s="59"/>
      <c r="D33" s="59"/>
      <c r="E33" s="59"/>
      <c r="F33" s="59"/>
      <c r="G33" s="59"/>
      <c r="H33" s="59" t="s">
        <v>2953</v>
      </c>
      <c r="I33" s="59"/>
      <c r="J33" s="60" t="s">
        <v>2956</v>
      </c>
      <c r="K33" s="60"/>
      <c r="L33" s="60"/>
    </row>
    <row r="34" spans="2:12" ht="31.5" customHeight="1">
      <c r="B34" s="63" t="s">
        <v>2957</v>
      </c>
      <c r="C34" s="63"/>
      <c r="D34" s="63"/>
      <c r="E34" s="63"/>
      <c r="F34" s="63"/>
      <c r="G34" s="63"/>
      <c r="H34" s="63"/>
      <c r="I34" s="63"/>
      <c r="J34" s="63"/>
      <c r="K34" s="63"/>
      <c r="L34" s="63"/>
    </row>
    <row r="35" spans="2:12">
      <c r="B35" s="44"/>
      <c r="C35" s="44"/>
      <c r="D35" s="44"/>
      <c r="E35" s="44"/>
      <c r="F35" s="44"/>
      <c r="G35" s="44"/>
      <c r="H35" s="44"/>
      <c r="I35" s="44"/>
      <c r="J35" s="44"/>
      <c r="K35" s="44"/>
      <c r="L35" s="44"/>
    </row>
    <row r="36" spans="2:12">
      <c r="B36" s="50" t="s">
        <v>2958</v>
      </c>
      <c r="C36" s="50"/>
      <c r="D36" s="50"/>
      <c r="E36" s="50"/>
      <c r="F36" s="50"/>
      <c r="G36" s="50"/>
      <c r="H36" s="50"/>
      <c r="I36" s="50"/>
      <c r="J36" s="50"/>
      <c r="K36" s="50"/>
      <c r="L36" s="50"/>
    </row>
    <row r="37" spans="2:12">
      <c r="B37" s="52" t="s">
        <v>2959</v>
      </c>
      <c r="C37" s="52" t="s">
        <v>2959</v>
      </c>
      <c r="D37" s="52" t="s">
        <v>2959</v>
      </c>
      <c r="E37" s="52" t="s">
        <v>2959</v>
      </c>
      <c r="F37" s="52" t="s">
        <v>2959</v>
      </c>
      <c r="G37" s="52" t="s">
        <v>2959</v>
      </c>
      <c r="H37" s="52" t="s">
        <v>2959</v>
      </c>
      <c r="I37" s="52" t="s">
        <v>2959</v>
      </c>
      <c r="J37" s="52" t="s">
        <v>2959</v>
      </c>
      <c r="K37" s="52" t="s">
        <v>2959</v>
      </c>
      <c r="L37" s="52" t="s">
        <v>2959</v>
      </c>
    </row>
    <row r="38" spans="2:12" ht="29" customHeight="1">
      <c r="B38" s="52" t="s">
        <v>2959</v>
      </c>
      <c r="C38" s="52" t="s">
        <v>2959</v>
      </c>
      <c r="D38" s="52" t="s">
        <v>2959</v>
      </c>
      <c r="E38" s="52" t="s">
        <v>2959</v>
      </c>
      <c r="F38" s="52" t="s">
        <v>2959</v>
      </c>
      <c r="G38" s="52" t="s">
        <v>2959</v>
      </c>
      <c r="H38" s="52" t="s">
        <v>2959</v>
      </c>
      <c r="I38" s="52" t="s">
        <v>2959</v>
      </c>
      <c r="J38" s="52" t="s">
        <v>2959</v>
      </c>
      <c r="K38" s="52" t="s">
        <v>2959</v>
      </c>
      <c r="L38" s="52" t="s">
        <v>2959</v>
      </c>
    </row>
    <row r="39" spans="2:12">
      <c r="B39" s="44"/>
      <c r="C39" s="44"/>
      <c r="D39" s="44"/>
      <c r="E39" s="44"/>
      <c r="F39" s="44"/>
      <c r="G39" s="44"/>
      <c r="H39" s="44"/>
      <c r="I39" s="44"/>
      <c r="J39" s="44"/>
      <c r="K39" s="44"/>
      <c r="L39" s="44"/>
    </row>
    <row r="40" spans="2:12">
      <c r="B40" s="45" t="s">
        <v>2921</v>
      </c>
      <c r="C40" s="45"/>
      <c r="D40" s="45"/>
      <c r="E40" s="45" t="s">
        <v>2922</v>
      </c>
      <c r="F40" s="45"/>
      <c r="G40" s="45"/>
      <c r="H40" s="45" t="s">
        <v>2923</v>
      </c>
      <c r="I40" s="45"/>
      <c r="J40" s="45"/>
      <c r="K40" s="45"/>
      <c r="L40" s="45"/>
    </row>
    <row r="41" spans="2:12" ht="30.5" customHeight="1">
      <c r="B41" s="53" t="s">
        <v>2960</v>
      </c>
      <c r="C41" s="53"/>
      <c r="D41" s="53"/>
      <c r="E41" s="54" t="s">
        <v>2961</v>
      </c>
      <c r="F41" s="54"/>
      <c r="G41" s="54"/>
      <c r="H41" s="55" t="s">
        <v>2962</v>
      </c>
      <c r="I41" s="55"/>
      <c r="J41" s="55"/>
      <c r="K41" s="55"/>
      <c r="L41" s="55"/>
    </row>
    <row r="42" spans="2:12" ht="30.5" customHeight="1">
      <c r="B42" s="56" t="s">
        <v>2963</v>
      </c>
      <c r="C42" s="56"/>
      <c r="D42" s="56"/>
      <c r="E42" s="57" t="s">
        <v>2964</v>
      </c>
      <c r="F42" s="57"/>
      <c r="G42" s="57"/>
      <c r="H42" s="58" t="s">
        <v>2965</v>
      </c>
      <c r="I42" s="58"/>
      <c r="J42" s="58"/>
      <c r="K42" s="58"/>
      <c r="L42" s="58"/>
    </row>
    <row r="43" spans="2:12" ht="30.5" customHeight="1">
      <c r="B43" s="53" t="s">
        <v>2966</v>
      </c>
      <c r="C43" s="53"/>
      <c r="D43" s="53"/>
      <c r="E43" s="54" t="s">
        <v>2967</v>
      </c>
      <c r="F43" s="54"/>
      <c r="G43" s="54"/>
      <c r="H43" s="55" t="s">
        <v>2968</v>
      </c>
      <c r="I43" s="55"/>
      <c r="J43" s="55"/>
      <c r="K43" s="55"/>
      <c r="L43" s="55"/>
    </row>
    <row r="44" spans="2:12">
      <c r="B44" s="44"/>
      <c r="C44" s="44"/>
      <c r="D44" s="44"/>
      <c r="E44" s="44"/>
      <c r="F44" s="44"/>
      <c r="G44" s="44"/>
      <c r="H44" s="44"/>
      <c r="I44" s="44"/>
      <c r="J44" s="44"/>
      <c r="K44" s="44"/>
      <c r="L44" s="44"/>
    </row>
    <row r="45" spans="2:12">
      <c r="B45" s="50" t="s">
        <v>2969</v>
      </c>
      <c r="C45" s="50"/>
      <c r="D45" s="50"/>
      <c r="E45" s="50"/>
      <c r="F45" s="50"/>
      <c r="G45" s="50"/>
      <c r="H45" s="50"/>
      <c r="I45" s="50"/>
      <c r="J45" s="50"/>
      <c r="K45" s="50"/>
      <c r="L45" s="50"/>
    </row>
    <row r="46" spans="2:12" ht="24" customHeight="1">
      <c r="B46" s="45" t="s">
        <v>2970</v>
      </c>
      <c r="C46" s="45"/>
      <c r="D46" s="45" t="s">
        <v>2971</v>
      </c>
      <c r="E46" s="45"/>
      <c r="F46" s="45"/>
      <c r="G46" s="45"/>
      <c r="H46" s="45" t="s">
        <v>2972</v>
      </c>
      <c r="I46" s="45"/>
      <c r="J46" s="45"/>
      <c r="K46" s="45"/>
      <c r="L46" s="45"/>
    </row>
    <row r="47" spans="2:12" ht="24" customHeight="1">
      <c r="B47" s="64" t="s">
        <v>2973</v>
      </c>
      <c r="C47" s="64"/>
      <c r="D47" s="65" t="s">
        <v>2974</v>
      </c>
      <c r="E47" s="65"/>
      <c r="F47" s="65"/>
      <c r="G47" s="65"/>
      <c r="H47" s="65" t="s">
        <v>2975</v>
      </c>
      <c r="I47" s="65"/>
      <c r="J47" s="65"/>
      <c r="K47" s="65"/>
      <c r="L47" s="65"/>
    </row>
    <row r="48" spans="2:12" ht="24" customHeight="1">
      <c r="B48" s="64" t="s">
        <v>2973</v>
      </c>
      <c r="C48" s="64"/>
      <c r="D48" s="65" t="s">
        <v>2976</v>
      </c>
      <c r="E48" s="65"/>
      <c r="F48" s="65"/>
      <c r="G48" s="65"/>
      <c r="H48" s="65" t="s">
        <v>2977</v>
      </c>
      <c r="I48" s="65"/>
      <c r="J48" s="65"/>
      <c r="K48" s="65"/>
      <c r="L48" s="65"/>
    </row>
    <row r="49" spans="2:12" ht="24" customHeight="1">
      <c r="B49" s="54" t="s">
        <v>2978</v>
      </c>
      <c r="C49" s="54"/>
      <c r="D49" s="59" t="s">
        <v>2979</v>
      </c>
      <c r="E49" s="59"/>
      <c r="F49" s="59"/>
      <c r="G49" s="59"/>
      <c r="H49" s="59" t="s">
        <v>2980</v>
      </c>
      <c r="I49" s="59"/>
      <c r="J49" s="59"/>
      <c r="K49" s="59"/>
      <c r="L49" s="59"/>
    </row>
    <row r="50" spans="2:12" ht="24" customHeight="1">
      <c r="B50" s="54" t="s">
        <v>2978</v>
      </c>
      <c r="C50" s="54"/>
      <c r="D50" s="59" t="s">
        <v>2981</v>
      </c>
      <c r="E50" s="59"/>
      <c r="F50" s="59"/>
      <c r="G50" s="59"/>
      <c r="H50" s="59" t="s">
        <v>2982</v>
      </c>
      <c r="I50" s="59"/>
      <c r="J50" s="59"/>
      <c r="K50" s="59"/>
      <c r="L50" s="59"/>
    </row>
    <row r="51" spans="2:12">
      <c r="B51" s="44"/>
      <c r="C51" s="44"/>
      <c r="D51" s="44"/>
      <c r="E51" s="44"/>
      <c r="F51" s="44"/>
      <c r="G51" s="44"/>
      <c r="H51" s="44"/>
      <c r="I51" s="44"/>
      <c r="J51" s="44"/>
      <c r="K51" s="44"/>
      <c r="L51" s="44"/>
    </row>
    <row r="52" spans="2:12">
      <c r="B52" s="50" t="s">
        <v>2983</v>
      </c>
      <c r="C52" s="50"/>
      <c r="D52" s="50"/>
      <c r="E52" s="50"/>
      <c r="F52" s="50"/>
      <c r="G52" s="50"/>
      <c r="H52" s="50"/>
      <c r="I52" s="50"/>
      <c r="J52" s="50"/>
      <c r="K52" s="50"/>
      <c r="L52" s="50"/>
    </row>
    <row r="53" spans="2:12" ht="40.5" customHeight="1">
      <c r="B53" s="59" t="s">
        <v>2984</v>
      </c>
      <c r="C53" s="59"/>
      <c r="D53" s="59"/>
      <c r="E53" s="59"/>
      <c r="F53" s="59"/>
      <c r="G53" s="59"/>
      <c r="H53" s="59"/>
      <c r="I53" s="59"/>
      <c r="J53" s="59"/>
      <c r="K53" s="59"/>
      <c r="L53" s="59"/>
    </row>
    <row r="54" spans="2:12" ht="40.5" customHeight="1">
      <c r="B54" s="61" t="s">
        <v>2985</v>
      </c>
      <c r="C54" s="61"/>
      <c r="D54" s="61"/>
      <c r="E54" s="61"/>
      <c r="F54" s="61"/>
      <c r="G54" s="61"/>
      <c r="H54" s="61"/>
      <c r="I54" s="61"/>
      <c r="J54" s="61"/>
      <c r="K54" s="61"/>
      <c r="L54" s="61"/>
    </row>
    <row r="55" spans="2:12" ht="40.5" customHeight="1">
      <c r="B55" s="59" t="s">
        <v>2986</v>
      </c>
      <c r="C55" s="59"/>
      <c r="D55" s="59"/>
      <c r="E55" s="59"/>
      <c r="F55" s="59"/>
      <c r="G55" s="59"/>
      <c r="H55" s="59"/>
      <c r="I55" s="59"/>
      <c r="J55" s="59"/>
      <c r="K55" s="59"/>
      <c r="L55" s="59"/>
    </row>
    <row r="56" spans="2:12" ht="23.5" customHeight="1">
      <c r="B56" s="44"/>
      <c r="C56" s="44"/>
      <c r="D56" s="44"/>
      <c r="E56" s="44"/>
      <c r="F56" s="44"/>
      <c r="G56" s="44"/>
      <c r="H56" s="44"/>
      <c r="I56" s="44"/>
      <c r="J56" s="44"/>
      <c r="K56" s="44"/>
      <c r="L56" s="44"/>
    </row>
    <row r="57" spans="2:12" ht="32" customHeight="1">
      <c r="B57" s="66" t="s">
        <v>2987</v>
      </c>
      <c r="C57" s="66"/>
      <c r="D57" s="66"/>
      <c r="E57" s="66"/>
      <c r="F57" s="66"/>
      <c r="G57" s="66"/>
      <c r="H57" s="66"/>
      <c r="I57" s="66"/>
      <c r="J57" s="66"/>
      <c r="K57" s="66"/>
      <c r="L57" s="66"/>
    </row>
  </sheetData>
  <mergeCells count="88">
    <mergeCell ref="B2:L2"/>
    <mergeCell ref="B3:L3"/>
    <mergeCell ref="B5:D5"/>
    <mergeCell ref="B6:D6"/>
    <mergeCell ref="E5:G5"/>
    <mergeCell ref="E6:G6"/>
    <mergeCell ref="H5:J5"/>
    <mergeCell ref="H6:J6"/>
    <mergeCell ref="K5:L5"/>
    <mergeCell ref="K6:L6"/>
    <mergeCell ref="B9:L9"/>
    <mergeCell ref="B10:L11"/>
    <mergeCell ref="B13:L13"/>
    <mergeCell ref="B14:L15"/>
    <mergeCell ref="B17:D17"/>
    <mergeCell ref="E17:G17"/>
    <mergeCell ref="H17:L17"/>
    <mergeCell ref="B18:D18"/>
    <mergeCell ref="E18:G18"/>
    <mergeCell ref="H18:L18"/>
    <mergeCell ref="B19:D19"/>
    <mergeCell ref="E19:G19"/>
    <mergeCell ref="H19:L19"/>
    <mergeCell ref="B20:D20"/>
    <mergeCell ref="E20:G20"/>
    <mergeCell ref="H20:L20"/>
    <mergeCell ref="B21:D21"/>
    <mergeCell ref="E21:G21"/>
    <mergeCell ref="H21:L21"/>
    <mergeCell ref="B22:D22"/>
    <mergeCell ref="E22:G22"/>
    <mergeCell ref="H22:L22"/>
    <mergeCell ref="B24:L24"/>
    <mergeCell ref="B25:L26"/>
    <mergeCell ref="B28:G28"/>
    <mergeCell ref="H28:I28"/>
    <mergeCell ref="J28:L28"/>
    <mergeCell ref="B29:G29"/>
    <mergeCell ref="H29:I29"/>
    <mergeCell ref="J29:L29"/>
    <mergeCell ref="B30:G30"/>
    <mergeCell ref="H30:I30"/>
    <mergeCell ref="J30:L30"/>
    <mergeCell ref="B31:G31"/>
    <mergeCell ref="H31:I31"/>
    <mergeCell ref="J31:L31"/>
    <mergeCell ref="B32:G32"/>
    <mergeCell ref="H32:I32"/>
    <mergeCell ref="J32:L32"/>
    <mergeCell ref="B33:G33"/>
    <mergeCell ref="H33:I33"/>
    <mergeCell ref="J33:L33"/>
    <mergeCell ref="B34:L34"/>
    <mergeCell ref="B36:L36"/>
    <mergeCell ref="B37:L38"/>
    <mergeCell ref="B40:D40"/>
    <mergeCell ref="E40:G40"/>
    <mergeCell ref="H40:L40"/>
    <mergeCell ref="B41:D41"/>
    <mergeCell ref="E41:G41"/>
    <mergeCell ref="H41:L41"/>
    <mergeCell ref="B42:D42"/>
    <mergeCell ref="E42:G42"/>
    <mergeCell ref="H42:L42"/>
    <mergeCell ref="B43:D43"/>
    <mergeCell ref="E43:G43"/>
    <mergeCell ref="H43:L43"/>
    <mergeCell ref="B45:L45"/>
    <mergeCell ref="B46:C46"/>
    <mergeCell ref="D46:G46"/>
    <mergeCell ref="H46:L46"/>
    <mergeCell ref="B47:C47"/>
    <mergeCell ref="D47:G47"/>
    <mergeCell ref="H47:L47"/>
    <mergeCell ref="B48:C48"/>
    <mergeCell ref="D48:G48"/>
    <mergeCell ref="H48:L48"/>
    <mergeCell ref="B49:C49"/>
    <mergeCell ref="D49:G49"/>
    <mergeCell ref="H49:L49"/>
    <mergeCell ref="B50:C50"/>
    <mergeCell ref="D50:G50"/>
    <mergeCell ref="H50:L50"/>
    <mergeCell ref="B52:L52"/>
    <mergeCell ref="B53:L53"/>
    <mergeCell ref="B54:L54"/>
    <mergeCell ref="B55:L55"/>
    <mergeCell ref="B57:L5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F6D1E8-4D10-4C6C-80DC-1DA53305F6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ARV_Clean_Data</vt:lpstr>
      <vt:lpstr>Calculation</vt:lpstr>
      <vt:lpstr>Dashboard</vt:lpstr>
      <vt:lpstr>Management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Jackson Kavishe</dc:creator>
  <cp:lastModifiedBy>Jackson Kavishe</cp:lastModifiedBy>
  <dcterms:created xsi:type="dcterms:W3CDTF">2026-10-08T15:22:41Z</dcterms:created>
  <dcterms:modified xsi:type="dcterms:W3CDTF">2026-10-12T14:27:23Z</dcterms:modified>
</cp:coreProperties>
</file>